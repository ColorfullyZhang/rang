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1C5FD70-80C9-492A-89A1-A46B85A07050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7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868" i="6" l="1"/>
  <c r="J5867" i="6"/>
  <c r="J5865" i="6" l="1"/>
  <c r="J5866" i="6"/>
  <c r="J5864" i="6"/>
  <c r="J5856" i="6"/>
  <c r="J5857" i="6"/>
  <c r="J5858" i="6"/>
  <c r="J5859" i="6"/>
  <c r="J5860" i="6"/>
  <c r="J5861" i="6"/>
  <c r="J5862" i="6"/>
  <c r="J5863" i="6"/>
  <c r="J155" i="11"/>
  <c r="J5855" i="6" l="1"/>
  <c r="J5847" i="6" l="1"/>
  <c r="J5848" i="6"/>
  <c r="J5849" i="6"/>
  <c r="J5850" i="6"/>
  <c r="J5851" i="6"/>
  <c r="J5852" i="6"/>
  <c r="J5853" i="6"/>
  <c r="J5854" i="6"/>
  <c r="J154" i="11"/>
  <c r="J5840" i="6" l="1"/>
  <c r="J5841" i="6"/>
  <c r="J5842" i="6"/>
  <c r="J5843" i="6"/>
  <c r="J5844" i="6"/>
  <c r="J5845" i="6"/>
  <c r="J5846" i="6"/>
  <c r="J5833" i="6"/>
  <c r="J5834" i="6"/>
  <c r="J5835" i="6"/>
  <c r="J5836" i="6"/>
  <c r="J5837" i="6"/>
  <c r="J5838" i="6"/>
  <c r="J5839" i="6"/>
  <c r="J5826" i="6"/>
  <c r="J5827" i="6"/>
  <c r="J5828" i="6"/>
  <c r="J5829" i="6"/>
  <c r="J5830" i="6"/>
  <c r="J5831" i="6"/>
  <c r="J5832" i="6"/>
  <c r="J5819" i="6"/>
  <c r="J5820" i="6"/>
  <c r="J5821" i="6"/>
  <c r="J5822" i="6"/>
  <c r="J5823" i="6"/>
  <c r="J5824" i="6"/>
  <c r="J5825" i="6"/>
  <c r="J150" i="11"/>
  <c r="J151" i="11"/>
  <c r="J152" i="11"/>
  <c r="J153" i="11"/>
  <c r="J5812" i="6"/>
  <c r="J5813" i="6"/>
  <c r="J5814" i="6"/>
  <c r="J5815" i="6"/>
  <c r="J5816" i="6"/>
  <c r="J5817" i="6"/>
  <c r="J5818" i="6"/>
  <c r="J149" i="11"/>
  <c r="J5805" i="6"/>
  <c r="J5806" i="6"/>
  <c r="J5807" i="6"/>
  <c r="J5808" i="6"/>
  <c r="J5809" i="6"/>
  <c r="J5810" i="6"/>
  <c r="J5811" i="6"/>
  <c r="J148" i="11"/>
  <c r="J5794" i="6" l="1"/>
  <c r="J5795" i="6"/>
  <c r="J5796" i="6"/>
  <c r="J5797" i="6"/>
  <c r="J5798" i="6"/>
  <c r="J5799" i="6"/>
  <c r="J5800" i="6"/>
  <c r="J5801" i="6"/>
  <c r="J5802" i="6"/>
  <c r="J5803" i="6"/>
  <c r="J5804" i="6"/>
  <c r="J5783" i="6"/>
  <c r="J5784" i="6"/>
  <c r="J5785" i="6"/>
  <c r="J5786" i="6"/>
  <c r="J5787" i="6"/>
  <c r="J5788" i="6"/>
  <c r="J5789" i="6"/>
  <c r="J5790" i="6"/>
  <c r="J5791" i="6"/>
  <c r="J5792" i="6"/>
  <c r="J5793" i="6"/>
  <c r="J147" i="11"/>
  <c r="J146" i="11"/>
  <c r="J5782" i="6" l="1"/>
  <c r="J5781" i="6" l="1"/>
  <c r="J5779" i="6" l="1"/>
  <c r="J5780" i="6"/>
  <c r="J5778" i="6"/>
  <c r="J5777" i="6" l="1"/>
  <c r="J5733" i="6" l="1"/>
  <c r="J5734" i="6"/>
  <c r="J5735" i="6"/>
  <c r="J5736" i="6"/>
  <c r="J5737" i="6"/>
  <c r="J5738" i="6"/>
  <c r="J5739" i="6"/>
  <c r="J5740" i="6"/>
  <c r="J145" i="11"/>
  <c r="J5630" i="6" l="1"/>
  <c r="J5631" i="6"/>
  <c r="J5632" i="6"/>
  <c r="J5633" i="6"/>
  <c r="J5634" i="6"/>
  <c r="J144" i="11"/>
  <c r="J5643" i="6" l="1"/>
  <c r="J5714" i="6" l="1"/>
  <c r="J5715" i="6"/>
  <c r="J5716" i="6"/>
  <c r="J5717" i="6"/>
  <c r="J5718" i="6"/>
  <c r="J5719" i="6"/>
  <c r="J5720" i="6"/>
  <c r="J5721" i="6"/>
  <c r="J5722" i="6"/>
  <c r="J5723" i="6"/>
  <c r="J5724" i="6"/>
  <c r="J5680" i="6"/>
  <c r="J5681" i="6"/>
  <c r="J5682" i="6"/>
  <c r="J5683" i="6"/>
  <c r="J5684" i="6"/>
  <c r="J5685" i="6"/>
  <c r="J5686" i="6"/>
  <c r="J5687" i="6"/>
  <c r="J5688" i="6"/>
  <c r="J5689" i="6"/>
  <c r="J5690" i="6"/>
  <c r="J143" i="11"/>
  <c r="J142" i="11"/>
  <c r="J5706" i="6" l="1"/>
  <c r="J5707" i="6"/>
  <c r="J5708" i="6"/>
  <c r="J5709" i="6"/>
  <c r="J5710" i="6"/>
  <c r="J5711" i="6"/>
  <c r="J5712" i="6"/>
  <c r="J5713" i="6"/>
  <c r="J141" i="11"/>
  <c r="J5557" i="6" l="1"/>
  <c r="J5624" i="6" l="1"/>
  <c r="J5618" i="6"/>
  <c r="J5615" i="6"/>
  <c r="J5613" i="6"/>
  <c r="J5610" i="6"/>
  <c r="J5608" i="6"/>
  <c r="J5604" i="6"/>
  <c r="J5601" i="6"/>
  <c r="J5605" i="6" l="1"/>
  <c r="J5611" i="6"/>
  <c r="J5616" i="6"/>
  <c r="J5627" i="6"/>
  <c r="J5600" i="6"/>
  <c r="J5607" i="6"/>
  <c r="J5612" i="6"/>
  <c r="J5617" i="6"/>
  <c r="J5629" i="6"/>
  <c r="J5609" i="6"/>
  <c r="J5614" i="6"/>
  <c r="J5623" i="6"/>
  <c r="J5603" i="6"/>
  <c r="J5555" i="6" l="1"/>
  <c r="J5556" i="6"/>
  <c r="J5554" i="6"/>
  <c r="J5705" i="6" l="1"/>
  <c r="J5566" i="6" l="1"/>
  <c r="J5368" i="6" l="1"/>
  <c r="J5672" i="6" l="1"/>
  <c r="J5673" i="6"/>
  <c r="J5674" i="6"/>
  <c r="J5675" i="6"/>
  <c r="J5676" i="6"/>
  <c r="J5677" i="6"/>
  <c r="J5678" i="6"/>
  <c r="J5679" i="6"/>
  <c r="J140" i="11"/>
  <c r="J4954" i="6" l="1"/>
  <c r="J4953" i="6" l="1"/>
  <c r="J5622" i="6" l="1"/>
  <c r="J5597" i="6"/>
  <c r="J5598" i="6"/>
  <c r="J5599" i="6"/>
  <c r="J5602" i="6"/>
  <c r="J5606" i="6"/>
  <c r="J5625" i="6"/>
  <c r="J5628" i="6"/>
  <c r="J5626" i="6"/>
  <c r="J5619" i="6"/>
  <c r="J5620" i="6"/>
  <c r="J5621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91" i="6" l="1"/>
  <c r="J5692" i="6"/>
  <c r="J5693" i="6"/>
  <c r="J5694" i="6"/>
  <c r="J5695" i="6"/>
  <c r="J5696" i="6"/>
  <c r="J5697" i="6"/>
  <c r="J5698" i="6"/>
  <c r="J138" i="11"/>
  <c r="J5387" i="6" l="1"/>
  <c r="J5375" i="6" l="1"/>
  <c r="J5386" i="6" l="1"/>
  <c r="J5385" i="6" l="1"/>
  <c r="J5384" i="6" l="1"/>
  <c r="J5586" i="6" l="1"/>
  <c r="J5587" i="6"/>
  <c r="J5588" i="6"/>
  <c r="J5589" i="6"/>
  <c r="J5590" i="6"/>
  <c r="J5591" i="6"/>
  <c r="J5592" i="6"/>
  <c r="J5593" i="6"/>
  <c r="J5594" i="6"/>
  <c r="J5595" i="6"/>
  <c r="J5596" i="6"/>
  <c r="J5567" i="6"/>
  <c r="J5568" i="6"/>
  <c r="J5569" i="6"/>
  <c r="J5570" i="6"/>
  <c r="J5571" i="6"/>
  <c r="J5572" i="6"/>
  <c r="J5573" i="6"/>
  <c r="J5574" i="6"/>
  <c r="J5575" i="6"/>
  <c r="J5576" i="6"/>
  <c r="J5577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99" i="6" l="1"/>
  <c r="J5700" i="6"/>
  <c r="J5701" i="6"/>
  <c r="J5702" i="6"/>
  <c r="J5703" i="6"/>
  <c r="J5704" i="6"/>
  <c r="J131" i="11"/>
  <c r="J5193" i="6" l="1"/>
  <c r="J5192" i="6"/>
  <c r="J5374" i="6" l="1"/>
  <c r="J5191" i="6"/>
  <c r="J5558" i="6" l="1"/>
  <c r="J5559" i="6"/>
  <c r="J5560" i="6"/>
  <c r="J5561" i="6"/>
  <c r="J5562" i="6"/>
  <c r="J5563" i="6"/>
  <c r="J5564" i="6"/>
  <c r="J5565" i="6"/>
  <c r="J130" i="11"/>
  <c r="J5578" i="6"/>
  <c r="J5579" i="6"/>
  <c r="J5580" i="6"/>
  <c r="J5581" i="6"/>
  <c r="J5582" i="6"/>
  <c r="J5583" i="6"/>
  <c r="J5584" i="6"/>
  <c r="J5585" i="6"/>
  <c r="J129" i="11"/>
  <c r="J5190" i="6" l="1"/>
  <c r="J5189" i="6" l="1"/>
  <c r="J5749" i="6" l="1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742" i="6"/>
  <c r="J5743" i="6"/>
  <c r="J5744" i="6"/>
  <c r="J5745" i="6"/>
  <c r="J5746" i="6"/>
  <c r="J5747" i="6"/>
  <c r="J5748" i="6"/>
  <c r="J5726" i="6"/>
  <c r="J5727" i="6"/>
  <c r="J5728" i="6"/>
  <c r="J5729" i="6"/>
  <c r="J5730" i="6"/>
  <c r="J5731" i="6"/>
  <c r="J5732" i="6"/>
  <c r="J5636" i="6"/>
  <c r="J5637" i="6"/>
  <c r="J5638" i="6"/>
  <c r="J5639" i="6"/>
  <c r="J5640" i="6"/>
  <c r="J5641" i="6"/>
  <c r="J5642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741" i="6" l="1"/>
  <c r="J5725" i="6"/>
  <c r="J5635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<sst xmlns="http://schemas.openxmlformats.org/spreadsheetml/2006/main" count="22973" uniqueCount="3957">
  <si>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</si>
  <si>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</si>
  <si>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</si>
  <si>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</si>
  <si>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</si>
  <si>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</si>
  <si>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</si>
  <si>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</si>
  <si>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</si>
  <si>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</si>
  <si>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</si>
  <si>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</si>
  <si>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</si>
  <si>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</si>
  <si>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</si>
  <si>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</si>
  <si>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</si>
  <si>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</si>
  <si>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</si>
  <si>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</si>
  <si>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</si>
  <si>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</si>
  <si>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</si>
  <si>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</si>
  <si>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</si>
  <si>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</si>
  <si>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</si>
  <si>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</si>
  <si>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</si>
  <si>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</si>
  <si>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</si>
  <si>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</si>
  <si>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</si>
  <si>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</si>
  <si>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</si>
  <si>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</si>
  <si>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</si>
  <si>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</si>
  <si>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</si>
  <si>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</si>
  <si>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</si>
  <si>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</si>
  <si>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</si>
  <si>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</si>
  <si>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</si>
  <si>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</si>
  <si>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</si>
  <si>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</si>
  <si>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</si>
  <si>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</si>
  <si>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</si>
  <si>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</si>
  <si>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</si>
  <si>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</si>
  <si>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</si>
  <si>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</si>
  <si>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</si>
  <si>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</si>
  <si>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</si>
  <si>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</si>
  <si>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</si>
  <si>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</si>
  <si>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</si>
  <si>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</si>
  <si>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</si>
  <si>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</si>
  <si>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</si>
  <si>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</si>
  <si>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</si>
  <si>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</si>
  <si>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</si>
  <si>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</si>
  <si>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</si>
  <si>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</si>
  <si>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</si>
  <si>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</si>
  <si>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</si>
  <si>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</si>
  <si>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</si>
  <si>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</si>
  <si>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</si>
  <si>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</si>
  <si>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</si>
  <si>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</si>
  <si>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</si>
  <si>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</si>
  <si>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</si>
  <si>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</si>
  <si>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</si>
  <si>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</si>
  <si>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</si>
  <si>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</si>
  <si>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</si>
  <si>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</si>
  <si>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</si>
  <si>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</si>
  <si>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</si>
  <si>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</si>
  <si>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</si>
  <si>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</si>
  <si>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</si>
  <si>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</si>
  <si>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</si>
  <si>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</si>
  <si>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</si>
  <si>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</si>
  <si>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</si>
  <si>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</si>
  <si>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</si>
  <si>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</si>
  <si>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</si>
  <si>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</si>
  <si>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</si>
  <si>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</si>
  <si>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</si>
  <si>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</si>
  <si>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</si>
  <si>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</si>
  <si>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</si>
  <si>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</si>
  <si>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</si>
  <si>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</si>
  <si>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</si>
  <si>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</si>
  <si>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</si>
  <si>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</si>
  <si>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</si>
  <si>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</si>
  <si>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</si>
  <si>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</si>
  <si>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</si>
  <si>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</si>
  <si>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</si>
  <si>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</si>
  <si>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</si>
  <si>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</si>
  <si>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</si>
  <si>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</si>
  <si>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</si>
  <si>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</si>
  <si>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</si>
  <si>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</si>
  <si>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</si>
  <si>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</si>
  <si>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</si>
  <si>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</si>
  <si>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</si>
  <si>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</si>
  <si>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</si>
  <si>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</si>
  <si>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</si>
  <si>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</si>
  <si>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</si>
  <si>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</si>
  <si>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</si>
  <si>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</si>
  <si>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</si>
  <si>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</si>
  <si>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</si>
  <si>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</si>
  <si>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</si>
  <si>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</si>
  <si>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</si>
  <si>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</si>
  <si>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</si>
  <si>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</si>
  <si>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</si>
  <si>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</si>
  <si>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</si>
  <si>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</si>
  <si>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</si>
  <si>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</si>
  <si>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</si>
  <si>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</si>
  <si>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</si>
  <si>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</si>
  <si>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</si>
  <si>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</si>
  <si>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</si>
  <si>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</si>
  <si>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</si>
  <si>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</si>
  <si>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</si>
  <si>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</si>
  <si>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</si>
  <si>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</si>
  <si>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</si>
  <si>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</si>
  <si>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</si>
  <si>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</si>
  <si>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</si>
  <si>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</si>
  <si>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</si>
  <si>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</si>
  <si>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</si>
  <si>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</si>
  <si>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</si>
  <si>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</si>
  <si>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</si>
  <si>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</si>
  <si>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</si>
  <si>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</si>
  <si>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</si>
  <si>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</si>
  <si>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</si>
  <si>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</si>
  <si>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</si>
  <si>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</si>
  <si>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</si>
  <si>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</si>
  <si>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</si>
  <si>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</si>
  <si>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</si>
  <si>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</si>
  <si>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</si>
  <si>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</si>
  <si>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</si>
  <si>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</si>
  <si>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</si>
  <si>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</si>
  <si>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</si>
  <si>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</si>
  <si>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</si>
  <si>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</si>
  <si>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</si>
  <si>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</si>
  <si>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</si>
  <si>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</si>
  <si>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</si>
  <si>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</si>
  <si>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</si>
  <si>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</si>
  <si>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</si>
  <si>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</si>
  <si>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</si>
  <si>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</si>
  <si>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</si>
  <si>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</si>
  <si>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</si>
  <si>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</si>
  <si>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</si>
  <si>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</si>
  <si>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</si>
  <si>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</si>
  <si>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</si>
  <si>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</si>
  <si>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</si>
  <si>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</si>
  <si>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</si>
  <si>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</si>
  <si>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</si>
  <si>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</si>
  <si>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</si>
  <si>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</si>
  <si>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</si>
  <si>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</si>
  <si>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</si>
  <si>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</si>
  <si>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</si>
  <si>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</si>
  <si>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</si>
  <si>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</si>
  <si>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</si>
  <si>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</si>
  <si>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</si>
  <si>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</si>
  <si>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</si>
  <si>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</si>
  <si>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</si>
  <si>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</si>
  <si>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</si>
  <si>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</si>
  <si>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</si>
  <si>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</si>
  <si>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</si>
  <si>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</si>
  <si>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</si>
  <si>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</si>
  <si>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</si>
  <si>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</si>
  <si>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</si>
  <si>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</si>
  <si>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</si>
  <si>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</si>
  <si>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</si>
  <si>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</si>
  <si>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</si>
  <si>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</si>
  <si>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</si>
  <si>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</si>
  <si>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</si>
  <si>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</si>
  <si>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</si>
  <si>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</si>
  <si>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</si>
  <si>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</si>
  <si>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</si>
  <si>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</si>
  <si>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</si>
  <si>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</si>
  <si>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</si>
  <si>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</si>
  <si>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</si>
  <si>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</si>
  <si>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</si>
  <si>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</si>
  <si>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</si>
  <si>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</si>
  <si>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</si>
  <si>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</si>
  <si>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</si>
  <si>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</si>
  <si>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</si>
  <si>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</si>
  <si>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</si>
  <si>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</si>
  <si>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</si>
  <si>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</si>
  <si>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</si>
  <si>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</si>
  <si>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</si>
  <si>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</si>
  <si>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</si>
  <si>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</si>
  <si>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</si>
  <si>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</si>
  <si>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</si>
  <si>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</si>
  <si>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</si>
  <si>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</si>
  <si>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</si>
  <si>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</si>
  <si>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</si>
  <si>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</si>
  <si>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</si>
  <si>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</si>
  <si>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</si>
  <si>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</si>
  <si>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</si>
  <si>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</si>
  <si>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</si>
  <si>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</si>
  <si>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</si>
  <si>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</si>
  <si>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</si>
  <si>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</si>
  <si>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</si>
  <si>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</si>
  <si>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</si>
  <si>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</si>
  <si>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</si>
  <si>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</si>
  <si>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</si>
  <si>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</si>
  <si>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</si>
  <si>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</si>
  <si>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</si>
  <si>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</si>
  <si>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</si>
  <si>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</si>
  <si>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</si>
  <si>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</si>
  <si>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</si>
  <si>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</si>
  <si>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</si>
  <si>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</si>
  <si>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</si>
  <si>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</si>
  <si>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</si>
  <si>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</si>
  <si>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</si>
  <si>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</si>
  <si>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</si>
  <si>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</si>
  <si>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</si>
  <si>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</si>
  <si>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</si>
  <si>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</si>
  <si>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</si>
  <si>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</si>
  <si>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</si>
  <si>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</si>
  <si>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</si>
  <si>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</si>
  <si>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</si>
  <si>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</si>
  <si>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</si>
  <si>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</si>
  <si>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</si>
  <si>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</si>
  <si>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</si>
  <si>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</si>
  <si>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</si>
  <si>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</si>
  <si>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</si>
  <si>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</si>
  <si>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</si>
  <si>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</si>
  <si>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</si>
  <si>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</si>
  <si>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</si>
  <si>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</si>
  <si>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</si>
  <si>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</si>
  <si>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</si>
  <si>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</si>
  <si>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</si>
  <si>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</si>
  <si>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</si>
  <si>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</si>
  <si>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</si>
  <si>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</si>
  <si>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</si>
  <si>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</si>
  <si>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</si>
  <si>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</si>
  <si>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</si>
  <si>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</si>
  <si>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</si>
  <si>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</si>
  <si>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</si>
  <si>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</si>
  <si>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</si>
  <si>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</si>
  <si>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</si>
  <si>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</si>
  <si>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</si>
  <si>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</si>
  <si>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</si>
  <si>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</si>
  <si>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</si>
  <si>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</si>
  <si>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</si>
  <si>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</si>
  <si>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</si>
  <si>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</si>
  <si>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</si>
  <si>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</si>
  <si>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</si>
  <si>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</si>
  <si>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</si>
  <si>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</si>
  <si>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</si>
  <si>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</si>
  <si>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</si>
  <si>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</si>
  <si>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</si>
  <si>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</si>
  <si>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</si>
  <si>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</si>
  <si>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</si>
  <si>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</si>
  <si>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</si>
  <si>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</si>
  <si>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</si>
  <si>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</si>
  <si>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</si>
  <si>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</si>
  <si>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</si>
  <si>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</si>
  <si>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</si>
  <si>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</si>
  <si>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</si>
  <si>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</si>
  <si>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</si>
  <si>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</si>
  <si>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</si>
  <si>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</si>
  <si>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</si>
  <si>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</si>
  <si>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</si>
  <si>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</si>
  <si>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</si>
  <si>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</si>
  <si>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</si>
  <si>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</si>
  <si>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</si>
  <si>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</si>
  <si>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</si>
  <si>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</si>
  <si>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</si>
  <si>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</si>
  <si>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</si>
  <si>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</si>
  <si>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</si>
  <si>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</si>
  <si>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</si>
  <si>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</si>
  <si>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</si>
  <si>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</si>
  <si>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</si>
  <si>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</si>
  <si>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</si>
  <si>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</si>
  <si>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</si>
  <si>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</si>
  <si>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</si>
  <si>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</si>
  <si>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</si>
  <si>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</si>
  <si>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</si>
  <si>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</si>
  <si>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</si>
  <si>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</si>
  <si>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</si>
  <si>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</si>
  <si>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</si>
  <si>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</si>
  <si>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</si>
  <si>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</si>
  <si>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</si>
  <si>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</si>
  <si>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</si>
  <si>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</si>
  <si>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</si>
  <si>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</si>
  <si>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</si>
  <si>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</si>
  <si>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</si>
  <si>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</si>
  <si>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</si>
  <si>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</si>
  <si>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</si>
  <si>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</si>
  <si>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</si>
  <si>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</si>
  <si>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</si>
  <si>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</si>
  <si>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</si>
  <si>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</si>
  <si>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</si>
  <si>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</si>
  <si>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</si>
  <si>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</si>
  <si>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</si>
  <si>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</si>
  <si>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</si>
  <si>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</si>
  <si>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</si>
  <si>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</si>
  <si>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</si>
  <si>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</si>
  <si>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</si>
  <si>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</si>
  <si>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</si>
  <si>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</si>
  <si>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</si>
  <si>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</si>
  <si>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</si>
  <si>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</si>
  <si>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</si>
  <si>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</si>
  <si>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</si>
  <si>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</si>
  <si>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</si>
  <si>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</si>
  <si>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</si>
  <si>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</si>
  <si>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</si>
  <si>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</si>
  <si>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</si>
  <si>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</si>
  <si>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</si>
  <si>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</si>
  <si>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</si>
  <si>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</si>
  <si>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</si>
  <si>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</si>
  <si>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</si>
  <si>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</si>
  <si>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</si>
  <si>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</si>
  <si>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</si>
  <si>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</si>
  <si>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</si>
  <si>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</si>
  <si>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</si>
  <si>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</si>
  <si>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</si>
  <si>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</si>
  <si>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</si>
  <si>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</si>
  <si>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</si>
  <si>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</si>
  <si>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</si>
  <si>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</si>
  <si>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</si>
  <si>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</si>
  <si>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</si>
  <si>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</si>
  <si>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</si>
  <si>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</si>
  <si>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</si>
  <si>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</si>
  <si>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</si>
  <si>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</si>
  <si>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</si>
  <si>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</si>
  <si>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</si>
  <si>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</si>
  <si>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</si>
  <si>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</si>
  <si>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</si>
  <si>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</si>
  <si>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</si>
  <si>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</si>
  <si>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</si>
  <si>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</si>
  <si>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</si>
  <si>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</si>
  <si>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</si>
  <si>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</si>
  <si>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</si>
  <si>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</si>
  <si>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</si>
  <si>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</si>
  <si>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</si>
  <si>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</si>
  <si>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</si>
  <si>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</si>
  <si>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</si>
  <si>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</si>
  <si>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</si>
  <si>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</si>
  <si>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</si>
  <si>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</si>
  <si>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</si>
  <si>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</si>
  <si>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</si>
  <si>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</si>
  <si>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</si>
  <si>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</si>
  <si>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</si>
  <si>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</si>
  <si>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</si>
  <si>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</si>
  <si>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</si>
  <si>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</si>
  <si>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</si>
  <si>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</si>
  <si>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</si>
  <si>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</si>
  <si>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</si>
  <si>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</si>
  <si>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</si>
  <si>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</si>
  <si>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</si>
  <si>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</si>
  <si>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</si>
  <si>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</si>
  <si>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</si>
  <si>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</si>
  <si>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</si>
  <si>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</si>
  <si>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</si>
  <si>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</si>
  <si>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</si>
  <si>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</si>
  <si>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</si>
  <si>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</si>
  <si>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</si>
  <si>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</si>
  <si>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</si>
  <si>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</si>
  <si>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</si>
  <si>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</si>
  <si>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</si>
  <si>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</si>
  <si>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</si>
  <si>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</si>
  <si>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</si>
  <si>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</si>
  <si>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</si>
  <si>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</si>
  <si>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</si>
  <si>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</si>
  <si>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</si>
  <si>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</si>
  <si>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</si>
  <si>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</si>
  <si>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</si>
  <si>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</si>
  <si>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</si>
  <si>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</si>
  <si>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</si>
  <si>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</si>
  <si>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</si>
  <si>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</si>
  <si>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</si>
  <si>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</si>
  <si>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</si>
  <si>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</si>
  <si>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</si>
  <si>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</si>
  <si>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</si>
  <si>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</si>
  <si>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</si>
  <si>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</si>
  <si>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</si>
  <si>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</si>
  <si>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</si>
  <si>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</si>
  <si>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</si>
  <si>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</si>
  <si>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</si>
  <si>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</si>
  <si>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</si>
  <si>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</si>
  <si>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</si>
  <si>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</si>
  <si>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</si>
  <si>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</si>
  <si>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</si>
  <si>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</si>
  <si>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</si>
  <si>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</si>
  <si>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</si>
  <si>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</si>
  <si>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</si>
  <si>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</si>
  <si>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</si>
  <si>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</si>
  <si>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</si>
  <si>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</si>
  <si>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</si>
  <si>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</si>
  <si>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</si>
  <si>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</si>
  <si>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</si>
  <si>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</si>
  <si>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</si>
  <si>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</si>
  <si>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</si>
  <si>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</si>
  <si>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</si>
  <si>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</si>
  <si>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</si>
  <si>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</si>
  <si>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</si>
  <si>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</si>
  <si>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</si>
  <si>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</si>
  <si>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</si>
  <si>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</si>
  <si>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</si>
  <si>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</si>
  <si>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</si>
  <si>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</si>
  <si>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</si>
  <si>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</si>
  <si>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</si>
  <si>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</si>
  <si>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</si>
  <si>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</si>
  <si>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</si>
  <si>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</si>
  <si>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</si>
  <si>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</si>
  <si>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</si>
  <si>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</si>
  <si>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</si>
  <si>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</si>
  <si>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</si>
  <si>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</si>
  <si>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</si>
  <si>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</si>
  <si>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</si>
  <si>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</si>
  <si>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</si>
  <si>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</si>
  <si>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</si>
  <si>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</si>
  <si>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</si>
  <si>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</si>
  <si>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</si>
  <si>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</si>
  <si>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</si>
  <si>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</si>
  <si>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</si>
  <si>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</si>
  <si>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</si>
  <si>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</si>
  <si>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</si>
  <si>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</si>
  <si>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</si>
  <si>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</si>
  <si>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</si>
  <si>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</si>
  <si>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</si>
  <si>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</si>
  <si>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</si>
  <si>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</si>
  <si>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</si>
  <si>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</si>
  <si>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</si>
  <si>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</si>
  <si>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</si>
  <si>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</si>
  <si>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</si>
  <si>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</si>
  <si>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</si>
  <si>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</si>
  <si>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</si>
  <si>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</si>
  <si>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</si>
  <si>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</si>
  <si>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</si>
  <si>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</si>
  <si>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</si>
  <si>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</si>
  <si>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</si>
  <si>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</si>
  <si>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</si>
  <si>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</si>
  <si>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</si>
  <si>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</si>
  <si>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</si>
  <si>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</si>
  <si>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</si>
  <si>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</si>
  <si>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</si>
  <si>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</si>
  <si>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</si>
  <si>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</si>
  <si>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</si>
  <si>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</si>
  <si>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</si>
  <si>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</si>
  <si>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</si>
  <si>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</si>
  <si>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</si>
  <si>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</si>
  <si>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</si>
  <si>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</si>
  <si>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</si>
  <si>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</si>
  <si>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</si>
  <si>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</si>
  <si>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</si>
  <si>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</si>
  <si>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</si>
  <si>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</si>
  <si>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</si>
  <si>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</si>
  <si>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</si>
  <si>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</si>
  <si>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</si>
  <si>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</si>
  <si>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</si>
  <si>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</si>
  <si>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</si>
  <si>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</si>
  <si>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</si>
  <si>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</si>
  <si>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</si>
  <si>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</si>
  <si>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</si>
  <si>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</si>
  <si>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</si>
  <si>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</si>
  <si>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</si>
  <si>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</si>
  <si>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</si>
  <si>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</si>
  <si>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</si>
  <si>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</si>
  <si>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</si>
  <si>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</si>
  <si>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</si>
  <si>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</si>
  <si>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</si>
  <si>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</si>
  <si>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</si>
  <si>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</si>
  <si>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</si>
  <si>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</si>
  <si>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</si>
  <si>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</si>
  <si>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</si>
  <si>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</si>
  <si>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</si>
  <si>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</si>
  <si>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</si>
  <si>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</si>
  <si>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</si>
  <si>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</si>
  <si>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</si>
  <si>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</si>
  <si>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</si>
  <si>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</si>
  <si>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</si>
  <si>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</si>
  <si>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</si>
  <si>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</si>
  <si>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</si>
  <si>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</si>
  <si>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</si>
  <si>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</si>
  <si>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</si>
  <si>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</si>
  <si>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</si>
  <si>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</si>
  <si>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</si>
  <si>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</si>
  <si>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</si>
  <si>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</si>
  <si>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</si>
  <si>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</si>
  <si>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</si>
  <si>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</si>
  <si>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</si>
  <si>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</si>
  <si>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</si>
  <si>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</si>
  <si>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</si>
  <si>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</si>
  <si>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</si>
  <si>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</si>
  <si>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</si>
  <si>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</si>
  <si>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</si>
  <si>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</si>
  <si>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</si>
  <si>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</si>
  <si>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</si>
  <si>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</si>
  <si>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</si>
  <si>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</si>
  <si>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</si>
  <si>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</si>
  <si>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</si>
  <si>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</si>
  <si>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</si>
  <si>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</si>
  <si>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</si>
  <si>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</si>
  <si>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</si>
  <si>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</si>
  <si>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</si>
  <si>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</si>
  <si>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</si>
  <si>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</si>
  <si>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</si>
  <si>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</si>
  <si>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</si>
  <si>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</si>
  <si>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</si>
  <si>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</si>
  <si>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</si>
  <si>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</si>
  <si>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</si>
  <si>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</si>
  <si>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</si>
  <si>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</si>
  <si>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</si>
  <si>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</si>
  <si>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</si>
  <si>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</si>
  <si>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</si>
  <si>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</si>
  <si>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</si>
  <si>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</si>
  <si>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</si>
  <si>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</si>
  <si>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</si>
  <si>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</si>
  <si>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</si>
  <si>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</si>
  <si>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</si>
  <si>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</si>
  <si>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</si>
  <si>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</si>
  <si>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</si>
  <si>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</si>
  <si>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</si>
  <si>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</si>
  <si>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</si>
  <si>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</si>
  <si>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</si>
  <si>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</si>
  <si>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</si>
  <si>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</si>
  <si>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</si>
  <si>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</si>
  <si>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</si>
  <si>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</si>
  <si>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</si>
  <si>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</si>
  <si>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</si>
  <si>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</si>
  <si>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</si>
  <si>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</si>
  <si>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</si>
  <si>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</si>
  <si>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</si>
  <si>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</si>
  <si>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</si>
  <si>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</si>
  <si>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</si>
  <si>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</si>
  <si>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</si>
  <si>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</si>
  <si>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</si>
  <si>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</si>
  <si>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</si>
  <si>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</si>
  <si>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</si>
  <si>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</si>
  <si>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</si>
  <si>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</si>
  <si>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</si>
  <si>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</si>
  <si>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</si>
  <si>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</si>
  <si>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</si>
  <si>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</si>
  <si>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</si>
  <si>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</si>
  <si>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</si>
  <si>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</si>
  <si>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</si>
  <si>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</si>
  <si>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</si>
  <si>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</si>
  <si>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</si>
  <si>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</si>
  <si>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</si>
  <si>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</si>
  <si>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</si>
  <si>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</si>
  <si>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</si>
  <si>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</si>
  <si>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</si>
  <si>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</si>
  <si>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</si>
  <si>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</si>
  <si>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</si>
  <si>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</si>
  <si>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</si>
  <si>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</si>
  <si>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</si>
  <si>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</si>
  <si>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</si>
  <si>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</si>
  <si>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</si>
  <si>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</si>
  <si>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</si>
  <si>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</si>
  <si>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</si>
  <si>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</si>
  <si>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</si>
  <si>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</si>
  <si>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</si>
  <si>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</si>
  <si>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</si>
  <si>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</si>
  <si>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</si>
  <si>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</si>
  <si>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</si>
  <si>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</si>
  <si>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</si>
  <si>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</si>
  <si>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</si>
  <si>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</si>
  <si>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</si>
  <si>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</si>
  <si>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</si>
  <si>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</si>
  <si>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</si>
  <si>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</si>
  <si>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</si>
  <si>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</si>
  <si>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</si>
  <si>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</si>
  <si>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</si>
  <si>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</si>
  <si>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</si>
  <si>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</si>
  <si>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</si>
  <si>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</si>
  <si>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</si>
  <si>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</si>
  <si>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</si>
  <si>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</si>
  <si>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</si>
  <si>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</si>
  <si>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</si>
  <si>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</si>
  <si>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</si>
  <si>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</si>
  <si>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</si>
  <si>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</si>
  <si>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</si>
  <si>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</si>
  <si>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</si>
  <si>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</si>
  <si>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</si>
  <si>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</si>
  <si>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</si>
  <si>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</si>
  <si>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</si>
  <si>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</si>
  <si>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</si>
  <si>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</si>
  <si>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</si>
  <si>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</si>
  <si>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</si>
  <si>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</si>
  <si>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</si>
  <si>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</si>
  <si>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</si>
  <si>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</si>
  <si>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</si>
  <si>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</si>
  <si>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</si>
  <si>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</si>
  <si>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</si>
  <si>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</si>
  <si>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</si>
  <si>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</si>
  <si>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</si>
  <si>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</si>
  <si>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</si>
  <si>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</si>
  <si>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</si>
  <si>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</si>
  <si>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</si>
  <si>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</si>
  <si>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</si>
  <si>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</si>
  <si>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</si>
  <si>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</si>
  <si>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</si>
  <si>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</si>
  <si>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</si>
  <si>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</si>
  <si>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</si>
  <si>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</si>
  <si>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</si>
  <si>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</si>
  <si>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</si>
  <si>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</si>
  <si>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</si>
  <si>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</si>
  <si>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</si>
  <si>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</si>
  <si>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</si>
  <si>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</si>
  <si>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</si>
  <si>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</si>
  <si>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</si>
  <si>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</si>
  <si>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</si>
  <si>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</si>
  <si>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</si>
  <si>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</si>
  <si>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</si>
  <si>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</si>
  <si>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</si>
  <si>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</si>
  <si>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</si>
  <si>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</si>
  <si>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</si>
  <si>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</si>
  <si>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</si>
  <si>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</si>
  <si>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</si>
  <si>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</si>
  <si>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</si>
  <si>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</si>
  <si>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</si>
  <si>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</si>
  <si>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</si>
  <si>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</si>
  <si>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</si>
  <si>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</si>
  <si>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</si>
  <si>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</si>
  <si>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</si>
  <si>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</si>
  <si>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</si>
  <si>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</si>
  <si>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</si>
  <si>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</si>
  <si>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</si>
  <si>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</si>
  <si>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</si>
  <si>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</si>
  <si>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</si>
  <si>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</si>
  <si>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</si>
  <si>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</si>
  <si>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</si>
  <si>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</si>
  <si>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</si>
  <si>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</si>
  <si>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</si>
  <si>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</si>
  <si>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</si>
  <si>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</si>
  <si>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</si>
  <si>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</si>
  <si>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</si>
  <si>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</si>
  <si>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</si>
  <si>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</si>
  <si>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</si>
  <si>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</si>
  <si>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</si>
  <si>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</si>
  <si>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</si>
  <si>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</si>
  <si>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</si>
  <si>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</si>
  <si>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</si>
  <si>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</si>
  <si>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</si>
  <si>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</si>
  <si>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</si>
  <si>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</si>
  <si>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</si>
  <si>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</si>
  <si>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</si>
  <si>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</si>
  <si>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</si>
  <si>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</si>
  <si>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</si>
  <si>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</si>
  <si>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</si>
  <si>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</si>
  <si>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</si>
  <si>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</si>
  <si>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</si>
  <si>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</si>
  <si>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</si>
  <si>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</si>
  <si>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</si>
  <si>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</si>
  <si>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</si>
  <si>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</si>
  <si>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</si>
  <si>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</si>
  <si>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</si>
  <si>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</si>
  <si>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</si>
  <si>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</si>
  <si>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</si>
  <si>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</si>
  <si>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</si>
  <si>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</si>
  <si>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</si>
  <si>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</si>
  <si>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</si>
  <si>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</si>
  <si>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</si>
  <si>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</si>
  <si>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</si>
  <si>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</si>
  <si>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</si>
  <si>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</si>
  <si>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</si>
  <si>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</si>
  <si>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</si>
  <si>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</si>
  <si>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</si>
  <si>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</si>
  <si>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</si>
  <si>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</si>
  <si>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</si>
  <si>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</si>
  <si>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</si>
  <si>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</si>
  <si>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</si>
  <si>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</si>
  <si>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</si>
  <si>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</si>
  <si>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</si>
  <si>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</si>
  <si>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</si>
  <si>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</si>
  <si>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</si>
  <si>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</si>
  <si>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</si>
  <si>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</si>
  <si>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</si>
  <si>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</si>
  <si>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</si>
  <si>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</si>
  <si>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</si>
  <si>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</si>
  <si>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</si>
  <si>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</si>
  <si>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</si>
  <si>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</si>
  <si>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</si>
  <si>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</si>
  <si>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</si>
  <si>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</si>
  <si>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</si>
  <si>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</si>
  <si>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</si>
  <si>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</si>
  <si>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</si>
  <si>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</si>
  <si>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</si>
  <si>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</si>
  <si>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</si>
  <si>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</si>
  <si>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</si>
  <si>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</si>
  <si>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</si>
  <si>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</si>
  <si>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</si>
  <si>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</si>
  <si>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</si>
  <si>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</si>
  <si>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</si>
  <si>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</si>
  <si>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</si>
  <si>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</si>
  <si>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</si>
  <si>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</si>
  <si>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</si>
  <si>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</si>
  <si>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</si>
  <si>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</si>
  <si>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</si>
  <si>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</si>
  <si>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</si>
  <si>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</si>
  <si>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</si>
  <si>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</si>
  <si>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</si>
  <si>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</si>
  <si>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</si>
  <si>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</si>
  <si>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</si>
  <si>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</si>
  <si>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</si>
  <si>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</si>
  <si>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</si>
  <si>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</si>
  <si>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</si>
  <si>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</si>
  <si>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</si>
  <si>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</si>
  <si>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</si>
  <si>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</si>
  <si>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</si>
  <si>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</si>
  <si>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</si>
  <si>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</si>
  <si>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</si>
  <si>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</si>
  <si>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</si>
  <si>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</si>
  <si>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</si>
  <si>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</si>
  <si>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</si>
  <si>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</si>
  <si>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</si>
  <si>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</si>
  <si>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</si>
  <si>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</si>
  <si>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</si>
  <si>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</si>
  <si>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</si>
  <si>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</si>
  <si>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</si>
  <si>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</si>
  <si>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</si>
  <si>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</si>
  <si>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</si>
  <si>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</si>
  <si>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</si>
  <si>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</si>
  <si>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</si>
  <si>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</si>
  <si>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</si>
  <si>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</si>
  <si>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</si>
  <si>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</si>
  <si>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</si>
  <si>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</si>
  <si>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</si>
  <si>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</si>
  <si>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</si>
  <si>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</si>
  <si>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</si>
  <si>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</si>
  <si>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</si>
  <si>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</si>
  <si>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</si>
  <si>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</si>
  <si>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</si>
  <si>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</si>
  <si>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</si>
  <si>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</si>
  <si>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</si>
  <si>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</si>
  <si>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</si>
  <si>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</si>
  <si>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</si>
  <si>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</si>
  <si>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</si>
  <si>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</si>
  <si>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</si>
  <si>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</si>
  <si>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</si>
  <si>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</si>
  <si>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</si>
  <si>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</si>
  <si>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</si>
  <si>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</si>
  <si>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</si>
  <si>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</si>
  <si>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</si>
  <si>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</si>
  <si>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</si>
  <si>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</si>
  <si>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</si>
  <si>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</si>
  <si>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</si>
  <si>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</si>
  <si>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</si>
  <si>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</si>
  <si>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</si>
  <si>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</si>
  <si>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</si>
  <si>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</si>
  <si>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</si>
  <si>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</si>
  <si>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</si>
  <si>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</si>
  <si>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</si>
  <si>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</si>
  <si>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</si>
  <si>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</si>
  <si>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</si>
  <si>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</si>
  <si>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</si>
  <si>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</si>
  <si>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</si>
  <si>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</si>
  <si>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</si>
  <si>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</si>
  <si>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</si>
  <si>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</si>
  <si>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</si>
  <si>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</si>
  <si>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</si>
  <si>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</si>
  <si>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</si>
  <si>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</si>
  <si>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</si>
  <si>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</si>
  <si>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</si>
  <si>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</si>
  <si>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</si>
  <si>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</si>
  <si>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</si>
  <si>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</si>
  <si>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</si>
  <si>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</si>
  <si>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</si>
  <si>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</si>
  <si>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</si>
  <si>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</si>
  <si>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</si>
  <si>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</si>
  <si>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</si>
  <si>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</si>
  <si>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</si>
  <si>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</si>
  <si>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</si>
  <si>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</si>
  <si>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</si>
  <si>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</si>
  <si>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</si>
  <si>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</si>
  <si>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</si>
  <si>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</si>
  <si>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</si>
  <si>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</si>
  <si>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</si>
  <si>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</si>
  <si>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</si>
  <si>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</si>
  <si>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</si>
  <si>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</si>
  <si>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</si>
  <si>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</si>
  <si>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</si>
  <si>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</si>
  <si>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</si>
  <si>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</si>
  <si>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</si>
  <si>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</si>
  <si>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</si>
  <si>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</si>
  <si>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</si>
  <si>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</si>
  <si>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</si>
  <si>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</si>
  <si>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</si>
  <si>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</si>
  <si>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</si>
  <si>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</si>
  <si>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</si>
  <si>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</si>
  <si>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</si>
  <si>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</si>
  <si>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</si>
  <si>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</si>
  <si>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</si>
  <si>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</si>
  <si>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</si>
  <si>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</si>
  <si>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</si>
  <si>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</si>
  <si>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</si>
  <si>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</si>
  <si>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</si>
  <si>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</si>
  <si>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</si>
  <si>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</si>
  <si>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</si>
  <si>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</si>
  <si>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</si>
  <si>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</si>
  <si>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</si>
  <si>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</si>
  <si>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</si>
  <si>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</si>
  <si>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</si>
  <si>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</si>
  <si>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</si>
  <si>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</si>
  <si>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</si>
  <si>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</si>
  <si>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</si>
  <si>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</si>
  <si>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</si>
  <si>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</si>
  <si>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</si>
  <si>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</si>
  <si>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</si>
  <si>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</si>
  <si>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</si>
  <si>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</si>
  <si>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</si>
  <si>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</si>
  <si>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</si>
  <si>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</si>
  <si>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</si>
  <si>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</si>
  <si>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</si>
  <si>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</si>
  <si>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</si>
  <si>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</si>
  <si>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</si>
  <si>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</si>
  <si>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</si>
  <si>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</si>
  <si>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</si>
  <si>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</si>
  <si>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</si>
  <si>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</si>
  <si>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</si>
  <si>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</si>
  <si>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</si>
  <si>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</si>
  <si>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</si>
  <si>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</si>
  <si>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</si>
  <si>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</si>
  <si>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</si>
  <si>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</si>
  <si>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</si>
  <si>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</si>
  <si>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</si>
  <si>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</si>
  <si>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</si>
  <si>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</si>
  <si>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</si>
  <si>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</si>
  <si>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</si>
  <si>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</si>
  <si>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</si>
  <si>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</si>
  <si>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</si>
  <si>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</si>
  <si>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</si>
  <si>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</si>
  <si>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</si>
  <si>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</si>
  <si>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</si>
  <si>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</si>
  <si>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</si>
  <si>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</si>
  <si>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</si>
  <si>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</si>
  <si>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</si>
  <si>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</si>
  <si>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</si>
  <si>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</si>
  <si>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</si>
  <si>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</si>
  <si>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</si>
  <si>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</si>
  <si>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</si>
  <si>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</si>
  <si>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</si>
  <si>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</si>
  <si>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</si>
  <si>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</si>
  <si>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</si>
  <si>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</si>
  <si>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</si>
  <si>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</si>
  <si>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</si>
  <si>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</si>
  <si>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</si>
  <si>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</si>
  <si>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</si>
  <si>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</si>
  <si>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</si>
  <si>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</si>
  <si>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</si>
  <si>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</si>
  <si>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</si>
  <si>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</si>
  <si>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</si>
  <si>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</si>
  <si>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</si>
  <si>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</si>
  <si>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</si>
  <si>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</si>
  <si>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</si>
  <si>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</si>
  <si>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</si>
  <si>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</si>
  <si>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</si>
  <si>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</si>
  <si>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</si>
  <si>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</si>
  <si>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</si>
  <si>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</si>
  <si>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</si>
  <si>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</si>
  <si>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</si>
  <si>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</si>
  <si>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</si>
  <si>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</si>
  <si>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</si>
  <si>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</si>
  <si>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</si>
  <si>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</si>
  <si>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</si>
  <si>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</si>
  <si>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</si>
  <si>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</si>
  <si>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</si>
  <si>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</si>
  <si>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</si>
  <si>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</si>
  <si>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</si>
  <si>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</si>
  <si>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</si>
  <si>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</si>
  <si>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</si>
  <si>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</si>
  <si>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</si>
  <si>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</si>
  <si>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</si>
  <si>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</si>
  <si>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</si>
  <si>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</si>
  <si>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</si>
  <si>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</si>
  <si>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</si>
  <si>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</si>
  <si>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</si>
  <si>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</si>
  <si>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</si>
  <si>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</si>
  <si>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</si>
  <si>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</si>
  <si>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</si>
  <si>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</si>
  <si>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</si>
  <si>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</si>
  <si>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</si>
  <si>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</si>
  <si>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</si>
  <si>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</si>
  <si>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</si>
  <si>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</si>
  <si>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</si>
  <si>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</si>
  <si>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</si>
  <si>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</si>
  <si>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</si>
  <si>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</si>
  <si>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</si>
  <si>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</si>
  <si>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</si>
  <si>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</si>
  <si>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</si>
  <si>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</si>
  <si>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</si>
  <si>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</si>
  <si>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</si>
  <si>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</si>
  <si>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</si>
  <si>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</si>
  <si>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</si>
  <si>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</si>
  <si>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</si>
  <si>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</si>
  <si>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</si>
  <si>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</si>
  <si>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</si>
  <si>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</si>
  <si>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</si>
  <si>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</si>
  <si>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</si>
  <si>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</si>
  <si>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</si>
  <si>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</si>
  <si>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</si>
  <si>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</si>
  <si>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</si>
  <si>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</si>
  <si>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</si>
  <si>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</si>
  <si>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</si>
  <si>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</si>
  <si>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</si>
  <si>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</si>
  <si>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</si>
  <si>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</si>
  <si>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</si>
  <si>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</si>
  <si>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</si>
  <si>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</si>
  <si>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</si>
  <si>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</si>
  <si>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</si>
  <si>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</si>
  <si>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</si>
  <si>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</si>
  <si>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</si>
  <si>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</si>
  <si>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</si>
  <si>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</si>
  <si>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</si>
  <si>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</si>
  <si>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</si>
  <si>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</si>
  <si>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</si>
  <si>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</si>
  <si>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</si>
  <si>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</si>
  <si>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</si>
  <si>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</si>
  <si>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</si>
  <si>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</si>
  <si>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</si>
  <si>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</si>
  <si>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</si>
  <si>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</si>
  <si>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</si>
  <si>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</si>
  <si>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</si>
  <si>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</si>
  <si>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</si>
  <si>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</si>
  <si>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</si>
  <si>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</si>
  <si>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</si>
  <si>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</si>
  <si>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</si>
  <si>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</si>
  <si>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</si>
  <si>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</si>
  <si>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</si>
  <si>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</si>
  <si>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</si>
  <si>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</si>
  <si>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</si>
  <si>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</si>
  <si>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</si>
  <si>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</si>
  <si>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</si>
  <si>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</si>
  <si>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</si>
  <si>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</si>
  <si>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</si>
  <si>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</si>
  <si>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</si>
  <si>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</si>
  <si>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</si>
  <si>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</si>
  <si>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</si>
  <si>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</si>
  <si>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</si>
  <si>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</si>
  <si>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</si>
  <si>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</si>
  <si>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</si>
  <si>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</si>
  <si>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</si>
  <si>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</si>
  <si>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</si>
  <si>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</si>
  <si>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</si>
  <si>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</si>
  <si>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</si>
  <si>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</si>
  <si>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</si>
  <si>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</si>
  <si>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</si>
  <si>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</si>
  <si>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</si>
  <si>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</si>
  <si>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</si>
  <si>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</si>
  <si>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</si>
  <si>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</si>
  <si>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</si>
  <si>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</si>
  <si>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</si>
  <si>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</si>
  <si>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</si>
  <si>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</si>
  <si>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</si>
  <si>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</si>
  <si>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</si>
  <si>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</si>
  <si>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</si>
  <si>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</si>
  <si>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</si>
  <si>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</si>
  <si>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</si>
  <si>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</si>
  <si>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</si>
  <si>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</si>
  <si>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</si>
  <si>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</si>
  <si>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</si>
  <si>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</si>
  <si>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</si>
  <si>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</si>
  <si>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</si>
  <si>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</si>
  <si>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</si>
  <si>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</si>
  <si>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</si>
  <si>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</si>
  <si>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</si>
  <si>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</si>
  <si>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</si>
  <si>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</si>
  <si>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</si>
  <si>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</si>
  <si>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</si>
  <si>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</si>
  <si>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</si>
  <si>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</si>
  <si>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</si>
  <si>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</si>
  <si>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</si>
  <si>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</si>
  <si>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</si>
  <si>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</si>
  <si>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</si>
  <si>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</si>
  <si>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</si>
  <si>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</si>
  <si>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</si>
  <si>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</si>
  <si>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</si>
  <si>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</si>
  <si>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</si>
  <si>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</si>
  <si>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</si>
  <si>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</si>
  <si>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</si>
  <si>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</si>
  <si>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</si>
  <si>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</si>
  <si>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</si>
  <si>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</si>
  <si>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</si>
  <si>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</si>
  <si>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</si>
  <si>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</si>
  <si>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</si>
  <si>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</si>
  <si>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</si>
  <si>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</si>
  <si>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</si>
  <si>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</si>
  <si>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</si>
  <si>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</si>
  <si>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</si>
  <si>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</si>
  <si>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</si>
  <si>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</si>
  <si>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</si>
  <si>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</si>
  <si>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</si>
  <si>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</si>
  <si>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</si>
  <si>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</si>
  <si>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</si>
  <si>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</si>
  <si>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</si>
  <si>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</si>
  <si>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</si>
  <si>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</si>
  <si>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</si>
  <si>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</si>
  <si>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</si>
  <si>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</si>
  <si>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</si>
  <si>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</si>
  <si>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</si>
  <si>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</si>
  <si>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</si>
  <si>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</si>
  <si>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</si>
  <si>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</si>
  <si>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</si>
  <si>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</si>
  <si>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</si>
  <si>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</si>
  <si>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</si>
  <si>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</si>
  <si>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</si>
  <si>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</si>
  <si>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</si>
  <si>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</si>
  <si>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</si>
  <si>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</si>
  <si>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</si>
  <si>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</si>
  <si>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</si>
  <si>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</si>
  <si>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</si>
  <si>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</si>
  <si>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</si>
  <si>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</si>
  <si>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</si>
  <si>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</si>
  <si>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</si>
  <si>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</si>
  <si>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</si>
  <si>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</si>
  <si>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</si>
  <si>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</si>
  <si>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</si>
  <si>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</si>
  <si>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</si>
  <si>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</si>
  <si>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</si>
  <si>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</si>
  <si>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</si>
  <si>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</si>
  <si>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</si>
  <si>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</si>
  <si>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</si>
  <si>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</si>
  <si>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</si>
  <si>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</si>
  <si>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</si>
  <si>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</si>
  <si>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</si>
  <si>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</si>
  <si>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</si>
  <si>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</si>
  <si>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</si>
  <si>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</si>
  <si>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</si>
  <si>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</si>
  <si>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</si>
  <si>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</si>
  <si>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</si>
  <si>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</si>
  <si>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</si>
  <si>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</si>
  <si>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</si>
  <si>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</si>
  <si>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</si>
  <si>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</si>
  <si>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</si>
  <si>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</si>
  <si>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</si>
  <si>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</si>
  <si>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</si>
  <si>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</si>
  <si>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</si>
  <si>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</si>
  <si>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</si>
  <si>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</si>
  <si>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</si>
  <si>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</si>
  <si>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</si>
  <si>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</si>
  <si>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</si>
  <si>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</si>
  <si>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</si>
  <si>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</si>
  <si>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</si>
  <si>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</si>
  <si>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</si>
  <si>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</si>
  <si>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</si>
  <si>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</si>
  <si>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</si>
  <si>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</si>
  <si>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</si>
  <si>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</si>
  <si>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</si>
  <si>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</si>
  <si>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</si>
  <si>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</si>
  <si>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</si>
  <si>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</si>
  <si>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</si>
  <si>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</si>
  <si>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</si>
  <si>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</si>
  <si>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</si>
  <si>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</si>
  <si>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</si>
  <si>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</si>
  <si>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</si>
  <si>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</si>
  <si>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</si>
  <si>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</si>
  <si>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</si>
  <si>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</si>
  <si>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</si>
  <si>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</si>
  <si>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</si>
  <si>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</si>
  <si>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</si>
  <si>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</si>
  <si>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</si>
  <si>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</si>
  <si>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</si>
  <si>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</si>
  <si>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</si>
  <si>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</si>
  <si>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</si>
  <si>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</si>
  <si>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</si>
  <si>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</si>
  <si>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</si>
  <si>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</si>
  <si>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</si>
  <si>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</si>
  <si>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</si>
  <si>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</si>
  <si>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</si>
  <si>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</si>
  <si>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</si>
  <si>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</si>
  <si>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</si>
  <si>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</si>
  <si>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</si>
  <si>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</si>
  <si>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</si>
  <si>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</si>
  <si>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</si>
  <si>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</si>
  <si>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</si>
  <si>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</si>
  <si>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</si>
  <si>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</si>
  <si>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</si>
  <si>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</si>
  <si>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</si>
  <si>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</si>
  <si>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</si>
  <si>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</si>
  <si>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</si>
  <si>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</si>
  <si>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</si>
  <si>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</si>
  <si>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</si>
  <si>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</si>
  <si>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</si>
  <si>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</si>
  <si>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</si>
  <si>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</si>
  <si>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</si>
  <si>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</si>
  <si>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</si>
  <si>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</si>
  <si>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</si>
  <si>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</si>
  <si>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</si>
  <si>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</si>
  <si>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</si>
  <si>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</si>
  <si>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</si>
  <si>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</si>
  <si>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</si>
  <si>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</si>
  <si>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</si>
  <si>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</si>
  <si>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</si>
  <si>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</si>
  <si>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</si>
  <si>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</si>
  <si>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</si>
  <si>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</si>
  <si>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</si>
  <si>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</si>
  <si>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</si>
  <si>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</si>
  <si>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</si>
  <si>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</si>
  <si>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</si>
  <si>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</si>
  <si>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</si>
  <si>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</si>
  <si>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</si>
  <si>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</si>
  <si>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</si>
  <si>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</si>
  <si>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</si>
  <si>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</si>
  <si>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</si>
  <si>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</si>
  <si>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</si>
  <si>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</si>
  <si>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</si>
  <si>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</si>
  <si>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</si>
  <si>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</si>
  <si>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</si>
  <si>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</si>
  <si>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</si>
  <si>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</si>
  <si>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</si>
  <si>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</si>
  <si>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</si>
  <si>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</si>
  <si>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</si>
  <si>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</si>
  <si>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</si>
  <si>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</si>
  <si>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</si>
  <si>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</si>
  <si>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</si>
  <si>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</si>
  <si>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</si>
  <si>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</si>
  <si>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</si>
  <si>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</si>
  <si>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</si>
  <si>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</si>
  <si>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</si>
  <si>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</si>
  <si>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</si>
  <si>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</si>
  <si>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</si>
  <si>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</si>
  <si>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</si>
  <si>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</si>
  <si>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</si>
  <si>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</si>
  <si>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</si>
  <si>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</si>
  <si>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</si>
  <si>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</si>
  <si>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</si>
  <si>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</si>
  <si>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</si>
  <si>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</si>
  <si>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</si>
  <si>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</si>
  <si>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</si>
  <si>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</si>
  <si>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</si>
  <si>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</si>
  <si>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</si>
  <si>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</si>
  <si>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</si>
  <si>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</si>
  <si>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</si>
  <si>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</si>
  <si>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</si>
  <si>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</si>
  <si>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</si>
  <si>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</si>
  <si>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</si>
  <si>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</si>
  <si>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</si>
  <si>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</si>
  <si>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</si>
  <si>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</si>
  <si>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</si>
  <si>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</si>
  <si>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</si>
  <si>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</si>
  <si>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</si>
  <si>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</si>
  <si>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</si>
  <si>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</si>
  <si>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</si>
  <si>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</si>
  <si>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</si>
  <si>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</si>
  <si>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</si>
  <si>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</si>
  <si>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</si>
  <si>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</si>
  <si>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</si>
  <si>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</si>
  <si>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</si>
  <si>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</si>
  <si>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</si>
  <si>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</si>
  <si>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</si>
  <si>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</si>
  <si>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</si>
  <si>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</si>
  <si>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</si>
  <si>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</si>
  <si>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</si>
  <si>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</si>
  <si>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</si>
  <si>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</si>
  <si>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</si>
  <si>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</si>
  <si>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</si>
  <si>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</si>
  <si>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</si>
  <si>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</si>
  <si>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</si>
  <si>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</si>
  <si>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</si>
  <si>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</si>
  <si>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</si>
  <si>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</si>
  <si>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</si>
  <si>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</si>
  <si>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</si>
  <si>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</si>
  <si>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</si>
  <si>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</si>
  <si>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</si>
  <si>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</si>
  <si>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</si>
  <si>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</si>
  <si>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</si>
  <si>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</si>
  <si>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</si>
  <si>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</si>
  <si>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</si>
  <si>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</si>
  <si>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</si>
  <si>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</si>
  <si>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</si>
  <si>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</si>
  <si>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</si>
  <si>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</si>
  <si>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</si>
  <si>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</si>
  <si>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</si>
  <si>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</si>
  <si>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</si>
  <si>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</si>
  <si>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</si>
  <si>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</si>
  <si>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</si>
  <si>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</si>
  <si>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</si>
  <si>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</si>
  <si>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</si>
  <si>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</si>
  <si>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</si>
  <si>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</si>
  <si>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</si>
  <si>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</si>
  <si>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</si>
  <si>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</si>
  <si>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</si>
  <si>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</si>
  <si>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</si>
  <si>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</si>
  <si>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</si>
  <si>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</si>
  <si>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</si>
  <si>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</si>
  <si>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</si>
  <si>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</si>
  <si>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</si>
  <si>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</si>
  <si>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</si>
  <si>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</si>
  <si>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</si>
  <si>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</si>
  <si>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</si>
  <si>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</si>
  <si>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</si>
  <si>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</si>
  <si>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</si>
  <si>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</si>
  <si>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</si>
  <si>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</si>
  <si>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</si>
  <si>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</si>
  <si>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</si>
  <si>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</si>
  <si>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</si>
  <si>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</si>
  <si>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</si>
  <si>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</si>
  <si>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</si>
  <si>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</si>
  <si>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</si>
  <si>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</si>
  <si>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</si>
  <si>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</si>
  <si>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</si>
  <si>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</si>
  <si>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</si>
  <si>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</si>
  <si>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</si>
  <si>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</si>
  <si>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</si>
  <si>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</si>
  <si>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</si>
  <si>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</si>
  <si>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</si>
  <si>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</si>
  <si>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</si>
  <si>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</si>
  <si>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</si>
  <si>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</si>
  <si>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</si>
  <si>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</si>
  <si>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</si>
  <si>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</si>
  <si>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</si>
  <si>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</si>
  <si>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</si>
  <si>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</si>
  <si>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</si>
  <si>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</si>
  <si>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</si>
  <si>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</si>
  <si>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</si>
  <si>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</si>
  <si>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</si>
  <si>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</si>
  <si>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</si>
  <si>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</si>
  <si>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</si>
  <si>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</si>
  <si>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</si>
  <si>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</si>
  <si>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</si>
  <si>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</si>
  <si>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</si>
  <si>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</si>
  <si>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</si>
  <si>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</si>
  <si>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</si>
  <si>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</si>
  <si>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</si>
  <si>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</si>
  <si>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</si>
  <si>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</si>
  <si>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</si>
  <si>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</si>
  <si>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</si>
  <si>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</si>
  <si>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</si>
  <si>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</si>
  <si>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</si>
  <si>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</si>
  <si>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</si>
  <si>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</si>
  <si>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</si>
  <si>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</si>
  <si>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</si>
  <si>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</si>
  <si>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</si>
  <si>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</si>
  <si>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</si>
  <si>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</si>
  <si>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</si>
  <si>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</si>
  <si>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</si>
  <si>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</si>
  <si>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</si>
  <si>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</si>
  <si>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</si>
  <si>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</si>
  <si>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</si>
  <si>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</si>
  <si>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</si>
  <si>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</si>
  <si>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</si>
  <si>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</si>
  <si>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</si>
  <si>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</si>
  <si>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</si>
  <si>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</si>
  <si>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</si>
  <si>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</si>
  <si>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</si>
  <si>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</si>
  <si>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</si>
  <si>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</si>
  <si>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</si>
  <si>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</si>
  <si>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</si>
  <si>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</si>
  <si>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</si>
  <si>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</si>
  <si>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</si>
  <si>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</si>
  <si>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</si>
  <si>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</si>
  <si>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</si>
  <si>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</si>
  <si>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</si>
  <si>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</si>
  <si>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</si>
  <si>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</si>
  <si>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</si>
  <si>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</si>
  <si>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</si>
  <si>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</si>
  <si>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</si>
  <si>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</si>
  <si>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</si>
  <si>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</si>
  <si>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</si>
  <si>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</si>
  <si>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</si>
  <si>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</si>
  <si>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</si>
  <si>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</si>
  <si>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</si>
  <si>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</si>
  <si>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</si>
  <si>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</si>
  <si>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</si>
  <si>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</si>
  <si>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</si>
  <si>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</si>
  <si>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</si>
  <si>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</si>
  <si>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</si>
  <si>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</si>
  <si>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</si>
  <si>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</si>
  <si>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</si>
  <si>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</si>
  <si>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</si>
  <si>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</si>
  <si>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</si>
  <si>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</si>
  <si>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</si>
  <si>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</si>
  <si>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</si>
  <si>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</si>
  <si>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</si>
  <si>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</si>
  <si>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</si>
  <si>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</si>
  <si>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</si>
  <si>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</si>
  <si>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</si>
  <si>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</si>
  <si>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</si>
  <si>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</si>
  <si>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</si>
  <si>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</si>
  <si>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</si>
  <si>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</si>
  <si>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</si>
  <si>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</si>
  <si>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</si>
  <si>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</si>
  <si>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</si>
  <si>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</si>
  <si>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</si>
  <si>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</si>
  <si>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</si>
  <si>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</si>
  <si>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</si>
  <si>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</si>
  <si>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</si>
  <si>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</si>
  <si>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</si>
  <si>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</si>
  <si>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</si>
  <si>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</si>
  <si>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</si>
  <si>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</si>
  <si>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</si>
  <si>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</si>
  <si>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</si>
  <si>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</si>
  <si>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</si>
  <si>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</si>
  <si>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</si>
  <si>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</si>
  <si>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</si>
  <si>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</si>
  <si>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</si>
  <si>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</si>
  <si>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</si>
  <si>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</si>
  <si>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</si>
  <si>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</si>
  <si>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</si>
  <si>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</si>
  <si>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</si>
  <si>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</si>
  <si>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</si>
  <si>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</si>
  <si>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</si>
  <si>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</si>
  <si>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</si>
  <si>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</si>
  <si>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</si>
  <si>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</si>
  <si>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</si>
  <si>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</si>
  <si>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</si>
  <si>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</si>
  <si>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</si>
  <si>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</si>
  <si>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</si>
  <si>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</si>
  <si>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</si>
  <si>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</si>
  <si>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</si>
  <si>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</si>
  <si>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</si>
  <si>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</si>
  <si>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</si>
  <si>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</si>
  <si>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</si>
  <si>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</si>
  <si>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</si>
  <si>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</si>
  <si>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</si>
  <si>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</si>
  <si>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</si>
  <si>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</si>
  <si>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</si>
  <si>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</si>
  <si>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</si>
  <si>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</si>
  <si>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</si>
  <si>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</si>
  <si>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</si>
  <si>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</si>
  <si>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</si>
  <si>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</si>
  <si>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</si>
  <si>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</si>
  <si>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</si>
  <si>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</si>
  <si>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</si>
  <si>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</si>
  <si>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</si>
  <si>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</si>
  <si>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</si>
  <si>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</si>
  <si>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</si>
  <si>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</si>
  <si>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</si>
  <si>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</si>
  <si>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</si>
  <si>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</si>
  <si>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</si>
  <si>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</si>
  <si>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</si>
  <si>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</si>
  <si>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</si>
  <si>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</si>
  <si>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</si>
  <si>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</si>
  <si>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</si>
  <si>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</si>
  <si>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</si>
  <si>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</si>
  <si>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</si>
  <si>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</si>
  <si>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</si>
  <si>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</si>
  <si>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</si>
  <si>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</si>
  <si>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</si>
  <si>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</si>
  <si>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</si>
  <si>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</si>
  <si>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</si>
  <si>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</si>
  <si>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</si>
  <si>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</si>
  <si>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</si>
  <si>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</si>
  <si>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</si>
  <si>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</si>
  <si>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</si>
  <si>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</si>
  <si>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</si>
  <si>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</si>
  <si>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</si>
  <si>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</si>
  <si>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</si>
  <si>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</si>
  <si>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</si>
  <si>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</si>
  <si>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</si>
  <si>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</si>
  <si>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</si>
  <si>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</si>
  <si>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</si>
  <si>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</si>
  <si>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</si>
  <si>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</si>
  <si>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</si>
  <si>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</si>
  <si>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</si>
  <si>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</si>
  <si>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</si>
  <si>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</si>
  <si>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</si>
  <si>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</si>
  <si>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</si>
  <si>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</si>
  <si>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</si>
  <si>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</si>
  <si>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</si>
  <si>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</si>
  <si>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</si>
  <si>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</si>
  <si>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</si>
  <si>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</si>
  <si>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</si>
  <si>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</si>
  <si>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</si>
  <si>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</si>
  <si>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</si>
  <si>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</si>
  <si>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</si>
  <si>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</si>
  <si>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</si>
  <si>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</si>
  <si>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</si>
  <si>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</si>
  <si>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</si>
  <si>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</si>
  <si>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</si>
  <si>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</si>
  <si>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</si>
  <si>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</si>
  <si>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</si>
  <si>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</si>
  <si>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</si>
  <si>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</si>
  <si>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</si>
  <si>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</si>
  <si>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</si>
  <si>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</si>
  <si>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</si>
  <si>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</si>
  <si>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</si>
  <si>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</si>
  <si>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</si>
  <si>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</si>
  <si>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</si>
  <si>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</si>
  <si>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</si>
  <si>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</si>
  <si>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</si>
  <si>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</si>
  <si>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</si>
  <si>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</si>
  <si>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</si>
  <si>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</si>
  <si>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</si>
  <si>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</si>
  <si>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</si>
  <si>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</si>
  <si>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</si>
  <si>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</si>
  <si>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</si>
  <si>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</si>
  <si>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</si>
  <si>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</si>
  <si>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</si>
  <si>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</si>
  <si>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</si>
  <si>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</si>
  <si>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</si>
  <si>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</si>
  <si>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</si>
  <si>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</si>
  <si>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</si>
  <si>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</si>
  <si>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</si>
  <si>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</si>
  <si>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</si>
  <si>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</si>
  <si>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</si>
  <si>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</si>
  <si>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</si>
  <si>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</si>
  <si>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</si>
  <si>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</si>
  <si>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</si>
  <si>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</si>
  <si>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</si>
  <si>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</si>
  <si>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</si>
  <si>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</si>
  <si>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</si>
  <si>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</si>
  <si>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</si>
  <si>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</si>
  <si>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</si>
  <si>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</si>
  <si>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</si>
  <si>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</si>
  <si>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</si>
  <si>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</si>
  <si>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</si>
  <si>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</si>
  <si>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</si>
  <si>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</si>
  <si>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</si>
  <si>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</si>
  <si>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</si>
  <si>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</si>
  <si>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</si>
  <si>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</si>
  <si>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</si>
  <si>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</si>
  <si>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</si>
  <si>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</si>
  <si>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</si>
  <si>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</si>
  <si>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</si>
  <si>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</si>
  <si>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</si>
  <si>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</si>
  <si>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</si>
  <si>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</si>
  <si>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</si>
  <si>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</si>
  <si>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</si>
  <si>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</si>
  <si>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</si>
  <si>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</si>
  <si>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</si>
  <si>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</si>
  <si>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</si>
  <si>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</si>
  <si>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</si>
  <si>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</si>
  <si>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</si>
  <si>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</si>
  <si>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</si>
  <si>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</si>
  <si>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</si>
  <si>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</si>
  <si>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</si>
  <si>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</si>
  <si>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</si>
  <si>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</si>
  <si>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</si>
  <si>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</si>
  <si>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</si>
  <si>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</si>
  <si>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</si>
  <si>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</si>
  <si>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</si>
  <si>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</si>
  <si>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</si>
  <si>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</si>
  <si>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</si>
  <si>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</si>
  <si>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</si>
  <si>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</si>
  <si>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</si>
  <si>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</si>
  <si>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</si>
  <si>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</si>
  <si>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</si>
  <si>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</si>
  <si>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</si>
  <si>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</si>
  <si>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</si>
  <si>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</si>
  <si>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</si>
  <si>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</si>
  <si>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</si>
  <si>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</si>
  <si>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</si>
  <si>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</si>
  <si>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</si>
  <si>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</si>
  <si>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</si>
  <si>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</si>
  <si>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</si>
  <si>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</si>
  <si>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</si>
  <si>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</si>
  <si>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</si>
  <si>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</si>
  <si>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</si>
  <si>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</si>
  <si>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</si>
  <si>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</si>
  <si>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</si>
  <si>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</si>
  <si>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</si>
  <si>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</si>
  <si>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</si>
  <si>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</si>
  <si>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</si>
  <si>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</si>
  <si>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</si>
  <si>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</si>
  <si>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</si>
  <si>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</si>
  <si>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</si>
  <si>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</si>
  <si>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</si>
  <si>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</si>
  <si>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</si>
  <si>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</si>
  <si>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</si>
  <si>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</si>
  <si>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</si>
  <si>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</si>
  <si>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</si>
  <si>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</si>
  <si>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</si>
  <si>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</si>
  <si>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</si>
  <si>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</si>
  <si>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</si>
  <si>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</si>
  <si>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</si>
  <si>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</si>
  <si>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</si>
  <si>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</si>
  <si>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</si>
  <si>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</si>
  <si>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</si>
  <si>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</si>
  <si>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</si>
  <si>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</si>
  <si>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</si>
  <si>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</si>
  <si>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</si>
  <si>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</si>
  <si>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</si>
  <si>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</si>
  <si>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</si>
  <si>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</si>
  <si>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</si>
  <si>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</si>
  <si>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</si>
  <si>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</si>
  <si>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</si>
  <si>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</si>
  <si>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</si>
  <si>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</si>
  <si>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</si>
  <si>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</si>
  <si>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</si>
  <si>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</si>
  <si>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</si>
  <si>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</si>
  <si>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</si>
  <si>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</si>
  <si>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</si>
  <si>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</si>
  <si>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</si>
  <si>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</si>
  <si>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</si>
  <si>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</si>
  <si>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</si>
  <si>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</si>
  <si>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</si>
  <si>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</si>
  <si>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</si>
  <si>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</si>
  <si>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</si>
  <si>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</si>
  <si>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</si>
  <si>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</si>
  <si>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</si>
  <si>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</si>
  <si>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</si>
  <si>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</si>
  <si>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</si>
  <si>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</si>
  <si>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</si>
  <si>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</si>
  <si>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</si>
  <si>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</si>
  <si>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</si>
  <si>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</si>
  <si>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</si>
  <si>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</si>
  <si>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</si>
  <si>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</si>
  <si>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</si>
  <si>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</si>
  <si>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</si>
  <si>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</si>
  <si>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</si>
  <si>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</si>
  <si>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</si>
  <si>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</si>
  <si>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</si>
  <si>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</si>
  <si>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</si>
  <si>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</si>
  <si>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</si>
  <si>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</si>
  <si>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</si>
  <si>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</si>
  <si>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</si>
  <si>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</si>
  <si>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</si>
  <si>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</si>
  <si>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</si>
  <si>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</si>
  <si>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</si>
  <si>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</si>
  <si>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</si>
  <si>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</si>
  <si>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</si>
  <si>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</si>
  <si>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</si>
  <si>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</si>
  <si>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</si>
  <si>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</si>
  <si>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</si>
  <si>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</si>
  <si>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</si>
  <si>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</si>
  <si>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</si>
  <si>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</si>
  <si>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</si>
  <si>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</si>
  <si>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</si>
  <si>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</si>
  <si>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</si>
  <si>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</si>
  <si>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</si>
  <si>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</si>
  <si>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</si>
  <si>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</si>
  <si>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</si>
  <si>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</si>
  <si>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</si>
  <si>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</si>
  <si>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</si>
  <si>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</si>
  <si>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</si>
  <si>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</si>
  <si>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</si>
  <si>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</si>
  <si>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</si>
  <si>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</si>
  <si>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</si>
  <si>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</si>
  <si>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</si>
  <si>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</si>
  <si>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</si>
  <si>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</si>
  <si>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</si>
  <si>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</si>
  <si>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</si>
  <si>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</si>
  <si>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</si>
  <si>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</si>
  <si>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</si>
  <si>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</si>
  <si>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</si>
  <si>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</si>
  <si>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</si>
  <si>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</si>
  <si>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</si>
  <si>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</si>
  <si>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</si>
  <si>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</si>
  <si>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</si>
  <si>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</si>
  <si>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</si>
  <si>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</si>
  <si>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</si>
  <si>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</si>
  <si>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</si>
  <si>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</si>
  <si>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</si>
  <si>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</si>
  <si>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</si>
  <si>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</si>
  <si>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</si>
  <si>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</si>
  <si>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</si>
  <si>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</si>
  <si>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</si>
  <si>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</si>
  <si>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</si>
  <si>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</si>
  <si>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</si>
  <si>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</si>
  <si>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</si>
  <si>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</si>
  <si>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</si>
  <si>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</si>
  <si>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</si>
  <si>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</si>
  <si>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</si>
  <si>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</si>
  <si>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</si>
  <si>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</si>
  <si>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</si>
  <si>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</si>
  <si>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</si>
  <si>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</si>
  <si>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</si>
  <si>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</si>
  <si>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</si>
  <si>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</si>
  <si>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</si>
  <si>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</si>
  <si>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</si>
  <si>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</si>
  <si>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</si>
  <si>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</si>
  <si>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</si>
  <si>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</si>
  <si>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</si>
  <si>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</si>
  <si>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</si>
  <si>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</si>
  <si>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</si>
  <si>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</si>
  <si>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</si>
  <si>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</si>
  <si>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</si>
  <si>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</si>
  <si>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</si>
  <si>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</si>
  <si>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</si>
  <si>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</si>
  <si>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</si>
  <si>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</si>
  <si>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</si>
  <si>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</si>
  <si>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</si>
  <si>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</si>
  <si>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</si>
  <si>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</si>
  <si>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</si>
  <si>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</si>
  <si>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</si>
  <si>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</si>
  <si>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</si>
  <si>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</si>
  <si>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</si>
  <si>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</si>
  <si>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</si>
  <si>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</si>
  <si>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</si>
  <si>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</si>
  <si>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</si>
  <si>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</si>
  <si>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</si>
  <si>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</si>
  <si>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</si>
  <si>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</si>
  <si>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</si>
  <si>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</si>
  <si>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</si>
  <si>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</si>
  <si>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</si>
  <si>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</si>
  <si>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</si>
  <si>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</si>
  <si>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</si>
  <si>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</si>
  <si>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</si>
  <si>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</si>
  <si>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</si>
  <si>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</si>
  <si>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</si>
  <si>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</si>
  <si>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</si>
  <si>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</si>
  <si>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</si>
  <si>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</si>
  <si>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</si>
  <si>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</si>
  <si>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</si>
  <si>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</si>
  <si>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</si>
  <si>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</si>
  <si>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</si>
  <si>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</si>
  <si>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</si>
  <si>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</si>
  <si>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</si>
  <si>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</si>
  <si>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</si>
  <si>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</si>
  <si>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</si>
  <si>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</si>
  <si>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</si>
  <si>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</si>
  <si>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</si>
  <si>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</si>
  <si>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</si>
  <si>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</si>
  <si>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</si>
  <si>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</si>
  <si>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</si>
  <si>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</si>
  <si>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</si>
  <si>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</si>
  <si>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</si>
  <si>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</si>
  <si>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</si>
  <si>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</si>
  <si>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</si>
  <si>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</si>
  <si>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</si>
  <si>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</si>
  <si>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</si>
  <si>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</si>
  <si>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</si>
  <si>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</si>
  <si>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</si>
  <si>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</si>
  <si>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</si>
  <si>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</si>
  <si>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</si>
  <si>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</si>
  <si>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</si>
  <si>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</si>
  <si>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</si>
  <si>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</si>
  <si>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</si>
  <si>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</si>
  <si>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</si>
  <si>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</si>
  <si>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</si>
  <si>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</si>
  <si>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</si>
  <si>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</si>
  <si>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</si>
  <si>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</si>
  <si>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</si>
  <si>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</si>
  <si>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</si>
  <si>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</si>
  <si>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</si>
  <si>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</si>
  <si>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</si>
  <si>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</si>
  <si>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</si>
  <si>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</si>
  <si>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</si>
  <si>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</si>
  <si>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</si>
  <si>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</si>
  <si>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</si>
  <si>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</si>
  <si>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</si>
  <si>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</si>
  <si>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</si>
  <si>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</si>
  <si>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</si>
  <si>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</si>
  <si>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</si>
  <si>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</si>
  <si>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</si>
  <si>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</si>
  <si>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</si>
  <si>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</si>
  <si>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</si>
  <si>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</si>
  <si>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</si>
  <si>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</si>
  <si>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</si>
  <si>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</si>
  <si>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</si>
  <si>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</si>
  <si>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</si>
  <si>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</si>
  <si>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</si>
  <si>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</si>
  <si>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</si>
  <si>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</si>
  <si>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</si>
  <si>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</si>
  <si>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</si>
  <si>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</si>
  <si>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</si>
  <si>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</si>
  <si>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</si>
  <si>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</si>
  <si>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</si>
  <si>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</si>
  <si>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</si>
  <si>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</si>
  <si>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</si>
  <si>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</si>
  <si>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</si>
  <si>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</si>
  <si>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</si>
  <si>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</si>
  <si>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</si>
  <si>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</si>
  <si>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</si>
  <si>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</si>
  <si>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</si>
  <si>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</si>
  <si>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</si>
  <si>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</si>
  <si>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</si>
  <si>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</si>
  <si>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</si>
  <si>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</si>
  <si>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</si>
  <si>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</si>
  <si>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</si>
  <si>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</si>
  <si>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</si>
  <si>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</si>
  <si>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</si>
  <si>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</si>
  <si>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</si>
  <si>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</si>
  <si>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</si>
  <si>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</si>
  <si>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</si>
  <si>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</si>
  <si>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</si>
  <si>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</si>
  <si>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</si>
  <si>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</si>
  <si>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</si>
  <si>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</si>
  <si>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</si>
  <si>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</si>
  <si>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</si>
  <si>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</si>
  <si>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</si>
  <si>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</si>
  <si>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</si>
  <si>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</si>
  <si>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</si>
  <si>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</si>
  <si>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</si>
  <si>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</si>
  <si>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</si>
  <si>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</si>
  <si>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</si>
  <si>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</si>
  <si>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</si>
  <si>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</si>
  <si>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</si>
  <si>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</si>
  <si>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</si>
  <si>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</si>
  <si>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</si>
  <si>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</si>
  <si>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</si>
  <si>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</si>
  <si>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</si>
  <si>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</si>
  <si>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</si>
  <si>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</si>
  <si>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</si>
  <si>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</si>
  <si>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</si>
  <si>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</si>
  <si>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</si>
  <si>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</si>
  <si>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</si>
  <si>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</si>
  <si>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</si>
  <si>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</si>
  <si>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</si>
  <si>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</si>
  <si>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</si>
  <si>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</si>
  <si>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</si>
  <si>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</si>
  <si>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</si>
  <si>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</si>
  <si>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</si>
  <si>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</si>
  <si>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</si>
  <si>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</si>
  <si>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</si>
  <si>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</si>
  <si>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</si>
  <si>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</si>
  <si>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</si>
  <si>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</si>
  <si>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</si>
  <si>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</si>
  <si>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</si>
  <si>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</si>
  <si>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</si>
  <si>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</si>
  <si>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</si>
  <si>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</si>
  <si>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</si>
  <si>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</si>
  <si>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</si>
  <si>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</si>
  <si>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</si>
  <si>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</si>
  <si>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</si>
  <si>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</si>
  <si>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</si>
  <si>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</si>
  <si>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</si>
  <si>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</si>
  <si>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</si>
  <si>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</si>
  <si>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</si>
  <si>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</si>
  <si>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</si>
  <si>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</si>
  <si>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</si>
  <si>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</si>
  <si>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</si>
  <si>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</si>
  <si>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</si>
  <si>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</si>
  <si>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</si>
  <si>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</si>
  <si>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</si>
  <si>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</si>
  <si>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</si>
  <si>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</si>
  <si>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</si>
  <si>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</si>
  <si>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</si>
  <si>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</si>
  <si>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</si>
  <si>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</si>
  <si>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</si>
  <si>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</si>
  <si>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</si>
  <si>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</si>
  <si>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</si>
  <si>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</si>
  <si>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</si>
  <si>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</si>
  <si>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</si>
  <si>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</si>
  <si>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</si>
  <si>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</si>
  <si>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</si>
  <si>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</si>
  <si>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</si>
  <si>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</si>
  <si>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</si>
  <si>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</si>
  <si>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</si>
  <si>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</si>
  <si>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</si>
  <si>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</si>
  <si>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</si>
  <si>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</si>
  <si>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</si>
  <si>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</si>
  <si>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</si>
  <si>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</si>
  <si>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</si>
  <si>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</si>
  <si>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</si>
  <si>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</si>
  <si>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</si>
  <si>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</si>
  <si>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</si>
  <si>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</si>
  <si>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</si>
  <si>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</si>
  <si>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</si>
  <si>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</si>
  <si>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</si>
  <si>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</si>
  <si>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</si>
  <si>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</si>
  <si>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</si>
  <si>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</si>
  <si>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</si>
  <si>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</si>
  <si>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</si>
  <si>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</si>
  <si>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</si>
  <si>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</si>
  <si>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</si>
  <si>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</si>
  <si>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</si>
  <si>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</si>
  <si>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</si>
  <si>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</si>
  <si>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</si>
  <si>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</si>
  <si>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</si>
  <si>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</si>
  <si>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</si>
  <si>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</si>
  <si>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</si>
  <si>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</si>
  <si>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</si>
  <si>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</si>
  <si>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</si>
  <si>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</si>
  <si>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</si>
  <si>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</si>
  <si>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</si>
  <si>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</si>
  <si>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</si>
  <si>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</si>
  <si>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</si>
  <si>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</si>
  <si>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</si>
  <si>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</si>
  <si>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</si>
  <si>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</si>
  <si>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</si>
  <si>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</si>
  <si>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</si>
  <si>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</si>
  <si>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</si>
  <si>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</si>
  <si>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</si>
  <si>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</si>
  <si>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</si>
  <si>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</si>
  <si>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</si>
  <si>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</si>
  <si>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</si>
  <si>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</si>
  <si>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</si>
  <si>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</si>
  <si>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</si>
  <si>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</si>
  <si>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</si>
  <si>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</si>
  <si>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</si>
  <si>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</si>
  <si>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</si>
  <si>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</si>
  <si>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</si>
  <si>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</si>
  <si>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</si>
  <si>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</si>
  <si>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</si>
  <si>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</si>
  <si>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</si>
  <si>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</si>
  <si>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</si>
  <si>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</si>
  <si>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</si>
  <si>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</si>
  <si>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</si>
  <si>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</si>
  <si>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</si>
  <si>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</si>
  <si>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</si>
  <si>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</si>
  <si>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</si>
  <si>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</si>
  <si>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</si>
  <si>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</si>
  <si>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</si>
  <si>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</si>
  <si>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</si>
  <si>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</si>
  <si>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</si>
  <si>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</si>
  <si>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</si>
  <si>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</si>
  <si>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</si>
  <si>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</si>
  <si>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</si>
  <si>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</si>
  <si>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</si>
  <si>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</si>
  <si>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</si>
  <si>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</si>
  <si>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</si>
  <si>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</si>
  <si>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</si>
  <si>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</si>
  <si>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</si>
  <si>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</si>
  <si>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</si>
  <si>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</si>
  <si>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</si>
  <si>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</si>
  <si>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</si>
  <si>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</si>
  <si>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</si>
  <si>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</si>
  <si>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</si>
  <si>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</si>
  <si>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</si>
  <si>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</si>
  <si>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</si>
  <si>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</si>
  <si>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</si>
  <si>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</si>
  <si>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</si>
  <si>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</si>
  <si>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</si>
  <si>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</si>
  <si>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</si>
  <si>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</si>
  <si>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</si>
  <si>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</si>
  <si>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</si>
  <si>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</si>
  <si>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</si>
  <si>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</si>
  <si>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</si>
  <si>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</si>
  <si>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</si>
  <si>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</si>
  <si>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</si>
  <si>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</si>
  <si>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</si>
  <si>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</si>
  <si>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</si>
  <si>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</si>
  <si>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</si>
  <si>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</si>
  <si>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</si>
  <si>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</si>
  <si>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</si>
  <si>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</si>
  <si>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</si>
  <si>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</si>
  <si>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</si>
  <si>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</si>
  <si>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</si>
  <si>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</si>
  <si>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</si>
  <si>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</si>
  <si>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</si>
  <si>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</si>
  <si>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</si>
  <si>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</si>
  <si>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</si>
  <si>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</si>
  <si>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</si>
  <si>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</si>
  <si>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</si>
  <si>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</si>
  <si>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</si>
  <si>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</si>
  <si>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</si>
  <si>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</si>
  <si>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</si>
  <si>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</si>
  <si>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</si>
  <si>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</si>
  <si>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</si>
  <si>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</si>
  <si>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</si>
  <si>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</si>
  <si>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</si>
  <si>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</si>
  <si>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</si>
  <si>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</si>
  <si>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</si>
  <si>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</si>
  <si>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</si>
  <si>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</si>
  <si>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</si>
  <si>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</si>
  <si>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</si>
  <si>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</si>
  <si>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</si>
  <si>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</si>
  <si>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</si>
  <si>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</si>
  <si>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</si>
  <si>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</si>
  <si>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</si>
  <si>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</si>
  <si>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</si>
  <si>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</si>
  <si>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</si>
  <si>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</si>
  <si>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</si>
  <si>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</si>
  <si>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</si>
  <si>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</si>
  <si>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</si>
  <si>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</si>
  <si>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</si>
  <si>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</si>
  <si>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</si>
  <si>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</si>
  <si>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</si>
  <si>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</si>
  <si>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</si>
  <si>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</si>
  <si>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</si>
  <si>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</si>
  <si>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</si>
  <si>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</si>
  <si>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</si>
  <si>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</si>
  <si>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</si>
  <si>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</si>
  <si>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</si>
  <si>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</si>
  <si>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</si>
  <si>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</si>
  <si>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</si>
  <si>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</si>
  <si>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</si>
  <si>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</si>
  <si>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</si>
  <si>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</si>
  <si>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</si>
  <si>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</si>
  <si>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</si>
  <si>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</si>
  <si>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</si>
  <si>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</si>
  <si>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</si>
  <si>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</si>
  <si>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</si>
  <si>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</si>
  <si>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</si>
  <si>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</si>
  <si>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</si>
  <si>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</si>
  <si>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</si>
  <si>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</si>
  <si>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</si>
  <si>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</si>
  <si>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</si>
  <si>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</si>
  <si>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</si>
  <si>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</si>
  <si>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</si>
  <si>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</si>
  <si>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</si>
  <si>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</si>
  <si>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</si>
  <si>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</si>
  <si>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</si>
  <si>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</si>
  <si>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</si>
  <si>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</si>
  <si>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</si>
  <si>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</si>
  <si>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</si>
  <si>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</si>
  <si>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</si>
  <si>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</si>
  <si>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</si>
  <si>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</si>
  <si>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</si>
  <si>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</si>
  <si>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</si>
  <si>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</si>
  <si>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</si>
  <si>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</si>
  <si>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</si>
  <si>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</si>
  <si>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</si>
  <si>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</si>
  <si>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</si>
  <si>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</si>
  <si>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</si>
  <si>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</si>
  <si>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</si>
  <si>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</si>
  <si>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</si>
  <si>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</si>
  <si>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</si>
  <si>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</si>
  <si>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</si>
  <si>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</si>
  <si>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</si>
  <si>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</si>
  <si>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</si>
  <si>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</si>
  <si>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</si>
  <si>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</si>
  <si>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</si>
  <si>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</si>
  <si>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</si>
  <si>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【应付】确认账单，发票，水单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</si>
  <si>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</si>
  <si>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</si>
  <si>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</si>
  <si>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</si>
  <si>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</si>
  <si>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</si>
  <si>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</si>
  <si>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</si>
  <si>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</si>
  <si>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</si>
  <si>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</si>
  <si>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</si>
  <si>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</si>
  <si>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</si>
  <si>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</si>
  <si>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</si>
  <si>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</si>
  <si>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</si>
  <si>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</si>
  <si>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</si>
  <si>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</si>
  <si>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</si>
  <si>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</si>
  <si>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</si>
  <si>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</si>
  <si>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</si>
  <si>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</si>
  <si>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</si>
  <si>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</si>
  <si>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</si>
  <si>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</si>
  <si>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</si>
  <si>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</si>
  <si>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</si>
  <si>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</si>
  <si>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</si>
  <si>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</si>
  <si>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</si>
  <si>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</si>
  <si>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</si>
  <si>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</si>
  <si>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</si>
  <si>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</si>
  <si>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</si>
  <si>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</si>
  <si>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</si>
  <si>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</si>
  <si>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</si>
  <si>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</si>
  <si>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</si>
  <si>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</si>
  <si>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</si>
  <si>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</si>
  <si>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</si>
  <si>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</si>
  <si>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</si>
  <si>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</si>
  <si>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</si>
  <si>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</si>
  <si>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</si>
  <si>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</si>
  <si>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</si>
  <si>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</si>
  <si>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</si>
  <si>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</si>
  <si>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</si>
  <si>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</si>
  <si>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</si>
  <si>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</si>
  <si>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</si>
  <si>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</si>
  <si>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</si>
  <si>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</si>
  <si>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</si>
  <si>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</si>
  <si>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</si>
  <si>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【日程】本月所有PANCON确认订舱24/出运清单/提单领取单/拿到SWB</t>
    <phoneticPr fontId="1" type="noConversion"/>
  </si>
  <si>
    <t>ETD1117 确认订舱，出运清单，提单领取单，SWB</t>
    <phoneticPr fontId="1" type="noConversion"/>
  </si>
  <si>
    <t>ETD1120 确认订舱，出运清单，提单领取单，SWB</t>
    <phoneticPr fontId="1" type="noConversion"/>
  </si>
  <si>
    <t>ETD1124 确认订舱，出运清单，提单领取单，SWB</t>
    <phoneticPr fontId="1" type="noConversion"/>
  </si>
  <si>
    <t>ETD1127 确认订舱，出运清单，提单领取单，SWB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</si>
  <si>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</si>
  <si>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</si>
  <si>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</si>
  <si>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</si>
  <si>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</si>
  <si>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</si>
  <si>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</si>
  <si>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</si>
  <si>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</si>
  <si>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</si>
  <si>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</si>
  <si>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</si>
  <si>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1010应付发票，1010Statement，水单不知道什么时候已经付了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</si>
  <si>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</si>
  <si>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</si>
  <si>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</si>
  <si>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</si>
  <si>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</si>
  <si>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</si>
  <si>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</si>
  <si>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</si>
  <si>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</si>
  <si>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</si>
  <si>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</si>
  <si>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</si>
  <si>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</si>
  <si>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</si>
  <si>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</si>
  <si>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</si>
  <si>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</si>
  <si>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</si>
  <si>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</si>
  <si>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</si>
  <si>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</si>
  <si>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</si>
  <si>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</si>
  <si>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</si>
  <si>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</si>
  <si>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</si>
  <si>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</si>
  <si>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</si>
  <si>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</si>
  <si>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</si>
  <si>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</si>
  <si>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</si>
  <si>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</si>
  <si>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</si>
  <si>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</si>
  <si>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</si>
  <si>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</si>
  <si>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</si>
  <si>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</si>
  <si>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</si>
  <si>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</si>
  <si>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</si>
  <si>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</si>
  <si>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</si>
  <si>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</si>
  <si>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</si>
  <si>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</si>
  <si>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</si>
  <si>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</si>
  <si>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</si>
  <si>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</si>
  <si>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HDMUQSWB4063785</t>
    <phoneticPr fontId="1" type="noConversion"/>
  </si>
  <si>
    <t>YJCSHAN1918382</t>
  </si>
  <si>
    <t>YJCSHAN1918383</t>
  </si>
  <si>
    <t>YJCSHAN1918385</t>
  </si>
  <si>
    <t>HDMU4650393</t>
  </si>
  <si>
    <t>洋山提箱 保费446.72</t>
    <phoneticPr fontId="1" type="noConversion"/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</si>
  <si>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</si>
  <si>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</si>
  <si>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</si>
  <si>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</si>
  <si>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</si>
  <si>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</si>
  <si>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</si>
  <si>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</si>
  <si>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</si>
  <si>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</si>
  <si>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</si>
  <si>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1105船开，1104放MBL，放HBL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</si>
  <si>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</si>
  <si>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</si>
  <si>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</si>
  <si>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</si>
  <si>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</si>
  <si>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</si>
  <si>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</si>
  <si>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</si>
  <si>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</si>
  <si>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</si>
  <si>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</si>
  <si>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</si>
  <si>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</si>
  <si>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</si>
  <si>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</si>
  <si>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</si>
  <si>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</si>
  <si>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</si>
  <si>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</si>
  <si>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</si>
  <si>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</si>
  <si>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</si>
  <si>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落箱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</si>
  <si>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</si>
  <si>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</si>
  <si>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</si>
  <si>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</si>
  <si>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1115暂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</si>
  <si>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</si>
  <si>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</si>
  <si>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</si>
  <si>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</si>
  <si>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ETD1113 1106确认订舱，出运清单，提单领取单，SWB</t>
    <phoneticPr fontId="1" type="noConversion"/>
  </si>
  <si>
    <t>ETD1106 1031确认订舱，1104出运清单，OK提单领取单，SWB</t>
    <phoneticPr fontId="1" type="noConversion"/>
  </si>
  <si>
    <t>PONU7925796</t>
  </si>
  <si>
    <t>1、盐城大有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</si>
  <si>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</si>
  <si>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</si>
  <si>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</si>
  <si>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</si>
  <si>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</si>
  <si>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</si>
  <si>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</si>
  <si>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YJCSHAN1918729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</si>
  <si>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</si>
  <si>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</si>
  <si>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</si>
  <si>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</si>
  <si>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 xml:space="preserve"> 1、维宁尔电子 2、无锡摩比斯 3、江苏日兴 4、舍弗勒 5、张家港东熙  </t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</si>
  <si>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</si>
  <si>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</si>
  <si>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</si>
  <si>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OK海放，1107码放，1108配载，费用发陈吟勇石磊，船开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</si>
  <si>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</si>
  <si>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</si>
  <si>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洋提 保费281.50</t>
    <phoneticPr fontId="1" type="noConversion"/>
  </si>
  <si>
    <t>【KMM】1108报关，1108成功，进港，核数据，发两家报关单和放行单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</si>
  <si>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</si>
  <si>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</si>
  <si>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</si>
  <si>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</si>
  <si>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</si>
  <si>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</si>
  <si>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</si>
  <si>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洋山提 一个等开港押车费300，一个预进345</t>
    <phoneticPr fontId="1" type="noConversion"/>
  </si>
  <si>
    <t>把27 29跟12月的舱位预报都发给HMM，看船公司怎么处理</t>
    <phoneticPr fontId="1" type="noConversion"/>
  </si>
  <si>
    <t>JPO VULPECULA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</si>
  <si>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</si>
  <si>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</si>
  <si>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</si>
  <si>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</si>
  <si>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ETD1110 1105确认订舱，1108出运清单，提单领取单，SWB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</si>
</sst>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8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77.708386226848" createdVersion="6" refreshedVersion="6" minRefreshableVersion="3" recordCount="5867" xr:uid="{00000000-000A-0000-FFFF-FFFF1E000000}">
  <cacheSource type="worksheet">
    <worksheetSource name="表3"/>
  </cacheSource>
  <cacheFields count="10">
    <cacheField name="项目" numFmtId="0">
      <sharedItems containsBlank="1" count="40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NISCO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9T00:00:00"/>
        <d v="2019-11-08T00:00:00"/>
        <d v="2019-11-10T00:00:00"/>
        <d v="2019-11-13T00:00:00"/>
        <d v="2019-11-17T00:00:00"/>
        <d v="2019-11-20T00:00:00"/>
        <d v="2019-11-15T00:00:00"/>
        <d v="2019-11-21T00:00:00"/>
        <d v="2019-11-18T00:00:00"/>
        <d v="2019-11-24T00:00:00"/>
        <d v="2019-12-01T00:00:00"/>
        <d v="2019-12-08T00:00:00"/>
        <d v="2019-12-17T00:00:00"/>
        <d v="2019-11-11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11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1T00:00:00"/>
        <d v="2019-09-21T00:00:00"/>
        <d v="2019-10-03T00:00:00"/>
        <d v="2019-10-05T00:00:00"/>
        <d v="2019-10-09T00:00:00"/>
        <d v="2019-10-13T00:00:00"/>
        <d v="2019-10-14T00:00:00"/>
        <d v="2019-11-04T00:00:00"/>
        <d v="2019-10-15T00:00:00"/>
        <d v="2019-10-16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24T00:00:00"/>
        <d v="2019-10-19T00:00:00"/>
        <d v="2019-11-25T00:00:00"/>
        <d v="2019-11-05T00:00:00"/>
        <d v="2019-11-08T00:00:00"/>
        <d v="2019-11-06T00:00:00"/>
        <d v="2019-11-07T00:00:00"/>
        <d v="2019-11-13T00:00:00"/>
        <d v="2019-11-15T00:00:00"/>
        <d v="2019-11-12T00:00:00"/>
        <d v="2019-11-18T00:00:00"/>
        <d v="2019-11-14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0T00:00:00"/>
        <d v="2019-11-09T00:00:00"/>
        <d v="2019-11-16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1899-12-31T00:00:00" u="1"/>
        <d v="1900-01-03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97" maxValue="4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67">
  <r>
    <x v="0"/>
    <x v="0"/>
    <n v="1"/>
    <s v="做费用(对账单日期4号)，放公共盘，填月账单表，发孙丹"/>
    <x v="0"/>
    <x v="0"/>
    <x v="0"/>
    <m/>
    <m/>
    <n v="-182"/>
  </r>
  <r>
    <x v="1"/>
    <x v="0"/>
    <n v="1"/>
    <s v="做费用(对账单日期4号)，放公共盘，填月账单表，发孙丹"/>
    <x v="0"/>
    <x v="0"/>
    <x v="0"/>
    <m/>
    <m/>
    <n v="-182"/>
  </r>
  <r>
    <x v="2"/>
    <x v="0"/>
    <n v="1"/>
    <s v="TJ glovis当月额外费用汇总邮件"/>
    <x v="1"/>
    <x v="0"/>
    <x v="0"/>
    <m/>
    <s v="月底"/>
    <n v="-163"/>
  </r>
  <r>
    <x v="2"/>
    <x v="0"/>
    <n v="2"/>
    <s v="CK TJ glovis有没有驳货费"/>
    <x v="1"/>
    <x v="0"/>
    <x v="0"/>
    <m/>
    <s v="月底"/>
    <n v="-163"/>
  </r>
  <r>
    <x v="3"/>
    <x v="1"/>
    <n v="1"/>
    <s v="HMM Neo 下周订舱邮件"/>
    <x v="2"/>
    <x v="0"/>
    <x v="0"/>
    <m/>
    <s v="周一"/>
    <n v="-191"/>
  </r>
  <r>
    <x v="3"/>
    <x v="1"/>
    <n v="2"/>
    <s v="SHA GLV WORKING PROCESS"/>
    <x v="2"/>
    <x v="0"/>
    <x v="0"/>
    <m/>
    <s v="周一"/>
    <n v="-191"/>
  </r>
  <r>
    <x v="3"/>
    <x v="1"/>
    <n v="3"/>
    <s v="SHA GLV WORKING PROCESS"/>
    <x v="3"/>
    <x v="0"/>
    <x v="0"/>
    <m/>
    <s v="周三"/>
    <n v="-184"/>
  </r>
  <r>
    <x v="3"/>
    <x v="1"/>
    <n v="4"/>
    <s v="TJ glovis额外费用邮件"/>
    <x v="0"/>
    <x v="0"/>
    <x v="0"/>
    <m/>
    <s v="周五"/>
    <n v="-182"/>
  </r>
  <r>
    <x v="3"/>
    <x v="1"/>
    <n v="5"/>
    <s v="SHA GLV WORKING PROCESS"/>
    <x v="0"/>
    <x v="0"/>
    <x v="0"/>
    <m/>
    <s v="周五"/>
    <n v="-182"/>
  </r>
  <r>
    <x v="3"/>
    <x v="1"/>
    <n v="6"/>
    <s v="TJ GLV WORKING PROCESS"/>
    <x v="0"/>
    <x v="0"/>
    <x v="0"/>
    <m/>
    <s v="周五"/>
    <n v="-182"/>
  </r>
  <r>
    <x v="0"/>
    <x v="2"/>
    <n v="1"/>
    <s v="做费用(对账单日期4号)，放公共盘，填月账单表，发孙丹"/>
    <x v="0"/>
    <x v="0"/>
    <x v="0"/>
    <m/>
    <m/>
    <n v="-182"/>
  </r>
  <r>
    <x v="1"/>
    <x v="2"/>
    <n v="1"/>
    <s v="做费用(对账单日期4号)，放公共盘，填月账单表，发孙丹"/>
    <x v="0"/>
    <x v="0"/>
    <x v="0"/>
    <m/>
    <m/>
    <n v="-182"/>
  </r>
  <r>
    <x v="4"/>
    <x v="3"/>
    <n v="1"/>
    <s v="收到客户(周嘉敏)订舱预报"/>
    <x v="4"/>
    <x v="0"/>
    <x v="0"/>
    <m/>
    <s v="一般周五发隔周"/>
    <n v="-196"/>
  </r>
  <r>
    <x v="4"/>
    <x v="3"/>
    <n v="2"/>
    <s v="收到HMM(Neo)预订舱邮件通知"/>
    <x v="5"/>
    <x v="0"/>
    <x v="0"/>
    <m/>
    <s v="一般周一发下周"/>
    <n v="-194"/>
  </r>
  <r>
    <x v="4"/>
    <x v="3"/>
    <n v="3"/>
    <s v="回复HMM(Neo)预订舱邮件"/>
    <x v="5"/>
    <x v="0"/>
    <x v="0"/>
    <m/>
    <m/>
    <n v="-194"/>
  </r>
  <r>
    <x v="4"/>
    <x v="3"/>
    <n v="4"/>
    <s v="收到HMM(Neo)预订舱确认"/>
    <x v="5"/>
    <x v="0"/>
    <x v="0"/>
    <m/>
    <s v="一般马上"/>
    <n v="-194"/>
  </r>
  <r>
    <x v="4"/>
    <x v="3"/>
    <n v="5"/>
    <s v="公共盘生成提单号"/>
    <x v="5"/>
    <x v="0"/>
    <x v="0"/>
    <m/>
    <m/>
    <n v="-194"/>
  </r>
  <r>
    <x v="4"/>
    <x v="3"/>
    <n v="6"/>
    <s v="YJC系统生成单子"/>
    <x v="5"/>
    <x v="0"/>
    <x v="0"/>
    <m/>
    <m/>
    <n v="-194"/>
  </r>
  <r>
    <x v="4"/>
    <x v="3"/>
    <n v="7"/>
    <s v="发EDI"/>
    <x v="5"/>
    <x v="0"/>
    <x v="0"/>
    <m/>
    <m/>
    <n v="-194"/>
  </r>
  <r>
    <x v="4"/>
    <x v="3"/>
    <n v="8"/>
    <s v="邮件申请放单"/>
    <x v="5"/>
    <x v="0"/>
    <x v="0"/>
    <m/>
    <m/>
    <n v="-194"/>
  </r>
  <r>
    <x v="4"/>
    <x v="3"/>
    <n v="9"/>
    <s v="收到HMM(Neo) 放单确认"/>
    <x v="6"/>
    <x v="0"/>
    <x v="0"/>
    <m/>
    <s v="一般半天内"/>
    <n v="-193"/>
  </r>
  <r>
    <x v="4"/>
    <x v="3"/>
    <n v="10"/>
    <s v="HMM网站核对订舱信息"/>
    <x v="6"/>
    <x v="0"/>
    <x v="0"/>
    <m/>
    <m/>
    <n v="-193"/>
  </r>
  <r>
    <x v="4"/>
    <x v="3"/>
    <n v="11"/>
    <s v="收到客户(周嘉敏)做箱通知"/>
    <x v="7"/>
    <x v="0"/>
    <x v="0"/>
    <m/>
    <s v="一般做箱头天一早"/>
    <n v="-186"/>
  </r>
  <r>
    <x v="4"/>
    <x v="3"/>
    <n v="12"/>
    <s v="发做箱通知邮件给车队(沈丽)"/>
    <x v="7"/>
    <x v="0"/>
    <x v="0"/>
    <m/>
    <m/>
    <n v="-186"/>
  </r>
  <r>
    <x v="4"/>
    <x v="3"/>
    <n v="13"/>
    <s v="公共盘生成提单号【如需拆单】"/>
    <x v="7"/>
    <x v="0"/>
    <x v="0"/>
    <m/>
    <m/>
    <n v="-186"/>
  </r>
  <r>
    <x v="4"/>
    <x v="3"/>
    <n v="14"/>
    <s v="YJC系统生成单子【如需拆单】"/>
    <x v="7"/>
    <x v="0"/>
    <x v="0"/>
    <m/>
    <m/>
    <n v="-186"/>
  </r>
  <r>
    <x v="4"/>
    <x v="3"/>
    <n v="15"/>
    <s v="发EDI【如需拆单】"/>
    <x v="7"/>
    <x v="0"/>
    <x v="0"/>
    <m/>
    <m/>
    <n v="-186"/>
  </r>
  <r>
    <x v="4"/>
    <x v="3"/>
    <n v="16"/>
    <s v="邮件申请放单【如需拆单】"/>
    <x v="7"/>
    <x v="0"/>
    <x v="0"/>
    <m/>
    <m/>
    <n v="-186"/>
  </r>
  <r>
    <x v="4"/>
    <x v="3"/>
    <n v="17"/>
    <s v="收到HMM(Neo) 放单确认【如需拆单】"/>
    <x v="7"/>
    <x v="0"/>
    <x v="0"/>
    <m/>
    <m/>
    <n v="-186"/>
  </r>
  <r>
    <x v="4"/>
    <x v="3"/>
    <n v="18"/>
    <s v="HMM网站核对订舱信息【如需拆单】"/>
    <x v="7"/>
    <x v="0"/>
    <x v="0"/>
    <m/>
    <m/>
    <n v="-186"/>
  </r>
  <r>
    <x v="4"/>
    <x v="3"/>
    <n v="19"/>
    <s v="收到客户(周嘉敏)发来做箱数据(报关资料)"/>
    <x v="8"/>
    <x v="0"/>
    <x v="0"/>
    <m/>
    <s v="一般做箱当天一早"/>
    <n v="-185"/>
  </r>
  <r>
    <x v="4"/>
    <x v="3"/>
    <n v="20"/>
    <s v="按报关(发票)数生成提单号【如发票数超过提单数】"/>
    <x v="8"/>
    <x v="0"/>
    <x v="0"/>
    <m/>
    <m/>
    <n v="-185"/>
  </r>
  <r>
    <x v="4"/>
    <x v="3"/>
    <n v="21"/>
    <s v="做做箱数据，QQ发车队(沈丽)"/>
    <x v="8"/>
    <x v="0"/>
    <x v="0"/>
    <m/>
    <m/>
    <n v="-185"/>
  </r>
  <r>
    <x v="4"/>
    <x v="3"/>
    <n v="22"/>
    <s v="做报关资料，扫描发报关行(黄寅文)QQ"/>
    <x v="8"/>
    <x v="0"/>
    <x v="0"/>
    <m/>
    <m/>
    <n v="-185"/>
  </r>
  <r>
    <x v="4"/>
    <x v="3"/>
    <n v="23"/>
    <s v="收到车队(沈丽)装箱单"/>
    <x v="8"/>
    <x v="0"/>
    <x v="0"/>
    <m/>
    <s v="一般马上"/>
    <n v="-185"/>
  </r>
  <r>
    <x v="4"/>
    <x v="3"/>
    <n v="24"/>
    <s v="YJC系统填截单数据，发EDI，邮件HMM(He)生成提单"/>
    <x v="8"/>
    <x v="0"/>
    <x v="0"/>
    <m/>
    <s v="注意截单时间"/>
    <n v="-185"/>
  </r>
  <r>
    <x v="4"/>
    <x v="3"/>
    <n v="25"/>
    <s v="收到HMM(He)生成提单通知"/>
    <x v="8"/>
    <x v="0"/>
    <x v="0"/>
    <m/>
    <s v="一般马上"/>
    <n v="-185"/>
  </r>
  <r>
    <x v="4"/>
    <x v="3"/>
    <n v="26"/>
    <s v="HMM网站核对提单信息"/>
    <x v="8"/>
    <x v="0"/>
    <x v="0"/>
    <m/>
    <m/>
    <n v="-185"/>
  </r>
  <r>
    <x v="4"/>
    <x v="3"/>
    <n v="27"/>
    <s v="做保函给邹师傅"/>
    <x v="8"/>
    <x v="0"/>
    <x v="0"/>
    <m/>
    <m/>
    <n v="-185"/>
  </r>
  <r>
    <x v="4"/>
    <x v="3"/>
    <n v="28"/>
    <s v="发VGM和舱单"/>
    <x v="8"/>
    <x v="0"/>
    <x v="0"/>
    <m/>
    <m/>
    <n v="-185"/>
  </r>
  <r>
    <x v="4"/>
    <x v="3"/>
    <n v="29"/>
    <s v="做ISF，发国外资料"/>
    <x v="8"/>
    <x v="0"/>
    <x v="0"/>
    <m/>
    <m/>
    <n v="-185"/>
  </r>
  <r>
    <x v="4"/>
    <x v="3"/>
    <n v="30"/>
    <s v="买保险"/>
    <x v="8"/>
    <x v="0"/>
    <x v="0"/>
    <m/>
    <m/>
    <n v="-185"/>
  </r>
  <r>
    <x v="4"/>
    <x v="3"/>
    <n v="31"/>
    <s v="盯海关网站舱单"/>
    <x v="8"/>
    <x v="0"/>
    <x v="0"/>
    <m/>
    <s v="一般两小时左右"/>
    <n v="-185"/>
  </r>
  <r>
    <x v="4"/>
    <x v="3"/>
    <n v="32"/>
    <s v="核对舱单信息"/>
    <x v="8"/>
    <x v="0"/>
    <x v="0"/>
    <m/>
    <m/>
    <n v="-185"/>
  </r>
  <r>
    <x v="4"/>
    <x v="3"/>
    <n v="33"/>
    <s v="收到报关行(黄寅文)校对稿，邮件发客户(周嘉敏)确认"/>
    <x v="8"/>
    <x v="0"/>
    <x v="0"/>
    <m/>
    <s v="一般半天内"/>
    <n v="-185"/>
  </r>
  <r>
    <x v="4"/>
    <x v="3"/>
    <n v="34"/>
    <s v="收到客户(周嘉敏)确认校对稿，通知报关行(黄寅文)"/>
    <x v="8"/>
    <x v="0"/>
    <x v="0"/>
    <m/>
    <s v="一般马上"/>
    <n v="-185"/>
  </r>
  <r>
    <x v="4"/>
    <x v="3"/>
    <n v="35"/>
    <s v="通知报关行(黄寅文)报关(开港、舱单、校对)"/>
    <x v="8"/>
    <x v="0"/>
    <x v="0"/>
    <m/>
    <m/>
    <n v="-185"/>
  </r>
  <r>
    <x v="4"/>
    <x v="3"/>
    <n v="36"/>
    <s v="收到报关成功通知"/>
    <x v="8"/>
    <x v="0"/>
    <x v="0"/>
    <m/>
    <s v="一般下班前"/>
    <n v="-185"/>
  </r>
  <r>
    <x v="4"/>
    <x v="3"/>
    <n v="37"/>
    <s v="通知车队(沈丽)可进港"/>
    <x v="8"/>
    <x v="0"/>
    <x v="0"/>
    <m/>
    <m/>
    <n v="-185"/>
  </r>
  <r>
    <x v="4"/>
    <x v="3"/>
    <n v="38"/>
    <s v="盯箱子进港"/>
    <x v="3"/>
    <x v="0"/>
    <x v="0"/>
    <m/>
    <m/>
    <n v="-184"/>
  </r>
  <r>
    <x v="4"/>
    <x v="3"/>
    <n v="39"/>
    <s v="核对进港数据"/>
    <x v="3"/>
    <x v="0"/>
    <x v="0"/>
    <m/>
    <m/>
    <n v="-184"/>
  </r>
  <r>
    <x v="4"/>
    <x v="3"/>
    <n v="40"/>
    <s v="盯海放"/>
    <x v="3"/>
    <x v="0"/>
    <x v="0"/>
    <m/>
    <m/>
    <n v="-184"/>
  </r>
  <r>
    <x v="4"/>
    <x v="3"/>
    <n v="41"/>
    <s v="盯码放"/>
    <x v="9"/>
    <x v="0"/>
    <x v="0"/>
    <m/>
    <m/>
    <n v="-183"/>
  </r>
  <r>
    <x v="4"/>
    <x v="3"/>
    <n v="42"/>
    <s v="盯配载"/>
    <x v="0"/>
    <x v="0"/>
    <x v="0"/>
    <m/>
    <m/>
    <n v="-182"/>
  </r>
  <r>
    <x v="4"/>
    <x v="3"/>
    <n v="43"/>
    <s v="做费用，发账单给谢梦婕"/>
    <x v="0"/>
    <x v="0"/>
    <x v="0"/>
    <m/>
    <m/>
    <n v="-182"/>
  </r>
  <r>
    <x v="4"/>
    <x v="3"/>
    <n v="44"/>
    <s v="船开"/>
    <x v="10"/>
    <x v="0"/>
    <x v="0"/>
    <m/>
    <m/>
    <n v="-181"/>
  </r>
  <r>
    <x v="4"/>
    <x v="3"/>
    <n v="45"/>
    <s v="放单"/>
    <x v="11"/>
    <x v="0"/>
    <x v="0"/>
    <m/>
    <s v="一般开船后两三天"/>
    <n v="-179"/>
  </r>
  <r>
    <x v="3"/>
    <x v="4"/>
    <n v="1"/>
    <s v="HMM Neo 下周订舱邮件"/>
    <x v="11"/>
    <x v="0"/>
    <x v="0"/>
    <m/>
    <s v="周一"/>
    <n v="-179"/>
  </r>
  <r>
    <x v="3"/>
    <x v="4"/>
    <n v="2"/>
    <s v="SHA GLV WORKING PROCESS"/>
    <x v="11"/>
    <x v="0"/>
    <x v="0"/>
    <m/>
    <s v="周一"/>
    <n v="-179"/>
  </r>
  <r>
    <x v="3"/>
    <x v="4"/>
    <n v="3"/>
    <s v="SHA GLV WORKING PROCESS"/>
    <x v="12"/>
    <x v="0"/>
    <x v="0"/>
    <m/>
    <s v="周三"/>
    <n v="-177"/>
  </r>
  <r>
    <x v="3"/>
    <x v="4"/>
    <n v="4"/>
    <s v="TJ glovis额外费用邮件"/>
    <x v="13"/>
    <x v="0"/>
    <x v="0"/>
    <m/>
    <s v="周五"/>
    <n v="-175"/>
  </r>
  <r>
    <x v="3"/>
    <x v="4"/>
    <n v="5"/>
    <s v="SHA GLV WORKING PROCESS"/>
    <x v="13"/>
    <x v="0"/>
    <x v="0"/>
    <m/>
    <s v="周五"/>
    <n v="-175"/>
  </r>
  <r>
    <x v="3"/>
    <x v="4"/>
    <n v="6"/>
    <s v="TJ GLV WORKING PROCESS"/>
    <x v="13"/>
    <x v="0"/>
    <x v="0"/>
    <m/>
    <s v="周五"/>
    <n v="-175"/>
  </r>
  <r>
    <x v="0"/>
    <x v="5"/>
    <n v="1"/>
    <s v="收到孙丹发来订舱托书(CK也收到)"/>
    <x v="14"/>
    <x v="0"/>
    <x v="0"/>
    <m/>
    <m/>
    <n v="-192"/>
  </r>
  <r>
    <x v="0"/>
    <x v="5"/>
    <n v="2"/>
    <s v="收到CK发来预配(做箱通知)"/>
    <x v="7"/>
    <x v="0"/>
    <x v="0"/>
    <m/>
    <m/>
    <n v="-186"/>
  </r>
  <r>
    <x v="0"/>
    <x v="5"/>
    <n v="3"/>
    <s v="收到包装厂(刘倩梅)发来包装指示书和装箱计划"/>
    <x v="0"/>
    <x v="0"/>
    <x v="0"/>
    <m/>
    <s v="一般周四"/>
    <n v="-182"/>
  </r>
  <r>
    <x v="0"/>
    <x v="5"/>
    <n v="4"/>
    <s v="根据装箱计划汇总包装数据，发各工厂做报关资料"/>
    <x v="9"/>
    <x v="0"/>
    <x v="0"/>
    <m/>
    <m/>
    <n v="-183"/>
  </r>
  <r>
    <x v="0"/>
    <x v="5"/>
    <n v="5"/>
    <s v="做做箱数据，邮件群发"/>
    <x v="0"/>
    <x v="0"/>
    <x v="0"/>
    <m/>
    <m/>
    <n v="-182"/>
  </r>
  <r>
    <x v="0"/>
    <x v="5"/>
    <n v="6"/>
    <s v="收到工厂发来报关资料并完善"/>
    <x v="10"/>
    <x v="0"/>
    <x v="0"/>
    <m/>
    <s v="当天至隔天"/>
    <n v="-181"/>
  </r>
  <r>
    <x v="0"/>
    <x v="5"/>
    <n v="7"/>
    <s v="报关资料齐了，发报关行(黄寅文)"/>
    <x v="11"/>
    <x v="0"/>
    <x v="0"/>
    <m/>
    <m/>
    <n v="-179"/>
  </r>
  <r>
    <x v="0"/>
    <x v="5"/>
    <n v="8"/>
    <s v="收到车队(沈丽)装箱单和洋山提箱截图(如有)"/>
    <x v="11"/>
    <x v="0"/>
    <x v="0"/>
    <m/>
    <s v="一般KMM五、HMI日"/>
    <n v="-179"/>
  </r>
  <r>
    <x v="0"/>
    <x v="5"/>
    <n v="9"/>
    <s v="群发装箱单和洋山提箱截图(如有)【05-13 09:00】"/>
    <x v="11"/>
    <x v="0"/>
    <x v="0"/>
    <m/>
    <s v="注意截单时间"/>
    <n v="-179"/>
  </r>
  <r>
    <x v="0"/>
    <x v="5"/>
    <n v="10"/>
    <s v="通知发舱单"/>
    <x v="11"/>
    <x v="0"/>
    <x v="0"/>
    <m/>
    <m/>
    <n v="-179"/>
  </r>
  <r>
    <x v="0"/>
    <x v="5"/>
    <n v="11"/>
    <s v="收到舱单发送成功通知，核对舱单信息"/>
    <x v="15"/>
    <x v="0"/>
    <x v="0"/>
    <m/>
    <m/>
    <n v="-178"/>
  </r>
  <r>
    <x v="0"/>
    <x v="5"/>
    <n v="12"/>
    <s v="通知进港，进港(核对数据)，通知报关，报关成功"/>
    <x v="15"/>
    <x v="0"/>
    <x v="0"/>
    <m/>
    <s v="根据港区"/>
    <n v="-178"/>
  </r>
  <r>
    <x v="0"/>
    <x v="5"/>
    <n v="13"/>
    <s v="盯海放"/>
    <x v="15"/>
    <x v="0"/>
    <x v="0"/>
    <m/>
    <m/>
    <n v="-178"/>
  </r>
  <r>
    <x v="0"/>
    <x v="5"/>
    <n v="14"/>
    <s v="盯码放"/>
    <x v="15"/>
    <x v="0"/>
    <x v="0"/>
    <m/>
    <m/>
    <n v="-178"/>
  </r>
  <r>
    <x v="0"/>
    <x v="5"/>
    <n v="15"/>
    <s v="盯配载"/>
    <x v="12"/>
    <x v="0"/>
    <x v="0"/>
    <m/>
    <m/>
    <n v="-177"/>
  </r>
  <r>
    <x v="0"/>
    <x v="5"/>
    <n v="16"/>
    <s v="做费用(对账单日期4号)，放公共盘，填月账单表，发孙丹"/>
    <x v="12"/>
    <x v="0"/>
    <x v="0"/>
    <m/>
    <m/>
    <n v="-177"/>
  </r>
  <r>
    <x v="4"/>
    <x v="5"/>
    <n v="1"/>
    <s v="收到客户(周嘉敏)订舱预报"/>
    <x v="4"/>
    <x v="0"/>
    <x v="0"/>
    <m/>
    <s v="一般周五发隔周"/>
    <n v="-196"/>
  </r>
  <r>
    <x v="4"/>
    <x v="5"/>
    <n v="2"/>
    <s v="收到HMM(Neo)预订舱邮件通知"/>
    <x v="7"/>
    <x v="0"/>
    <x v="0"/>
    <m/>
    <s v="一般周一发下周"/>
    <n v="-186"/>
  </r>
  <r>
    <x v="4"/>
    <x v="5"/>
    <n v="3"/>
    <s v="回复HMM(Neo)预订舱邮件"/>
    <x v="7"/>
    <x v="0"/>
    <x v="0"/>
    <m/>
    <m/>
    <n v="-186"/>
  </r>
  <r>
    <x v="4"/>
    <x v="5"/>
    <n v="4"/>
    <s v="收到HMM(Neo)预订舱确认"/>
    <x v="7"/>
    <x v="0"/>
    <x v="0"/>
    <m/>
    <s v="一般马上"/>
    <n v="-186"/>
  </r>
  <r>
    <x v="4"/>
    <x v="5"/>
    <n v="5"/>
    <s v="公共盘生成提单号"/>
    <x v="7"/>
    <x v="0"/>
    <x v="0"/>
    <m/>
    <m/>
    <n v="-186"/>
  </r>
  <r>
    <x v="4"/>
    <x v="5"/>
    <n v="6"/>
    <s v="YJC系统生成单子"/>
    <x v="7"/>
    <x v="0"/>
    <x v="0"/>
    <m/>
    <m/>
    <n v="-186"/>
  </r>
  <r>
    <x v="4"/>
    <x v="5"/>
    <n v="7"/>
    <s v="发EDI"/>
    <x v="7"/>
    <x v="0"/>
    <x v="0"/>
    <m/>
    <m/>
    <n v="-186"/>
  </r>
  <r>
    <x v="4"/>
    <x v="5"/>
    <n v="8"/>
    <s v="邮件申请放单"/>
    <x v="8"/>
    <x v="0"/>
    <x v="0"/>
    <m/>
    <m/>
    <n v="-185"/>
  </r>
  <r>
    <x v="4"/>
    <x v="5"/>
    <n v="9"/>
    <s v="收到HMM(Neo) 放单确认"/>
    <x v="8"/>
    <x v="0"/>
    <x v="0"/>
    <m/>
    <s v="一般半天内"/>
    <n v="-185"/>
  </r>
  <r>
    <x v="4"/>
    <x v="5"/>
    <n v="10"/>
    <s v="HMM网站核对订舱信息"/>
    <x v="8"/>
    <x v="0"/>
    <x v="0"/>
    <m/>
    <m/>
    <n v="-185"/>
  </r>
  <r>
    <x v="4"/>
    <x v="5"/>
    <n v="11"/>
    <s v="收到客户（周嘉敏）取消通知邮件"/>
    <x v="9"/>
    <x v="0"/>
    <x v="0"/>
    <m/>
    <m/>
    <n v="-183"/>
  </r>
  <r>
    <x v="4"/>
    <x v="5"/>
    <n v="12"/>
    <s v="YJC系统取消"/>
    <x v="9"/>
    <x v="0"/>
    <x v="0"/>
    <m/>
    <m/>
    <n v="-183"/>
  </r>
  <r>
    <x v="4"/>
    <x v="5"/>
    <n v="13"/>
    <s v="邮件通知Neo取消"/>
    <x v="9"/>
    <x v="0"/>
    <x v="0"/>
    <m/>
    <m/>
    <n v="-183"/>
  </r>
  <r>
    <x v="4"/>
    <x v="5"/>
    <n v="14"/>
    <s v="收到HMM(Neo)确认取消"/>
    <x v="9"/>
    <x v="0"/>
    <x v="0"/>
    <m/>
    <m/>
    <n v="-183"/>
  </r>
  <r>
    <x v="1"/>
    <x v="5"/>
    <n v="1"/>
    <s v="收到孙丹发来订舱托书(CK也收到)"/>
    <x v="14"/>
    <x v="0"/>
    <x v="0"/>
    <m/>
    <m/>
    <n v="-192"/>
  </r>
  <r>
    <x v="1"/>
    <x v="5"/>
    <n v="2"/>
    <s v="收到CK发来预配(做箱通知)"/>
    <x v="8"/>
    <x v="0"/>
    <x v="0"/>
    <m/>
    <m/>
    <n v="-185"/>
  </r>
  <r>
    <x v="1"/>
    <x v="5"/>
    <n v="3"/>
    <s v="收到包装厂(刘倩梅)发来包装指示书和装箱计划"/>
    <x v="9"/>
    <x v="0"/>
    <x v="0"/>
    <m/>
    <s v="一般周四"/>
    <n v="-183"/>
  </r>
  <r>
    <x v="1"/>
    <x v="5"/>
    <n v="4"/>
    <s v="根据装箱计划汇总包装数据，发各工厂做报关资料"/>
    <x v="9"/>
    <x v="0"/>
    <x v="0"/>
    <m/>
    <m/>
    <n v="-183"/>
  </r>
  <r>
    <x v="1"/>
    <x v="5"/>
    <n v="5"/>
    <s v="做做箱数据，邮件群发"/>
    <x v="9"/>
    <x v="0"/>
    <x v="0"/>
    <m/>
    <m/>
    <n v="-183"/>
  </r>
  <r>
    <x v="1"/>
    <x v="5"/>
    <n v="6"/>
    <s v="收到工厂发来报关资料并完善"/>
    <x v="9"/>
    <x v="0"/>
    <x v="0"/>
    <m/>
    <s v="当天至隔天"/>
    <n v="-183"/>
  </r>
  <r>
    <x v="1"/>
    <x v="5"/>
    <n v="7"/>
    <s v="报关资料齐了，发报关行(黄寅文)"/>
    <x v="9"/>
    <x v="0"/>
    <x v="0"/>
    <m/>
    <m/>
    <n v="-183"/>
  </r>
  <r>
    <x v="1"/>
    <x v="5"/>
    <n v="8"/>
    <s v="收到车队(沈丽)装箱单和洋山提箱截图(如有)"/>
    <x v="0"/>
    <x v="0"/>
    <x v="0"/>
    <m/>
    <s v="一般KMM五、HMI日"/>
    <n v="-182"/>
  </r>
  <r>
    <x v="1"/>
    <x v="5"/>
    <n v="9"/>
    <s v="群发装箱单和洋山提箱截图(如有)【05-10 09:00】"/>
    <x v="0"/>
    <x v="0"/>
    <x v="0"/>
    <m/>
    <s v="注意截单时间"/>
    <n v="-182"/>
  </r>
  <r>
    <x v="1"/>
    <x v="5"/>
    <n v="10"/>
    <s v="通知发舱单"/>
    <x v="0"/>
    <x v="0"/>
    <x v="0"/>
    <m/>
    <m/>
    <n v="-182"/>
  </r>
  <r>
    <x v="1"/>
    <x v="5"/>
    <n v="11"/>
    <s v="收到舱单发送成功通知，核对舱单信息"/>
    <x v="0"/>
    <x v="0"/>
    <x v="0"/>
    <m/>
    <m/>
    <n v="-182"/>
  </r>
  <r>
    <x v="1"/>
    <x v="5"/>
    <n v="12"/>
    <s v="通知进港，进港(核对数据)，通知报关，报关成功"/>
    <x v="0"/>
    <x v="0"/>
    <x v="0"/>
    <m/>
    <s v="根据港区"/>
    <n v="-182"/>
  </r>
  <r>
    <x v="1"/>
    <x v="5"/>
    <n v="13"/>
    <s v="盯海放"/>
    <x v="0"/>
    <x v="0"/>
    <x v="0"/>
    <m/>
    <m/>
    <n v="-182"/>
  </r>
  <r>
    <x v="1"/>
    <x v="5"/>
    <n v="14"/>
    <s v="盯码放"/>
    <x v="11"/>
    <x v="0"/>
    <x v="0"/>
    <m/>
    <m/>
    <n v="-179"/>
  </r>
  <r>
    <x v="1"/>
    <x v="5"/>
    <n v="15"/>
    <s v="盯配载"/>
    <x v="15"/>
    <x v="0"/>
    <x v="0"/>
    <m/>
    <m/>
    <n v="-178"/>
  </r>
  <r>
    <x v="1"/>
    <x v="5"/>
    <n v="16"/>
    <s v="做费用(对账单日期4号)，放公共盘，填月账单表，发孙丹"/>
    <x v="12"/>
    <x v="0"/>
    <x v="0"/>
    <m/>
    <m/>
    <n v="-177"/>
  </r>
  <r>
    <x v="4"/>
    <x v="6"/>
    <n v="1"/>
    <s v="收到客户(周嘉敏)订舱预报"/>
    <x v="4"/>
    <x v="1"/>
    <x v="0"/>
    <m/>
    <s v="一般周五发隔周"/>
    <n v="-196"/>
  </r>
  <r>
    <x v="4"/>
    <x v="6"/>
    <n v="2"/>
    <s v="收到HMM(Neo)预订舱邮件通知"/>
    <x v="7"/>
    <x v="1"/>
    <x v="0"/>
    <m/>
    <s v="一般周一发下周"/>
    <n v="-186"/>
  </r>
  <r>
    <x v="4"/>
    <x v="6"/>
    <n v="3"/>
    <s v="回复HMM(Neo)预订舱邮件"/>
    <x v="7"/>
    <x v="1"/>
    <x v="0"/>
    <m/>
    <m/>
    <n v="-186"/>
  </r>
  <r>
    <x v="4"/>
    <x v="6"/>
    <n v="4"/>
    <s v="收到HMM(Neo)预订舱确认"/>
    <x v="7"/>
    <x v="1"/>
    <x v="0"/>
    <m/>
    <s v="一般马上"/>
    <n v="-186"/>
  </r>
  <r>
    <x v="4"/>
    <x v="6"/>
    <n v="5"/>
    <s v="公共盘生成提单号"/>
    <x v="7"/>
    <x v="1"/>
    <x v="0"/>
    <m/>
    <m/>
    <n v="-186"/>
  </r>
  <r>
    <x v="4"/>
    <x v="6"/>
    <n v="6"/>
    <s v="YJC系统生成单子"/>
    <x v="7"/>
    <x v="1"/>
    <x v="0"/>
    <m/>
    <m/>
    <n v="-186"/>
  </r>
  <r>
    <x v="4"/>
    <x v="6"/>
    <n v="7"/>
    <s v="发EDI"/>
    <x v="8"/>
    <x v="1"/>
    <x v="0"/>
    <m/>
    <m/>
    <n v="-185"/>
  </r>
  <r>
    <x v="4"/>
    <x v="6"/>
    <n v="8"/>
    <s v="邮件申请放单"/>
    <x v="8"/>
    <x v="1"/>
    <x v="0"/>
    <m/>
    <m/>
    <n v="-185"/>
  </r>
  <r>
    <x v="4"/>
    <x v="6"/>
    <n v="9"/>
    <s v="收到HMM(Neo) 放单确认"/>
    <x v="8"/>
    <x v="1"/>
    <x v="0"/>
    <m/>
    <s v="一般半天内"/>
    <n v="-185"/>
  </r>
  <r>
    <x v="4"/>
    <x v="6"/>
    <n v="10"/>
    <s v="HMM网站核对订舱信息"/>
    <x v="8"/>
    <x v="1"/>
    <x v="0"/>
    <m/>
    <m/>
    <n v="-185"/>
  </r>
  <r>
    <x v="4"/>
    <x v="6"/>
    <n v="11"/>
    <s v="收到客户(周嘉敏)做箱通知"/>
    <x v="11"/>
    <x v="1"/>
    <x v="0"/>
    <m/>
    <s v="一般做箱头天一早"/>
    <n v="-179"/>
  </r>
  <r>
    <x v="4"/>
    <x v="6"/>
    <n v="12"/>
    <s v="发做箱通知邮件给车队(沈丽)"/>
    <x v="11"/>
    <x v="1"/>
    <x v="0"/>
    <m/>
    <m/>
    <n v="-179"/>
  </r>
  <r>
    <x v="4"/>
    <x v="6"/>
    <n v="13"/>
    <s v="公共盘生成提单号【如需拆单】"/>
    <x v="11"/>
    <x v="1"/>
    <x v="0"/>
    <m/>
    <m/>
    <n v="-179"/>
  </r>
  <r>
    <x v="4"/>
    <x v="6"/>
    <n v="14"/>
    <s v="YJC系统生成单子【如需拆单】"/>
    <x v="11"/>
    <x v="1"/>
    <x v="0"/>
    <m/>
    <m/>
    <n v="-179"/>
  </r>
  <r>
    <x v="4"/>
    <x v="6"/>
    <n v="15"/>
    <s v="发EDI【如需拆单】"/>
    <x v="11"/>
    <x v="1"/>
    <x v="0"/>
    <m/>
    <m/>
    <n v="-179"/>
  </r>
  <r>
    <x v="4"/>
    <x v="6"/>
    <n v="16"/>
    <s v="邮件申请放单【如需拆单】"/>
    <x v="11"/>
    <x v="1"/>
    <x v="0"/>
    <m/>
    <m/>
    <n v="-179"/>
  </r>
  <r>
    <x v="4"/>
    <x v="6"/>
    <n v="17"/>
    <s v="收到HMM(Neo) 放单确认【如需拆单】"/>
    <x v="11"/>
    <x v="1"/>
    <x v="0"/>
    <m/>
    <m/>
    <n v="-179"/>
  </r>
  <r>
    <x v="4"/>
    <x v="6"/>
    <n v="18"/>
    <s v="HMM网站核对订舱信息【如需拆单】"/>
    <x v="11"/>
    <x v="1"/>
    <x v="0"/>
    <m/>
    <m/>
    <n v="-179"/>
  </r>
  <r>
    <x v="4"/>
    <x v="6"/>
    <n v="19"/>
    <s v="收到客户(周嘉敏)发来做箱数据(报关资料)"/>
    <x v="15"/>
    <x v="1"/>
    <x v="0"/>
    <m/>
    <s v="一般做箱当天一早"/>
    <n v="-178"/>
  </r>
  <r>
    <x v="4"/>
    <x v="6"/>
    <n v="20"/>
    <s v="按报关(发票)数生成提单号【如发票数超过提单数】"/>
    <x v="15"/>
    <x v="1"/>
    <x v="0"/>
    <m/>
    <m/>
    <n v="-178"/>
  </r>
  <r>
    <x v="4"/>
    <x v="6"/>
    <n v="21"/>
    <s v="做做箱数据，QQ发车队(沈丽)"/>
    <x v="15"/>
    <x v="1"/>
    <x v="0"/>
    <m/>
    <m/>
    <n v="-178"/>
  </r>
  <r>
    <x v="4"/>
    <x v="6"/>
    <n v="22"/>
    <s v="做报关资料，扫描发报关行(黄寅文)QQ"/>
    <x v="15"/>
    <x v="1"/>
    <x v="0"/>
    <m/>
    <m/>
    <n v="-178"/>
  </r>
  <r>
    <x v="4"/>
    <x v="6"/>
    <n v="23"/>
    <s v="收到车队(沈丽)装箱单"/>
    <x v="15"/>
    <x v="1"/>
    <x v="0"/>
    <m/>
    <s v="一般马上"/>
    <n v="-178"/>
  </r>
  <r>
    <x v="4"/>
    <x v="6"/>
    <n v="24"/>
    <s v="YJC系统截单，发EDI，邮件HMM(He)【5-14 12:00】"/>
    <x v="15"/>
    <x v="1"/>
    <x v="0"/>
    <m/>
    <s v="注意截单时间"/>
    <n v="-178"/>
  </r>
  <r>
    <x v="4"/>
    <x v="6"/>
    <n v="25"/>
    <s v="收到HMM(He)生成提单通知"/>
    <x v="15"/>
    <x v="1"/>
    <x v="0"/>
    <m/>
    <s v="一般马上"/>
    <n v="-178"/>
  </r>
  <r>
    <x v="4"/>
    <x v="6"/>
    <n v="26"/>
    <s v="HMM网站核对提单信息"/>
    <x v="15"/>
    <x v="1"/>
    <x v="0"/>
    <m/>
    <m/>
    <n v="-178"/>
  </r>
  <r>
    <x v="4"/>
    <x v="6"/>
    <n v="27"/>
    <s v="做保函给邹师傅"/>
    <x v="15"/>
    <x v="1"/>
    <x v="0"/>
    <m/>
    <m/>
    <n v="-178"/>
  </r>
  <r>
    <x v="4"/>
    <x v="6"/>
    <n v="28"/>
    <s v="发VGM和舱单"/>
    <x v="15"/>
    <x v="1"/>
    <x v="0"/>
    <m/>
    <m/>
    <n v="-178"/>
  </r>
  <r>
    <x v="4"/>
    <x v="6"/>
    <n v="29"/>
    <s v="做ISF，发国外资料"/>
    <x v="15"/>
    <x v="1"/>
    <x v="0"/>
    <m/>
    <m/>
    <n v="-178"/>
  </r>
  <r>
    <x v="4"/>
    <x v="6"/>
    <n v="30"/>
    <s v="买保险"/>
    <x v="15"/>
    <x v="1"/>
    <x v="0"/>
    <m/>
    <m/>
    <n v="-178"/>
  </r>
  <r>
    <x v="4"/>
    <x v="6"/>
    <n v="31"/>
    <s v="盯海关网站舱单"/>
    <x v="15"/>
    <x v="1"/>
    <x v="0"/>
    <m/>
    <s v="一般两小时左右"/>
    <n v="-178"/>
  </r>
  <r>
    <x v="4"/>
    <x v="6"/>
    <n v="32"/>
    <s v="核对舱单信息"/>
    <x v="15"/>
    <x v="1"/>
    <x v="0"/>
    <m/>
    <m/>
    <n v="-178"/>
  </r>
  <r>
    <x v="4"/>
    <x v="6"/>
    <n v="33"/>
    <s v="收到报关行(黄寅文)校对稿，邮件发客户(周嘉敏)确认"/>
    <x v="15"/>
    <x v="1"/>
    <x v="0"/>
    <m/>
    <s v="一般半天内"/>
    <n v="-178"/>
  </r>
  <r>
    <x v="4"/>
    <x v="6"/>
    <n v="34"/>
    <s v="收到客户(周嘉敏)确认校对稿，通知报关行(黄寅文)"/>
    <x v="15"/>
    <x v="1"/>
    <x v="0"/>
    <m/>
    <s v="一般马上"/>
    <n v="-178"/>
  </r>
  <r>
    <x v="4"/>
    <x v="6"/>
    <n v="35"/>
    <s v="通知报关行(黄寅文)报关(需有开港)"/>
    <x v="15"/>
    <x v="1"/>
    <x v="0"/>
    <m/>
    <m/>
    <n v="-178"/>
  </r>
  <r>
    <x v="4"/>
    <x v="6"/>
    <n v="36"/>
    <s v="收到报关成功通知"/>
    <x v="15"/>
    <x v="1"/>
    <x v="0"/>
    <m/>
    <s v="一般下班前"/>
    <n v="-178"/>
  </r>
  <r>
    <x v="4"/>
    <x v="6"/>
    <n v="37"/>
    <s v="通知车队(沈丽)可进港"/>
    <x v="15"/>
    <x v="1"/>
    <x v="0"/>
    <m/>
    <m/>
    <n v="-178"/>
  </r>
  <r>
    <x v="4"/>
    <x v="6"/>
    <n v="38"/>
    <s v="盯箱子进港"/>
    <x v="12"/>
    <x v="1"/>
    <x v="0"/>
    <m/>
    <m/>
    <n v="-177"/>
  </r>
  <r>
    <x v="4"/>
    <x v="6"/>
    <n v="39"/>
    <s v="核对进港数据"/>
    <x v="12"/>
    <x v="1"/>
    <x v="0"/>
    <m/>
    <m/>
    <n v="-177"/>
  </r>
  <r>
    <x v="4"/>
    <x v="6"/>
    <n v="40"/>
    <s v="盯海放"/>
    <x v="12"/>
    <x v="1"/>
    <x v="0"/>
    <m/>
    <m/>
    <n v="-177"/>
  </r>
  <r>
    <x v="4"/>
    <x v="6"/>
    <n v="41"/>
    <s v="盯码放"/>
    <x v="12"/>
    <x v="1"/>
    <x v="0"/>
    <m/>
    <m/>
    <n v="-177"/>
  </r>
  <r>
    <x v="4"/>
    <x v="6"/>
    <n v="42"/>
    <s v="盯配载"/>
    <x v="12"/>
    <x v="1"/>
    <x v="0"/>
    <m/>
    <m/>
    <n v="-177"/>
  </r>
  <r>
    <x v="4"/>
    <x v="6"/>
    <n v="43"/>
    <s v="船开"/>
    <x v="13"/>
    <x v="1"/>
    <x v="0"/>
    <m/>
    <m/>
    <n v="-175"/>
  </r>
  <r>
    <x v="4"/>
    <x v="6"/>
    <n v="44"/>
    <s v="做费用"/>
    <x v="13"/>
    <x v="1"/>
    <x v="0"/>
    <m/>
    <m/>
    <n v="-175"/>
  </r>
  <r>
    <x v="4"/>
    <x v="6"/>
    <n v="45"/>
    <s v="发账单"/>
    <x v="13"/>
    <x v="1"/>
    <x v="0"/>
    <m/>
    <m/>
    <n v="-175"/>
  </r>
  <r>
    <x v="4"/>
    <x v="6"/>
    <n v="46"/>
    <s v="放单"/>
    <x v="16"/>
    <x v="1"/>
    <x v="0"/>
    <m/>
    <s v="一般开船后两三天"/>
    <n v="-172"/>
  </r>
  <r>
    <x v="5"/>
    <x v="6"/>
    <n v="1"/>
    <s v="收到客户托书"/>
    <x v="8"/>
    <x v="0"/>
    <x v="0"/>
    <m/>
    <m/>
    <n v="-185"/>
  </r>
  <r>
    <x v="5"/>
    <x v="6"/>
    <n v="2"/>
    <s v="生成单号，YJC系统，发EDI，邮件Neo放舱"/>
    <x v="8"/>
    <x v="0"/>
    <x v="0"/>
    <m/>
    <m/>
    <n v="-185"/>
  </r>
  <r>
    <x v="5"/>
    <x v="6"/>
    <n v="3"/>
    <s v="收到Neo放舱确认"/>
    <x v="3"/>
    <x v="0"/>
    <x v="0"/>
    <m/>
    <m/>
    <n v="-184"/>
  </r>
  <r>
    <x v="5"/>
    <x v="6"/>
    <n v="4"/>
    <s v="发预配信息给客户（张婷）"/>
    <x v="3"/>
    <x v="0"/>
    <x v="0"/>
    <m/>
    <m/>
    <n v="-184"/>
  </r>
  <r>
    <x v="5"/>
    <x v="6"/>
    <n v="5"/>
    <s v="收到客户（张婷）报关资料"/>
    <x v="11"/>
    <x v="0"/>
    <x v="0"/>
    <m/>
    <m/>
    <n v="-179"/>
  </r>
  <r>
    <x v="5"/>
    <x v="6"/>
    <n v="6"/>
    <s v="做报关资料，发报关行（黄寅文）"/>
    <x v="11"/>
    <x v="0"/>
    <x v="0"/>
    <m/>
    <m/>
    <n v="-179"/>
  </r>
  <r>
    <x v="5"/>
    <x v="6"/>
    <n v="7"/>
    <s v="收到客户（张婷）舱单模板和VGM"/>
    <x v="11"/>
    <x v="0"/>
    <x v="0"/>
    <m/>
    <m/>
    <n v="-179"/>
  </r>
  <r>
    <x v="5"/>
    <x v="6"/>
    <n v="8"/>
    <s v="发舱单和VGM"/>
    <x v="11"/>
    <x v="0"/>
    <x v="0"/>
    <m/>
    <m/>
    <n v="-179"/>
  </r>
  <r>
    <x v="5"/>
    <x v="6"/>
    <n v="9"/>
    <s v="YJC系统改准确数据，发ESI，邮件何生成提单"/>
    <x v="11"/>
    <x v="0"/>
    <x v="0"/>
    <m/>
    <m/>
    <n v="-179"/>
  </r>
  <r>
    <x v="5"/>
    <x v="6"/>
    <n v="10"/>
    <s v="收到生成提单邮件，网站核对信息"/>
    <x v="15"/>
    <x v="0"/>
    <x v="0"/>
    <m/>
    <m/>
    <n v="-178"/>
  </r>
  <r>
    <x v="5"/>
    <x v="6"/>
    <n v="11"/>
    <s v="海关有舱单，核对舱单"/>
    <x v="11"/>
    <x v="0"/>
    <x v="0"/>
    <m/>
    <m/>
    <n v="-179"/>
  </r>
  <r>
    <x v="5"/>
    <x v="6"/>
    <n v="12"/>
    <s v="有开港，通知报关"/>
    <x v="11"/>
    <x v="0"/>
    <x v="0"/>
    <m/>
    <m/>
    <n v="-179"/>
  </r>
  <r>
    <x v="5"/>
    <x v="6"/>
    <n v="13"/>
    <s v="发提单确认（两份）"/>
    <x v="15"/>
    <x v="0"/>
    <x v="0"/>
    <m/>
    <m/>
    <n v="-178"/>
  </r>
  <r>
    <x v="5"/>
    <x v="6"/>
    <n v="14"/>
    <s v="收到报关成功通知"/>
    <x v="15"/>
    <x v="0"/>
    <x v="0"/>
    <m/>
    <m/>
    <n v="-178"/>
  </r>
  <r>
    <x v="5"/>
    <x v="6"/>
    <n v="15"/>
    <s v="通知可进港"/>
    <x v="15"/>
    <x v="0"/>
    <x v="0"/>
    <m/>
    <m/>
    <n v="-178"/>
  </r>
  <r>
    <x v="5"/>
    <x v="6"/>
    <n v="16"/>
    <s v="收到客户（张婷）提单确认"/>
    <x v="15"/>
    <x v="0"/>
    <x v="0"/>
    <m/>
    <m/>
    <n v="-178"/>
  </r>
  <r>
    <x v="5"/>
    <x v="6"/>
    <n v="17"/>
    <s v="船公司发好AMS，发来信息"/>
    <x v="15"/>
    <x v="0"/>
    <x v="0"/>
    <m/>
    <m/>
    <n v="-178"/>
  </r>
  <r>
    <x v="5"/>
    <x v="6"/>
    <n v="18"/>
    <s v="收到客户寄来电放保函，盖YJC章，交师傅送胡小姐"/>
    <x v="12"/>
    <x v="0"/>
    <x v="0"/>
    <m/>
    <m/>
    <n v="-177"/>
  </r>
  <r>
    <x v="5"/>
    <x v="6"/>
    <n v="19"/>
    <s v="船开"/>
    <x v="16"/>
    <x v="0"/>
    <x v="0"/>
    <m/>
    <m/>
    <n v="-172"/>
  </r>
  <r>
    <x v="5"/>
    <x v="6"/>
    <n v="20"/>
    <s v="等船公司费用有了，和金小姐一起确定客户费用"/>
    <x v="17"/>
    <x v="0"/>
    <x v="0"/>
    <m/>
    <m/>
    <n v="-170"/>
  </r>
  <r>
    <x v="5"/>
    <x v="6"/>
    <n v="21"/>
    <s v="收到费用确认，放单"/>
    <x v="18"/>
    <x v="0"/>
    <x v="0"/>
    <m/>
    <m/>
    <n v="-165"/>
  </r>
  <r>
    <x v="5"/>
    <x v="6"/>
    <n v="22"/>
    <s v="张婷确认账单"/>
    <x v="19"/>
    <x v="0"/>
    <x v="0"/>
    <m/>
    <m/>
    <n v="-141"/>
  </r>
  <r>
    <x v="3"/>
    <x v="7"/>
    <n v="1"/>
    <s v="收到HMM Neo 下周订舱邮件"/>
    <x v="16"/>
    <x v="0"/>
    <x v="0"/>
    <m/>
    <s v="周一"/>
    <n v="-172"/>
  </r>
  <r>
    <x v="3"/>
    <x v="7"/>
    <n v="2"/>
    <s v="根据JS mobis订舱需求回Neo邮件"/>
    <x v="16"/>
    <x v="0"/>
    <x v="0"/>
    <m/>
    <s v="周一"/>
    <n v="-172"/>
  </r>
  <r>
    <x v="3"/>
    <x v="7"/>
    <n v="3"/>
    <s v="SHA GLV WORKING PROCESS"/>
    <x v="16"/>
    <x v="0"/>
    <x v="0"/>
    <m/>
    <s v="周一"/>
    <n v="-172"/>
  </r>
  <r>
    <x v="3"/>
    <x v="7"/>
    <n v="4"/>
    <s v="SHA GLV WORKING PROCESS"/>
    <x v="17"/>
    <x v="0"/>
    <x v="0"/>
    <m/>
    <s v="周三"/>
    <n v="-170"/>
  </r>
  <r>
    <x v="3"/>
    <x v="7"/>
    <n v="5"/>
    <s v="TJ glovis额外费用邮件"/>
    <x v="20"/>
    <x v="0"/>
    <x v="0"/>
    <m/>
    <s v="周五"/>
    <n v="-168"/>
  </r>
  <r>
    <x v="3"/>
    <x v="7"/>
    <n v="6"/>
    <s v="SHA GLV WORKING PROCESS"/>
    <x v="20"/>
    <x v="0"/>
    <x v="0"/>
    <m/>
    <s v="周五"/>
    <n v="-168"/>
  </r>
  <r>
    <x v="3"/>
    <x v="7"/>
    <n v="7"/>
    <s v="TJ GLV WORKING PROCESS"/>
    <x v="20"/>
    <x v="0"/>
    <x v="0"/>
    <m/>
    <s v="周五"/>
    <n v="-168"/>
  </r>
  <r>
    <x v="0"/>
    <x v="8"/>
    <n v="1"/>
    <s v="收到客户(孙丹/王珊)发来订舱托书(CK也收到)"/>
    <x v="0"/>
    <x v="0"/>
    <x v="0"/>
    <m/>
    <m/>
    <n v="-182"/>
  </r>
  <r>
    <x v="0"/>
    <x v="8"/>
    <n v="2"/>
    <s v="YJC系统生成单子"/>
    <x v="0"/>
    <x v="0"/>
    <x v="0"/>
    <m/>
    <m/>
    <n v="-182"/>
  </r>
  <r>
    <x v="0"/>
    <x v="8"/>
    <n v="3"/>
    <s v="收到CK发来预配(做箱通知)"/>
    <x v="15"/>
    <x v="0"/>
    <x v="0"/>
    <m/>
    <m/>
    <n v="-178"/>
  </r>
  <r>
    <x v="0"/>
    <x v="8"/>
    <n v="4"/>
    <s v="收到包装厂(刘倩梅)发来包装指示书和装箱计划"/>
    <x v="21"/>
    <x v="0"/>
    <x v="0"/>
    <m/>
    <s v="一般周四"/>
    <n v="-176"/>
  </r>
  <r>
    <x v="0"/>
    <x v="8"/>
    <n v="5"/>
    <s v="根据装箱计划汇总包装数据，发各工厂做报关资料"/>
    <x v="13"/>
    <x v="0"/>
    <x v="0"/>
    <m/>
    <m/>
    <n v="-175"/>
  </r>
  <r>
    <x v="0"/>
    <x v="8"/>
    <n v="6"/>
    <s v="做做箱数据，邮件群发"/>
    <x v="13"/>
    <x v="0"/>
    <x v="0"/>
    <m/>
    <m/>
    <n v="-175"/>
  </r>
  <r>
    <x v="0"/>
    <x v="8"/>
    <n v="7"/>
    <s v="收到工厂发来报关资料并完善(做报关资料跟客户确认)"/>
    <x v="13"/>
    <x v="0"/>
    <x v="0"/>
    <m/>
    <s v="当天至隔天"/>
    <n v="-175"/>
  </r>
  <r>
    <x v="0"/>
    <x v="8"/>
    <n v="8"/>
    <s v="报关资料齐了，发报关行(黄寅文)"/>
    <x v="13"/>
    <x v="0"/>
    <x v="0"/>
    <m/>
    <m/>
    <n v="-175"/>
  </r>
  <r>
    <x v="0"/>
    <x v="8"/>
    <n v="9"/>
    <s v="收到车队(沈丽)装箱单和洋山提箱截图(如有)"/>
    <x v="16"/>
    <x v="0"/>
    <x v="0"/>
    <m/>
    <s v="一般KMM五、HMI日"/>
    <n v="-172"/>
  </r>
  <r>
    <x v="0"/>
    <x v="8"/>
    <n v="10"/>
    <s v="群发装箱单和洋山提箱截图(如有)【5-20】，通知发舱单"/>
    <x v="16"/>
    <x v="0"/>
    <x v="0"/>
    <m/>
    <s v="注意截单时间"/>
    <n v="-172"/>
  </r>
  <r>
    <x v="0"/>
    <x v="8"/>
    <n v="12"/>
    <s v="收到舱单发送成功通知，核对舱单信息"/>
    <x v="16"/>
    <x v="0"/>
    <x v="0"/>
    <m/>
    <m/>
    <n v="-172"/>
  </r>
  <r>
    <x v="0"/>
    <x v="8"/>
    <n v="13"/>
    <s v="进港(核对数据)，通知报关，报关成功"/>
    <x v="16"/>
    <x v="0"/>
    <x v="0"/>
    <m/>
    <s v="根据港区"/>
    <n v="-172"/>
  </r>
  <r>
    <x v="0"/>
    <x v="8"/>
    <n v="14"/>
    <s v="海放"/>
    <x v="16"/>
    <x v="0"/>
    <x v="0"/>
    <m/>
    <m/>
    <n v="-172"/>
  </r>
  <r>
    <x v="0"/>
    <x v="8"/>
    <n v="15"/>
    <s v="码放"/>
    <x v="17"/>
    <x v="0"/>
    <x v="0"/>
    <m/>
    <m/>
    <n v="-170"/>
  </r>
  <r>
    <x v="0"/>
    <x v="8"/>
    <n v="16"/>
    <s v="配载"/>
    <x v="22"/>
    <x v="0"/>
    <x v="0"/>
    <m/>
    <m/>
    <n v="-169"/>
  </r>
  <r>
    <x v="0"/>
    <x v="8"/>
    <n v="17"/>
    <s v="船开"/>
    <x v="20"/>
    <x v="0"/>
    <x v="0"/>
    <m/>
    <m/>
    <n v="-168"/>
  </r>
  <r>
    <x v="0"/>
    <x v="8"/>
    <n v="18"/>
    <s v="做费用(对账单日期4号)，放公共盘，填月账单表，发孙丹"/>
    <x v="18"/>
    <x v="0"/>
    <x v="0"/>
    <m/>
    <m/>
    <n v="-165"/>
  </r>
  <r>
    <x v="1"/>
    <x v="8"/>
    <n v="1"/>
    <s v="收到孙丹发来订舱托书(CK也收到)"/>
    <x v="9"/>
    <x v="0"/>
    <x v="0"/>
    <m/>
    <m/>
    <n v="-183"/>
  </r>
  <r>
    <x v="1"/>
    <x v="8"/>
    <n v="2"/>
    <s v="收到CK发来预配(做箱通知)"/>
    <x v="9"/>
    <x v="0"/>
    <x v="0"/>
    <m/>
    <m/>
    <n v="-183"/>
  </r>
  <r>
    <x v="1"/>
    <x v="8"/>
    <n v="3"/>
    <s v="YJC系统生成单子"/>
    <x v="9"/>
    <x v="0"/>
    <x v="0"/>
    <m/>
    <m/>
    <n v="-183"/>
  </r>
  <r>
    <x v="1"/>
    <x v="8"/>
    <n v="4"/>
    <s v="收到包装厂(刘倩梅)发来包装指示书和装箱计划"/>
    <x v="21"/>
    <x v="0"/>
    <x v="0"/>
    <m/>
    <s v="一般周四"/>
    <n v="-176"/>
  </r>
  <r>
    <x v="1"/>
    <x v="8"/>
    <n v="5"/>
    <s v="根据装箱计划汇总包装数据，发各工厂做报关资料"/>
    <x v="21"/>
    <x v="0"/>
    <x v="0"/>
    <m/>
    <m/>
    <n v="-176"/>
  </r>
  <r>
    <x v="1"/>
    <x v="8"/>
    <n v="6"/>
    <s v="做做箱数据，邮件群发"/>
    <x v="21"/>
    <x v="0"/>
    <x v="0"/>
    <m/>
    <m/>
    <n v="-176"/>
  </r>
  <r>
    <x v="1"/>
    <x v="8"/>
    <n v="7"/>
    <s v="收到工厂发来报关资料并完善"/>
    <x v="21"/>
    <x v="0"/>
    <x v="0"/>
    <m/>
    <s v="当天至隔天"/>
    <n v="-176"/>
  </r>
  <r>
    <x v="1"/>
    <x v="8"/>
    <n v="8"/>
    <s v="报关资料齐了，发报关行(黄寅文)"/>
    <x v="21"/>
    <x v="0"/>
    <x v="0"/>
    <m/>
    <m/>
    <n v="-176"/>
  </r>
  <r>
    <x v="1"/>
    <x v="8"/>
    <n v="9"/>
    <s v="收到车队(沈丽)装箱单和洋山提箱截图(如有)"/>
    <x v="13"/>
    <x v="0"/>
    <x v="0"/>
    <m/>
    <s v="一般KMM五、HMI日"/>
    <n v="-175"/>
  </r>
  <r>
    <x v="1"/>
    <x v="8"/>
    <n v="10"/>
    <s v="群发装箱单和洋山提箱截图(如有)【5-17 17:00】"/>
    <x v="13"/>
    <x v="0"/>
    <x v="0"/>
    <m/>
    <s v="注意截单时间"/>
    <n v="-175"/>
  </r>
  <r>
    <x v="1"/>
    <x v="8"/>
    <n v="11"/>
    <s v="通知发舱单"/>
    <x v="13"/>
    <x v="0"/>
    <x v="0"/>
    <m/>
    <m/>
    <n v="-175"/>
  </r>
  <r>
    <x v="1"/>
    <x v="8"/>
    <n v="12"/>
    <s v="通知进港，进港(核对数据)，通知报关，报关成功"/>
    <x v="13"/>
    <x v="0"/>
    <x v="0"/>
    <m/>
    <s v="根据港区"/>
    <n v="-175"/>
  </r>
  <r>
    <x v="1"/>
    <x v="8"/>
    <n v="13"/>
    <s v="盯海放"/>
    <x v="16"/>
    <x v="0"/>
    <x v="0"/>
    <m/>
    <m/>
    <n v="-172"/>
  </r>
  <r>
    <x v="1"/>
    <x v="8"/>
    <n v="14"/>
    <s v="盯码放"/>
    <x v="16"/>
    <x v="0"/>
    <x v="0"/>
    <m/>
    <m/>
    <n v="-172"/>
  </r>
  <r>
    <x v="1"/>
    <x v="8"/>
    <n v="15"/>
    <s v="盯配载"/>
    <x v="23"/>
    <x v="0"/>
    <x v="0"/>
    <m/>
    <m/>
    <n v="-171"/>
  </r>
  <r>
    <x v="1"/>
    <x v="8"/>
    <n v="16"/>
    <s v="做费用(对账单日期4号)，放公共盘，填月账单表，发孙丹"/>
    <x v="17"/>
    <x v="0"/>
    <x v="0"/>
    <m/>
    <m/>
    <n v="-170"/>
  </r>
  <r>
    <x v="6"/>
    <x v="8"/>
    <n v="1"/>
    <s v="收到胡媛媛发来订舱邮件"/>
    <x v="24"/>
    <x v="0"/>
    <x v="0"/>
    <m/>
    <m/>
    <n v="-197"/>
  </r>
  <r>
    <x v="6"/>
    <x v="8"/>
    <n v="2"/>
    <s v="发订舱托书给万恒（翁小姐）"/>
    <x v="24"/>
    <x v="0"/>
    <x v="0"/>
    <m/>
    <m/>
    <n v="-197"/>
  </r>
  <r>
    <x v="6"/>
    <x v="8"/>
    <n v="3"/>
    <s v="收到万恒（翁小姐）预配"/>
    <x v="24"/>
    <x v="0"/>
    <x v="0"/>
    <m/>
    <s v="一般三小时左右"/>
    <n v="-197"/>
  </r>
  <r>
    <x v="6"/>
    <x v="8"/>
    <n v="4"/>
    <s v="通知胡媛媛订舱成功"/>
    <x v="24"/>
    <x v="0"/>
    <x v="0"/>
    <m/>
    <m/>
    <n v="-197"/>
  </r>
  <r>
    <x v="6"/>
    <x v="8"/>
    <n v="5"/>
    <s v="发做箱通知邮件给车队(沈丽)"/>
    <x v="9"/>
    <x v="0"/>
    <x v="0"/>
    <m/>
    <m/>
    <n v="-183"/>
  </r>
  <r>
    <x v="6"/>
    <x v="8"/>
    <n v="6"/>
    <s v="收到胡媛媛发来报关资料"/>
    <x v="15"/>
    <x v="0"/>
    <x v="0"/>
    <m/>
    <s v="船开前一周？"/>
    <n v="-178"/>
  </r>
  <r>
    <x v="6"/>
    <x v="8"/>
    <n v="7"/>
    <s v="完善报关资料发报关行（黄寅文），要校对稿，做做箱数据给沈丽"/>
    <x v="15"/>
    <x v="0"/>
    <x v="0"/>
    <m/>
    <m/>
    <n v="-178"/>
  </r>
  <r>
    <x v="6"/>
    <x v="8"/>
    <n v="8"/>
    <s v="买保险，做异地付款保函，发胡媛媛确认盖章回传"/>
    <x v="15"/>
    <x v="0"/>
    <x v="0"/>
    <m/>
    <m/>
    <n v="-178"/>
  </r>
  <r>
    <x v="6"/>
    <x v="8"/>
    <n v="9"/>
    <s v="收到客户（胡媛媛）发来保函扫描件"/>
    <x v="15"/>
    <x v="0"/>
    <x v="0"/>
    <m/>
    <s v="一般马上"/>
    <n v="-178"/>
  </r>
  <r>
    <x v="6"/>
    <x v="8"/>
    <n v="10"/>
    <s v="收到黄寅文校对稿，发客户（胡媛媛）确认"/>
    <x v="12"/>
    <x v="0"/>
    <x v="0"/>
    <m/>
    <s v="一般半天内"/>
    <n v="-177"/>
  </r>
  <r>
    <x v="6"/>
    <x v="8"/>
    <n v="11"/>
    <s v="收到客户（胡媛媛）确认校对稿OK"/>
    <x v="21"/>
    <x v="0"/>
    <x v="0"/>
    <m/>
    <s v="一般马上"/>
    <n v="-176"/>
  </r>
  <r>
    <x v="6"/>
    <x v="8"/>
    <n v="12"/>
    <s v="关注开港时间，跟车队（沈丽）确认明天做箱，如有变动通知胡媛媛"/>
    <x v="21"/>
    <x v="0"/>
    <x v="0"/>
    <m/>
    <s v="截单(5-17 11:00)"/>
    <n v="-176"/>
  </r>
  <r>
    <x v="6"/>
    <x v="8"/>
    <n v="13"/>
    <s v="收到沈丽发来装箱单"/>
    <x v="13"/>
    <x v="0"/>
    <x v="0"/>
    <m/>
    <s v="截单当天"/>
    <n v="-175"/>
  </r>
  <r>
    <x v="6"/>
    <x v="8"/>
    <n v="14"/>
    <s v="完善截单资料发万恒（翁小姐），请求发舱单"/>
    <x v="13"/>
    <x v="0"/>
    <x v="0"/>
    <m/>
    <m/>
    <n v="-175"/>
  </r>
  <r>
    <x v="6"/>
    <x v="8"/>
    <n v="15"/>
    <s v="收到舱单发送通知，核对舱单，装箱单发报关行报关"/>
    <x v="13"/>
    <x v="0"/>
    <x v="0"/>
    <m/>
    <m/>
    <n v="-175"/>
  </r>
  <r>
    <x v="6"/>
    <x v="8"/>
    <n v="16"/>
    <s v="请求万恒（翁小姐）发提单样本"/>
    <x v="16"/>
    <x v="0"/>
    <x v="0"/>
    <m/>
    <m/>
    <n v="-172"/>
  </r>
  <r>
    <x v="6"/>
    <x v="8"/>
    <n v="17"/>
    <s v="收到万恒（翁小姐）发来提单样本，发胡媛媛确认"/>
    <x v="16"/>
    <x v="0"/>
    <x v="0"/>
    <m/>
    <m/>
    <n v="-172"/>
  </r>
  <r>
    <x v="6"/>
    <x v="8"/>
    <n v="18"/>
    <s v="收到胡媛媛提单确认"/>
    <x v="16"/>
    <x v="0"/>
    <x v="0"/>
    <m/>
    <m/>
    <n v="-172"/>
  </r>
  <r>
    <x v="6"/>
    <x v="8"/>
    <n v="19"/>
    <s v="收到报关成功通知，通知车队可进港 "/>
    <x v="13"/>
    <x v="0"/>
    <x v="0"/>
    <m/>
    <m/>
    <n v="-175"/>
  </r>
  <r>
    <x v="6"/>
    <x v="8"/>
    <n v="20"/>
    <s v="进港，核对数据"/>
    <x v="13"/>
    <x v="0"/>
    <x v="0"/>
    <m/>
    <m/>
    <n v="-175"/>
  </r>
  <r>
    <x v="6"/>
    <x v="8"/>
    <n v="21"/>
    <s v="海放"/>
    <x v="16"/>
    <x v="0"/>
    <x v="0"/>
    <m/>
    <m/>
    <n v="-172"/>
  </r>
  <r>
    <x v="6"/>
    <x v="8"/>
    <n v="22"/>
    <s v="码放"/>
    <x v="16"/>
    <x v="0"/>
    <x v="0"/>
    <m/>
    <m/>
    <n v="-172"/>
  </r>
  <r>
    <x v="6"/>
    <x v="8"/>
    <n v="23"/>
    <s v="配载"/>
    <x v="23"/>
    <x v="0"/>
    <x v="0"/>
    <m/>
    <m/>
    <n v="-171"/>
  </r>
  <r>
    <x v="6"/>
    <x v="8"/>
    <n v="24"/>
    <s v="开船"/>
    <x v="17"/>
    <x v="0"/>
    <x v="0"/>
    <m/>
    <m/>
    <n v="-170"/>
  </r>
  <r>
    <x v="6"/>
    <x v="8"/>
    <n v="25"/>
    <s v="做费用，发账单给谢梦婕"/>
    <x v="17"/>
    <x v="0"/>
    <x v="0"/>
    <m/>
    <m/>
    <n v="-170"/>
  </r>
  <r>
    <x v="6"/>
    <x v="8"/>
    <n v="26"/>
    <s v="收到万恒（翁小姐）提单，放提单和预录单给胡媛媛"/>
    <x v="22"/>
    <x v="0"/>
    <x v="0"/>
    <m/>
    <m/>
    <n v="-169"/>
  </r>
  <r>
    <x v="4"/>
    <x v="9"/>
    <n v="1"/>
    <s v="收到客户(周嘉敏)订舱预报"/>
    <x v="0"/>
    <x v="0"/>
    <x v="0"/>
    <m/>
    <s v="一般周五发隔周"/>
    <n v="-182"/>
  </r>
  <r>
    <x v="4"/>
    <x v="9"/>
    <n v="2"/>
    <s v="填WORKING PROCESS"/>
    <x v="0"/>
    <x v="0"/>
    <x v="0"/>
    <m/>
    <m/>
    <n v="-182"/>
  </r>
  <r>
    <x v="4"/>
    <x v="9"/>
    <n v="3"/>
    <s v="收到HMM(Neo)预订舱邮件通知"/>
    <x v="11"/>
    <x v="0"/>
    <x v="0"/>
    <m/>
    <s v="一般周一发下周"/>
    <n v="-179"/>
  </r>
  <r>
    <x v="4"/>
    <x v="9"/>
    <n v="4"/>
    <s v="回复HMM(Neo)预订舱邮件"/>
    <x v="11"/>
    <x v="0"/>
    <x v="0"/>
    <m/>
    <m/>
    <n v="-179"/>
  </r>
  <r>
    <x v="4"/>
    <x v="9"/>
    <n v="5"/>
    <s v="收到HMM(Neo)预订舱确认"/>
    <x v="15"/>
    <x v="0"/>
    <x v="0"/>
    <m/>
    <s v="一般马上"/>
    <n v="-178"/>
  </r>
  <r>
    <x v="4"/>
    <x v="9"/>
    <n v="6"/>
    <s v="公共盘生成提单号"/>
    <x v="15"/>
    <x v="0"/>
    <x v="0"/>
    <m/>
    <m/>
    <n v="-178"/>
  </r>
  <r>
    <x v="4"/>
    <x v="9"/>
    <n v="7"/>
    <s v="YJC系统生成单子"/>
    <x v="15"/>
    <x v="0"/>
    <x v="0"/>
    <m/>
    <m/>
    <n v="-178"/>
  </r>
  <r>
    <x v="4"/>
    <x v="9"/>
    <n v="8"/>
    <s v="发EDI"/>
    <x v="15"/>
    <x v="0"/>
    <x v="0"/>
    <m/>
    <m/>
    <n v="-178"/>
  </r>
  <r>
    <x v="4"/>
    <x v="9"/>
    <n v="9"/>
    <s v="邮件申请放单"/>
    <x v="15"/>
    <x v="0"/>
    <x v="0"/>
    <m/>
    <m/>
    <n v="-178"/>
  </r>
  <r>
    <x v="4"/>
    <x v="9"/>
    <n v="10"/>
    <s v="收到HMM(Neo) 放单确认"/>
    <x v="12"/>
    <x v="0"/>
    <x v="0"/>
    <m/>
    <s v="一般半天内"/>
    <n v="-177"/>
  </r>
  <r>
    <x v="4"/>
    <x v="9"/>
    <n v="11"/>
    <s v="HMM网站核对订舱信息"/>
    <x v="12"/>
    <x v="0"/>
    <x v="0"/>
    <m/>
    <m/>
    <n v="-177"/>
  </r>
  <r>
    <x v="4"/>
    <x v="9"/>
    <n v="13"/>
    <s v="收到客户(周嘉敏)做箱通知"/>
    <x v="16"/>
    <x v="0"/>
    <x v="0"/>
    <m/>
    <s v="一般做箱头天一早"/>
    <n v="-172"/>
  </r>
  <r>
    <x v="4"/>
    <x v="9"/>
    <n v="14"/>
    <s v="发做箱通知邮件给车队(沈丽)"/>
    <x v="16"/>
    <x v="0"/>
    <x v="0"/>
    <m/>
    <m/>
    <n v="-172"/>
  </r>
  <r>
    <x v="4"/>
    <x v="9"/>
    <n v="15"/>
    <s v="公共盘生成提单号【如需拆单】"/>
    <x v="16"/>
    <x v="0"/>
    <x v="0"/>
    <m/>
    <m/>
    <n v="-172"/>
  </r>
  <r>
    <x v="4"/>
    <x v="9"/>
    <n v="16"/>
    <s v="YJC系统生成单子【如需拆单】"/>
    <x v="16"/>
    <x v="0"/>
    <x v="0"/>
    <m/>
    <m/>
    <n v="-172"/>
  </r>
  <r>
    <x v="4"/>
    <x v="9"/>
    <n v="17"/>
    <s v="发EDI【如需拆单】"/>
    <x v="16"/>
    <x v="0"/>
    <x v="0"/>
    <m/>
    <m/>
    <n v="-172"/>
  </r>
  <r>
    <x v="4"/>
    <x v="9"/>
    <n v="18"/>
    <s v="邮件申请放单【如需拆单】"/>
    <x v="16"/>
    <x v="0"/>
    <x v="0"/>
    <m/>
    <m/>
    <n v="-172"/>
  </r>
  <r>
    <x v="4"/>
    <x v="9"/>
    <n v="19"/>
    <s v="收到HMM(Neo) 放单确认【如需拆单】"/>
    <x v="16"/>
    <x v="0"/>
    <x v="0"/>
    <m/>
    <m/>
    <n v="-172"/>
  </r>
  <r>
    <x v="4"/>
    <x v="9"/>
    <n v="20"/>
    <s v="HMM网站核对订舱信息【如需拆单】"/>
    <x v="16"/>
    <x v="0"/>
    <x v="0"/>
    <m/>
    <m/>
    <n v="-172"/>
  </r>
  <r>
    <x v="4"/>
    <x v="9"/>
    <n v="20.100000000000001"/>
    <s v="明天盐城能装？"/>
    <x v="13"/>
    <x v="0"/>
    <x v="0"/>
    <m/>
    <m/>
    <n v="-175"/>
  </r>
  <r>
    <x v="4"/>
    <x v="9"/>
    <n v="21"/>
    <s v="收到客户(徐贵)发来做箱数据(报关资料)"/>
    <x v="23"/>
    <x v="0"/>
    <x v="0"/>
    <m/>
    <s v="一般做箱当天一早"/>
    <n v="-171"/>
  </r>
  <r>
    <x v="4"/>
    <x v="9"/>
    <n v="22"/>
    <s v="按报关(发票)数生成提单号【如发票数超过提单数】"/>
    <x v="23"/>
    <x v="0"/>
    <x v="0"/>
    <m/>
    <m/>
    <n v="-171"/>
  </r>
  <r>
    <x v="4"/>
    <x v="9"/>
    <n v="23"/>
    <s v="做做箱数据，QQ发车队(沈丽)"/>
    <x v="23"/>
    <x v="0"/>
    <x v="0"/>
    <m/>
    <m/>
    <n v="-171"/>
  </r>
  <r>
    <x v="4"/>
    <x v="9"/>
    <n v="24"/>
    <s v="做报关资料，扫描发报关行(黄寅文)QQ"/>
    <x v="23"/>
    <x v="0"/>
    <x v="0"/>
    <m/>
    <m/>
    <n v="-171"/>
  </r>
  <r>
    <x v="4"/>
    <x v="9"/>
    <n v="25"/>
    <s v="收到车队(沈丽)装箱单"/>
    <x v="23"/>
    <x v="0"/>
    <x v="0"/>
    <m/>
    <s v="一般马上"/>
    <n v="-171"/>
  </r>
  <r>
    <x v="4"/>
    <x v="9"/>
    <n v="26"/>
    <s v="YJC系统截单，发EDI，邮件HMM(He)【5-21 周二 12:00】"/>
    <x v="23"/>
    <x v="0"/>
    <x v="0"/>
    <m/>
    <s v="注意截单时间"/>
    <n v="-171"/>
  </r>
  <r>
    <x v="4"/>
    <x v="9"/>
    <n v="27"/>
    <s v="做保函给邹师傅"/>
    <x v="23"/>
    <x v="0"/>
    <x v="0"/>
    <m/>
    <m/>
    <n v="-171"/>
  </r>
  <r>
    <x v="4"/>
    <x v="9"/>
    <n v="28"/>
    <s v="发VGM和舱单"/>
    <x v="23"/>
    <x v="0"/>
    <x v="0"/>
    <m/>
    <m/>
    <n v="-171"/>
  </r>
  <r>
    <x v="4"/>
    <x v="9"/>
    <n v="29"/>
    <s v="做ISF，发国外资料"/>
    <x v="23"/>
    <x v="0"/>
    <x v="0"/>
    <m/>
    <m/>
    <n v="-171"/>
  </r>
  <r>
    <x v="4"/>
    <x v="9"/>
    <n v="30"/>
    <s v="买保险"/>
    <x v="23"/>
    <x v="0"/>
    <x v="0"/>
    <m/>
    <m/>
    <n v="-171"/>
  </r>
  <r>
    <x v="4"/>
    <x v="9"/>
    <n v="31"/>
    <s v="填WORKING PROCESS"/>
    <x v="23"/>
    <x v="0"/>
    <x v="0"/>
    <m/>
    <m/>
    <n v="-171"/>
  </r>
  <r>
    <x v="4"/>
    <x v="9"/>
    <n v="32"/>
    <s v="收到HMM(He)生成提单通知"/>
    <x v="23"/>
    <x v="0"/>
    <x v="0"/>
    <m/>
    <s v="一般马上"/>
    <n v="-171"/>
  </r>
  <r>
    <x v="4"/>
    <x v="9"/>
    <n v="33"/>
    <s v="HMM网站核对提单信息"/>
    <x v="23"/>
    <x v="0"/>
    <x v="0"/>
    <m/>
    <m/>
    <n v="-171"/>
  </r>
  <r>
    <x v="4"/>
    <x v="9"/>
    <n v="34"/>
    <s v="盯海关网站舱单"/>
    <x v="23"/>
    <x v="0"/>
    <x v="0"/>
    <m/>
    <s v="一般两小时左右"/>
    <n v="-171"/>
  </r>
  <r>
    <x v="4"/>
    <x v="9"/>
    <n v="35"/>
    <s v="核对舱单信息"/>
    <x v="23"/>
    <x v="0"/>
    <x v="0"/>
    <m/>
    <m/>
    <n v="-171"/>
  </r>
  <r>
    <x v="4"/>
    <x v="9"/>
    <n v="36"/>
    <s v="收到报关行(黄寅文)校对稿，邮件发客户(徐贵)确认"/>
    <x v="23"/>
    <x v="0"/>
    <x v="0"/>
    <m/>
    <s v="一般半天内"/>
    <n v="-171"/>
  </r>
  <r>
    <x v="4"/>
    <x v="9"/>
    <n v="37"/>
    <s v="收到客户(徐贵)确认校对稿，通知报关行(黄寅文)"/>
    <x v="23"/>
    <x v="0"/>
    <x v="0"/>
    <m/>
    <s v="一般马上"/>
    <n v="-171"/>
  </r>
  <r>
    <x v="4"/>
    <x v="9"/>
    <n v="38"/>
    <s v="通知报关行(黄寅文)报关(开港、舱单、校对)"/>
    <x v="23"/>
    <x v="0"/>
    <x v="0"/>
    <m/>
    <m/>
    <n v="-171"/>
  </r>
  <r>
    <x v="4"/>
    <x v="9"/>
    <n v="39"/>
    <s v="收到报关成功通知"/>
    <x v="23"/>
    <x v="0"/>
    <x v="0"/>
    <m/>
    <s v="一般下班前"/>
    <n v="-171"/>
  </r>
  <r>
    <x v="4"/>
    <x v="9"/>
    <n v="40"/>
    <s v="通知车队(沈丽)可进港"/>
    <x v="23"/>
    <x v="0"/>
    <x v="0"/>
    <m/>
    <m/>
    <n v="-171"/>
  </r>
  <r>
    <x v="4"/>
    <x v="9"/>
    <n v="41"/>
    <s v="盯箱子进港"/>
    <x v="17"/>
    <x v="0"/>
    <x v="0"/>
    <m/>
    <m/>
    <n v="-170"/>
  </r>
  <r>
    <x v="4"/>
    <x v="9"/>
    <n v="42"/>
    <s v="核对进港数据"/>
    <x v="17"/>
    <x v="0"/>
    <x v="0"/>
    <m/>
    <m/>
    <n v="-170"/>
  </r>
  <r>
    <x v="4"/>
    <x v="9"/>
    <n v="43"/>
    <s v="盯海放"/>
    <x v="17"/>
    <x v="0"/>
    <x v="0"/>
    <m/>
    <m/>
    <n v="-170"/>
  </r>
  <r>
    <x v="4"/>
    <x v="9"/>
    <n v="44"/>
    <s v="盯码放"/>
    <x v="17"/>
    <x v="0"/>
    <x v="0"/>
    <m/>
    <m/>
    <n v="-170"/>
  </r>
  <r>
    <x v="4"/>
    <x v="9"/>
    <n v="45"/>
    <s v="盯配载"/>
    <x v="22"/>
    <x v="0"/>
    <x v="0"/>
    <m/>
    <m/>
    <n v="-169"/>
  </r>
  <r>
    <x v="4"/>
    <x v="9"/>
    <n v="46"/>
    <s v="做费用"/>
    <x v="18"/>
    <x v="0"/>
    <x v="0"/>
    <m/>
    <m/>
    <n v="-165"/>
  </r>
  <r>
    <x v="4"/>
    <x v="9"/>
    <n v="47"/>
    <s v="发账单"/>
    <x v="18"/>
    <x v="0"/>
    <x v="0"/>
    <m/>
    <m/>
    <n v="-165"/>
  </r>
  <r>
    <x v="4"/>
    <x v="9"/>
    <n v="48"/>
    <s v="船开"/>
    <x v="25"/>
    <x v="0"/>
    <x v="0"/>
    <m/>
    <m/>
    <n v="-167"/>
  </r>
  <r>
    <x v="4"/>
    <x v="9"/>
    <n v="49"/>
    <s v="放单"/>
    <x v="18"/>
    <x v="0"/>
    <x v="0"/>
    <m/>
    <s v="一般开船后两三天"/>
    <n v="-165"/>
  </r>
  <r>
    <x v="4"/>
    <x v="9"/>
    <n v="50"/>
    <s v="跟常靓确认修改后的保单"/>
    <x v="26"/>
    <x v="0"/>
    <x v="0"/>
    <m/>
    <m/>
    <n v="-156"/>
  </r>
  <r>
    <x v="3"/>
    <x v="10"/>
    <n v="1"/>
    <s v="收到HMM Neo 下周订舱邮件"/>
    <x v="18"/>
    <x v="0"/>
    <x v="0"/>
    <m/>
    <s v="周一"/>
    <n v="-165"/>
  </r>
  <r>
    <x v="3"/>
    <x v="10"/>
    <n v="2"/>
    <s v="根据JS mobis订舱需求回Neo邮件"/>
    <x v="18"/>
    <x v="0"/>
    <x v="0"/>
    <m/>
    <s v="周一"/>
    <n v="-165"/>
  </r>
  <r>
    <x v="3"/>
    <x v="10"/>
    <n v="3"/>
    <s v="SHA GLV WORKING PROCESS"/>
    <x v="18"/>
    <x v="0"/>
    <x v="0"/>
    <m/>
    <s v="周一"/>
    <n v="-165"/>
  </r>
  <r>
    <x v="3"/>
    <x v="10"/>
    <n v="4"/>
    <s v="SHA GLV WORKING PROCESS"/>
    <x v="1"/>
    <x v="0"/>
    <x v="0"/>
    <m/>
    <s v="周三"/>
    <n v="-163"/>
  </r>
  <r>
    <x v="3"/>
    <x v="10"/>
    <n v="5"/>
    <s v="TJ glovis额外费用邮件"/>
    <x v="27"/>
    <x v="0"/>
    <x v="0"/>
    <m/>
    <s v="周五"/>
    <n v="-161"/>
  </r>
  <r>
    <x v="3"/>
    <x v="10"/>
    <n v="6"/>
    <s v="SHA GLV WORKING PROCESS"/>
    <x v="27"/>
    <x v="0"/>
    <x v="0"/>
    <m/>
    <s v="周五"/>
    <n v="-161"/>
  </r>
  <r>
    <x v="3"/>
    <x v="10"/>
    <n v="7"/>
    <s v="TJ GLV WORKING PROCESS"/>
    <x v="27"/>
    <x v="0"/>
    <x v="0"/>
    <m/>
    <s v="周五"/>
    <n v="-161"/>
  </r>
  <r>
    <x v="4"/>
    <x v="11"/>
    <n v="1"/>
    <s v="收到客户(周嘉敏)订舱预报"/>
    <x v="0"/>
    <x v="0"/>
    <x v="0"/>
    <m/>
    <s v="一般周五发隔周"/>
    <n v="-182"/>
  </r>
  <r>
    <x v="4"/>
    <x v="11"/>
    <n v="2"/>
    <s v="填WORKING PROCESS"/>
    <x v="15"/>
    <x v="0"/>
    <x v="0"/>
    <m/>
    <m/>
    <n v="-178"/>
  </r>
  <r>
    <x v="4"/>
    <x v="11"/>
    <n v="3"/>
    <s v="收到HMM(Neo)预订舱邮件通知"/>
    <x v="15"/>
    <x v="0"/>
    <x v="0"/>
    <m/>
    <s v="一般周一发下周"/>
    <n v="-178"/>
  </r>
  <r>
    <x v="4"/>
    <x v="11"/>
    <n v="4"/>
    <s v="回复HMM(Neo)预订舱邮件"/>
    <x v="15"/>
    <x v="0"/>
    <x v="0"/>
    <m/>
    <m/>
    <n v="-178"/>
  </r>
  <r>
    <x v="4"/>
    <x v="11"/>
    <n v="5"/>
    <s v="收到HMM(Neo)预订舱确认"/>
    <x v="15"/>
    <x v="0"/>
    <x v="0"/>
    <m/>
    <s v="一般马上"/>
    <n v="-178"/>
  </r>
  <r>
    <x v="4"/>
    <x v="11"/>
    <n v="6"/>
    <s v="公共盘生成提单号"/>
    <x v="15"/>
    <x v="0"/>
    <x v="0"/>
    <m/>
    <m/>
    <n v="-178"/>
  </r>
  <r>
    <x v="4"/>
    <x v="11"/>
    <n v="7"/>
    <s v="YJC系统生成单子"/>
    <x v="15"/>
    <x v="0"/>
    <x v="0"/>
    <m/>
    <m/>
    <n v="-178"/>
  </r>
  <r>
    <x v="4"/>
    <x v="11"/>
    <n v="8"/>
    <s v="发EDI"/>
    <x v="15"/>
    <x v="0"/>
    <x v="0"/>
    <m/>
    <m/>
    <n v="-178"/>
  </r>
  <r>
    <x v="4"/>
    <x v="11"/>
    <n v="9"/>
    <s v="邮件申请放单"/>
    <x v="15"/>
    <x v="0"/>
    <x v="0"/>
    <m/>
    <m/>
    <n v="-178"/>
  </r>
  <r>
    <x v="4"/>
    <x v="11"/>
    <n v="10"/>
    <s v="收到HMM(Neo) 放单确认"/>
    <x v="12"/>
    <x v="0"/>
    <x v="0"/>
    <m/>
    <s v="一般半天内"/>
    <n v="-177"/>
  </r>
  <r>
    <x v="4"/>
    <x v="11"/>
    <n v="11"/>
    <s v="HMM网站核对订舱信息"/>
    <x v="12"/>
    <x v="0"/>
    <x v="0"/>
    <m/>
    <m/>
    <n v="-177"/>
  </r>
  <r>
    <x v="4"/>
    <x v="11"/>
    <n v="12"/>
    <s v="收到客户(徐贵)做箱通知(5-24截单)"/>
    <x v="22"/>
    <x v="0"/>
    <x v="0"/>
    <m/>
    <s v="一般做箱头天一早"/>
    <n v="-169"/>
  </r>
  <r>
    <x v="4"/>
    <x v="11"/>
    <n v="13"/>
    <s v="发做箱通知邮件给车队(沈丽)"/>
    <x v="22"/>
    <x v="0"/>
    <x v="0"/>
    <m/>
    <m/>
    <n v="-169"/>
  </r>
  <r>
    <x v="4"/>
    <x v="11"/>
    <n v="15"/>
    <s v="公共盘生成提单号【如需拆单】"/>
    <x v="22"/>
    <x v="0"/>
    <x v="0"/>
    <m/>
    <m/>
    <n v="-169"/>
  </r>
  <r>
    <x v="4"/>
    <x v="11"/>
    <n v="16"/>
    <s v="YJC系统生成单子【如需拆单】"/>
    <x v="22"/>
    <x v="0"/>
    <x v="0"/>
    <m/>
    <m/>
    <n v="-169"/>
  </r>
  <r>
    <x v="4"/>
    <x v="11"/>
    <n v="17"/>
    <s v="发EDI【如需拆单】"/>
    <x v="22"/>
    <x v="0"/>
    <x v="0"/>
    <m/>
    <m/>
    <n v="-169"/>
  </r>
  <r>
    <x v="4"/>
    <x v="11"/>
    <n v="18"/>
    <s v="邮件申请放单【如需拆单】"/>
    <x v="22"/>
    <x v="0"/>
    <x v="0"/>
    <m/>
    <m/>
    <n v="-169"/>
  </r>
  <r>
    <x v="4"/>
    <x v="11"/>
    <n v="19"/>
    <s v="收到HMM(Neo) 放单确认【如需拆单】"/>
    <x v="22"/>
    <x v="0"/>
    <x v="0"/>
    <m/>
    <m/>
    <n v="-169"/>
  </r>
  <r>
    <x v="4"/>
    <x v="11"/>
    <n v="20"/>
    <s v="HMM网站核对订舱信息【如需拆单】"/>
    <x v="22"/>
    <x v="0"/>
    <x v="0"/>
    <m/>
    <m/>
    <n v="-169"/>
  </r>
  <r>
    <x v="4"/>
    <x v="11"/>
    <n v="21"/>
    <s v="收到客户(徐贵)发来做箱数据(报关资料)"/>
    <x v="20"/>
    <x v="0"/>
    <x v="0"/>
    <m/>
    <s v="一般做箱当天一早"/>
    <n v="-168"/>
  </r>
  <r>
    <x v="4"/>
    <x v="11"/>
    <n v="22"/>
    <s v="按报关(发票)数生成提单号【如发票数超过提单数】"/>
    <x v="20"/>
    <x v="0"/>
    <x v="0"/>
    <m/>
    <m/>
    <n v="-168"/>
  </r>
  <r>
    <x v="4"/>
    <x v="11"/>
    <n v="23"/>
    <s v="做做箱数据，QQ发车队(沈丽)"/>
    <x v="20"/>
    <x v="0"/>
    <x v="0"/>
    <m/>
    <m/>
    <n v="-168"/>
  </r>
  <r>
    <x v="4"/>
    <x v="11"/>
    <n v="24"/>
    <s v="做报关资料，扫描发报关行(黄寅文)QQ"/>
    <x v="20"/>
    <x v="0"/>
    <x v="0"/>
    <m/>
    <m/>
    <n v="-168"/>
  </r>
  <r>
    <x v="4"/>
    <x v="11"/>
    <n v="25"/>
    <s v="收到车队(沈丽)装箱单"/>
    <x v="20"/>
    <x v="0"/>
    <x v="0"/>
    <m/>
    <s v="一般马上"/>
    <n v="-168"/>
  </r>
  <r>
    <x v="4"/>
    <x v="11"/>
    <n v="26"/>
    <s v="YJC系统截单，发EDI，邮件HMM(He)【5-24 12:00】"/>
    <x v="20"/>
    <x v="0"/>
    <x v="0"/>
    <m/>
    <s v="注意截单时间"/>
    <n v="-168"/>
  </r>
  <r>
    <x v="4"/>
    <x v="11"/>
    <n v="27"/>
    <s v="做保函给邹师傅"/>
    <x v="20"/>
    <x v="0"/>
    <x v="0"/>
    <m/>
    <m/>
    <n v="-168"/>
  </r>
  <r>
    <x v="4"/>
    <x v="11"/>
    <n v="28"/>
    <s v="发VGM和舱单"/>
    <x v="20"/>
    <x v="0"/>
    <x v="0"/>
    <m/>
    <m/>
    <n v="-168"/>
  </r>
  <r>
    <x v="4"/>
    <x v="11"/>
    <n v="29"/>
    <s v="做ISF，发国外资料"/>
    <x v="20"/>
    <x v="0"/>
    <x v="0"/>
    <m/>
    <m/>
    <n v="-168"/>
  </r>
  <r>
    <x v="4"/>
    <x v="11"/>
    <n v="30"/>
    <s v="买保险"/>
    <x v="20"/>
    <x v="0"/>
    <x v="0"/>
    <m/>
    <m/>
    <n v="-168"/>
  </r>
  <r>
    <x v="4"/>
    <x v="11"/>
    <n v="31"/>
    <s v="填WORKING PROCESS"/>
    <x v="20"/>
    <x v="0"/>
    <x v="0"/>
    <m/>
    <m/>
    <n v="-168"/>
  </r>
  <r>
    <x v="4"/>
    <x v="11"/>
    <n v="32"/>
    <s v="收到HMM(He)生成提单通知"/>
    <x v="20"/>
    <x v="0"/>
    <x v="0"/>
    <m/>
    <s v="一般马上"/>
    <n v="-168"/>
  </r>
  <r>
    <x v="4"/>
    <x v="11"/>
    <n v="33"/>
    <s v="HMM网站核对提单信息"/>
    <x v="20"/>
    <x v="0"/>
    <x v="0"/>
    <m/>
    <m/>
    <n v="-168"/>
  </r>
  <r>
    <x v="4"/>
    <x v="11"/>
    <n v="34"/>
    <s v="盯海关网站舱单"/>
    <x v="20"/>
    <x v="0"/>
    <x v="0"/>
    <m/>
    <s v="一般两小时左右"/>
    <n v="-168"/>
  </r>
  <r>
    <x v="4"/>
    <x v="11"/>
    <n v="35"/>
    <s v="核对舱单信息"/>
    <x v="20"/>
    <x v="0"/>
    <x v="0"/>
    <m/>
    <m/>
    <n v="-168"/>
  </r>
  <r>
    <x v="4"/>
    <x v="11"/>
    <n v="36"/>
    <s v="收到报关行(黄寅文)校对稿，邮件发客户(徐贵)确认"/>
    <x v="20"/>
    <x v="0"/>
    <x v="0"/>
    <m/>
    <s v="一般半天内"/>
    <n v="-168"/>
  </r>
  <r>
    <x v="4"/>
    <x v="11"/>
    <n v="37"/>
    <s v="收到客户(徐贵)确认校对稿"/>
    <x v="25"/>
    <x v="0"/>
    <x v="0"/>
    <m/>
    <s v="一般马上"/>
    <n v="-167"/>
  </r>
  <r>
    <x v="4"/>
    <x v="11"/>
    <n v="38"/>
    <s v="通知车队(沈丽)可进港"/>
    <x v="20"/>
    <x v="0"/>
    <x v="0"/>
    <m/>
    <m/>
    <n v="-168"/>
  </r>
  <r>
    <x v="4"/>
    <x v="11"/>
    <n v="39"/>
    <s v="盯箱子进港"/>
    <x v="25"/>
    <x v="0"/>
    <x v="0"/>
    <m/>
    <m/>
    <n v="-167"/>
  </r>
  <r>
    <x v="4"/>
    <x v="11"/>
    <n v="40"/>
    <s v="核对进港数据"/>
    <x v="25"/>
    <x v="0"/>
    <x v="0"/>
    <m/>
    <m/>
    <n v="-167"/>
  </r>
  <r>
    <x v="4"/>
    <x v="11"/>
    <n v="41"/>
    <s v="通知报关行(黄寅文)报关(开港、舱单、校对)"/>
    <x v="25"/>
    <x v="0"/>
    <x v="0"/>
    <m/>
    <m/>
    <n v="-167"/>
  </r>
  <r>
    <x v="4"/>
    <x v="11"/>
    <n v="42"/>
    <s v="收到报关成功通知"/>
    <x v="25"/>
    <x v="0"/>
    <x v="0"/>
    <m/>
    <s v="一般下班前"/>
    <n v="-167"/>
  </r>
  <r>
    <x v="4"/>
    <x v="11"/>
    <n v="43"/>
    <s v="盯海放"/>
    <x v="25"/>
    <x v="0"/>
    <x v="0"/>
    <m/>
    <m/>
    <n v="-167"/>
  </r>
  <r>
    <x v="4"/>
    <x v="11"/>
    <n v="44"/>
    <s v="盯码放"/>
    <x v="18"/>
    <x v="0"/>
    <x v="0"/>
    <m/>
    <m/>
    <n v="-165"/>
  </r>
  <r>
    <x v="4"/>
    <x v="11"/>
    <n v="45"/>
    <s v="盯配载"/>
    <x v="18"/>
    <x v="0"/>
    <x v="0"/>
    <m/>
    <m/>
    <n v="-165"/>
  </r>
  <r>
    <x v="4"/>
    <x v="11"/>
    <n v="46"/>
    <s v="船开，放单"/>
    <x v="1"/>
    <x v="0"/>
    <x v="0"/>
    <m/>
    <m/>
    <n v="-163"/>
  </r>
  <r>
    <x v="4"/>
    <x v="11"/>
    <n v="47"/>
    <s v="做费用"/>
    <x v="18"/>
    <x v="0"/>
    <x v="0"/>
    <m/>
    <m/>
    <n v="-165"/>
  </r>
  <r>
    <x v="4"/>
    <x v="11"/>
    <n v="48"/>
    <s v="发账单"/>
    <x v="18"/>
    <x v="0"/>
    <x v="0"/>
    <m/>
    <m/>
    <n v="-165"/>
  </r>
  <r>
    <x v="4"/>
    <x v="11"/>
    <n v="49"/>
    <s v="开航日期应为5-28左右，跟常靓确认要不要改"/>
    <x v="26"/>
    <x v="0"/>
    <x v="0"/>
    <m/>
    <m/>
    <n v="-156"/>
  </r>
  <r>
    <x v="5"/>
    <x v="11"/>
    <n v="1"/>
    <s v="收到客户托书"/>
    <x v="12"/>
    <x v="0"/>
    <x v="0"/>
    <m/>
    <m/>
    <n v="-177"/>
  </r>
  <r>
    <x v="5"/>
    <x v="11"/>
    <n v="2"/>
    <s v="生成单号，YJC系统，发EDI，邮件Neo放舱"/>
    <x v="12"/>
    <x v="0"/>
    <x v="0"/>
    <m/>
    <m/>
    <n v="-177"/>
  </r>
  <r>
    <x v="5"/>
    <x v="11"/>
    <n v="3"/>
    <s v="收到Neo放舱确认"/>
    <x v="21"/>
    <x v="0"/>
    <x v="0"/>
    <m/>
    <m/>
    <n v="-176"/>
  </r>
  <r>
    <x v="5"/>
    <x v="11"/>
    <n v="4"/>
    <s v="发预配信息给客户（张婷）"/>
    <x v="21"/>
    <x v="0"/>
    <x v="0"/>
    <m/>
    <m/>
    <n v="-176"/>
  </r>
  <r>
    <x v="5"/>
    <x v="11"/>
    <n v="5"/>
    <s v="收到客户（张婷）报关资料"/>
    <x v="17"/>
    <x v="0"/>
    <x v="0"/>
    <m/>
    <m/>
    <n v="-170"/>
  </r>
  <r>
    <x v="5"/>
    <x v="11"/>
    <n v="6"/>
    <s v="做报关资料，发报关行（黄寅文），要校对稿"/>
    <x v="17"/>
    <x v="0"/>
    <x v="0"/>
    <m/>
    <m/>
    <n v="-170"/>
  </r>
  <r>
    <x v="5"/>
    <x v="11"/>
    <n v="7"/>
    <s v="收到校对稿，发客户"/>
    <x v="22"/>
    <x v="0"/>
    <x v="0"/>
    <m/>
    <m/>
    <n v="-169"/>
  </r>
  <r>
    <x v="5"/>
    <x v="11"/>
    <n v="8"/>
    <s v="收到校对稿确认"/>
    <x v="22"/>
    <x v="0"/>
    <x v="0"/>
    <m/>
    <m/>
    <n v="-169"/>
  </r>
  <r>
    <x v="5"/>
    <x v="11"/>
    <n v="9"/>
    <s v="收到客户（张婷）舱单模板和VGM"/>
    <x v="20"/>
    <x v="0"/>
    <x v="0"/>
    <m/>
    <s v="今天能放箱装？"/>
    <n v="-168"/>
  </r>
  <r>
    <x v="5"/>
    <x v="11"/>
    <n v="10"/>
    <s v="发舱单和VGM"/>
    <x v="20"/>
    <x v="0"/>
    <x v="0"/>
    <m/>
    <m/>
    <n v="-168"/>
  </r>
  <r>
    <x v="5"/>
    <x v="11"/>
    <n v="11"/>
    <s v="YJC系统改准确数据，发ESI，做AMS模板并邮件何生成提单"/>
    <x v="20"/>
    <x v="0"/>
    <x v="0"/>
    <m/>
    <m/>
    <n v="-168"/>
  </r>
  <r>
    <x v="5"/>
    <x v="11"/>
    <n v="12"/>
    <s v="收到生成提单邮件，网站核对信息"/>
    <x v="20"/>
    <x v="0"/>
    <x v="0"/>
    <m/>
    <m/>
    <n v="-168"/>
  </r>
  <r>
    <x v="5"/>
    <x v="11"/>
    <n v="13"/>
    <s v="海关有舱单，核对舱单"/>
    <x v="20"/>
    <x v="0"/>
    <x v="0"/>
    <m/>
    <m/>
    <n v="-168"/>
  </r>
  <r>
    <x v="5"/>
    <x v="11"/>
    <n v="14"/>
    <s v="发提单确认（两份）"/>
    <x v="20"/>
    <x v="0"/>
    <x v="0"/>
    <m/>
    <m/>
    <n v="-168"/>
  </r>
  <r>
    <x v="5"/>
    <x v="11"/>
    <n v="15"/>
    <s v="通知可进港"/>
    <x v="20"/>
    <x v="0"/>
    <x v="0"/>
    <m/>
    <m/>
    <n v="-168"/>
  </r>
  <r>
    <x v="5"/>
    <x v="11"/>
    <n v="16"/>
    <s v="收到客户（张婷）提单确认"/>
    <x v="20"/>
    <x v="0"/>
    <x v="0"/>
    <m/>
    <m/>
    <n v="-168"/>
  </r>
  <r>
    <x v="5"/>
    <x v="11"/>
    <n v="17"/>
    <s v="收到进港通知"/>
    <x v="25"/>
    <x v="0"/>
    <x v="0"/>
    <m/>
    <m/>
    <n v="-167"/>
  </r>
  <r>
    <x v="5"/>
    <x v="11"/>
    <n v="18"/>
    <s v="核对进港数据"/>
    <x v="25"/>
    <x v="0"/>
    <x v="0"/>
    <m/>
    <m/>
    <n v="-167"/>
  </r>
  <r>
    <x v="5"/>
    <x v="11"/>
    <n v="19"/>
    <s v="通知报关"/>
    <x v="25"/>
    <x v="0"/>
    <x v="0"/>
    <m/>
    <m/>
    <n v="-167"/>
  </r>
  <r>
    <x v="5"/>
    <x v="11"/>
    <n v="20"/>
    <s v="收到报关成功通知"/>
    <x v="25"/>
    <x v="0"/>
    <x v="0"/>
    <m/>
    <m/>
    <n v="-167"/>
  </r>
  <r>
    <x v="5"/>
    <x v="11"/>
    <n v="21"/>
    <s v="海放，码放，配载"/>
    <x v="18"/>
    <x v="0"/>
    <x v="0"/>
    <m/>
    <m/>
    <n v="-165"/>
  </r>
  <r>
    <x v="5"/>
    <x v="11"/>
    <n v="22"/>
    <s v="船开"/>
    <x v="1"/>
    <x v="0"/>
    <x v="0"/>
    <m/>
    <m/>
    <n v="-163"/>
  </r>
  <r>
    <x v="5"/>
    <x v="11"/>
    <n v="23"/>
    <s v="收到Neo发来费用，录入系统，发张婷"/>
    <x v="26"/>
    <x v="0"/>
    <x v="0"/>
    <m/>
    <m/>
    <n v="-156"/>
  </r>
  <r>
    <x v="5"/>
    <x v="11"/>
    <n v="24"/>
    <s v="放单"/>
    <x v="1"/>
    <x v="0"/>
    <x v="0"/>
    <m/>
    <m/>
    <n v="-163"/>
  </r>
  <r>
    <x v="5"/>
    <x v="11"/>
    <n v="25"/>
    <s v="张婷确认账单"/>
    <x v="19"/>
    <x v="0"/>
    <x v="0"/>
    <m/>
    <m/>
    <n v="-141"/>
  </r>
  <r>
    <x v="0"/>
    <x v="12"/>
    <n v="1"/>
    <s v="收到客户(孙丹/王珊)发来订舱托书"/>
    <x v="13"/>
    <x v="0"/>
    <x v="0"/>
    <m/>
    <m/>
    <n v="-175"/>
  </r>
  <r>
    <x v="0"/>
    <x v="12"/>
    <n v="2"/>
    <s v="YJC系统生成单子"/>
    <x v="23"/>
    <x v="0"/>
    <x v="0"/>
    <m/>
    <m/>
    <n v="-171"/>
  </r>
  <r>
    <x v="0"/>
    <x v="12"/>
    <n v="3"/>
    <s v="收到CK发来预配(做箱通知，沈丽有收到？)，完善YJC系统数据"/>
    <x v="23"/>
    <x v="0"/>
    <x v="0"/>
    <m/>
    <m/>
    <n v="-171"/>
  </r>
  <r>
    <x v="0"/>
    <x v="12"/>
    <n v="4"/>
    <s v="收到包装厂(刘倩梅)发来包装指示书和装箱计划"/>
    <x v="22"/>
    <x v="0"/>
    <x v="0"/>
    <m/>
    <s v="一般周四"/>
    <n v="-169"/>
  </r>
  <r>
    <x v="0"/>
    <x v="12"/>
    <n v="5"/>
    <s v="根据装箱计划汇总包装数据，发各工厂做报关资料"/>
    <x v="22"/>
    <x v="0"/>
    <x v="0"/>
    <m/>
    <m/>
    <n v="-169"/>
  </r>
  <r>
    <x v="0"/>
    <x v="12"/>
    <n v="6"/>
    <s v="做做箱数据，邮件群发"/>
    <x v="20"/>
    <x v="0"/>
    <x v="0"/>
    <m/>
    <m/>
    <n v="-168"/>
  </r>
  <r>
    <x v="0"/>
    <x v="12"/>
    <n v="7"/>
    <s v="收到工厂发来报关资料并完善(代做报关资料跟客户确认)"/>
    <x v="20"/>
    <x v="0"/>
    <x v="0"/>
    <m/>
    <s v="当天至隔天"/>
    <n v="-168"/>
  </r>
  <r>
    <x v="0"/>
    <x v="12"/>
    <n v="8"/>
    <s v="报关资料齐了，发报关行(黄寅文)，货运模板/发票/箱单"/>
    <x v="18"/>
    <x v="0"/>
    <x v="0"/>
    <m/>
    <m/>
    <n v="-165"/>
  </r>
  <r>
    <x v="0"/>
    <x v="12"/>
    <n v="9"/>
    <s v="通知进港"/>
    <x v="28"/>
    <x v="0"/>
    <x v="0"/>
    <m/>
    <m/>
    <n v="-166"/>
  </r>
  <r>
    <x v="0"/>
    <x v="12"/>
    <n v="10"/>
    <s v="进港(核对数据)"/>
    <x v="18"/>
    <x v="0"/>
    <x v="0"/>
    <m/>
    <m/>
    <n v="-165"/>
  </r>
  <r>
    <x v="0"/>
    <x v="12"/>
    <n v="11"/>
    <s v="收到车队(沈丽)装箱单和洋山提箱截图(如有)，群发，通知发舱单"/>
    <x v="18"/>
    <x v="0"/>
    <x v="0"/>
    <m/>
    <s v="一般KMM五、HMI日"/>
    <n v="-165"/>
  </r>
  <r>
    <x v="0"/>
    <x v="12"/>
    <n v="12"/>
    <s v="收到舱单发送成功通知，核对舱单信息"/>
    <x v="18"/>
    <x v="0"/>
    <x v="0"/>
    <m/>
    <m/>
    <n v="-165"/>
  </r>
  <r>
    <x v="0"/>
    <x v="12"/>
    <n v="13"/>
    <s v="通知报关"/>
    <x v="18"/>
    <x v="0"/>
    <x v="0"/>
    <m/>
    <m/>
    <n v="-165"/>
  </r>
  <r>
    <x v="0"/>
    <x v="12"/>
    <n v="14"/>
    <s v="报关成功"/>
    <x v="18"/>
    <x v="0"/>
    <x v="0"/>
    <m/>
    <m/>
    <n v="-165"/>
  </r>
  <r>
    <x v="0"/>
    <x v="12"/>
    <n v="15"/>
    <s v="盯海放"/>
    <x v="18"/>
    <x v="0"/>
    <x v="0"/>
    <m/>
    <m/>
    <n v="-165"/>
  </r>
  <r>
    <x v="0"/>
    <x v="12"/>
    <n v="16"/>
    <s v="盯码放"/>
    <x v="29"/>
    <x v="0"/>
    <x v="0"/>
    <m/>
    <m/>
    <n v="-162"/>
  </r>
  <r>
    <x v="0"/>
    <x v="12"/>
    <n v="17"/>
    <s v="盯配载"/>
    <x v="29"/>
    <x v="0"/>
    <x v="0"/>
    <m/>
    <m/>
    <n v="-162"/>
  </r>
  <r>
    <x v="0"/>
    <x v="12"/>
    <n v="18"/>
    <s v="盯船开"/>
    <x v="30"/>
    <x v="0"/>
    <x v="0"/>
    <m/>
    <m/>
    <n v="-160"/>
  </r>
  <r>
    <x v="0"/>
    <x v="12"/>
    <n v="19"/>
    <s v="做费用(对账单日期4号)，放公共盘，填月账单表，发孙丹"/>
    <x v="30"/>
    <x v="0"/>
    <x v="0"/>
    <m/>
    <m/>
    <n v="-160"/>
  </r>
  <r>
    <x v="1"/>
    <x v="12"/>
    <n v="1"/>
    <s v="收到客户(孙丹/王珊)发来订舱托书"/>
    <x v="12"/>
    <x v="0"/>
    <x v="0"/>
    <m/>
    <m/>
    <n v="-177"/>
  </r>
  <r>
    <x v="1"/>
    <x v="12"/>
    <n v="2"/>
    <s v="YJC系统生成单子"/>
    <x v="12"/>
    <x v="0"/>
    <x v="0"/>
    <m/>
    <m/>
    <n v="-177"/>
  </r>
  <r>
    <x v="1"/>
    <x v="12"/>
    <n v="3"/>
    <s v="收到CK发来预配(做箱通知，沈丽有收到？)，完善YJC系统数据"/>
    <x v="13"/>
    <x v="0"/>
    <x v="0"/>
    <m/>
    <m/>
    <n v="-175"/>
  </r>
  <r>
    <x v="1"/>
    <x v="12"/>
    <n v="4"/>
    <s v="收到包装厂(刘倩梅)发来包装指示书和装箱计划"/>
    <x v="22"/>
    <x v="0"/>
    <x v="0"/>
    <m/>
    <s v="一般周四"/>
    <n v="-169"/>
  </r>
  <r>
    <x v="1"/>
    <x v="12"/>
    <n v="5"/>
    <s v="根据装箱计划汇总包装数据，发各工厂做报关资料"/>
    <x v="22"/>
    <x v="0"/>
    <x v="0"/>
    <m/>
    <m/>
    <n v="-169"/>
  </r>
  <r>
    <x v="1"/>
    <x v="12"/>
    <n v="6"/>
    <s v="做做箱数据，邮件群发"/>
    <x v="22"/>
    <x v="0"/>
    <x v="0"/>
    <m/>
    <m/>
    <n v="-169"/>
  </r>
  <r>
    <x v="1"/>
    <x v="12"/>
    <n v="7"/>
    <s v="收到工厂发来报关资料并完善(代做报关资料跟客户确认)"/>
    <x v="22"/>
    <x v="0"/>
    <x v="0"/>
    <m/>
    <s v="当天至隔天"/>
    <n v="-169"/>
  </r>
  <r>
    <x v="1"/>
    <x v="12"/>
    <n v="8"/>
    <s v="报关资料齐了，发报关行(黄寅文)，货运模板/发票/箱单"/>
    <x v="22"/>
    <x v="0"/>
    <x v="0"/>
    <m/>
    <m/>
    <n v="-169"/>
  </r>
  <r>
    <x v="1"/>
    <x v="12"/>
    <n v="9"/>
    <s v="收到车队(沈丽)装箱单和洋山提箱截图(如有)，群发，通知发舱单"/>
    <x v="20"/>
    <x v="0"/>
    <x v="0"/>
    <m/>
    <s v="一般KMM五、HMI日"/>
    <n v="-168"/>
  </r>
  <r>
    <x v="1"/>
    <x v="12"/>
    <n v="12"/>
    <s v="收到舱单发送成功通知，核对舱单信息"/>
    <x v="20"/>
    <x v="0"/>
    <x v="0"/>
    <m/>
    <m/>
    <n v="-168"/>
  </r>
  <r>
    <x v="1"/>
    <x v="12"/>
    <n v="13"/>
    <s v="通知报关"/>
    <x v="20"/>
    <x v="0"/>
    <x v="0"/>
    <m/>
    <s v="调整顺序"/>
    <n v="-168"/>
  </r>
  <r>
    <x v="1"/>
    <x v="12"/>
    <n v="14"/>
    <s v="报关成功"/>
    <x v="20"/>
    <x v="0"/>
    <x v="0"/>
    <m/>
    <s v="调整顺序"/>
    <n v="-168"/>
  </r>
  <r>
    <x v="1"/>
    <x v="12"/>
    <n v="15"/>
    <s v="通知进港"/>
    <x v="20"/>
    <x v="0"/>
    <x v="0"/>
    <m/>
    <s v="调整顺序"/>
    <n v="-168"/>
  </r>
  <r>
    <x v="1"/>
    <x v="12"/>
    <n v="16"/>
    <s v="进港(核对数据)"/>
    <x v="25"/>
    <x v="0"/>
    <x v="0"/>
    <m/>
    <s v="调整顺序"/>
    <n v="-167"/>
  </r>
  <r>
    <x v="1"/>
    <x v="12"/>
    <n v="17"/>
    <s v="盯海放"/>
    <x v="25"/>
    <x v="0"/>
    <x v="0"/>
    <m/>
    <m/>
    <n v="-167"/>
  </r>
  <r>
    <x v="1"/>
    <x v="12"/>
    <n v="18"/>
    <s v="盯码放"/>
    <x v="18"/>
    <x v="0"/>
    <x v="0"/>
    <m/>
    <m/>
    <n v="-165"/>
  </r>
  <r>
    <x v="1"/>
    <x v="12"/>
    <n v="19"/>
    <s v="盯配载"/>
    <x v="1"/>
    <x v="0"/>
    <x v="0"/>
    <m/>
    <m/>
    <n v="-163"/>
  </r>
  <r>
    <x v="1"/>
    <x v="12"/>
    <n v="20"/>
    <s v="盯船开"/>
    <x v="29"/>
    <x v="0"/>
    <x v="0"/>
    <m/>
    <m/>
    <n v="-162"/>
  </r>
  <r>
    <x v="1"/>
    <x v="12"/>
    <n v="21"/>
    <s v="做费用(对账单日期4号)，放公共盘，填月账单表，发孙丹"/>
    <x v="31"/>
    <x v="0"/>
    <x v="0"/>
    <m/>
    <m/>
    <n v="-164"/>
  </r>
  <r>
    <x v="6"/>
    <x v="12"/>
    <n v="1"/>
    <s v="收到胡媛媛发来订舱邮件"/>
    <x v="24"/>
    <x v="0"/>
    <x v="0"/>
    <m/>
    <m/>
    <n v="-197"/>
  </r>
  <r>
    <x v="6"/>
    <x v="12"/>
    <n v="2"/>
    <s v="发订舱托书给万恒（翁小姐）"/>
    <x v="24"/>
    <x v="0"/>
    <x v="0"/>
    <m/>
    <m/>
    <n v="-197"/>
  </r>
  <r>
    <x v="6"/>
    <x v="12"/>
    <n v="3"/>
    <s v="收到万恒（翁小姐）预配"/>
    <x v="24"/>
    <x v="0"/>
    <x v="0"/>
    <m/>
    <s v="一般三小时左右"/>
    <n v="-197"/>
  </r>
  <r>
    <x v="6"/>
    <x v="12"/>
    <n v="4"/>
    <s v="通知胡媛媛订舱成功"/>
    <x v="24"/>
    <x v="0"/>
    <x v="0"/>
    <m/>
    <m/>
    <n v="-197"/>
  </r>
  <r>
    <x v="6"/>
    <x v="12"/>
    <n v="5"/>
    <s v="发做箱通知邮件给车队(沈丽)"/>
    <x v="9"/>
    <x v="0"/>
    <x v="0"/>
    <m/>
    <m/>
    <n v="-183"/>
  </r>
  <r>
    <x v="6"/>
    <x v="12"/>
    <n v="6"/>
    <s v="收到胡媛媛发来报关资料"/>
    <x v="17"/>
    <x v="0"/>
    <x v="0"/>
    <m/>
    <s v="船开前一周？"/>
    <n v="-170"/>
  </r>
  <r>
    <x v="6"/>
    <x v="12"/>
    <n v="7"/>
    <s v="完善报关资料发报关行（黄寅文），要校对稿，做做箱数据给沈丽"/>
    <x v="17"/>
    <x v="0"/>
    <x v="0"/>
    <m/>
    <m/>
    <n v="-170"/>
  </r>
  <r>
    <x v="6"/>
    <x v="12"/>
    <n v="8"/>
    <s v="买保险，做异地付款保函，发胡媛媛确认盖章回传"/>
    <x v="17"/>
    <x v="0"/>
    <x v="0"/>
    <m/>
    <m/>
    <n v="-170"/>
  </r>
  <r>
    <x v="6"/>
    <x v="12"/>
    <n v="9"/>
    <s v="收到客户（胡媛媛）发来保函扫描件"/>
    <x v="17"/>
    <x v="0"/>
    <x v="0"/>
    <m/>
    <s v="一般马上"/>
    <n v="-170"/>
  </r>
  <r>
    <x v="6"/>
    <x v="12"/>
    <n v="10"/>
    <s v="收到黄寅文校对稿，发客户（胡媛媛）确认"/>
    <x v="22"/>
    <x v="0"/>
    <x v="0"/>
    <m/>
    <s v="一般半天内"/>
    <n v="-169"/>
  </r>
  <r>
    <x v="6"/>
    <x v="12"/>
    <n v="11"/>
    <s v="收到客户（胡媛媛）确认校对稿OK"/>
    <x v="22"/>
    <x v="0"/>
    <x v="0"/>
    <m/>
    <s v="一般马上"/>
    <n v="-169"/>
  </r>
  <r>
    <x v="6"/>
    <x v="12"/>
    <n v="12"/>
    <s v="跟车队（沈丽）确认明天做箱，如有变动通知胡媛媛"/>
    <x v="22"/>
    <x v="0"/>
    <x v="0"/>
    <m/>
    <s v="截单前一天"/>
    <n v="-169"/>
  </r>
  <r>
    <x v="6"/>
    <x v="12"/>
    <n v="13"/>
    <s v="收到沈丽发来装箱单"/>
    <x v="20"/>
    <x v="0"/>
    <x v="0"/>
    <m/>
    <s v="截单当天"/>
    <n v="-168"/>
  </r>
  <r>
    <x v="6"/>
    <x v="12"/>
    <n v="14"/>
    <s v="完善截单资料发万恒（翁小姐），请求发舱单"/>
    <x v="20"/>
    <x v="0"/>
    <x v="0"/>
    <m/>
    <m/>
    <n v="-168"/>
  </r>
  <r>
    <x v="6"/>
    <x v="12"/>
    <n v="15"/>
    <s v="收到舱单发送通知，核对舱单，装箱单发报关行报关"/>
    <x v="20"/>
    <x v="0"/>
    <x v="0"/>
    <m/>
    <m/>
    <n v="-168"/>
  </r>
  <r>
    <x v="6"/>
    <x v="12"/>
    <n v="16"/>
    <s v="请求万恒（翁小姐）发提单样本"/>
    <x v="20"/>
    <x v="0"/>
    <x v="0"/>
    <m/>
    <m/>
    <n v="-168"/>
  </r>
  <r>
    <x v="6"/>
    <x v="12"/>
    <n v="17"/>
    <s v="收到万恒（翁小姐）发来提单样本，发胡媛媛确认"/>
    <x v="20"/>
    <x v="0"/>
    <x v="0"/>
    <m/>
    <m/>
    <n v="-168"/>
  </r>
  <r>
    <x v="6"/>
    <x v="12"/>
    <n v="18"/>
    <s v="收到胡媛媛提单确认"/>
    <x v="20"/>
    <x v="0"/>
    <x v="0"/>
    <m/>
    <m/>
    <n v="-168"/>
  </r>
  <r>
    <x v="6"/>
    <x v="12"/>
    <n v="19"/>
    <s v="收到报关成功通知，通知车队可进港 "/>
    <x v="20"/>
    <x v="0"/>
    <x v="0"/>
    <m/>
    <m/>
    <n v="-168"/>
  </r>
  <r>
    <x v="6"/>
    <x v="12"/>
    <n v="20"/>
    <s v="进港，核对数据"/>
    <x v="25"/>
    <x v="0"/>
    <x v="0"/>
    <m/>
    <m/>
    <n v="-167"/>
  </r>
  <r>
    <x v="6"/>
    <x v="12"/>
    <n v="21"/>
    <s v="海放"/>
    <x v="25"/>
    <x v="0"/>
    <x v="0"/>
    <m/>
    <m/>
    <n v="-167"/>
  </r>
  <r>
    <x v="6"/>
    <x v="12"/>
    <n v="22"/>
    <s v="码放"/>
    <x v="18"/>
    <x v="0"/>
    <x v="0"/>
    <m/>
    <m/>
    <n v="-165"/>
  </r>
  <r>
    <x v="6"/>
    <x v="12"/>
    <n v="23"/>
    <s v="配载"/>
    <x v="1"/>
    <x v="0"/>
    <x v="0"/>
    <m/>
    <m/>
    <n v="-163"/>
  </r>
  <r>
    <x v="6"/>
    <x v="12"/>
    <n v="24"/>
    <s v="开船"/>
    <x v="29"/>
    <x v="0"/>
    <x v="0"/>
    <m/>
    <m/>
    <n v="-162"/>
  </r>
  <r>
    <x v="6"/>
    <x v="12"/>
    <n v="24.1"/>
    <s v="做费用，发账单给谢梦婕"/>
    <x v="1"/>
    <x v="0"/>
    <x v="0"/>
    <m/>
    <m/>
    <n v="-163"/>
  </r>
  <r>
    <x v="6"/>
    <x v="12"/>
    <n v="25"/>
    <s v="收到万恒（翁小姐）提单，放提单和预录单给胡媛媛"/>
    <x v="29"/>
    <x v="0"/>
    <x v="0"/>
    <m/>
    <m/>
    <n v="-162"/>
  </r>
  <r>
    <x v="4"/>
    <x v="13"/>
    <n v="1"/>
    <s v="收到客户(周嘉敏)订舱预报"/>
    <x v="13"/>
    <x v="0"/>
    <x v="0"/>
    <m/>
    <s v="一般周五发隔周"/>
    <n v="-175"/>
  </r>
  <r>
    <x v="4"/>
    <x v="13"/>
    <n v="2"/>
    <s v="填WORKING PROCESS"/>
    <x v="13"/>
    <x v="0"/>
    <x v="0"/>
    <m/>
    <m/>
    <n v="-175"/>
  </r>
  <r>
    <x v="4"/>
    <x v="13"/>
    <n v="3"/>
    <s v="收到HMM(Neo)预订舱邮件通知"/>
    <x v="16"/>
    <x v="0"/>
    <x v="0"/>
    <m/>
    <s v="一般周一发下周"/>
    <n v="-172"/>
  </r>
  <r>
    <x v="4"/>
    <x v="13"/>
    <n v="4"/>
    <s v="回复HMM(Neo)预订舱邮件"/>
    <x v="16"/>
    <x v="0"/>
    <x v="0"/>
    <m/>
    <m/>
    <n v="-172"/>
  </r>
  <r>
    <x v="4"/>
    <x v="13"/>
    <n v="5"/>
    <s v="收到HMM(Neo)预订舱确认"/>
    <x v="23"/>
    <x v="0"/>
    <x v="0"/>
    <m/>
    <s v="一般马上"/>
    <n v="-171"/>
  </r>
  <r>
    <x v="4"/>
    <x v="13"/>
    <n v="6"/>
    <s v="公共盘生成提单号"/>
    <x v="23"/>
    <x v="0"/>
    <x v="0"/>
    <m/>
    <m/>
    <n v="-171"/>
  </r>
  <r>
    <x v="4"/>
    <x v="13"/>
    <n v="7"/>
    <s v="YJC系统生成单子"/>
    <x v="23"/>
    <x v="0"/>
    <x v="0"/>
    <m/>
    <m/>
    <n v="-171"/>
  </r>
  <r>
    <x v="4"/>
    <x v="13"/>
    <n v="8"/>
    <s v="发EDI"/>
    <x v="23"/>
    <x v="0"/>
    <x v="0"/>
    <m/>
    <m/>
    <n v="-171"/>
  </r>
  <r>
    <x v="4"/>
    <x v="13"/>
    <n v="9"/>
    <s v="邮件申请放单"/>
    <x v="23"/>
    <x v="0"/>
    <x v="0"/>
    <m/>
    <m/>
    <n v="-171"/>
  </r>
  <r>
    <x v="4"/>
    <x v="13"/>
    <n v="10"/>
    <s v="收到HMM(Neo) 放单确认"/>
    <x v="17"/>
    <x v="0"/>
    <x v="0"/>
    <m/>
    <s v="一般半天内"/>
    <n v="-170"/>
  </r>
  <r>
    <x v="4"/>
    <x v="13"/>
    <n v="11"/>
    <s v="HMM网站核对订舱信息"/>
    <x v="17"/>
    <x v="0"/>
    <x v="0"/>
    <m/>
    <m/>
    <n v="-170"/>
  </r>
  <r>
    <x v="4"/>
    <x v="13"/>
    <n v="12"/>
    <s v="收到客户(徐贵)做箱通知"/>
    <x v="18"/>
    <x v="0"/>
    <x v="0"/>
    <m/>
    <s v="一般做箱头天一早"/>
    <n v="-165"/>
  </r>
  <r>
    <x v="4"/>
    <x v="13"/>
    <n v="13"/>
    <s v="发做箱通知邮件给车队(沈丽)"/>
    <x v="18"/>
    <x v="0"/>
    <x v="0"/>
    <m/>
    <m/>
    <n v="-165"/>
  </r>
  <r>
    <x v="4"/>
    <x v="13"/>
    <n v="14"/>
    <s v="公共盘生成提单号【如需拆单】"/>
    <x v="18"/>
    <x v="0"/>
    <x v="0"/>
    <m/>
    <m/>
    <n v="-165"/>
  </r>
  <r>
    <x v="4"/>
    <x v="13"/>
    <n v="15"/>
    <s v="YJC系统生成单子【如需拆单】"/>
    <x v="18"/>
    <x v="0"/>
    <x v="0"/>
    <m/>
    <m/>
    <n v="-165"/>
  </r>
  <r>
    <x v="4"/>
    <x v="13"/>
    <n v="16"/>
    <s v="发EDI【如需拆单】"/>
    <x v="18"/>
    <x v="0"/>
    <x v="0"/>
    <m/>
    <m/>
    <n v="-165"/>
  </r>
  <r>
    <x v="4"/>
    <x v="13"/>
    <n v="17"/>
    <s v="邮件申请放单【如需拆单】"/>
    <x v="18"/>
    <x v="0"/>
    <x v="0"/>
    <m/>
    <m/>
    <n v="-165"/>
  </r>
  <r>
    <x v="4"/>
    <x v="13"/>
    <n v="18"/>
    <s v="收到HMM(Neo) 放单确认【如需拆单】"/>
    <x v="18"/>
    <x v="0"/>
    <x v="0"/>
    <m/>
    <m/>
    <n v="-165"/>
  </r>
  <r>
    <x v="4"/>
    <x v="13"/>
    <n v="19"/>
    <s v="HMM网站核对订舱信息【如需拆单】"/>
    <x v="18"/>
    <x v="0"/>
    <x v="0"/>
    <m/>
    <m/>
    <n v="-165"/>
  </r>
  <r>
    <x v="4"/>
    <x v="13"/>
    <n v="20"/>
    <s v="收到客户(徐贵)发来做箱数据(报关资料)"/>
    <x v="31"/>
    <x v="0"/>
    <x v="0"/>
    <m/>
    <s v="一般做箱当天一早"/>
    <n v="-164"/>
  </r>
  <r>
    <x v="4"/>
    <x v="13"/>
    <n v="21"/>
    <s v="按报关(发票)数生成提单号【如发票数超过提单数】"/>
    <x v="31"/>
    <x v="0"/>
    <x v="0"/>
    <m/>
    <m/>
    <n v="-164"/>
  </r>
  <r>
    <x v="4"/>
    <x v="13"/>
    <n v="22"/>
    <s v="做做箱数据，QQ发车队(沈丽)"/>
    <x v="31"/>
    <x v="0"/>
    <x v="0"/>
    <m/>
    <m/>
    <n v="-164"/>
  </r>
  <r>
    <x v="4"/>
    <x v="13"/>
    <n v="23"/>
    <s v="做报关资料，扫描发报关行(黄寅文)QQ"/>
    <x v="31"/>
    <x v="0"/>
    <x v="0"/>
    <m/>
    <m/>
    <n v="-164"/>
  </r>
  <r>
    <x v="4"/>
    <x v="13"/>
    <n v="24"/>
    <s v="收到车队(沈丽)装箱单，转发客户（徐贵）"/>
    <x v="31"/>
    <x v="0"/>
    <x v="0"/>
    <m/>
    <s v="一般马上"/>
    <n v="-164"/>
  </r>
  <r>
    <x v="4"/>
    <x v="13"/>
    <n v="25"/>
    <s v="YJC系统截单，发EDI，邮件HMM(He)【截单时间】"/>
    <x v="31"/>
    <x v="0"/>
    <x v="0"/>
    <m/>
    <s v="注意截单时间"/>
    <n v="-164"/>
  </r>
  <r>
    <x v="4"/>
    <x v="13"/>
    <n v="26"/>
    <s v="做保函给邹师傅"/>
    <x v="31"/>
    <x v="0"/>
    <x v="0"/>
    <m/>
    <m/>
    <n v="-164"/>
  </r>
  <r>
    <x v="4"/>
    <x v="13"/>
    <n v="27"/>
    <s v="发VGM和舱单"/>
    <x v="31"/>
    <x v="0"/>
    <x v="0"/>
    <m/>
    <m/>
    <n v="-164"/>
  </r>
  <r>
    <x v="4"/>
    <x v="13"/>
    <n v="28"/>
    <s v="做ISF，发国外资料"/>
    <x v="31"/>
    <x v="0"/>
    <x v="0"/>
    <m/>
    <m/>
    <n v="-164"/>
  </r>
  <r>
    <x v="4"/>
    <x v="13"/>
    <n v="29"/>
    <s v="买保险"/>
    <x v="31"/>
    <x v="0"/>
    <x v="0"/>
    <m/>
    <m/>
    <n v="-164"/>
  </r>
  <r>
    <x v="4"/>
    <x v="13"/>
    <n v="30"/>
    <s v="填WORKING PROCESS"/>
    <x v="31"/>
    <x v="0"/>
    <x v="0"/>
    <m/>
    <m/>
    <n v="-164"/>
  </r>
  <r>
    <x v="4"/>
    <x v="13"/>
    <n v="30.1"/>
    <s v="做费用，发账单给谢梦婕"/>
    <x v="31"/>
    <x v="0"/>
    <x v="0"/>
    <m/>
    <s v="提前做账单"/>
    <n v="-164"/>
  </r>
  <r>
    <x v="4"/>
    <x v="13"/>
    <n v="31"/>
    <s v="收到HMM(He)生成提单通知"/>
    <x v="31"/>
    <x v="0"/>
    <x v="0"/>
    <m/>
    <s v="一般马上"/>
    <n v="-164"/>
  </r>
  <r>
    <x v="4"/>
    <x v="13"/>
    <n v="32"/>
    <s v="HMM网站核对提单信息"/>
    <x v="31"/>
    <x v="0"/>
    <x v="0"/>
    <m/>
    <m/>
    <n v="-164"/>
  </r>
  <r>
    <x v="4"/>
    <x v="13"/>
    <n v="33"/>
    <s v="盯海关网站舱单"/>
    <x v="31"/>
    <x v="0"/>
    <x v="0"/>
    <m/>
    <s v="一般两小时左右"/>
    <n v="-164"/>
  </r>
  <r>
    <x v="4"/>
    <x v="13"/>
    <n v="34"/>
    <s v="核对舱单信息"/>
    <x v="31"/>
    <x v="0"/>
    <x v="0"/>
    <m/>
    <m/>
    <n v="-164"/>
  </r>
  <r>
    <x v="4"/>
    <x v="13"/>
    <n v="35"/>
    <s v="收到报关行(黄寅文)校对稿，邮件发客户(徐贵)确认"/>
    <x v="31"/>
    <x v="0"/>
    <x v="0"/>
    <m/>
    <s v="一般半天内"/>
    <n v="-164"/>
  </r>
  <r>
    <x v="4"/>
    <x v="13"/>
    <n v="36"/>
    <s v="收到客户(徐贵)确认校对稿，通知报关行(黄寅文)"/>
    <x v="31"/>
    <x v="0"/>
    <x v="0"/>
    <m/>
    <s v="一般马上"/>
    <n v="-164"/>
  </r>
  <r>
    <x v="4"/>
    <x v="13"/>
    <n v="37"/>
    <s v="通知报关行(黄寅文)报关(开港、舱单、校对)"/>
    <x v="31"/>
    <x v="0"/>
    <x v="0"/>
    <m/>
    <m/>
    <n v="-164"/>
  </r>
  <r>
    <x v="4"/>
    <x v="13"/>
    <n v="38"/>
    <s v="收到报关成功通知"/>
    <x v="31"/>
    <x v="0"/>
    <x v="0"/>
    <m/>
    <s v="一般下班前"/>
    <n v="-164"/>
  </r>
  <r>
    <x v="4"/>
    <x v="13"/>
    <n v="39"/>
    <s v="通知车队(沈丽)可进港"/>
    <x v="31"/>
    <x v="0"/>
    <x v="0"/>
    <m/>
    <m/>
    <n v="-164"/>
  </r>
  <r>
    <x v="4"/>
    <x v="13"/>
    <n v="40"/>
    <s v="盯箱子进港"/>
    <x v="1"/>
    <x v="0"/>
    <x v="0"/>
    <m/>
    <m/>
    <n v="-163"/>
  </r>
  <r>
    <x v="4"/>
    <x v="13"/>
    <n v="41"/>
    <s v="核对进港数据"/>
    <x v="1"/>
    <x v="0"/>
    <x v="0"/>
    <m/>
    <m/>
    <n v="-163"/>
  </r>
  <r>
    <x v="4"/>
    <x v="13"/>
    <n v="42"/>
    <s v="盯海放"/>
    <x v="1"/>
    <x v="0"/>
    <x v="0"/>
    <m/>
    <m/>
    <n v="-163"/>
  </r>
  <r>
    <x v="4"/>
    <x v="13"/>
    <n v="43"/>
    <s v="盯码放"/>
    <x v="29"/>
    <x v="0"/>
    <x v="0"/>
    <m/>
    <m/>
    <n v="-162"/>
  </r>
  <r>
    <x v="4"/>
    <x v="13"/>
    <n v="44"/>
    <s v="盯配载"/>
    <x v="29"/>
    <x v="0"/>
    <x v="0"/>
    <m/>
    <m/>
    <n v="-162"/>
  </r>
  <r>
    <x v="4"/>
    <x v="13"/>
    <n v="46"/>
    <s v="船开"/>
    <x v="30"/>
    <x v="0"/>
    <x v="0"/>
    <m/>
    <m/>
    <n v="-160"/>
  </r>
  <r>
    <x v="4"/>
    <x v="13"/>
    <n v="47"/>
    <s v="放单"/>
    <x v="32"/>
    <x v="0"/>
    <x v="0"/>
    <m/>
    <s v="一般开船后两三天"/>
    <n v="-151"/>
  </r>
  <r>
    <x v="2"/>
    <x v="14"/>
    <n v="1"/>
    <s v="收到保险公司（常）上月对账单，对账后回复常"/>
    <x v="26"/>
    <x v="0"/>
    <x v="0"/>
    <m/>
    <s v="一般上旬"/>
    <n v="-156"/>
  </r>
  <r>
    <x v="2"/>
    <x v="14"/>
    <n v="2"/>
    <s v="CK TJ glovis有没有驳货费"/>
    <x v="33"/>
    <x v="0"/>
    <x v="0"/>
    <m/>
    <s v="月底"/>
    <n v="-136"/>
  </r>
  <r>
    <x v="2"/>
    <x v="14"/>
    <n v="3"/>
    <s v="KMM HMI 0529的费用怎么弄？"/>
    <x v="34"/>
    <x v="0"/>
    <x v="0"/>
    <m/>
    <m/>
    <n v="-134"/>
  </r>
  <r>
    <x v="2"/>
    <x v="14"/>
    <n v="4"/>
    <s v="TJ glovis当月额外费用汇总邮件以后都华华发"/>
    <x v="35"/>
    <x v="0"/>
    <x v="0"/>
    <m/>
    <s v="月底"/>
    <n v="-133"/>
  </r>
  <r>
    <x v="2"/>
    <x v="14"/>
    <n v="5"/>
    <s v="WX mobis 5/22 HLCUSHA1904HAJU8 洋提400元6月结算"/>
    <x v="34"/>
    <x v="0"/>
    <x v="0"/>
    <m/>
    <m/>
    <n v="-134"/>
  </r>
  <r>
    <x v="2"/>
    <x v="14"/>
    <n v="6"/>
    <s v="客户对账单，开票"/>
    <x v="36"/>
    <x v="0"/>
    <x v="0"/>
    <m/>
    <m/>
    <n v="-132"/>
  </r>
  <r>
    <x v="2"/>
    <x v="14"/>
    <n v="7"/>
    <s v="本月车队费用邮件发给汤爱华"/>
    <x v="35"/>
    <x v="0"/>
    <x v="0"/>
    <m/>
    <s v="月底"/>
    <n v="-133"/>
  </r>
  <r>
    <x v="2"/>
    <x v="14"/>
    <n v="8"/>
    <s v="WX mobis 6月账单APP后打印开票扫描寄"/>
    <x v="35"/>
    <x v="0"/>
    <x v="0"/>
    <m/>
    <m/>
    <n v="-133"/>
  </r>
  <r>
    <x v="2"/>
    <x v="14"/>
    <n v="9"/>
    <s v="发万盛费用（看以前邮件），等30号出了一起发"/>
    <x v="37"/>
    <x v="0"/>
    <x v="0"/>
    <m/>
    <m/>
    <n v="-129"/>
  </r>
  <r>
    <x v="2"/>
    <x v="14"/>
    <n v="10"/>
    <s v="JS mobis 要盖章保函"/>
    <x v="38"/>
    <x v="0"/>
    <x v="0"/>
    <m/>
    <m/>
    <n v="-127"/>
  </r>
  <r>
    <x v="2"/>
    <x v="14"/>
    <n v="11"/>
    <s v="盐城大有六月份电子档报关单"/>
    <x v="35"/>
    <x v="0"/>
    <x v="0"/>
    <m/>
    <m/>
    <n v="-133"/>
  </r>
  <r>
    <x v="3"/>
    <x v="15"/>
    <n v="1"/>
    <s v="收到HMM Neo 下周订舱邮件"/>
    <x v="39"/>
    <x v="0"/>
    <x v="0"/>
    <m/>
    <s v="周一"/>
    <n v="-158"/>
  </r>
  <r>
    <x v="3"/>
    <x v="15"/>
    <n v="2"/>
    <s v="根据JS mobis订舱需求回Neo邮件"/>
    <x v="39"/>
    <x v="0"/>
    <x v="0"/>
    <m/>
    <s v="周一"/>
    <n v="-158"/>
  </r>
  <r>
    <x v="3"/>
    <x v="15"/>
    <n v="3"/>
    <s v="SHA GLV WORKING PROCESS"/>
    <x v="39"/>
    <x v="0"/>
    <x v="0"/>
    <m/>
    <s v="周一"/>
    <n v="-158"/>
  </r>
  <r>
    <x v="3"/>
    <x v="15"/>
    <n v="4"/>
    <s v="SHA GLV WORKING PROCESS"/>
    <x v="26"/>
    <x v="0"/>
    <x v="0"/>
    <m/>
    <s v="周三"/>
    <n v="-156"/>
  </r>
  <r>
    <x v="3"/>
    <x v="15"/>
    <n v="5"/>
    <s v="TJ glovis额外费用邮件"/>
    <x v="32"/>
    <x v="0"/>
    <x v="0"/>
    <m/>
    <s v="周五"/>
    <n v="-151"/>
  </r>
  <r>
    <x v="3"/>
    <x v="15"/>
    <n v="6"/>
    <s v="WORKING PROCESS"/>
    <x v="40"/>
    <x v="0"/>
    <x v="0"/>
    <m/>
    <s v="周五"/>
    <n v="-154"/>
  </r>
  <r>
    <x v="3"/>
    <x v="15"/>
    <n v="7"/>
    <s v="万盛出运清单（下午三点，改文件名）"/>
    <x v="41"/>
    <x v="0"/>
    <x v="0"/>
    <m/>
    <s v="周五"/>
    <n v="-155"/>
  </r>
  <r>
    <x v="0"/>
    <x v="16"/>
    <n v="1"/>
    <s v="收到客户(孙丹/王珊)发来订舱托书"/>
    <x v="20"/>
    <x v="0"/>
    <x v="0"/>
    <m/>
    <m/>
    <n v="-168"/>
  </r>
  <r>
    <x v="0"/>
    <x v="16"/>
    <n v="2"/>
    <s v="收到CK发来预配(做箱通知，沈丽有收到？)，完善YJC系统数据"/>
    <x v="1"/>
    <x v="0"/>
    <x v="0"/>
    <m/>
    <m/>
    <n v="-163"/>
  </r>
  <r>
    <x v="0"/>
    <x v="16"/>
    <n v="3"/>
    <s v="YJC系统生成单子"/>
    <x v="31"/>
    <x v="0"/>
    <x v="0"/>
    <m/>
    <m/>
    <n v="-164"/>
  </r>
  <r>
    <x v="0"/>
    <x v="16"/>
    <n v="4"/>
    <s v="收到包装厂(刘倩梅)发来包装指示书和装箱计划"/>
    <x v="29"/>
    <x v="0"/>
    <x v="0"/>
    <m/>
    <s v="一般周四"/>
    <n v="-162"/>
  </r>
  <r>
    <x v="0"/>
    <x v="16"/>
    <n v="5"/>
    <s v="根据装箱计划汇总包装数据，发各工厂做报关资料"/>
    <x v="29"/>
    <x v="0"/>
    <x v="0"/>
    <m/>
    <m/>
    <n v="-162"/>
  </r>
  <r>
    <x v="0"/>
    <x v="16"/>
    <n v="6"/>
    <s v="做做箱数据，邮件群发"/>
    <x v="29"/>
    <x v="0"/>
    <x v="0"/>
    <m/>
    <m/>
    <n v="-162"/>
  </r>
  <r>
    <x v="0"/>
    <x v="16"/>
    <n v="7"/>
    <s v="收到工厂发来报关资料并完善(代做报关资料跟客户确认)"/>
    <x v="27"/>
    <x v="0"/>
    <x v="0"/>
    <m/>
    <s v="当天至隔天"/>
    <n v="-161"/>
  </r>
  <r>
    <x v="0"/>
    <x v="16"/>
    <n v="8"/>
    <s v="报关资料齐了，发报关行(黄寅文)，货运模板/发票/箱单"/>
    <x v="42"/>
    <x v="0"/>
    <x v="0"/>
    <m/>
    <m/>
    <n v="-157"/>
  </r>
  <r>
    <x v="0"/>
    <x v="16"/>
    <n v="9"/>
    <s v="确认开港时间再确认做箱时间"/>
    <x v="27"/>
    <x v="0"/>
    <x v="0"/>
    <m/>
    <s v="调整顺序"/>
    <n v="-161"/>
  </r>
  <r>
    <x v="0"/>
    <x v="16"/>
    <n v="10"/>
    <s v="收到车队(沈丽)装箱单和洋山提箱截图(如有)，群发，通知发舱单"/>
    <x v="39"/>
    <x v="0"/>
    <x v="0"/>
    <m/>
    <s v="一般KMM五、HMI日"/>
    <n v="-158"/>
  </r>
  <r>
    <x v="0"/>
    <x v="16"/>
    <n v="11"/>
    <s v="收到舱单发送成功通知，核对舱单信息"/>
    <x v="39"/>
    <x v="0"/>
    <x v="0"/>
    <m/>
    <m/>
    <n v="-158"/>
  </r>
  <r>
    <x v="0"/>
    <x v="16"/>
    <n v="12"/>
    <s v="进港(核对数据)"/>
    <x v="42"/>
    <x v="0"/>
    <x v="0"/>
    <m/>
    <s v="调整顺序"/>
    <n v="-157"/>
  </r>
  <r>
    <x v="0"/>
    <x v="16"/>
    <n v="13"/>
    <s v="通知报关"/>
    <x v="42"/>
    <x v="0"/>
    <x v="0"/>
    <m/>
    <s v="调整顺序"/>
    <n v="-157"/>
  </r>
  <r>
    <x v="0"/>
    <x v="16"/>
    <n v="14"/>
    <s v="报关成功"/>
    <x v="42"/>
    <x v="0"/>
    <x v="0"/>
    <m/>
    <s v="调整顺序"/>
    <n v="-157"/>
  </r>
  <r>
    <x v="0"/>
    <x v="16"/>
    <n v="15"/>
    <s v="盯海放"/>
    <x v="42"/>
    <x v="0"/>
    <x v="0"/>
    <m/>
    <m/>
    <n v="-157"/>
  </r>
  <r>
    <x v="0"/>
    <x v="16"/>
    <n v="16"/>
    <s v="盯码放"/>
    <x v="26"/>
    <x v="0"/>
    <x v="0"/>
    <m/>
    <m/>
    <n v="-156"/>
  </r>
  <r>
    <x v="0"/>
    <x v="16"/>
    <n v="17"/>
    <s v="盯配载"/>
    <x v="40"/>
    <x v="0"/>
    <x v="0"/>
    <m/>
    <m/>
    <n v="-154"/>
  </r>
  <r>
    <x v="0"/>
    <x v="16"/>
    <n v="18"/>
    <s v="盯船开"/>
    <x v="43"/>
    <x v="0"/>
    <x v="0"/>
    <m/>
    <m/>
    <n v="-153"/>
  </r>
  <r>
    <x v="0"/>
    <x v="16"/>
    <n v="19"/>
    <s v="做费用(对账单日期4号)，放公共盘，填月账单表，发孙丹"/>
    <x v="32"/>
    <x v="0"/>
    <x v="0"/>
    <m/>
    <m/>
    <n v="-151"/>
  </r>
  <r>
    <x v="4"/>
    <x v="16"/>
    <n v="1"/>
    <s v="收到客户(徐贵)订舱预报"/>
    <x v="18"/>
    <x v="0"/>
    <x v="0"/>
    <m/>
    <s v="一般周五发隔周"/>
    <n v="-165"/>
  </r>
  <r>
    <x v="4"/>
    <x v="16"/>
    <n v="2"/>
    <s v="填WORKING PROCESS"/>
    <x v="18"/>
    <x v="0"/>
    <x v="0"/>
    <m/>
    <m/>
    <n v="-165"/>
  </r>
  <r>
    <x v="4"/>
    <x v="16"/>
    <n v="3"/>
    <s v="收到HMM(Neo)预订舱邮件通知"/>
    <x v="18"/>
    <x v="0"/>
    <x v="0"/>
    <m/>
    <s v="一般周一发下周"/>
    <n v="-165"/>
  </r>
  <r>
    <x v="4"/>
    <x v="16"/>
    <n v="4"/>
    <s v="回复HMM(Neo)预订舱邮件"/>
    <x v="18"/>
    <x v="0"/>
    <x v="0"/>
    <m/>
    <m/>
    <n v="-165"/>
  </r>
  <r>
    <x v="4"/>
    <x v="16"/>
    <n v="5"/>
    <s v="收到HMM(Neo)预订舱确认"/>
    <x v="18"/>
    <x v="0"/>
    <x v="0"/>
    <m/>
    <s v="一般马上"/>
    <n v="-165"/>
  </r>
  <r>
    <x v="4"/>
    <x v="16"/>
    <n v="6"/>
    <s v="公共盘生成提单号"/>
    <x v="18"/>
    <x v="0"/>
    <x v="0"/>
    <m/>
    <m/>
    <n v="-165"/>
  </r>
  <r>
    <x v="4"/>
    <x v="16"/>
    <n v="7"/>
    <s v="YJC系统生成单子"/>
    <x v="18"/>
    <x v="0"/>
    <x v="0"/>
    <m/>
    <m/>
    <n v="-165"/>
  </r>
  <r>
    <x v="4"/>
    <x v="16"/>
    <n v="8"/>
    <s v="发EDI"/>
    <x v="18"/>
    <x v="0"/>
    <x v="0"/>
    <m/>
    <m/>
    <n v="-165"/>
  </r>
  <r>
    <x v="4"/>
    <x v="16"/>
    <n v="9"/>
    <s v="邮件申请放单"/>
    <x v="18"/>
    <x v="0"/>
    <x v="0"/>
    <m/>
    <m/>
    <n v="-165"/>
  </r>
  <r>
    <x v="4"/>
    <x v="16"/>
    <n v="10"/>
    <s v="收到HMM(Neo) 放单确认"/>
    <x v="31"/>
    <x v="0"/>
    <x v="0"/>
    <m/>
    <s v="一般半天内"/>
    <n v="-164"/>
  </r>
  <r>
    <x v="4"/>
    <x v="16"/>
    <n v="11"/>
    <s v="HMM网站核对订舱信息"/>
    <x v="31"/>
    <x v="0"/>
    <x v="0"/>
    <m/>
    <m/>
    <n v="-164"/>
  </r>
  <r>
    <x v="4"/>
    <x v="16"/>
    <n v="12"/>
    <s v="收到客户(徐贵)做箱通知"/>
    <x v="29"/>
    <x v="0"/>
    <x v="0"/>
    <m/>
    <s v="一般做箱头天一早"/>
    <n v="-162"/>
  </r>
  <r>
    <x v="4"/>
    <x v="16"/>
    <n v="13"/>
    <s v="发做箱通知邮件给车队(沈丽)"/>
    <x v="29"/>
    <x v="0"/>
    <x v="0"/>
    <m/>
    <m/>
    <n v="-162"/>
  </r>
  <r>
    <x v="4"/>
    <x v="16"/>
    <n v="14"/>
    <s v="公共盘生成提单号【如需拆单】"/>
    <x v="29"/>
    <x v="0"/>
    <x v="0"/>
    <m/>
    <m/>
    <n v="-162"/>
  </r>
  <r>
    <x v="4"/>
    <x v="16"/>
    <n v="15"/>
    <s v="YJC系统生成单子【如需拆单】"/>
    <x v="29"/>
    <x v="0"/>
    <x v="0"/>
    <m/>
    <m/>
    <n v="-162"/>
  </r>
  <r>
    <x v="4"/>
    <x v="16"/>
    <n v="16"/>
    <s v="发EDI【如需拆单】"/>
    <x v="29"/>
    <x v="0"/>
    <x v="0"/>
    <m/>
    <m/>
    <n v="-162"/>
  </r>
  <r>
    <x v="4"/>
    <x v="16"/>
    <n v="17"/>
    <s v="邮件申请放单【如需拆单】"/>
    <x v="29"/>
    <x v="0"/>
    <x v="0"/>
    <m/>
    <m/>
    <n v="-162"/>
  </r>
  <r>
    <x v="4"/>
    <x v="16"/>
    <n v="18"/>
    <s v="收到HMM(Neo) 放单确认【如需拆单】"/>
    <x v="29"/>
    <x v="0"/>
    <x v="0"/>
    <m/>
    <m/>
    <n v="-162"/>
  </r>
  <r>
    <x v="4"/>
    <x v="16"/>
    <n v="19"/>
    <s v="HMM网站核对订舱信息【如需拆单】"/>
    <x v="29"/>
    <x v="0"/>
    <x v="0"/>
    <m/>
    <m/>
    <n v="-162"/>
  </r>
  <r>
    <x v="4"/>
    <x v="16"/>
    <n v="20"/>
    <s v="收到客户(徐贵)发来做箱数据(报关资料)"/>
    <x v="27"/>
    <x v="0"/>
    <x v="0"/>
    <m/>
    <s v="一般做箱当天一早"/>
    <n v="-161"/>
  </r>
  <r>
    <x v="4"/>
    <x v="16"/>
    <n v="21"/>
    <s v="按报关(发票)数生成提单号【如发票数超过提单数】"/>
    <x v="27"/>
    <x v="0"/>
    <x v="0"/>
    <m/>
    <m/>
    <n v="-161"/>
  </r>
  <r>
    <x v="4"/>
    <x v="16"/>
    <n v="22"/>
    <s v="做做箱数据，QQ发车队(沈丽)"/>
    <x v="27"/>
    <x v="0"/>
    <x v="0"/>
    <m/>
    <m/>
    <n v="-161"/>
  </r>
  <r>
    <x v="4"/>
    <x v="16"/>
    <n v="23"/>
    <s v="收到车队(沈丽)装箱单，转发客户（徐贵）"/>
    <x v="27"/>
    <x v="0"/>
    <x v="0"/>
    <m/>
    <s v="一般马上"/>
    <n v="-161"/>
  </r>
  <r>
    <x v="4"/>
    <x v="16"/>
    <n v="24"/>
    <s v="YJC系统截单，发EDI，邮件HMM(He)【截单时间】"/>
    <x v="27"/>
    <x v="0"/>
    <x v="0"/>
    <m/>
    <s v="注意截单时间"/>
    <n v="-161"/>
  </r>
  <r>
    <x v="4"/>
    <x v="16"/>
    <n v="25"/>
    <s v="发VGM和舱单"/>
    <x v="27"/>
    <x v="0"/>
    <x v="0"/>
    <m/>
    <m/>
    <n v="-161"/>
  </r>
  <r>
    <x v="4"/>
    <x v="16"/>
    <n v="26"/>
    <s v="做报关资料，扫描发报关行(黄寅文)QQ"/>
    <x v="27"/>
    <x v="0"/>
    <x v="0"/>
    <m/>
    <m/>
    <n v="-161"/>
  </r>
  <r>
    <x v="4"/>
    <x v="16"/>
    <n v="27"/>
    <s v="做保函给邹师傅"/>
    <x v="27"/>
    <x v="0"/>
    <x v="0"/>
    <m/>
    <m/>
    <n v="-161"/>
  </r>
  <r>
    <x v="4"/>
    <x v="16"/>
    <n v="28"/>
    <s v="做ISF，发国外资料"/>
    <x v="27"/>
    <x v="0"/>
    <x v="0"/>
    <m/>
    <m/>
    <n v="-161"/>
  </r>
  <r>
    <x v="4"/>
    <x v="16"/>
    <n v="29"/>
    <s v="买保险"/>
    <x v="27"/>
    <x v="0"/>
    <x v="0"/>
    <m/>
    <m/>
    <n v="-161"/>
  </r>
  <r>
    <x v="4"/>
    <x v="16"/>
    <n v="30"/>
    <s v="填WORKING PROCESS"/>
    <x v="27"/>
    <x v="0"/>
    <x v="0"/>
    <m/>
    <m/>
    <n v="-161"/>
  </r>
  <r>
    <x v="4"/>
    <x v="16"/>
    <n v="31"/>
    <s v="收到HMM(He)生成提单通知"/>
    <x v="27"/>
    <x v="0"/>
    <x v="0"/>
    <m/>
    <s v="一般马上"/>
    <n v="-161"/>
  </r>
  <r>
    <x v="4"/>
    <x v="16"/>
    <n v="32"/>
    <s v="HMM网站核对提单信息"/>
    <x v="27"/>
    <x v="0"/>
    <x v="0"/>
    <m/>
    <m/>
    <n v="-161"/>
  </r>
  <r>
    <x v="4"/>
    <x v="16"/>
    <n v="33"/>
    <s v="盯海关网站舱单"/>
    <x v="27"/>
    <x v="0"/>
    <x v="0"/>
    <m/>
    <s v="一般两小时左右"/>
    <n v="-161"/>
  </r>
  <r>
    <x v="4"/>
    <x v="16"/>
    <n v="34"/>
    <s v="核对舱单信息"/>
    <x v="27"/>
    <x v="0"/>
    <x v="0"/>
    <m/>
    <m/>
    <n v="-161"/>
  </r>
  <r>
    <x v="4"/>
    <x v="16"/>
    <n v="35"/>
    <s v="收到报关行(黄寅文)校对稿，邮件发客户(徐贵)确认"/>
    <x v="27"/>
    <x v="0"/>
    <x v="0"/>
    <m/>
    <s v="一般半天内"/>
    <n v="-161"/>
  </r>
  <r>
    <x v="4"/>
    <x v="16"/>
    <n v="36"/>
    <s v="收到客户(徐贵)确认校对稿"/>
    <x v="30"/>
    <x v="0"/>
    <x v="0"/>
    <m/>
    <s v="一般马上"/>
    <n v="-160"/>
  </r>
  <r>
    <x v="4"/>
    <x v="16"/>
    <n v="37"/>
    <s v="通知车队(沈丽)可进港"/>
    <x v="27"/>
    <x v="0"/>
    <x v="0"/>
    <m/>
    <m/>
    <n v="-161"/>
  </r>
  <r>
    <x v="4"/>
    <x v="16"/>
    <n v="38"/>
    <s v="盯箱子进港"/>
    <x v="44"/>
    <x v="0"/>
    <x v="0"/>
    <m/>
    <m/>
    <n v="-159"/>
  </r>
  <r>
    <x v="4"/>
    <x v="16"/>
    <n v="39"/>
    <s v="核对进港数据"/>
    <x v="44"/>
    <x v="0"/>
    <x v="0"/>
    <m/>
    <m/>
    <n v="-159"/>
  </r>
  <r>
    <x v="4"/>
    <x v="16"/>
    <n v="40"/>
    <s v="通知报关行(黄寅文)报关(开港、舱单、校对)"/>
    <x v="44"/>
    <x v="0"/>
    <x v="0"/>
    <m/>
    <m/>
    <n v="-159"/>
  </r>
  <r>
    <x v="4"/>
    <x v="16"/>
    <n v="41"/>
    <s v="收到报关成功通知"/>
    <x v="44"/>
    <x v="0"/>
    <x v="0"/>
    <m/>
    <s v="一般下班前"/>
    <n v="-159"/>
  </r>
  <r>
    <x v="4"/>
    <x v="16"/>
    <n v="42"/>
    <s v="盯海放"/>
    <x v="44"/>
    <x v="0"/>
    <x v="0"/>
    <m/>
    <m/>
    <n v="-159"/>
  </r>
  <r>
    <x v="4"/>
    <x v="16"/>
    <n v="43"/>
    <s v="盯码放"/>
    <x v="42"/>
    <x v="0"/>
    <x v="0"/>
    <m/>
    <m/>
    <n v="-157"/>
  </r>
  <r>
    <x v="4"/>
    <x v="16"/>
    <n v="44"/>
    <s v="盯配载"/>
    <x v="26"/>
    <x v="0"/>
    <x v="0"/>
    <m/>
    <m/>
    <n v="-156"/>
  </r>
  <r>
    <x v="4"/>
    <x v="16"/>
    <n v="45"/>
    <s v="做费用(月初等汇率)，发账单给石磊"/>
    <x v="26"/>
    <x v="0"/>
    <x v="0"/>
    <m/>
    <m/>
    <n v="-156"/>
  </r>
  <r>
    <x v="4"/>
    <x v="16"/>
    <n v="46"/>
    <s v="船开"/>
    <x v="43"/>
    <x v="0"/>
    <x v="0"/>
    <m/>
    <m/>
    <n v="-153"/>
  </r>
  <r>
    <x v="4"/>
    <x v="16"/>
    <n v="47"/>
    <s v="放单"/>
    <x v="32"/>
    <x v="0"/>
    <x v="0"/>
    <m/>
    <s v="一般开船后两三天"/>
    <n v="-151"/>
  </r>
  <r>
    <x v="1"/>
    <x v="16"/>
    <n v="1"/>
    <s v="收到客户(孙丹/王珊)发来订舱托书"/>
    <x v="22"/>
    <x v="0"/>
    <x v="0"/>
    <m/>
    <m/>
    <n v="-169"/>
  </r>
  <r>
    <x v="1"/>
    <x v="16"/>
    <n v="2"/>
    <s v="收到CK发来预配(做箱通知，沈丽有收到？)，完善YJC系统数据"/>
    <x v="18"/>
    <x v="0"/>
    <x v="0"/>
    <m/>
    <m/>
    <n v="-165"/>
  </r>
  <r>
    <x v="1"/>
    <x v="16"/>
    <n v="3"/>
    <s v="YJC系统生成单子"/>
    <x v="18"/>
    <x v="0"/>
    <x v="0"/>
    <m/>
    <m/>
    <n v="-165"/>
  </r>
  <r>
    <x v="1"/>
    <x v="16"/>
    <n v="4"/>
    <s v="收到包装厂(刘倩梅)发来包装指示书和装箱计划"/>
    <x v="29"/>
    <x v="0"/>
    <x v="0"/>
    <m/>
    <s v="一般周四"/>
    <n v="-162"/>
  </r>
  <r>
    <x v="1"/>
    <x v="16"/>
    <n v="5"/>
    <s v="根据装箱计划汇总包装数据，发各工厂做报关资料"/>
    <x v="29"/>
    <x v="0"/>
    <x v="0"/>
    <m/>
    <m/>
    <n v="-162"/>
  </r>
  <r>
    <x v="1"/>
    <x v="16"/>
    <n v="6"/>
    <s v="做做箱数据，邮件群发"/>
    <x v="29"/>
    <x v="0"/>
    <x v="0"/>
    <m/>
    <m/>
    <n v="-162"/>
  </r>
  <r>
    <x v="1"/>
    <x v="16"/>
    <n v="7"/>
    <s v="收到工厂发来报关资料并完善(代做报关资料跟客户确认)"/>
    <x v="27"/>
    <x v="0"/>
    <x v="0"/>
    <m/>
    <s v="当天至隔天"/>
    <n v="-161"/>
  </r>
  <r>
    <x v="1"/>
    <x v="16"/>
    <n v="8"/>
    <s v="报关资料齐了，发报关行(黄寅文)，货运模板/发票/箱单"/>
    <x v="42"/>
    <x v="0"/>
    <x v="0"/>
    <m/>
    <m/>
    <n v="-157"/>
  </r>
  <r>
    <x v="1"/>
    <x v="16"/>
    <n v="9"/>
    <s v="收到车队(沈丽)装箱单和洋山提箱截图(如有)，群发，通知发舱单"/>
    <x v="27"/>
    <x v="0"/>
    <x v="0"/>
    <m/>
    <s v="一般KMM五、HMI日"/>
    <n v="-161"/>
  </r>
  <r>
    <x v="1"/>
    <x v="16"/>
    <n v="10"/>
    <s v="收到舱单发送成功通知，核对舱单信息"/>
    <x v="27"/>
    <x v="0"/>
    <x v="0"/>
    <m/>
    <m/>
    <n v="-161"/>
  </r>
  <r>
    <x v="1"/>
    <x v="16"/>
    <n v="11"/>
    <s v="通知报关"/>
    <x v="27"/>
    <x v="0"/>
    <x v="0"/>
    <m/>
    <s v="调整顺序"/>
    <n v="-161"/>
  </r>
  <r>
    <x v="1"/>
    <x v="16"/>
    <n v="12"/>
    <s v="报关成功"/>
    <x v="27"/>
    <x v="0"/>
    <x v="0"/>
    <m/>
    <s v="调整顺序"/>
    <n v="-161"/>
  </r>
  <r>
    <x v="1"/>
    <x v="16"/>
    <n v="13"/>
    <s v="通知进港"/>
    <x v="27"/>
    <x v="0"/>
    <x v="0"/>
    <m/>
    <s v="调整顺序"/>
    <n v="-161"/>
  </r>
  <r>
    <x v="1"/>
    <x v="16"/>
    <n v="14"/>
    <s v="进港(核对数据)"/>
    <x v="27"/>
    <x v="0"/>
    <x v="0"/>
    <m/>
    <s v="调整顺序"/>
    <n v="-161"/>
  </r>
  <r>
    <x v="1"/>
    <x v="16"/>
    <n v="15"/>
    <s v="盯海放"/>
    <x v="27"/>
    <x v="0"/>
    <x v="0"/>
    <m/>
    <m/>
    <n v="-161"/>
  </r>
  <r>
    <x v="1"/>
    <x v="16"/>
    <n v="16"/>
    <s v="盯码放"/>
    <x v="39"/>
    <x v="0"/>
    <x v="0"/>
    <m/>
    <m/>
    <n v="-158"/>
  </r>
  <r>
    <x v="1"/>
    <x v="16"/>
    <n v="17"/>
    <s v="盯配载"/>
    <x v="26"/>
    <x v="0"/>
    <x v="0"/>
    <m/>
    <m/>
    <n v="-156"/>
  </r>
  <r>
    <x v="1"/>
    <x v="16"/>
    <n v="18"/>
    <s v="盯船开"/>
    <x v="41"/>
    <x v="0"/>
    <x v="0"/>
    <m/>
    <m/>
    <n v="-155"/>
  </r>
  <r>
    <x v="1"/>
    <x v="16"/>
    <n v="19"/>
    <s v="做费用(对账单日期4号)，放公共盘，填月账单表，发孙丹"/>
    <x v="32"/>
    <x v="0"/>
    <x v="0"/>
    <m/>
    <m/>
    <n v="-151"/>
  </r>
  <r>
    <x v="4"/>
    <x v="17"/>
    <n v="1"/>
    <s v="收到客户(徐贵)订舱预报"/>
    <x v="18"/>
    <x v="0"/>
    <x v="0"/>
    <m/>
    <s v="一般周五发隔周"/>
    <n v="-165"/>
  </r>
  <r>
    <x v="4"/>
    <x v="17"/>
    <n v="2"/>
    <s v="填WORKING PROCESS"/>
    <x v="18"/>
    <x v="0"/>
    <x v="0"/>
    <m/>
    <m/>
    <n v="-165"/>
  </r>
  <r>
    <x v="4"/>
    <x v="17"/>
    <n v="3"/>
    <s v="收到HMM(Neo)预订舱邮件通知"/>
    <x v="18"/>
    <x v="0"/>
    <x v="0"/>
    <m/>
    <s v="一般周一发下周"/>
    <n v="-165"/>
  </r>
  <r>
    <x v="4"/>
    <x v="17"/>
    <n v="4"/>
    <s v="回复HMM(Neo)预订舱邮件"/>
    <x v="18"/>
    <x v="0"/>
    <x v="0"/>
    <m/>
    <m/>
    <n v="-165"/>
  </r>
  <r>
    <x v="4"/>
    <x v="17"/>
    <n v="5"/>
    <s v="收到HMM(Neo)预订舱确认"/>
    <x v="18"/>
    <x v="0"/>
    <x v="0"/>
    <m/>
    <s v="一般马上"/>
    <n v="-165"/>
  </r>
  <r>
    <x v="4"/>
    <x v="17"/>
    <n v="6"/>
    <s v="公共盘生成提单号"/>
    <x v="18"/>
    <x v="0"/>
    <x v="0"/>
    <m/>
    <m/>
    <n v="-165"/>
  </r>
  <r>
    <x v="4"/>
    <x v="17"/>
    <n v="7"/>
    <s v="YJC系统生成单子"/>
    <x v="18"/>
    <x v="0"/>
    <x v="0"/>
    <m/>
    <m/>
    <n v="-165"/>
  </r>
  <r>
    <x v="4"/>
    <x v="17"/>
    <n v="8"/>
    <s v="发EDI"/>
    <x v="18"/>
    <x v="0"/>
    <x v="0"/>
    <m/>
    <m/>
    <n v="-165"/>
  </r>
  <r>
    <x v="4"/>
    <x v="17"/>
    <n v="9"/>
    <s v="邮件申请放单"/>
    <x v="18"/>
    <x v="0"/>
    <x v="0"/>
    <m/>
    <m/>
    <n v="-165"/>
  </r>
  <r>
    <x v="4"/>
    <x v="17"/>
    <n v="10"/>
    <s v="收到HMM(Neo) 放单确认"/>
    <x v="31"/>
    <x v="0"/>
    <x v="0"/>
    <m/>
    <s v="一般半天内"/>
    <n v="-164"/>
  </r>
  <r>
    <x v="4"/>
    <x v="17"/>
    <n v="11"/>
    <s v="HMM网站核对订舱信息"/>
    <x v="31"/>
    <x v="0"/>
    <x v="0"/>
    <m/>
    <m/>
    <n v="-164"/>
  </r>
  <r>
    <x v="4"/>
    <x v="17"/>
    <n v="12"/>
    <s v="收到客户(徐贵)做箱通知"/>
    <x v="39"/>
    <x v="0"/>
    <x v="0"/>
    <m/>
    <s v="一般做箱头天一早"/>
    <n v="-158"/>
  </r>
  <r>
    <x v="4"/>
    <x v="17"/>
    <n v="13"/>
    <s v="发做箱通知邮件给车队(沈丽)"/>
    <x v="39"/>
    <x v="0"/>
    <x v="0"/>
    <m/>
    <m/>
    <n v="-158"/>
  </r>
  <r>
    <x v="4"/>
    <x v="17"/>
    <n v="14"/>
    <s v="公共盘生成提单号【如需拆单】"/>
    <x v="39"/>
    <x v="0"/>
    <x v="0"/>
    <m/>
    <m/>
    <n v="-158"/>
  </r>
  <r>
    <x v="4"/>
    <x v="17"/>
    <n v="15"/>
    <s v="YJC系统生成单子【如需拆单】"/>
    <x v="39"/>
    <x v="0"/>
    <x v="0"/>
    <m/>
    <m/>
    <n v="-158"/>
  </r>
  <r>
    <x v="4"/>
    <x v="17"/>
    <n v="16"/>
    <s v="发EDI【如需拆单】"/>
    <x v="39"/>
    <x v="0"/>
    <x v="0"/>
    <m/>
    <m/>
    <n v="-158"/>
  </r>
  <r>
    <x v="4"/>
    <x v="17"/>
    <n v="17"/>
    <s v="邮件申请放单【如需拆单】"/>
    <x v="39"/>
    <x v="0"/>
    <x v="0"/>
    <m/>
    <m/>
    <n v="-158"/>
  </r>
  <r>
    <x v="4"/>
    <x v="17"/>
    <n v="18"/>
    <s v="收到HMM(Neo) 放单确认【如需拆单】"/>
    <x v="39"/>
    <x v="0"/>
    <x v="0"/>
    <m/>
    <m/>
    <n v="-158"/>
  </r>
  <r>
    <x v="4"/>
    <x v="17"/>
    <n v="19"/>
    <s v="HMM网站核对订舱信息【如需拆单】"/>
    <x v="39"/>
    <x v="0"/>
    <x v="0"/>
    <m/>
    <m/>
    <n v="-158"/>
  </r>
  <r>
    <x v="4"/>
    <x v="17"/>
    <n v="20"/>
    <s v="收到客户(徐贵)发来做箱数据(报关资料)"/>
    <x v="42"/>
    <x v="0"/>
    <x v="0"/>
    <m/>
    <s v="一般做箱当天一早"/>
    <n v="-157"/>
  </r>
  <r>
    <x v="4"/>
    <x v="17"/>
    <n v="21"/>
    <s v="按报关(发票)数生成提单号【如发票数超过提单数】"/>
    <x v="42"/>
    <x v="0"/>
    <x v="0"/>
    <m/>
    <m/>
    <n v="-157"/>
  </r>
  <r>
    <x v="4"/>
    <x v="17"/>
    <n v="22"/>
    <s v="做做箱数据，QQ发车队(沈丽)"/>
    <x v="42"/>
    <x v="0"/>
    <x v="0"/>
    <m/>
    <m/>
    <n v="-157"/>
  </r>
  <r>
    <x v="4"/>
    <x v="17"/>
    <n v="23"/>
    <s v="收到车队(沈丽)装箱单，转发客户（徐贵）"/>
    <x v="42"/>
    <x v="0"/>
    <x v="0"/>
    <m/>
    <s v="一般马上"/>
    <n v="-157"/>
  </r>
  <r>
    <x v="4"/>
    <x v="17"/>
    <n v="24"/>
    <s v="YJC系统截单，发EDI，邮件HMM(He)【截单时间】"/>
    <x v="42"/>
    <x v="0"/>
    <x v="0"/>
    <m/>
    <s v="注意截单时间"/>
    <n v="-157"/>
  </r>
  <r>
    <x v="4"/>
    <x v="17"/>
    <n v="25"/>
    <s v="发VGM和舱单"/>
    <x v="42"/>
    <x v="0"/>
    <x v="0"/>
    <m/>
    <m/>
    <n v="-157"/>
  </r>
  <r>
    <x v="4"/>
    <x v="17"/>
    <n v="26"/>
    <s v="做报关资料，扫描发报关行(黄寅文)QQ"/>
    <x v="42"/>
    <x v="0"/>
    <x v="0"/>
    <m/>
    <m/>
    <n v="-157"/>
  </r>
  <r>
    <x v="4"/>
    <x v="17"/>
    <n v="27"/>
    <s v="做保函给邹师傅"/>
    <x v="42"/>
    <x v="0"/>
    <x v="0"/>
    <m/>
    <m/>
    <n v="-157"/>
  </r>
  <r>
    <x v="4"/>
    <x v="17"/>
    <n v="28"/>
    <s v="做ISF，发国外资料"/>
    <x v="42"/>
    <x v="0"/>
    <x v="0"/>
    <m/>
    <m/>
    <n v="-157"/>
  </r>
  <r>
    <x v="4"/>
    <x v="17"/>
    <n v="29"/>
    <s v="买保险"/>
    <x v="42"/>
    <x v="0"/>
    <x v="0"/>
    <m/>
    <m/>
    <n v="-157"/>
  </r>
  <r>
    <x v="4"/>
    <x v="17"/>
    <n v="31"/>
    <s v="收到HMM(He)生成提单通知"/>
    <x v="42"/>
    <x v="0"/>
    <x v="0"/>
    <m/>
    <s v="一般马上"/>
    <n v="-157"/>
  </r>
  <r>
    <x v="4"/>
    <x v="17"/>
    <n v="32"/>
    <s v="HMM网站核对提单信息"/>
    <x v="41"/>
    <x v="0"/>
    <x v="0"/>
    <m/>
    <m/>
    <n v="-155"/>
  </r>
  <r>
    <x v="4"/>
    <x v="17"/>
    <n v="33"/>
    <s v="盯海关网站舱单"/>
    <x v="42"/>
    <x v="0"/>
    <x v="0"/>
    <m/>
    <s v="一般两小时左右"/>
    <n v="-157"/>
  </r>
  <r>
    <x v="4"/>
    <x v="17"/>
    <n v="34"/>
    <s v="核对舱单信息"/>
    <x v="42"/>
    <x v="0"/>
    <x v="0"/>
    <m/>
    <m/>
    <n v="-157"/>
  </r>
  <r>
    <x v="4"/>
    <x v="17"/>
    <n v="35"/>
    <s v="收到报关行(黄寅文)校对稿，邮件发客户(徐贵)确认"/>
    <x v="42"/>
    <x v="0"/>
    <x v="0"/>
    <m/>
    <s v="一般半天内"/>
    <n v="-157"/>
  </r>
  <r>
    <x v="4"/>
    <x v="17"/>
    <n v="36"/>
    <s v="收到客户(徐贵)确认校对稿"/>
    <x v="42"/>
    <x v="0"/>
    <x v="0"/>
    <m/>
    <s v="一般马上"/>
    <n v="-157"/>
  </r>
  <r>
    <x v="4"/>
    <x v="17"/>
    <n v="37"/>
    <s v="通知报关行(黄寅文)报关(开港、舱单、校对)"/>
    <x v="42"/>
    <x v="0"/>
    <x v="0"/>
    <m/>
    <m/>
    <n v="-157"/>
  </r>
  <r>
    <x v="4"/>
    <x v="17"/>
    <n v="38"/>
    <s v="收到报关成功通知"/>
    <x v="42"/>
    <x v="0"/>
    <x v="0"/>
    <m/>
    <s v="一般下班前"/>
    <n v="-157"/>
  </r>
  <r>
    <x v="4"/>
    <x v="17"/>
    <n v="39"/>
    <s v="通知车队(沈丽)可进港"/>
    <x v="42"/>
    <x v="0"/>
    <x v="0"/>
    <m/>
    <m/>
    <n v="-157"/>
  </r>
  <r>
    <x v="4"/>
    <x v="17"/>
    <n v="40"/>
    <s v="盯箱子进港"/>
    <x v="26"/>
    <x v="0"/>
    <x v="0"/>
    <m/>
    <m/>
    <n v="-156"/>
  </r>
  <r>
    <x v="4"/>
    <x v="17"/>
    <n v="41"/>
    <s v="核对进港数据"/>
    <x v="26"/>
    <x v="0"/>
    <x v="0"/>
    <m/>
    <m/>
    <n v="-156"/>
  </r>
  <r>
    <x v="4"/>
    <x v="17"/>
    <n v="42"/>
    <s v="盯海放"/>
    <x v="26"/>
    <x v="0"/>
    <x v="0"/>
    <m/>
    <m/>
    <n v="-156"/>
  </r>
  <r>
    <x v="4"/>
    <x v="17"/>
    <n v="43"/>
    <s v="盯码放"/>
    <x v="41"/>
    <x v="0"/>
    <x v="0"/>
    <m/>
    <m/>
    <n v="-155"/>
  </r>
  <r>
    <x v="4"/>
    <x v="17"/>
    <n v="44"/>
    <s v="盯配载"/>
    <x v="40"/>
    <x v="0"/>
    <x v="0"/>
    <m/>
    <m/>
    <n v="-154"/>
  </r>
  <r>
    <x v="4"/>
    <x v="17"/>
    <n v="45"/>
    <s v="做费用(月初等汇率)，发账单给石磊"/>
    <x v="32"/>
    <x v="0"/>
    <x v="0"/>
    <m/>
    <m/>
    <n v="-151"/>
  </r>
  <r>
    <x v="4"/>
    <x v="17"/>
    <n v="46"/>
    <s v="船开"/>
    <x v="43"/>
    <x v="0"/>
    <x v="0"/>
    <m/>
    <m/>
    <n v="-153"/>
  </r>
  <r>
    <x v="4"/>
    <x v="17"/>
    <n v="47"/>
    <s v="放单"/>
    <x v="32"/>
    <x v="0"/>
    <x v="0"/>
    <m/>
    <s v="一般开船后两三天"/>
    <n v="-151"/>
  </r>
  <r>
    <x v="5"/>
    <x v="17"/>
    <n v="1"/>
    <s v="收到客户托书"/>
    <x v="17"/>
    <x v="0"/>
    <x v="0"/>
    <m/>
    <m/>
    <n v="-170"/>
  </r>
  <r>
    <x v="5"/>
    <x v="17"/>
    <n v="2"/>
    <s v="生成单号，YJC系统，发EDI，邮件Neo放舱"/>
    <x v="18"/>
    <x v="0"/>
    <x v="0"/>
    <m/>
    <m/>
    <n v="-165"/>
  </r>
  <r>
    <x v="5"/>
    <x v="17"/>
    <n v="3"/>
    <s v="收到Neo放舱确认"/>
    <x v="31"/>
    <x v="0"/>
    <x v="0"/>
    <m/>
    <m/>
    <n v="-164"/>
  </r>
  <r>
    <x v="5"/>
    <x v="17"/>
    <n v="4"/>
    <s v="发预配信息给客户（张婷）"/>
    <x v="31"/>
    <x v="0"/>
    <x v="0"/>
    <m/>
    <m/>
    <n v="-164"/>
  </r>
  <r>
    <x v="5"/>
    <x v="17"/>
    <n v="5"/>
    <s v="收到客户（张婷）报关资料"/>
    <x v="29"/>
    <x v="0"/>
    <x v="0"/>
    <m/>
    <m/>
    <n v="-162"/>
  </r>
  <r>
    <x v="5"/>
    <x v="17"/>
    <n v="6"/>
    <s v="做报关资料，发报关行（黄寅文），要校对稿"/>
    <x v="29"/>
    <x v="0"/>
    <x v="0"/>
    <m/>
    <m/>
    <n v="-162"/>
  </r>
  <r>
    <x v="5"/>
    <x v="17"/>
    <n v="7"/>
    <s v="收到校对稿，发客户"/>
    <x v="29"/>
    <x v="0"/>
    <x v="0"/>
    <m/>
    <m/>
    <n v="-162"/>
  </r>
  <r>
    <x v="5"/>
    <x v="17"/>
    <n v="8"/>
    <s v="收到校对稿确认"/>
    <x v="27"/>
    <x v="0"/>
    <x v="0"/>
    <m/>
    <m/>
    <n v="-161"/>
  </r>
  <r>
    <x v="5"/>
    <x v="17"/>
    <n v="9"/>
    <s v="收到客户（张婷）舱单模板和VGM"/>
    <x v="39"/>
    <x v="0"/>
    <x v="0"/>
    <m/>
    <s v="今天能放箱装？"/>
    <n v="-158"/>
  </r>
  <r>
    <x v="5"/>
    <x v="17"/>
    <n v="10"/>
    <s v="发舱单和VGM"/>
    <x v="39"/>
    <x v="0"/>
    <x v="0"/>
    <m/>
    <m/>
    <n v="-158"/>
  </r>
  <r>
    <x v="5"/>
    <x v="17"/>
    <n v="11"/>
    <s v="YJC系统改准确数据，发ESI，做AMS模板并邮件何生成提单"/>
    <x v="39"/>
    <x v="0"/>
    <x v="0"/>
    <m/>
    <m/>
    <n v="-158"/>
  </r>
  <r>
    <x v="5"/>
    <x v="17"/>
    <n v="12"/>
    <s v="收到生成提单邮件，网站核对信息"/>
    <x v="39"/>
    <x v="0"/>
    <x v="0"/>
    <m/>
    <m/>
    <n v="-158"/>
  </r>
  <r>
    <x v="5"/>
    <x v="17"/>
    <n v="13"/>
    <s v="发提单确认（两份）"/>
    <x v="41"/>
    <x v="0"/>
    <x v="0"/>
    <m/>
    <m/>
    <n v="-155"/>
  </r>
  <r>
    <x v="5"/>
    <x v="17"/>
    <n v="14"/>
    <s v="收到客户（张婷）提单确认"/>
    <x v="41"/>
    <x v="0"/>
    <x v="0"/>
    <m/>
    <m/>
    <n v="-155"/>
  </r>
  <r>
    <x v="5"/>
    <x v="17"/>
    <n v="15"/>
    <s v="海关有舱单，核对舱单"/>
    <x v="39"/>
    <x v="0"/>
    <x v="0"/>
    <m/>
    <m/>
    <n v="-158"/>
  </r>
  <r>
    <x v="5"/>
    <x v="17"/>
    <n v="16"/>
    <s v="通知报关"/>
    <x v="39"/>
    <x v="0"/>
    <x v="0"/>
    <m/>
    <m/>
    <n v="-158"/>
  </r>
  <r>
    <x v="5"/>
    <x v="17"/>
    <n v="17"/>
    <s v="收到报关成功通知"/>
    <x v="39"/>
    <x v="0"/>
    <x v="0"/>
    <m/>
    <m/>
    <n v="-158"/>
  </r>
  <r>
    <x v="5"/>
    <x v="17"/>
    <n v="18"/>
    <s v="通知可进港"/>
    <x v="39"/>
    <x v="0"/>
    <x v="0"/>
    <m/>
    <m/>
    <n v="-158"/>
  </r>
  <r>
    <x v="5"/>
    <x v="17"/>
    <n v="19"/>
    <s v="收到进港通知"/>
    <x v="42"/>
    <x v="0"/>
    <x v="0"/>
    <m/>
    <m/>
    <n v="-157"/>
  </r>
  <r>
    <x v="5"/>
    <x v="17"/>
    <n v="20"/>
    <s v="核对进港数据"/>
    <x v="42"/>
    <x v="0"/>
    <x v="0"/>
    <m/>
    <m/>
    <n v="-157"/>
  </r>
  <r>
    <x v="5"/>
    <x v="17"/>
    <n v="21"/>
    <s v="海放，码放，配载"/>
    <x v="40"/>
    <x v="0"/>
    <x v="0"/>
    <m/>
    <m/>
    <n v="-154"/>
  </r>
  <r>
    <x v="5"/>
    <x v="17"/>
    <n v="22"/>
    <s v="船开"/>
    <x v="43"/>
    <x v="0"/>
    <x v="0"/>
    <m/>
    <m/>
    <n v="-153"/>
  </r>
  <r>
    <x v="5"/>
    <x v="17"/>
    <n v="23"/>
    <s v="张婷确认账单"/>
    <x v="19"/>
    <x v="0"/>
    <x v="0"/>
    <m/>
    <m/>
    <n v="-141"/>
  </r>
  <r>
    <x v="5"/>
    <x v="17"/>
    <n v="24"/>
    <s v="放单"/>
    <x v="32"/>
    <x v="0"/>
    <x v="0"/>
    <m/>
    <m/>
    <n v="-151"/>
  </r>
  <r>
    <x v="7"/>
    <x v="18"/>
    <n v="1"/>
    <s v="收到徐小姐托书"/>
    <x v="42"/>
    <x v="0"/>
    <x v="0"/>
    <m/>
    <m/>
    <n v="-157"/>
  </r>
  <r>
    <x v="7"/>
    <x v="18"/>
    <n v="2"/>
    <s v="公共盘表格生成单号，YJC系统复制、生成单子"/>
    <x v="42"/>
    <x v="0"/>
    <x v="0"/>
    <m/>
    <m/>
    <n v="-157"/>
  </r>
  <r>
    <x v="7"/>
    <x v="18"/>
    <n v="3"/>
    <s v="振华网站订舱、保存、提交，等待审核"/>
    <x v="42"/>
    <x v="0"/>
    <x v="0"/>
    <m/>
    <m/>
    <n v="-157"/>
  </r>
  <r>
    <x v="7"/>
    <x v="18"/>
    <n v="4"/>
    <s v="QQ发预配给徐小姐，邮件发确认给国外"/>
    <x v="42"/>
    <x v="0"/>
    <x v="0"/>
    <m/>
    <m/>
    <n v="-157"/>
  </r>
  <r>
    <x v="7"/>
    <x v="18"/>
    <n v="5"/>
    <s v="收到国外确认，公共盘表格红改黑"/>
    <x v="42"/>
    <x v="0"/>
    <x v="0"/>
    <m/>
    <m/>
    <n v="-157"/>
  </r>
  <r>
    <x v="7"/>
    <x v="18"/>
    <n v="6"/>
    <s v="收到车队江发来VGM表格"/>
    <x v="41"/>
    <x v="0"/>
    <x v="0"/>
    <m/>
    <s v="周三周一截，周日周五截"/>
    <n v="-155"/>
  </r>
  <r>
    <x v="7"/>
    <x v="18"/>
    <n v="7"/>
    <s v="YJC 截单，振华截单、截VGM"/>
    <x v="41"/>
    <x v="0"/>
    <x v="0"/>
    <m/>
    <m/>
    <n v="-155"/>
  </r>
  <r>
    <x v="7"/>
    <x v="18"/>
    <n v="8"/>
    <s v="邮件发提单确认和费用确认给国外"/>
    <x v="41"/>
    <x v="0"/>
    <x v="0"/>
    <m/>
    <m/>
    <n v="-155"/>
  </r>
  <r>
    <x v="7"/>
    <x v="18"/>
    <n v="9"/>
    <s v="船开，制作提单领取单给师傅领WAYBILL"/>
    <x v="32"/>
    <x v="0"/>
    <x v="0"/>
    <m/>
    <m/>
    <n v="-151"/>
  </r>
  <r>
    <x v="7"/>
    <x v="18"/>
    <n v="10"/>
    <s v="拿到WAYBILL，扫描，和HBL一起发国外"/>
    <x v="32"/>
    <x v="0"/>
    <x v="0"/>
    <m/>
    <m/>
    <n v="-151"/>
  </r>
  <r>
    <x v="3"/>
    <x v="19"/>
    <n v="1"/>
    <s v="收到HMM Neo 下周订舱邮件"/>
    <x v="32"/>
    <x v="0"/>
    <x v="0"/>
    <m/>
    <s v="周一"/>
    <n v="-151"/>
  </r>
  <r>
    <x v="3"/>
    <x v="19"/>
    <n v="2"/>
    <s v="根据JS mobis订舱需求回Neo邮件"/>
    <x v="32"/>
    <x v="0"/>
    <x v="0"/>
    <m/>
    <s v="周一"/>
    <n v="-151"/>
  </r>
  <r>
    <x v="3"/>
    <x v="19"/>
    <n v="3"/>
    <s v="SHA GLV WORKING PROCESS"/>
    <x v="32"/>
    <x v="0"/>
    <x v="0"/>
    <m/>
    <s v="周一"/>
    <n v="-151"/>
  </r>
  <r>
    <x v="3"/>
    <x v="19"/>
    <n v="4"/>
    <s v="SHA GLV WORKING PROCESS"/>
    <x v="45"/>
    <x v="0"/>
    <x v="0"/>
    <m/>
    <s v="周三"/>
    <n v="-149"/>
  </r>
  <r>
    <x v="3"/>
    <x v="19"/>
    <n v="5"/>
    <s v="TJ glovis额外费用邮件"/>
    <x v="46"/>
    <x v="0"/>
    <x v="0"/>
    <m/>
    <s v="周五"/>
    <n v="-147"/>
  </r>
  <r>
    <x v="3"/>
    <x v="19"/>
    <n v="6"/>
    <s v="WORKING PROCESS"/>
    <x v="46"/>
    <x v="0"/>
    <x v="0"/>
    <m/>
    <s v="周五"/>
    <n v="-147"/>
  </r>
  <r>
    <x v="3"/>
    <x v="19"/>
    <n v="7"/>
    <s v="万盛出运清单（下午三点，改文件名）"/>
    <x v="46"/>
    <x v="0"/>
    <x v="0"/>
    <m/>
    <s v="周五"/>
    <n v="-147"/>
  </r>
  <r>
    <x v="3"/>
    <x v="19"/>
    <n v="8"/>
    <s v="HANSSEM 流水重做"/>
    <x v="47"/>
    <x v="0"/>
    <x v="0"/>
    <m/>
    <m/>
    <n v="-146"/>
  </r>
  <r>
    <x v="0"/>
    <x v="20"/>
    <n v="1"/>
    <s v="收到客户(孙丹/王珊)发来订舱托书"/>
    <x v="27"/>
    <x v="0"/>
    <x v="0"/>
    <m/>
    <m/>
    <n v="-161"/>
  </r>
  <r>
    <x v="0"/>
    <x v="20"/>
    <n v="2"/>
    <s v="收到CK发来预配(做箱通知，沈丽有收到？)，完善YJC系统数据"/>
    <x v="42"/>
    <x v="0"/>
    <x v="0"/>
    <m/>
    <m/>
    <n v="-157"/>
  </r>
  <r>
    <x v="0"/>
    <x v="20"/>
    <n v="3"/>
    <s v="YJC系统生成单子"/>
    <x v="42"/>
    <x v="0"/>
    <x v="0"/>
    <m/>
    <m/>
    <n v="-157"/>
  </r>
  <r>
    <x v="0"/>
    <x v="20"/>
    <n v="4"/>
    <s v="收到包装厂(刘倩梅)发来包装指示书和装箱计划"/>
    <x v="41"/>
    <x v="0"/>
    <x v="0"/>
    <m/>
    <s v="一般周四"/>
    <n v="-155"/>
  </r>
  <r>
    <x v="0"/>
    <x v="20"/>
    <n v="5"/>
    <s v="根据装箱计划汇总包装数据，发各工厂做报关资料"/>
    <x v="41"/>
    <x v="0"/>
    <x v="0"/>
    <m/>
    <m/>
    <n v="-155"/>
  </r>
  <r>
    <x v="0"/>
    <x v="20"/>
    <n v="6"/>
    <s v="做做箱数据，邮件群发(开港时间)"/>
    <x v="41"/>
    <x v="0"/>
    <x v="0"/>
    <m/>
    <m/>
    <n v="-155"/>
  </r>
  <r>
    <x v="0"/>
    <x v="20"/>
    <n v="7"/>
    <s v="收到工厂发来报关资料并完善(代做报关资料跟客户确认)"/>
    <x v="32"/>
    <x v="0"/>
    <x v="0"/>
    <m/>
    <s v="当天至隔天"/>
    <n v="-151"/>
  </r>
  <r>
    <x v="0"/>
    <x v="20"/>
    <n v="7.1"/>
    <s v="三立的体积有问题，让客户重新提供，再发报关行"/>
    <x v="32"/>
    <x v="0"/>
    <x v="0"/>
    <m/>
    <m/>
    <n v="-151"/>
  </r>
  <r>
    <x v="0"/>
    <x v="20"/>
    <n v="8"/>
    <s v="报关资料齐了，发报关行(黄寅文)，货运模板/发票/箱单"/>
    <x v="32"/>
    <x v="0"/>
    <x v="0"/>
    <m/>
    <m/>
    <n v="-151"/>
  </r>
  <r>
    <x v="0"/>
    <x v="20"/>
    <n v="9"/>
    <s v="收到车队(沈丽)装箱单和洋山提箱截图(如有)，群发，通知发舱单"/>
    <x v="32"/>
    <x v="0"/>
    <x v="0"/>
    <m/>
    <s v="一般KMM五、HMI日"/>
    <n v="-151"/>
  </r>
  <r>
    <x v="0"/>
    <x v="20"/>
    <n v="9"/>
    <s v="收到舱单发送成功通知，核对舱单信息"/>
    <x v="32"/>
    <x v="0"/>
    <x v="0"/>
    <m/>
    <m/>
    <n v="-151"/>
  </r>
  <r>
    <x v="0"/>
    <x v="20"/>
    <n v="9"/>
    <s v="通知进港"/>
    <x v="32"/>
    <x v="0"/>
    <x v="0"/>
    <m/>
    <s v="调整顺序"/>
    <n v="-151"/>
  </r>
  <r>
    <x v="0"/>
    <x v="20"/>
    <n v="9"/>
    <s v="进港(核对数据)"/>
    <x v="32"/>
    <x v="0"/>
    <x v="0"/>
    <m/>
    <s v="调整顺序"/>
    <n v="-151"/>
  </r>
  <r>
    <x v="0"/>
    <x v="20"/>
    <n v="9"/>
    <s v="通知报关"/>
    <x v="32"/>
    <x v="0"/>
    <x v="0"/>
    <m/>
    <s v="调整顺序"/>
    <n v="-151"/>
  </r>
  <r>
    <x v="0"/>
    <x v="20"/>
    <n v="9"/>
    <s v="报关成功"/>
    <x v="32"/>
    <x v="0"/>
    <x v="0"/>
    <m/>
    <s v="调整顺序"/>
    <n v="-151"/>
  </r>
  <r>
    <x v="0"/>
    <x v="20"/>
    <n v="15"/>
    <s v="盯海放"/>
    <x v="32"/>
    <x v="0"/>
    <x v="0"/>
    <m/>
    <m/>
    <n v="-151"/>
  </r>
  <r>
    <x v="0"/>
    <x v="20"/>
    <n v="16"/>
    <s v="盯码放"/>
    <x v="48"/>
    <x v="0"/>
    <x v="0"/>
    <m/>
    <m/>
    <n v="-150"/>
  </r>
  <r>
    <x v="0"/>
    <x v="20"/>
    <n v="17"/>
    <s v="盯配载"/>
    <x v="45"/>
    <x v="0"/>
    <x v="0"/>
    <m/>
    <m/>
    <n v="-149"/>
  </r>
  <r>
    <x v="0"/>
    <x v="20"/>
    <n v="18"/>
    <s v="船开"/>
    <x v="49"/>
    <x v="0"/>
    <x v="0"/>
    <m/>
    <m/>
    <n v="-148"/>
  </r>
  <r>
    <x v="0"/>
    <x v="20"/>
    <n v="19"/>
    <s v="做费用(对账单日期4号)，放公共盘，填月账单表，发孙丹"/>
    <x v="49"/>
    <x v="0"/>
    <x v="0"/>
    <m/>
    <m/>
    <n v="-148"/>
  </r>
  <r>
    <x v="4"/>
    <x v="20"/>
    <n v="1"/>
    <s v="收到客户(徐贵)订舱预报"/>
    <x v="27"/>
    <x v="0"/>
    <x v="0"/>
    <m/>
    <s v="一般周五发隔周"/>
    <n v="-161"/>
  </r>
  <r>
    <x v="4"/>
    <x v="20"/>
    <n v="2"/>
    <s v="填WORKING PROCESS"/>
    <x v="27"/>
    <x v="0"/>
    <x v="0"/>
    <m/>
    <m/>
    <n v="-161"/>
  </r>
  <r>
    <x v="4"/>
    <x v="20"/>
    <n v="3"/>
    <s v="收到HMM(Neo)预订舱邮件通知"/>
    <x v="27"/>
    <x v="0"/>
    <x v="0"/>
    <m/>
    <s v="一般周一发下周"/>
    <n v="-161"/>
  </r>
  <r>
    <x v="4"/>
    <x v="20"/>
    <n v="4"/>
    <s v="回复HMM(Neo)预订舱邮件"/>
    <x v="27"/>
    <x v="0"/>
    <x v="0"/>
    <m/>
    <m/>
    <n v="-161"/>
  </r>
  <r>
    <x v="4"/>
    <x v="20"/>
    <n v="5"/>
    <s v="收到HMM(Neo)预订舱确认"/>
    <x v="42"/>
    <x v="0"/>
    <x v="0"/>
    <m/>
    <s v="一般马上"/>
    <n v="-157"/>
  </r>
  <r>
    <x v="4"/>
    <x v="20"/>
    <n v="6"/>
    <s v="公共盘生成提单号"/>
    <x v="42"/>
    <x v="0"/>
    <x v="0"/>
    <m/>
    <m/>
    <n v="-157"/>
  </r>
  <r>
    <x v="4"/>
    <x v="20"/>
    <n v="7"/>
    <s v="YJC系统生成单子"/>
    <x v="42"/>
    <x v="0"/>
    <x v="0"/>
    <m/>
    <m/>
    <n v="-157"/>
  </r>
  <r>
    <x v="4"/>
    <x v="20"/>
    <n v="8"/>
    <s v="发EDI"/>
    <x v="42"/>
    <x v="0"/>
    <x v="0"/>
    <m/>
    <m/>
    <n v="-157"/>
  </r>
  <r>
    <x v="4"/>
    <x v="20"/>
    <n v="9"/>
    <s v="邮件申请放单"/>
    <x v="42"/>
    <x v="0"/>
    <x v="0"/>
    <m/>
    <m/>
    <n v="-157"/>
  </r>
  <r>
    <x v="4"/>
    <x v="20"/>
    <n v="10"/>
    <s v="收到HMM(Neo) 放单确认"/>
    <x v="26"/>
    <x v="0"/>
    <x v="0"/>
    <m/>
    <s v="一般半天内"/>
    <n v="-156"/>
  </r>
  <r>
    <x v="4"/>
    <x v="20"/>
    <n v="11"/>
    <s v="HMM网站核对订舱信息"/>
    <x v="26"/>
    <x v="0"/>
    <x v="0"/>
    <m/>
    <m/>
    <n v="-156"/>
  </r>
  <r>
    <x v="4"/>
    <x v="20"/>
    <n v="12"/>
    <s v="收到客户(徐贵)做箱通知"/>
    <x v="26"/>
    <x v="0"/>
    <x v="0"/>
    <m/>
    <s v="一般做箱头天一早"/>
    <n v="-156"/>
  </r>
  <r>
    <x v="4"/>
    <x v="20"/>
    <n v="13"/>
    <s v="发做箱通知邮件给车队(沈丽)"/>
    <x v="26"/>
    <x v="0"/>
    <x v="0"/>
    <m/>
    <m/>
    <n v="-156"/>
  </r>
  <r>
    <x v="4"/>
    <x v="20"/>
    <n v="14"/>
    <s v="公共盘生成提单号【如需拆单】"/>
    <x v="26"/>
    <x v="0"/>
    <x v="0"/>
    <m/>
    <m/>
    <n v="-156"/>
  </r>
  <r>
    <x v="4"/>
    <x v="20"/>
    <n v="15"/>
    <s v="YJC系统生成单子【如需拆单】"/>
    <x v="26"/>
    <x v="0"/>
    <x v="0"/>
    <m/>
    <m/>
    <n v="-156"/>
  </r>
  <r>
    <x v="4"/>
    <x v="20"/>
    <n v="16"/>
    <s v="发EDI【如需拆单】"/>
    <x v="26"/>
    <x v="0"/>
    <x v="0"/>
    <m/>
    <m/>
    <n v="-156"/>
  </r>
  <r>
    <x v="4"/>
    <x v="20"/>
    <n v="17"/>
    <s v="邮件申请放单【如需拆单】"/>
    <x v="26"/>
    <x v="0"/>
    <x v="0"/>
    <m/>
    <m/>
    <n v="-156"/>
  </r>
  <r>
    <x v="4"/>
    <x v="20"/>
    <n v="18"/>
    <s v="收到HMM(Neo) 放单确认【如需拆单】"/>
    <x v="26"/>
    <x v="0"/>
    <x v="0"/>
    <m/>
    <m/>
    <n v="-156"/>
  </r>
  <r>
    <x v="4"/>
    <x v="20"/>
    <n v="19"/>
    <s v="HMM网站核对订舱信息【如需拆单】"/>
    <x v="26"/>
    <x v="0"/>
    <x v="0"/>
    <m/>
    <m/>
    <n v="-156"/>
  </r>
  <r>
    <x v="4"/>
    <x v="20"/>
    <n v="20"/>
    <s v="收到客户(徐贵)发来做箱数据(报关资料)"/>
    <x v="41"/>
    <x v="0"/>
    <x v="0"/>
    <m/>
    <s v="一般做箱当天一早"/>
    <n v="-155"/>
  </r>
  <r>
    <x v="4"/>
    <x v="20"/>
    <n v="21"/>
    <s v="按报关(发票)数生成提单号【如发票数超过提单数】"/>
    <x v="41"/>
    <x v="0"/>
    <x v="0"/>
    <m/>
    <m/>
    <n v="-155"/>
  </r>
  <r>
    <x v="4"/>
    <x v="20"/>
    <n v="22"/>
    <s v="做做箱数据，QQ发车队(沈丽)"/>
    <x v="41"/>
    <x v="0"/>
    <x v="0"/>
    <m/>
    <m/>
    <n v="-155"/>
  </r>
  <r>
    <x v="4"/>
    <x v="20"/>
    <n v="23"/>
    <s v="收到车队(沈丽)装箱单，转发客户（徐贵）"/>
    <x v="41"/>
    <x v="0"/>
    <x v="0"/>
    <m/>
    <s v="一般马上"/>
    <n v="-155"/>
  </r>
  <r>
    <x v="4"/>
    <x v="20"/>
    <n v="24"/>
    <s v="YJC系统截单，发EDI，邮件HMM(He)【截单时间】"/>
    <x v="41"/>
    <x v="0"/>
    <x v="0"/>
    <m/>
    <s v="注意截单时间"/>
    <n v="-155"/>
  </r>
  <r>
    <x v="4"/>
    <x v="20"/>
    <n v="25"/>
    <s v="发VGM和舱单"/>
    <x v="41"/>
    <x v="0"/>
    <x v="0"/>
    <m/>
    <m/>
    <n v="-155"/>
  </r>
  <r>
    <x v="4"/>
    <x v="20"/>
    <n v="26"/>
    <s v="做报关资料，扫描发报关行(黄寅文)QQ"/>
    <x v="41"/>
    <x v="0"/>
    <x v="0"/>
    <m/>
    <m/>
    <n v="-155"/>
  </r>
  <r>
    <x v="4"/>
    <x v="20"/>
    <n v="27"/>
    <s v="做保函给邹师傅"/>
    <x v="41"/>
    <x v="0"/>
    <x v="0"/>
    <m/>
    <m/>
    <n v="-155"/>
  </r>
  <r>
    <x v="4"/>
    <x v="20"/>
    <n v="28"/>
    <s v="做ISF，发国外资料"/>
    <x v="41"/>
    <x v="0"/>
    <x v="0"/>
    <m/>
    <m/>
    <n v="-155"/>
  </r>
  <r>
    <x v="4"/>
    <x v="20"/>
    <n v="29"/>
    <s v="买保险"/>
    <x v="41"/>
    <x v="0"/>
    <x v="0"/>
    <m/>
    <m/>
    <n v="-155"/>
  </r>
  <r>
    <x v="4"/>
    <x v="20"/>
    <n v="30"/>
    <s v="填WORKING PROCESS"/>
    <x v="41"/>
    <x v="0"/>
    <x v="0"/>
    <m/>
    <m/>
    <n v="-155"/>
  </r>
  <r>
    <x v="4"/>
    <x v="20"/>
    <n v="31"/>
    <s v="收到HMM(He)生成提单通知"/>
    <x v="41"/>
    <x v="0"/>
    <x v="0"/>
    <m/>
    <s v="一般马上"/>
    <n v="-155"/>
  </r>
  <r>
    <x v="4"/>
    <x v="20"/>
    <n v="32"/>
    <s v="HMM网站核对提单信息"/>
    <x v="41"/>
    <x v="0"/>
    <x v="0"/>
    <m/>
    <m/>
    <n v="-155"/>
  </r>
  <r>
    <x v="4"/>
    <x v="20"/>
    <n v="33"/>
    <s v="盯海关网站舱单"/>
    <x v="41"/>
    <x v="0"/>
    <x v="0"/>
    <m/>
    <s v="一般两小时左右"/>
    <n v="-155"/>
  </r>
  <r>
    <x v="4"/>
    <x v="20"/>
    <n v="34"/>
    <s v="核对舱单信息"/>
    <x v="41"/>
    <x v="0"/>
    <x v="0"/>
    <m/>
    <m/>
    <n v="-155"/>
  </r>
  <r>
    <x v="4"/>
    <x v="20"/>
    <n v="35"/>
    <s v="收到报关行(黄寅文)校对稿，邮件发客户(徐贵)确认"/>
    <x v="41"/>
    <x v="0"/>
    <x v="0"/>
    <m/>
    <s v="一般半天内"/>
    <n v="-155"/>
  </r>
  <r>
    <x v="4"/>
    <x v="20"/>
    <n v="36"/>
    <s v="收到客户(徐贵)确认校对稿"/>
    <x v="40"/>
    <x v="0"/>
    <x v="0"/>
    <m/>
    <s v="一般马上"/>
    <n v="-154"/>
  </r>
  <r>
    <x v="4"/>
    <x v="20"/>
    <n v="37"/>
    <s v="通知车队(沈丽)可进港"/>
    <x v="41"/>
    <x v="0"/>
    <x v="0"/>
    <m/>
    <m/>
    <n v="-155"/>
  </r>
  <r>
    <x v="4"/>
    <x v="20"/>
    <n v="38"/>
    <s v="盯箱子进港"/>
    <x v="50"/>
    <x v="0"/>
    <x v="0"/>
    <m/>
    <m/>
    <n v="-152"/>
  </r>
  <r>
    <x v="4"/>
    <x v="20"/>
    <n v="39"/>
    <s v="核对进港数据"/>
    <x v="32"/>
    <x v="0"/>
    <x v="0"/>
    <m/>
    <m/>
    <n v="-151"/>
  </r>
  <r>
    <x v="4"/>
    <x v="20"/>
    <n v="40"/>
    <s v="通知报关行(黄寅文)报关(开港、舱单、校对)"/>
    <x v="32"/>
    <x v="0"/>
    <x v="0"/>
    <m/>
    <m/>
    <n v="-151"/>
  </r>
  <r>
    <x v="4"/>
    <x v="20"/>
    <n v="41"/>
    <s v="收到报关成功通知"/>
    <x v="32"/>
    <x v="0"/>
    <x v="0"/>
    <m/>
    <s v="一般下班前"/>
    <n v="-151"/>
  </r>
  <r>
    <x v="4"/>
    <x v="20"/>
    <n v="42"/>
    <s v="盯海放"/>
    <x v="32"/>
    <x v="0"/>
    <x v="0"/>
    <m/>
    <m/>
    <n v="-151"/>
  </r>
  <r>
    <x v="4"/>
    <x v="20"/>
    <n v="43"/>
    <s v="盯码放"/>
    <x v="48"/>
    <x v="0"/>
    <x v="0"/>
    <m/>
    <m/>
    <n v="-150"/>
  </r>
  <r>
    <x v="4"/>
    <x v="20"/>
    <n v="44"/>
    <s v="盯配载"/>
    <x v="45"/>
    <x v="0"/>
    <x v="0"/>
    <m/>
    <m/>
    <n v="-149"/>
  </r>
  <r>
    <x v="4"/>
    <x v="20"/>
    <n v="45"/>
    <s v="做费用(月初等汇率)，发账单给石磊"/>
    <x v="49"/>
    <x v="0"/>
    <x v="0"/>
    <m/>
    <m/>
    <n v="-148"/>
  </r>
  <r>
    <x v="4"/>
    <x v="20"/>
    <n v="46"/>
    <s v="船开"/>
    <x v="49"/>
    <x v="0"/>
    <x v="0"/>
    <m/>
    <m/>
    <n v="-148"/>
  </r>
  <r>
    <x v="4"/>
    <x v="20"/>
    <n v="46.1"/>
    <s v="更改封号保函"/>
    <x v="49"/>
    <x v="0"/>
    <x v="0"/>
    <m/>
    <m/>
    <n v="-148"/>
  </r>
  <r>
    <x v="4"/>
    <x v="20"/>
    <n v="47"/>
    <s v="封号改好后重新放单"/>
    <x v="49"/>
    <x v="0"/>
    <x v="0"/>
    <m/>
    <s v="一般开船后两三天"/>
    <n v="-148"/>
  </r>
  <r>
    <x v="1"/>
    <x v="20"/>
    <n v="1"/>
    <s v="收到客户(孙丹/王珊)发来订舱托书"/>
    <x v="1"/>
    <x v="0"/>
    <x v="0"/>
    <m/>
    <m/>
    <n v="-163"/>
  </r>
  <r>
    <x v="1"/>
    <x v="20"/>
    <n v="2"/>
    <s v="收到CK发来预配(做箱通知，沈丽有收到？)，完善YJC系统数据"/>
    <x v="1"/>
    <x v="0"/>
    <x v="0"/>
    <m/>
    <m/>
    <n v="-163"/>
  </r>
  <r>
    <x v="1"/>
    <x v="20"/>
    <n v="3"/>
    <s v="YJC系统生成单子"/>
    <x v="29"/>
    <x v="0"/>
    <x v="0"/>
    <m/>
    <m/>
    <n v="-162"/>
  </r>
  <r>
    <x v="1"/>
    <x v="20"/>
    <n v="4"/>
    <s v="收到包装厂(刘倩梅)发来包装指示书和装箱计划"/>
    <x v="26"/>
    <x v="0"/>
    <x v="0"/>
    <m/>
    <s v="一般周四"/>
    <n v="-156"/>
  </r>
  <r>
    <x v="1"/>
    <x v="20"/>
    <n v="5"/>
    <s v="根据装箱计划汇总包装数据，发各工厂做报关资料"/>
    <x v="26"/>
    <x v="0"/>
    <x v="0"/>
    <m/>
    <m/>
    <n v="-156"/>
  </r>
  <r>
    <x v="1"/>
    <x v="20"/>
    <n v="6"/>
    <s v="做做箱数据，邮件群发(开港时间)"/>
    <x v="26"/>
    <x v="0"/>
    <x v="0"/>
    <m/>
    <m/>
    <n v="-156"/>
  </r>
  <r>
    <x v="1"/>
    <x v="20"/>
    <n v="7"/>
    <s v="收到工厂发来报关资料并完善(代做报关资料跟客户确认)"/>
    <x v="26"/>
    <x v="0"/>
    <x v="0"/>
    <m/>
    <s v="当天至隔天"/>
    <n v="-156"/>
  </r>
  <r>
    <x v="1"/>
    <x v="20"/>
    <n v="8"/>
    <s v="报关资料齐了，发报关行(黄寅文)，货运模板/发票/箱单"/>
    <x v="26"/>
    <x v="0"/>
    <x v="0"/>
    <m/>
    <m/>
    <n v="-156"/>
  </r>
  <r>
    <x v="1"/>
    <x v="20"/>
    <n v="9"/>
    <s v="收到车队(沈丽)装箱单和洋山提箱截图(如有)，群发，通知发舱单"/>
    <x v="41"/>
    <x v="0"/>
    <x v="0"/>
    <m/>
    <s v="一般KMM五、HMI日"/>
    <n v="-155"/>
  </r>
  <r>
    <x v="1"/>
    <x v="20"/>
    <n v="10"/>
    <s v="收到舱单发送成功通知，核对舱单信息"/>
    <x v="41"/>
    <x v="0"/>
    <x v="0"/>
    <m/>
    <m/>
    <n v="-155"/>
  </r>
  <r>
    <x v="1"/>
    <x v="20"/>
    <n v="11"/>
    <s v="通知报关"/>
    <x v="41"/>
    <x v="0"/>
    <x v="0"/>
    <m/>
    <s v="调整顺序"/>
    <n v="-155"/>
  </r>
  <r>
    <x v="1"/>
    <x v="20"/>
    <n v="12"/>
    <s v="报关成功"/>
    <x v="41"/>
    <x v="0"/>
    <x v="0"/>
    <m/>
    <s v="调整顺序"/>
    <n v="-155"/>
  </r>
  <r>
    <x v="1"/>
    <x v="20"/>
    <n v="13"/>
    <s v="通知进港"/>
    <x v="41"/>
    <x v="0"/>
    <x v="0"/>
    <m/>
    <s v="调整顺序"/>
    <n v="-155"/>
  </r>
  <r>
    <x v="1"/>
    <x v="20"/>
    <n v="14"/>
    <s v="进港(核对数据)"/>
    <x v="32"/>
    <x v="0"/>
    <x v="0"/>
    <m/>
    <s v="调整顺序"/>
    <n v="-151"/>
  </r>
  <r>
    <x v="1"/>
    <x v="20"/>
    <n v="15"/>
    <s v="盯海放"/>
    <x v="32"/>
    <x v="0"/>
    <x v="0"/>
    <m/>
    <m/>
    <n v="-151"/>
  </r>
  <r>
    <x v="1"/>
    <x v="20"/>
    <n v="16"/>
    <s v="盯码放"/>
    <x v="32"/>
    <x v="0"/>
    <x v="0"/>
    <m/>
    <m/>
    <n v="-151"/>
  </r>
  <r>
    <x v="1"/>
    <x v="20"/>
    <n v="17"/>
    <s v="盯配载"/>
    <x v="48"/>
    <x v="0"/>
    <x v="0"/>
    <m/>
    <m/>
    <n v="-150"/>
  </r>
  <r>
    <x v="1"/>
    <x v="20"/>
    <n v="18"/>
    <s v="盯船开"/>
    <x v="45"/>
    <x v="0"/>
    <x v="0"/>
    <m/>
    <m/>
    <n v="-149"/>
  </r>
  <r>
    <x v="1"/>
    <x v="20"/>
    <n v="20"/>
    <s v="做费用(对账单日期4号)，放公共盘，填月账单表，发孙丹"/>
    <x v="45"/>
    <x v="0"/>
    <x v="0"/>
    <m/>
    <m/>
    <n v="-149"/>
  </r>
  <r>
    <x v="7"/>
    <x v="20"/>
    <n v="1"/>
    <s v="收到徐小姐托书"/>
    <x v="42"/>
    <x v="0"/>
    <x v="0"/>
    <m/>
    <m/>
    <n v="-157"/>
  </r>
  <r>
    <x v="7"/>
    <x v="20"/>
    <n v="2"/>
    <s v="公共盘表格生成单号，YJC系统复制、生成单子"/>
    <x v="42"/>
    <x v="0"/>
    <x v="0"/>
    <m/>
    <m/>
    <n v="-157"/>
  </r>
  <r>
    <x v="7"/>
    <x v="20"/>
    <n v="3"/>
    <s v="振华网站订舱、保存、提交，等待审核"/>
    <x v="42"/>
    <x v="0"/>
    <x v="0"/>
    <m/>
    <m/>
    <n v="-157"/>
  </r>
  <r>
    <x v="7"/>
    <x v="20"/>
    <n v="4"/>
    <s v="QQ发预配给徐小姐，邮件发确认给国外"/>
    <x v="42"/>
    <x v="0"/>
    <x v="0"/>
    <m/>
    <m/>
    <n v="-157"/>
  </r>
  <r>
    <x v="7"/>
    <x v="20"/>
    <n v="5"/>
    <s v="收到国外确认，公共盘表格红改黑"/>
    <x v="42"/>
    <x v="0"/>
    <x v="0"/>
    <m/>
    <m/>
    <n v="-157"/>
  </r>
  <r>
    <x v="7"/>
    <x v="20"/>
    <n v="6"/>
    <s v="收到车队江发来VGM表格"/>
    <x v="32"/>
    <x v="0"/>
    <x v="0"/>
    <m/>
    <s v="周三周一截，周日周五截"/>
    <n v="-151"/>
  </r>
  <r>
    <x v="7"/>
    <x v="20"/>
    <n v="7"/>
    <s v="YJC 截单，振华截单、截VGM"/>
    <x v="32"/>
    <x v="0"/>
    <x v="0"/>
    <m/>
    <m/>
    <n v="-151"/>
  </r>
  <r>
    <x v="7"/>
    <x v="20"/>
    <n v="8"/>
    <s v="邮件发提单确认和费用确认给国外"/>
    <x v="32"/>
    <x v="0"/>
    <x v="0"/>
    <m/>
    <m/>
    <n v="-151"/>
  </r>
  <r>
    <x v="7"/>
    <x v="20"/>
    <n v="9"/>
    <s v="船开，制作提单领取单给师傅领WAYBILL"/>
    <x v="49"/>
    <x v="0"/>
    <x v="0"/>
    <m/>
    <m/>
    <n v="-148"/>
  </r>
  <r>
    <x v="7"/>
    <x v="20"/>
    <n v="10"/>
    <s v="拿到WAYBILL，扫描，和HBL一起发国外"/>
    <x v="49"/>
    <x v="0"/>
    <x v="0"/>
    <m/>
    <m/>
    <n v="-148"/>
  </r>
  <r>
    <x v="4"/>
    <x v="21"/>
    <n v="1"/>
    <s v="收到客户(徐贵)订舱预报"/>
    <x v="27"/>
    <x v="0"/>
    <x v="0"/>
    <m/>
    <s v="一般周五发隔周"/>
    <n v="-161"/>
  </r>
  <r>
    <x v="4"/>
    <x v="21"/>
    <n v="2"/>
    <s v="填WORKING PROCESS"/>
    <x v="27"/>
    <x v="0"/>
    <x v="0"/>
    <m/>
    <m/>
    <n v="-161"/>
  </r>
  <r>
    <x v="4"/>
    <x v="21"/>
    <n v="3"/>
    <s v="收到HMM(Neo)预订舱邮件通知"/>
    <x v="27"/>
    <x v="0"/>
    <x v="0"/>
    <m/>
    <s v="一般周一发下周"/>
    <n v="-161"/>
  </r>
  <r>
    <x v="4"/>
    <x v="21"/>
    <n v="4"/>
    <s v="回复HMM(Neo)预订舱邮件"/>
    <x v="27"/>
    <x v="0"/>
    <x v="0"/>
    <m/>
    <m/>
    <n v="-161"/>
  </r>
  <r>
    <x v="4"/>
    <x v="21"/>
    <n v="5"/>
    <s v="收到HMM(Neo)预订舱确认"/>
    <x v="42"/>
    <x v="0"/>
    <x v="0"/>
    <m/>
    <s v="一般马上"/>
    <n v="-157"/>
  </r>
  <r>
    <x v="4"/>
    <x v="21"/>
    <n v="6"/>
    <s v="公共盘生成提单号"/>
    <x v="42"/>
    <x v="0"/>
    <x v="0"/>
    <m/>
    <m/>
    <n v="-157"/>
  </r>
  <r>
    <x v="4"/>
    <x v="21"/>
    <n v="7"/>
    <s v="YJC系统生成单子"/>
    <x v="42"/>
    <x v="0"/>
    <x v="0"/>
    <m/>
    <m/>
    <n v="-157"/>
  </r>
  <r>
    <x v="4"/>
    <x v="21"/>
    <n v="8"/>
    <s v="发EDI"/>
    <x v="42"/>
    <x v="0"/>
    <x v="0"/>
    <m/>
    <m/>
    <n v="-157"/>
  </r>
  <r>
    <x v="4"/>
    <x v="21"/>
    <n v="9"/>
    <s v="邮件申请放单"/>
    <x v="42"/>
    <x v="0"/>
    <x v="0"/>
    <m/>
    <m/>
    <n v="-157"/>
  </r>
  <r>
    <x v="4"/>
    <x v="21"/>
    <n v="10"/>
    <s v="收到HMM(Neo) 放单确认"/>
    <x v="26"/>
    <x v="0"/>
    <x v="0"/>
    <m/>
    <s v="一般半天内"/>
    <n v="-156"/>
  </r>
  <r>
    <x v="4"/>
    <x v="21"/>
    <n v="11"/>
    <s v="HMM网站核对订舱信息"/>
    <x v="26"/>
    <x v="0"/>
    <x v="0"/>
    <m/>
    <m/>
    <n v="-156"/>
  </r>
  <r>
    <x v="4"/>
    <x v="21"/>
    <n v="12"/>
    <s v="收到客户(徐贵)做箱通知"/>
    <x v="32"/>
    <x v="0"/>
    <x v="0"/>
    <m/>
    <s v="一般做箱头天一早"/>
    <n v="-151"/>
  </r>
  <r>
    <x v="4"/>
    <x v="21"/>
    <n v="13"/>
    <s v="发做箱通知邮件给车队(沈丽)【确认港区航次！！！】"/>
    <x v="32"/>
    <x v="0"/>
    <x v="0"/>
    <m/>
    <m/>
    <n v="-151"/>
  </r>
  <r>
    <x v="4"/>
    <x v="21"/>
    <n v="14"/>
    <s v="公共盘生成提单号【如需拆单】"/>
    <x v="32"/>
    <x v="0"/>
    <x v="0"/>
    <m/>
    <m/>
    <n v="-151"/>
  </r>
  <r>
    <x v="4"/>
    <x v="21"/>
    <n v="15"/>
    <s v="YJC系统生成单子【如需拆单】"/>
    <x v="32"/>
    <x v="0"/>
    <x v="0"/>
    <m/>
    <m/>
    <n v="-151"/>
  </r>
  <r>
    <x v="4"/>
    <x v="21"/>
    <n v="16"/>
    <s v="发EDI【如需拆单】"/>
    <x v="32"/>
    <x v="0"/>
    <x v="0"/>
    <m/>
    <m/>
    <n v="-151"/>
  </r>
  <r>
    <x v="4"/>
    <x v="21"/>
    <n v="17"/>
    <s v="邮件申请放单【如需拆单】"/>
    <x v="32"/>
    <x v="0"/>
    <x v="0"/>
    <m/>
    <m/>
    <n v="-151"/>
  </r>
  <r>
    <x v="4"/>
    <x v="21"/>
    <n v="18"/>
    <s v="收到HMM(Neo) 放单确认【如需拆单】"/>
    <x v="32"/>
    <x v="0"/>
    <x v="0"/>
    <m/>
    <m/>
    <n v="-151"/>
  </r>
  <r>
    <x v="4"/>
    <x v="21"/>
    <n v="19"/>
    <s v="HMM网站核对订舱信息【如需拆单】"/>
    <x v="32"/>
    <x v="0"/>
    <x v="0"/>
    <m/>
    <m/>
    <n v="-151"/>
  </r>
  <r>
    <x v="4"/>
    <x v="21"/>
    <n v="20"/>
    <s v="收到客户(徐贵)发来做箱数据(报关资料)"/>
    <x v="48"/>
    <x v="0"/>
    <x v="0"/>
    <m/>
    <s v="一般做箱当天一早"/>
    <n v="-150"/>
  </r>
  <r>
    <x v="4"/>
    <x v="21"/>
    <n v="21"/>
    <s v="按报关(发票)数生成提单号【如发票数超过提单数】"/>
    <x v="48"/>
    <x v="0"/>
    <x v="0"/>
    <m/>
    <m/>
    <n v="-150"/>
  </r>
  <r>
    <x v="4"/>
    <x v="21"/>
    <n v="22"/>
    <s v="做做箱数据，QQ发车队(沈丽)"/>
    <x v="48"/>
    <x v="0"/>
    <x v="0"/>
    <m/>
    <m/>
    <n v="-150"/>
  </r>
  <r>
    <x v="4"/>
    <x v="21"/>
    <n v="23"/>
    <s v="收到车队(沈丽)装箱单，转发客户（徐贵）"/>
    <x v="48"/>
    <x v="0"/>
    <x v="0"/>
    <m/>
    <s v="一般马上"/>
    <n v="-150"/>
  </r>
  <r>
    <x v="4"/>
    <x v="21"/>
    <n v="24"/>
    <s v="YJC系统截单，发EDI，邮件HMM(He)【截单时间】"/>
    <x v="48"/>
    <x v="0"/>
    <x v="0"/>
    <m/>
    <s v="注意截单时间"/>
    <n v="-150"/>
  </r>
  <r>
    <x v="4"/>
    <x v="21"/>
    <n v="25"/>
    <s v="发VGM和舱单"/>
    <x v="48"/>
    <x v="0"/>
    <x v="0"/>
    <m/>
    <m/>
    <n v="-150"/>
  </r>
  <r>
    <x v="4"/>
    <x v="21"/>
    <n v="26"/>
    <s v="做报关资料，扫描发报关行(黄寅文)QQ"/>
    <x v="48"/>
    <x v="0"/>
    <x v="0"/>
    <m/>
    <m/>
    <n v="-150"/>
  </r>
  <r>
    <x v="4"/>
    <x v="21"/>
    <n v="27"/>
    <s v="做保函给邹师傅"/>
    <x v="48"/>
    <x v="0"/>
    <x v="0"/>
    <m/>
    <m/>
    <n v="-150"/>
  </r>
  <r>
    <x v="4"/>
    <x v="21"/>
    <n v="28"/>
    <s v="做ISF，发国外资料"/>
    <x v="48"/>
    <x v="0"/>
    <x v="0"/>
    <m/>
    <m/>
    <n v="-150"/>
  </r>
  <r>
    <x v="4"/>
    <x v="21"/>
    <n v="29"/>
    <s v="买保险"/>
    <x v="48"/>
    <x v="0"/>
    <x v="0"/>
    <m/>
    <m/>
    <n v="-150"/>
  </r>
  <r>
    <x v="4"/>
    <x v="21"/>
    <n v="30"/>
    <s v="填WORKING PROCESS"/>
    <x v="48"/>
    <x v="0"/>
    <x v="0"/>
    <m/>
    <m/>
    <n v="-150"/>
  </r>
  <r>
    <x v="4"/>
    <x v="21"/>
    <n v="31"/>
    <s v="收到HMM(He)生成提单通知"/>
    <x v="48"/>
    <x v="0"/>
    <x v="0"/>
    <m/>
    <s v="一般马上"/>
    <n v="-150"/>
  </r>
  <r>
    <x v="4"/>
    <x v="21"/>
    <n v="32"/>
    <s v="HMM网站核对提单信息"/>
    <x v="48"/>
    <x v="0"/>
    <x v="0"/>
    <m/>
    <m/>
    <n v="-150"/>
  </r>
  <r>
    <x v="4"/>
    <x v="21"/>
    <n v="33"/>
    <s v="盯海关网站舱单"/>
    <x v="45"/>
    <x v="0"/>
    <x v="0"/>
    <m/>
    <s v="一般两小时左右"/>
    <n v="-149"/>
  </r>
  <r>
    <x v="4"/>
    <x v="21"/>
    <n v="34"/>
    <s v="核对舱单信息"/>
    <x v="45"/>
    <x v="0"/>
    <x v="0"/>
    <m/>
    <m/>
    <n v="-149"/>
  </r>
  <r>
    <x v="4"/>
    <x v="21"/>
    <n v="35"/>
    <s v="收到报关行(黄寅文)校对稿，邮件发客户(徐贵)确认"/>
    <x v="45"/>
    <x v="0"/>
    <x v="0"/>
    <m/>
    <s v="一般半天内"/>
    <n v="-149"/>
  </r>
  <r>
    <x v="4"/>
    <x v="21"/>
    <n v="36"/>
    <s v="收到客户(徐贵)确认校对稿"/>
    <x v="45"/>
    <x v="0"/>
    <x v="0"/>
    <m/>
    <s v="一般马上"/>
    <n v="-149"/>
  </r>
  <r>
    <x v="4"/>
    <x v="21"/>
    <n v="37"/>
    <s v="通知报关行(黄寅文)报关(开港、舱单、校对)"/>
    <x v="45"/>
    <x v="0"/>
    <x v="0"/>
    <m/>
    <m/>
    <n v="-149"/>
  </r>
  <r>
    <x v="4"/>
    <x v="21"/>
    <n v="38"/>
    <s v="收到报关成功通知"/>
    <x v="45"/>
    <x v="0"/>
    <x v="0"/>
    <m/>
    <s v="一般下班前"/>
    <n v="-149"/>
  </r>
  <r>
    <x v="4"/>
    <x v="21"/>
    <n v="39"/>
    <s v="通知车队(沈丽)可进港"/>
    <x v="45"/>
    <x v="0"/>
    <x v="0"/>
    <m/>
    <m/>
    <n v="-149"/>
  </r>
  <r>
    <x v="4"/>
    <x v="21"/>
    <n v="40"/>
    <s v="盯箱子进港"/>
    <x v="49"/>
    <x v="0"/>
    <x v="0"/>
    <m/>
    <m/>
    <n v="-148"/>
  </r>
  <r>
    <x v="4"/>
    <x v="21"/>
    <n v="41"/>
    <s v="核对进港数据"/>
    <x v="49"/>
    <x v="0"/>
    <x v="0"/>
    <m/>
    <m/>
    <n v="-148"/>
  </r>
  <r>
    <x v="4"/>
    <x v="21"/>
    <n v="42"/>
    <s v="盯海放"/>
    <x v="49"/>
    <x v="0"/>
    <x v="0"/>
    <m/>
    <m/>
    <n v="-148"/>
  </r>
  <r>
    <x v="4"/>
    <x v="21"/>
    <n v="43"/>
    <s v="盯码放"/>
    <x v="49"/>
    <x v="0"/>
    <x v="0"/>
    <m/>
    <m/>
    <n v="-148"/>
  </r>
  <r>
    <x v="4"/>
    <x v="21"/>
    <n v="44"/>
    <s v="盯配载"/>
    <x v="49"/>
    <x v="0"/>
    <x v="0"/>
    <m/>
    <m/>
    <n v="-148"/>
  </r>
  <r>
    <x v="4"/>
    <x v="21"/>
    <n v="45"/>
    <s v="做费用(月初等汇率)，发账单给石磊"/>
    <x v="49"/>
    <x v="0"/>
    <x v="0"/>
    <m/>
    <m/>
    <n v="-148"/>
  </r>
  <r>
    <x v="4"/>
    <x v="21"/>
    <n v="46"/>
    <s v="船开"/>
    <x v="51"/>
    <x v="0"/>
    <x v="0"/>
    <m/>
    <m/>
    <n v="-144"/>
  </r>
  <r>
    <x v="4"/>
    <x v="21"/>
    <n v="47"/>
    <s v="放单"/>
    <x v="52"/>
    <x v="0"/>
    <x v="0"/>
    <m/>
    <s v="一般开船后两三天"/>
    <n v="-142"/>
  </r>
  <r>
    <x v="4"/>
    <x v="21"/>
    <n v="48"/>
    <s v="改目的港，确认"/>
    <x v="53"/>
    <x v="0"/>
    <x v="0"/>
    <m/>
    <m/>
    <n v="-135"/>
  </r>
  <r>
    <x v="4"/>
    <x v="21"/>
    <n v="49"/>
    <s v="海运费差额"/>
    <x v="34"/>
    <x v="0"/>
    <x v="0"/>
    <m/>
    <m/>
    <n v="-134"/>
  </r>
  <r>
    <x v="7"/>
    <x v="22"/>
    <n v="1"/>
    <s v="收到徐小姐托书"/>
    <x v="42"/>
    <x v="0"/>
    <x v="0"/>
    <m/>
    <m/>
    <n v="-157"/>
  </r>
  <r>
    <x v="7"/>
    <x v="22"/>
    <n v="2"/>
    <s v="公共盘表格生成单号，YJC系统复制、生成单子"/>
    <x v="42"/>
    <x v="0"/>
    <x v="0"/>
    <m/>
    <m/>
    <n v="-157"/>
  </r>
  <r>
    <x v="7"/>
    <x v="22"/>
    <n v="3"/>
    <s v="振华网站订舱、保存、提交，等待审核"/>
    <x v="42"/>
    <x v="0"/>
    <x v="0"/>
    <m/>
    <m/>
    <n v="-157"/>
  </r>
  <r>
    <x v="7"/>
    <x v="22"/>
    <n v="4"/>
    <s v="QQ发预配给徐小姐，邮件发确认给国外"/>
    <x v="42"/>
    <x v="0"/>
    <x v="0"/>
    <m/>
    <m/>
    <n v="-157"/>
  </r>
  <r>
    <x v="7"/>
    <x v="22"/>
    <n v="5"/>
    <s v="收到国外确认，公共盘表格红改黑"/>
    <x v="42"/>
    <x v="0"/>
    <x v="0"/>
    <m/>
    <m/>
    <n v="-157"/>
  </r>
  <r>
    <x v="7"/>
    <x v="22"/>
    <n v="6"/>
    <s v="收到车队江发来VGM表格"/>
    <x v="46"/>
    <x v="0"/>
    <x v="0"/>
    <m/>
    <s v="周三周一截，周日周五截"/>
    <n v="-147"/>
  </r>
  <r>
    <x v="7"/>
    <x v="22"/>
    <n v="7"/>
    <s v="YJC 截单，振华截单、截VGM"/>
    <x v="46"/>
    <x v="0"/>
    <x v="0"/>
    <m/>
    <m/>
    <n v="-147"/>
  </r>
  <r>
    <x v="7"/>
    <x v="22"/>
    <n v="8"/>
    <s v="邮件发提单确认和费用确认给国外"/>
    <x v="46"/>
    <x v="0"/>
    <x v="0"/>
    <m/>
    <m/>
    <n v="-147"/>
  </r>
  <r>
    <x v="7"/>
    <x v="22"/>
    <n v="9"/>
    <s v="船开，制作提单领取单给师傅领WAYBILL"/>
    <x v="51"/>
    <x v="0"/>
    <x v="0"/>
    <m/>
    <m/>
    <n v="-144"/>
  </r>
  <r>
    <x v="7"/>
    <x v="22"/>
    <n v="9.1"/>
    <s v="制作提单领取单应该WEEK项目里，改流水和单票流程"/>
    <x v="52"/>
    <x v="0"/>
    <x v="0"/>
    <m/>
    <m/>
    <n v="-142"/>
  </r>
  <r>
    <x v="7"/>
    <x v="22"/>
    <n v="10"/>
    <s v="拿到WAYBILL，扫描，和HBL一起发国外"/>
    <x v="51"/>
    <x v="0"/>
    <x v="0"/>
    <m/>
    <m/>
    <n v="-144"/>
  </r>
  <r>
    <x v="3"/>
    <x v="23"/>
    <n v="1"/>
    <s v="PANCON上周日船期提单领取单"/>
    <x v="51"/>
    <x v="0"/>
    <x v="0"/>
    <m/>
    <s v="周一"/>
    <n v="-144"/>
  </r>
  <r>
    <x v="3"/>
    <x v="23"/>
    <n v="2"/>
    <s v="PANCON本周三出运清单"/>
    <x v="51"/>
    <x v="0"/>
    <x v="0"/>
    <m/>
    <s v="周一"/>
    <n v="-144"/>
  </r>
  <r>
    <x v="3"/>
    <x v="23"/>
    <n v="3"/>
    <s v="WORKING PROCESS"/>
    <x v="51"/>
    <x v="0"/>
    <x v="0"/>
    <m/>
    <s v="周一"/>
    <n v="-144"/>
  </r>
  <r>
    <x v="3"/>
    <x v="23"/>
    <n v="4"/>
    <s v="WORKING PROCESS"/>
    <x v="52"/>
    <x v="0"/>
    <x v="0"/>
    <m/>
    <s v="周三"/>
    <n v="-142"/>
  </r>
  <r>
    <x v="3"/>
    <x v="23"/>
    <n v="5"/>
    <s v="张婷确认账单后APP，开发票，跟踪快递"/>
    <x v="54"/>
    <x v="0"/>
    <x v="0"/>
    <m/>
    <s v="周三"/>
    <n v="-140"/>
  </r>
  <r>
    <x v="3"/>
    <x v="23"/>
    <n v="6"/>
    <s v="PANCON周四船期提单领取单"/>
    <x v="19"/>
    <x v="0"/>
    <x v="0"/>
    <m/>
    <s v="周四"/>
    <n v="-141"/>
  </r>
  <r>
    <x v="3"/>
    <x v="23"/>
    <n v="7"/>
    <s v="收到HMM Neo 下周订舱邮件"/>
    <x v="54"/>
    <x v="0"/>
    <x v="0"/>
    <m/>
    <s v="周五"/>
    <n v="-140"/>
  </r>
  <r>
    <x v="3"/>
    <x v="23"/>
    <n v="8"/>
    <s v="和 JS mobis、SC glovis确认订舱需求回Neo邮件"/>
    <x v="54"/>
    <x v="0"/>
    <x v="0"/>
    <m/>
    <s v="周五"/>
    <n v="-140"/>
  </r>
  <r>
    <x v="3"/>
    <x v="23"/>
    <n v="9"/>
    <s v="TJ glovis额外费用邮件"/>
    <x v="54"/>
    <x v="0"/>
    <x v="0"/>
    <m/>
    <s v="周五"/>
    <n v="-140"/>
  </r>
  <r>
    <x v="3"/>
    <x v="23"/>
    <n v="10"/>
    <s v="WORKING PROCESS"/>
    <x v="54"/>
    <x v="0"/>
    <x v="0"/>
    <m/>
    <s v="周五"/>
    <n v="-140"/>
  </r>
  <r>
    <x v="3"/>
    <x v="23"/>
    <n v="11"/>
    <s v="PANCON出运清单"/>
    <x v="54"/>
    <x v="0"/>
    <x v="0"/>
    <m/>
    <s v="周五"/>
    <n v="-140"/>
  </r>
  <r>
    <x v="3"/>
    <x v="23"/>
    <n v="12"/>
    <s v="下周 WEEK"/>
    <x v="54"/>
    <x v="0"/>
    <x v="0"/>
    <m/>
    <s v="周五"/>
    <n v="-140"/>
  </r>
  <r>
    <x v="3"/>
    <x v="23"/>
    <n v="13"/>
    <s v="问SC glovis 和 JS mobis 下下周订舱计划"/>
    <x v="54"/>
    <x v="0"/>
    <x v="0"/>
    <m/>
    <s v="周五"/>
    <n v="-140"/>
  </r>
  <r>
    <x v="3"/>
    <x v="23"/>
    <n v="14"/>
    <s v="收到JS mobis 下下周订舱计划"/>
    <x v="54"/>
    <x v="0"/>
    <x v="0"/>
    <m/>
    <s v="周五"/>
    <n v="-140"/>
  </r>
  <r>
    <x v="3"/>
    <x v="23"/>
    <n v="15"/>
    <s v="收到SC glovis 下下周订舱计划"/>
    <x v="54"/>
    <x v="0"/>
    <x v="0"/>
    <m/>
    <s v="周五"/>
    <n v="-140"/>
  </r>
  <r>
    <x v="3"/>
    <x v="23"/>
    <n v="16"/>
    <s v="收到Neo 下下周订舱预报邮件"/>
    <x v="54"/>
    <x v="0"/>
    <x v="0"/>
    <m/>
    <s v="周五"/>
    <n v="-140"/>
  </r>
  <r>
    <x v="3"/>
    <x v="23"/>
    <n v="17"/>
    <s v="回复Neo 下下周订舱预报邮件"/>
    <x v="54"/>
    <x v="0"/>
    <x v="0"/>
    <m/>
    <s v="周五"/>
    <n v="-140"/>
  </r>
  <r>
    <x v="3"/>
    <x v="23"/>
    <n v="18"/>
    <s v="收到Neo 下下周订舱预报确认"/>
    <x v="54"/>
    <x v="0"/>
    <x v="0"/>
    <m/>
    <s v="周五"/>
    <n v="-140"/>
  </r>
  <r>
    <x v="0"/>
    <x v="24"/>
    <n v="1"/>
    <s v="收到客户(孙丹/王珊)发来订舱托书"/>
    <x v="41"/>
    <x v="0"/>
    <x v="0"/>
    <m/>
    <m/>
    <n v="-155"/>
  </r>
  <r>
    <x v="0"/>
    <x v="24"/>
    <n v="2"/>
    <s v="收到CK发来预配(做箱通知，沈丽有收到？)，完善YJC系统数据"/>
    <x v="48"/>
    <x v="0"/>
    <x v="0"/>
    <m/>
    <m/>
    <n v="-150"/>
  </r>
  <r>
    <x v="0"/>
    <x v="24"/>
    <n v="3"/>
    <s v="YJC系统生成单子"/>
    <x v="48"/>
    <x v="0"/>
    <x v="0"/>
    <m/>
    <m/>
    <n v="-150"/>
  </r>
  <r>
    <x v="0"/>
    <x v="24"/>
    <n v="4"/>
    <s v="收到包装厂(刘倩梅)发来包装指示书和装箱计划"/>
    <x v="46"/>
    <x v="0"/>
    <x v="0"/>
    <m/>
    <s v="一般周四"/>
    <n v="-147"/>
  </r>
  <r>
    <x v="0"/>
    <x v="24"/>
    <n v="5"/>
    <s v="根据装箱计划汇总包装数据，发各工厂做报关资料"/>
    <x v="46"/>
    <x v="0"/>
    <x v="0"/>
    <m/>
    <m/>
    <n v="-147"/>
  </r>
  <r>
    <x v="0"/>
    <x v="24"/>
    <n v="6"/>
    <s v="做做箱数据，邮件群发(开港时间)"/>
    <x v="46"/>
    <x v="0"/>
    <x v="0"/>
    <m/>
    <m/>
    <n v="-147"/>
  </r>
  <r>
    <x v="0"/>
    <x v="24"/>
    <n v="7"/>
    <s v="收到工厂发来报关资料并完善(代做报关资料跟客户确认)"/>
    <x v="51"/>
    <x v="0"/>
    <x v="0"/>
    <m/>
    <s v="当天至隔天"/>
    <n v="-144"/>
  </r>
  <r>
    <x v="0"/>
    <x v="24"/>
    <n v="8"/>
    <s v="报关资料齐了，发报关行(黄寅文)，货运模板/发票/箱单"/>
    <x v="51"/>
    <x v="0"/>
    <x v="0"/>
    <m/>
    <m/>
    <n v="-144"/>
  </r>
  <r>
    <x v="0"/>
    <x v="24"/>
    <n v="9"/>
    <s v="通知进港"/>
    <x v="46"/>
    <x v="0"/>
    <x v="0"/>
    <m/>
    <s v="调整顺序"/>
    <n v="-147"/>
  </r>
  <r>
    <x v="0"/>
    <x v="24"/>
    <n v="10"/>
    <s v="进港(核对数据)"/>
    <x v="51"/>
    <x v="0"/>
    <x v="0"/>
    <m/>
    <s v="调整顺序"/>
    <n v="-144"/>
  </r>
  <r>
    <x v="0"/>
    <x v="24"/>
    <n v="11"/>
    <s v="收到车队(沈丽)装箱单和洋山提箱截图(如有)，9点前群发，通知发舱单"/>
    <x v="51"/>
    <x v="0"/>
    <x v="0"/>
    <m/>
    <s v="一般KMM五、HMI日"/>
    <n v="-144"/>
  </r>
  <r>
    <x v="0"/>
    <x v="24"/>
    <n v="12"/>
    <s v="收到舱单发送成功通知，核对舱单信息"/>
    <x v="51"/>
    <x v="0"/>
    <x v="0"/>
    <m/>
    <m/>
    <n v="-144"/>
  </r>
  <r>
    <x v="0"/>
    <x v="24"/>
    <n v="13"/>
    <s v="通知报关"/>
    <x v="51"/>
    <x v="0"/>
    <x v="0"/>
    <m/>
    <s v="调整顺序"/>
    <n v="-144"/>
  </r>
  <r>
    <x v="0"/>
    <x v="24"/>
    <n v="14"/>
    <s v="报关成功"/>
    <x v="51"/>
    <x v="0"/>
    <x v="0"/>
    <m/>
    <s v="调整顺序"/>
    <n v="-144"/>
  </r>
  <r>
    <x v="0"/>
    <x v="24"/>
    <n v="15"/>
    <s v="盯海放"/>
    <x v="51"/>
    <x v="0"/>
    <x v="0"/>
    <m/>
    <m/>
    <n v="-144"/>
  </r>
  <r>
    <x v="0"/>
    <x v="24"/>
    <n v="16"/>
    <s v="盯码放"/>
    <x v="51"/>
    <x v="0"/>
    <x v="0"/>
    <m/>
    <m/>
    <n v="-144"/>
  </r>
  <r>
    <x v="0"/>
    <x v="24"/>
    <n v="17"/>
    <s v="盯配载"/>
    <x v="52"/>
    <x v="0"/>
    <x v="0"/>
    <m/>
    <m/>
    <n v="-142"/>
  </r>
  <r>
    <x v="0"/>
    <x v="24"/>
    <n v="18"/>
    <s v="盯船开"/>
    <x v="19"/>
    <x v="0"/>
    <x v="0"/>
    <m/>
    <m/>
    <n v="-141"/>
  </r>
  <r>
    <x v="0"/>
    <x v="24"/>
    <n v="19"/>
    <s v="做费用(对账单日期4号)，放公共盘，填月账单表，发孙丹"/>
    <x v="52"/>
    <x v="0"/>
    <x v="0"/>
    <m/>
    <m/>
    <n v="-142"/>
  </r>
  <r>
    <x v="4"/>
    <x v="24"/>
    <n v="1"/>
    <s v="收到客户(徐贵)订舱预报"/>
    <x v="32"/>
    <x v="0"/>
    <x v="0"/>
    <m/>
    <s v="一般周五发隔周"/>
    <n v="-151"/>
  </r>
  <r>
    <x v="4"/>
    <x v="24"/>
    <n v="2"/>
    <s v="填WORKING PROCESS"/>
    <x v="32"/>
    <x v="0"/>
    <x v="0"/>
    <m/>
    <m/>
    <n v="-151"/>
  </r>
  <r>
    <x v="4"/>
    <x v="24"/>
    <n v="3"/>
    <s v="收到HMM(Neo)预订舱邮件通知"/>
    <x v="32"/>
    <x v="0"/>
    <x v="0"/>
    <m/>
    <s v="一般周一发下周"/>
    <n v="-151"/>
  </r>
  <r>
    <x v="4"/>
    <x v="24"/>
    <n v="4"/>
    <s v="回复HMM(Neo)预订舱邮件"/>
    <x v="32"/>
    <x v="0"/>
    <x v="0"/>
    <m/>
    <m/>
    <n v="-151"/>
  </r>
  <r>
    <x v="4"/>
    <x v="24"/>
    <n v="5"/>
    <s v="收到HMM(Neo)预订舱确认"/>
    <x v="48"/>
    <x v="0"/>
    <x v="0"/>
    <m/>
    <s v="一般马上"/>
    <n v="-150"/>
  </r>
  <r>
    <x v="4"/>
    <x v="24"/>
    <n v="6"/>
    <s v="公共盘生成提单号"/>
    <x v="48"/>
    <x v="0"/>
    <x v="0"/>
    <m/>
    <m/>
    <n v="-150"/>
  </r>
  <r>
    <x v="4"/>
    <x v="24"/>
    <n v="7"/>
    <s v="YJC系统生成单子"/>
    <x v="48"/>
    <x v="0"/>
    <x v="0"/>
    <m/>
    <m/>
    <n v="-150"/>
  </r>
  <r>
    <x v="4"/>
    <x v="24"/>
    <n v="8"/>
    <s v="发EDI"/>
    <x v="48"/>
    <x v="0"/>
    <x v="0"/>
    <m/>
    <m/>
    <n v="-150"/>
  </r>
  <r>
    <x v="4"/>
    <x v="24"/>
    <n v="9"/>
    <s v="邮件申请放单"/>
    <x v="48"/>
    <x v="0"/>
    <x v="0"/>
    <m/>
    <m/>
    <n v="-150"/>
  </r>
  <r>
    <x v="4"/>
    <x v="24"/>
    <n v="10"/>
    <s v="收到HMM(Neo) 放单确认"/>
    <x v="45"/>
    <x v="0"/>
    <x v="0"/>
    <m/>
    <s v="一般半天内"/>
    <n v="-149"/>
  </r>
  <r>
    <x v="4"/>
    <x v="24"/>
    <n v="11"/>
    <s v="HMM网站核对订舱信息"/>
    <x v="45"/>
    <x v="0"/>
    <x v="0"/>
    <m/>
    <m/>
    <n v="-149"/>
  </r>
  <r>
    <x v="4"/>
    <x v="24"/>
    <n v="12"/>
    <s v="收到客户(徐贵)做箱通知"/>
    <x v="49"/>
    <x v="0"/>
    <x v="0"/>
    <m/>
    <s v="一般做箱头天一早"/>
    <n v="-148"/>
  </r>
  <r>
    <x v="4"/>
    <x v="24"/>
    <n v="13"/>
    <s v="发做箱通知邮件给车队(沈丽)【确认港区航次！！！】"/>
    <x v="49"/>
    <x v="0"/>
    <x v="0"/>
    <m/>
    <m/>
    <n v="-148"/>
  </r>
  <r>
    <x v="4"/>
    <x v="24"/>
    <n v="14"/>
    <s v="公共盘生成提单号【如需拆单】"/>
    <x v="49"/>
    <x v="0"/>
    <x v="0"/>
    <m/>
    <m/>
    <n v="-148"/>
  </r>
  <r>
    <x v="4"/>
    <x v="24"/>
    <n v="15"/>
    <s v="YJC系统生成单子【如需拆单】"/>
    <x v="49"/>
    <x v="0"/>
    <x v="0"/>
    <m/>
    <m/>
    <n v="-148"/>
  </r>
  <r>
    <x v="4"/>
    <x v="24"/>
    <n v="16"/>
    <s v="发EDI【如需拆单】"/>
    <x v="49"/>
    <x v="0"/>
    <x v="0"/>
    <m/>
    <m/>
    <n v="-148"/>
  </r>
  <r>
    <x v="4"/>
    <x v="24"/>
    <n v="17"/>
    <s v="邮件申请放单【如需拆单】"/>
    <x v="49"/>
    <x v="0"/>
    <x v="0"/>
    <m/>
    <m/>
    <n v="-148"/>
  </r>
  <r>
    <x v="4"/>
    <x v="24"/>
    <n v="18"/>
    <s v="收到HMM(Neo) 放单确认【如需拆单】"/>
    <x v="49"/>
    <x v="0"/>
    <x v="0"/>
    <m/>
    <m/>
    <n v="-148"/>
  </r>
  <r>
    <x v="4"/>
    <x v="24"/>
    <n v="19"/>
    <s v="HMM网站核对订舱信息【如需拆单】"/>
    <x v="49"/>
    <x v="0"/>
    <x v="0"/>
    <m/>
    <m/>
    <n v="-148"/>
  </r>
  <r>
    <x v="4"/>
    <x v="24"/>
    <n v="20"/>
    <s v="收到客户(徐贵)发来做箱数据(报关资料)"/>
    <x v="46"/>
    <x v="0"/>
    <x v="0"/>
    <m/>
    <s v="一般做箱当天一早"/>
    <n v="-147"/>
  </r>
  <r>
    <x v="4"/>
    <x v="24"/>
    <n v="21"/>
    <s v="按报关(发票)数生成提单号【如发票数超过提单数】"/>
    <x v="46"/>
    <x v="0"/>
    <x v="0"/>
    <m/>
    <m/>
    <n v="-147"/>
  </r>
  <r>
    <x v="4"/>
    <x v="24"/>
    <n v="22"/>
    <s v="做做箱数据，QQ发车队(沈丽)"/>
    <x v="46"/>
    <x v="0"/>
    <x v="0"/>
    <m/>
    <m/>
    <n v="-147"/>
  </r>
  <r>
    <x v="4"/>
    <x v="24"/>
    <n v="23"/>
    <s v="收到车队(沈丽)装箱单，转发客户（徐贵）"/>
    <x v="46"/>
    <x v="0"/>
    <x v="0"/>
    <m/>
    <s v="一般马上"/>
    <n v="-147"/>
  </r>
  <r>
    <x v="4"/>
    <x v="24"/>
    <n v="24"/>
    <s v="YJC系统截单，发EDI，邮件HMM(He)【截单时间】"/>
    <x v="46"/>
    <x v="0"/>
    <x v="0"/>
    <m/>
    <s v="注意截单时间"/>
    <n v="-147"/>
  </r>
  <r>
    <x v="4"/>
    <x v="24"/>
    <n v="25"/>
    <s v="发VGM和舱单"/>
    <x v="46"/>
    <x v="0"/>
    <x v="0"/>
    <m/>
    <m/>
    <n v="-147"/>
  </r>
  <r>
    <x v="4"/>
    <x v="24"/>
    <n v="26"/>
    <s v="做报关资料，扫描发报关行(黄寅文)QQ，要校对稿"/>
    <x v="46"/>
    <x v="0"/>
    <x v="0"/>
    <m/>
    <m/>
    <n v="-147"/>
  </r>
  <r>
    <x v="4"/>
    <x v="24"/>
    <n v="27"/>
    <s v="做保函给邹师傅"/>
    <x v="46"/>
    <x v="0"/>
    <x v="0"/>
    <m/>
    <m/>
    <n v="-147"/>
  </r>
  <r>
    <x v="4"/>
    <x v="24"/>
    <n v="28"/>
    <s v="做ISF，发国外资料"/>
    <x v="46"/>
    <x v="0"/>
    <x v="0"/>
    <m/>
    <m/>
    <n v="-147"/>
  </r>
  <r>
    <x v="4"/>
    <x v="24"/>
    <n v="29"/>
    <s v="买保险"/>
    <x v="46"/>
    <x v="0"/>
    <x v="0"/>
    <m/>
    <m/>
    <n v="-147"/>
  </r>
  <r>
    <x v="4"/>
    <x v="24"/>
    <n v="31"/>
    <s v="收到HMM(He)生成提单通知"/>
    <x v="46"/>
    <x v="0"/>
    <x v="0"/>
    <m/>
    <s v="一般马上"/>
    <n v="-147"/>
  </r>
  <r>
    <x v="4"/>
    <x v="24"/>
    <n v="32"/>
    <s v="HMM网站核对提单信息"/>
    <x v="46"/>
    <x v="0"/>
    <x v="0"/>
    <m/>
    <m/>
    <n v="-147"/>
  </r>
  <r>
    <x v="4"/>
    <x v="24"/>
    <n v="33"/>
    <s v="盯海关网站舱单"/>
    <x v="46"/>
    <x v="0"/>
    <x v="0"/>
    <m/>
    <s v="一般两小时左右"/>
    <n v="-147"/>
  </r>
  <r>
    <x v="4"/>
    <x v="24"/>
    <n v="34"/>
    <s v="核对舱单信息"/>
    <x v="46"/>
    <x v="0"/>
    <x v="0"/>
    <m/>
    <m/>
    <n v="-147"/>
  </r>
  <r>
    <x v="4"/>
    <x v="24"/>
    <n v="35"/>
    <s v="收到报关行(黄寅文)校对稿，邮件发客户(徐贵)确认"/>
    <x v="46"/>
    <x v="0"/>
    <x v="0"/>
    <m/>
    <s v="一般半天内"/>
    <n v="-147"/>
  </r>
  <r>
    <x v="4"/>
    <x v="24"/>
    <n v="36"/>
    <s v="收到客户(徐贵)确认校对稿"/>
    <x v="46"/>
    <x v="0"/>
    <x v="0"/>
    <m/>
    <s v="一般马上"/>
    <n v="-147"/>
  </r>
  <r>
    <x v="4"/>
    <x v="24"/>
    <n v="37"/>
    <s v="通知车队(沈丽)可进港"/>
    <x v="46"/>
    <x v="0"/>
    <x v="0"/>
    <m/>
    <m/>
    <n v="-147"/>
  </r>
  <r>
    <x v="4"/>
    <x v="24"/>
    <n v="38"/>
    <s v="盯箱子进港"/>
    <x v="51"/>
    <x v="0"/>
    <x v="0"/>
    <m/>
    <m/>
    <n v="-144"/>
  </r>
  <r>
    <x v="4"/>
    <x v="24"/>
    <n v="39"/>
    <s v="核对进港数据"/>
    <x v="51"/>
    <x v="0"/>
    <x v="0"/>
    <m/>
    <m/>
    <n v="-144"/>
  </r>
  <r>
    <x v="4"/>
    <x v="24"/>
    <n v="40"/>
    <s v="通知报关行(黄寅文)报关(开港、舱单、校对)"/>
    <x v="51"/>
    <x v="0"/>
    <x v="0"/>
    <m/>
    <m/>
    <n v="-144"/>
  </r>
  <r>
    <x v="4"/>
    <x v="24"/>
    <n v="41"/>
    <s v="收到报关成功通知"/>
    <x v="51"/>
    <x v="0"/>
    <x v="0"/>
    <m/>
    <s v="一般下班前"/>
    <n v="-144"/>
  </r>
  <r>
    <x v="4"/>
    <x v="24"/>
    <n v="42"/>
    <s v="盯海放"/>
    <x v="51"/>
    <x v="0"/>
    <x v="0"/>
    <m/>
    <m/>
    <n v="-144"/>
  </r>
  <r>
    <x v="4"/>
    <x v="24"/>
    <n v="43"/>
    <s v="盯码放"/>
    <x v="55"/>
    <x v="0"/>
    <x v="0"/>
    <m/>
    <m/>
    <n v="-143"/>
  </r>
  <r>
    <x v="4"/>
    <x v="24"/>
    <n v="44"/>
    <s v="盯配载"/>
    <x v="52"/>
    <x v="0"/>
    <x v="0"/>
    <m/>
    <m/>
    <n v="-142"/>
  </r>
  <r>
    <x v="4"/>
    <x v="24"/>
    <n v="45"/>
    <s v="做费用(月初等汇率)，发账单给石磊"/>
    <x v="52"/>
    <x v="0"/>
    <x v="0"/>
    <m/>
    <m/>
    <n v="-142"/>
  </r>
  <r>
    <x v="4"/>
    <x v="24"/>
    <n v="46"/>
    <s v="船开"/>
    <x v="54"/>
    <x v="0"/>
    <x v="0"/>
    <m/>
    <m/>
    <n v="-140"/>
  </r>
  <r>
    <x v="4"/>
    <x v="24"/>
    <n v="47"/>
    <s v="放单"/>
    <x v="54"/>
    <x v="0"/>
    <x v="0"/>
    <m/>
    <s v="一般开船后两三天"/>
    <n v="-140"/>
  </r>
  <r>
    <x v="1"/>
    <x v="24"/>
    <n v="1"/>
    <s v="收到客户(孙丹/王珊)发来订舱托书"/>
    <x v="41"/>
    <x v="0"/>
    <x v="0"/>
    <m/>
    <m/>
    <n v="-155"/>
  </r>
  <r>
    <x v="1"/>
    <x v="24"/>
    <n v="2"/>
    <s v="收到CK发来预配(做箱通知，沈丽有收到？)，完善YJC系统数据"/>
    <x v="41"/>
    <x v="0"/>
    <x v="0"/>
    <m/>
    <m/>
    <n v="-155"/>
  </r>
  <r>
    <x v="1"/>
    <x v="24"/>
    <n v="3"/>
    <s v="YJC系统生成单子"/>
    <x v="32"/>
    <x v="0"/>
    <x v="0"/>
    <m/>
    <m/>
    <n v="-151"/>
  </r>
  <r>
    <x v="1"/>
    <x v="24"/>
    <n v="4"/>
    <s v="收到包装厂(刘倩梅)发来包装指示书和装箱计划"/>
    <x v="49"/>
    <x v="0"/>
    <x v="0"/>
    <m/>
    <s v="一般周四"/>
    <n v="-148"/>
  </r>
  <r>
    <x v="1"/>
    <x v="24"/>
    <n v="5"/>
    <s v="根据装箱计划汇总包装数据，发各工厂做报关资料"/>
    <x v="49"/>
    <x v="0"/>
    <x v="0"/>
    <m/>
    <m/>
    <n v="-148"/>
  </r>
  <r>
    <x v="1"/>
    <x v="24"/>
    <n v="6"/>
    <s v="做做箱数据，邮件群发(开港时间)"/>
    <x v="49"/>
    <x v="0"/>
    <x v="0"/>
    <m/>
    <m/>
    <n v="-148"/>
  </r>
  <r>
    <x v="1"/>
    <x v="24"/>
    <n v="7"/>
    <s v="收到工厂发来报关资料并完善(代做报关资料跟客户确认)"/>
    <x v="49"/>
    <x v="0"/>
    <x v="0"/>
    <m/>
    <s v="当天至隔天"/>
    <n v="-148"/>
  </r>
  <r>
    <x v="1"/>
    <x v="24"/>
    <n v="8"/>
    <s v="报关资料齐了，发报关行(黄寅文)，货运模板/发票/箱单"/>
    <x v="49"/>
    <x v="0"/>
    <x v="0"/>
    <m/>
    <m/>
    <n v="-148"/>
  </r>
  <r>
    <x v="1"/>
    <x v="24"/>
    <n v="9"/>
    <s v="收到车队(沈丽)装箱单和洋山提箱截图(如有)，9点前群发，通知发舱单"/>
    <x v="46"/>
    <x v="0"/>
    <x v="0"/>
    <m/>
    <s v="一般KMM五、HMI日"/>
    <n v="-147"/>
  </r>
  <r>
    <x v="1"/>
    <x v="24"/>
    <n v="10"/>
    <s v="收到舱单发送成功通知，核对舱单信息"/>
    <x v="46"/>
    <x v="0"/>
    <x v="0"/>
    <m/>
    <m/>
    <n v="-147"/>
  </r>
  <r>
    <x v="1"/>
    <x v="24"/>
    <n v="11"/>
    <s v="通知报关"/>
    <x v="46"/>
    <x v="0"/>
    <x v="0"/>
    <m/>
    <s v="调整顺序"/>
    <n v="-147"/>
  </r>
  <r>
    <x v="1"/>
    <x v="24"/>
    <n v="12"/>
    <s v="报关成功"/>
    <x v="46"/>
    <x v="0"/>
    <x v="0"/>
    <m/>
    <s v="调整顺序"/>
    <n v="-147"/>
  </r>
  <r>
    <x v="1"/>
    <x v="24"/>
    <n v="13"/>
    <s v="通知进港"/>
    <x v="46"/>
    <x v="0"/>
    <x v="0"/>
    <m/>
    <s v="调整顺序"/>
    <n v="-147"/>
  </r>
  <r>
    <x v="1"/>
    <x v="24"/>
    <n v="14"/>
    <s v="进港(核对数据)"/>
    <x v="47"/>
    <x v="0"/>
    <x v="0"/>
    <m/>
    <s v="调整顺序"/>
    <n v="-146"/>
  </r>
  <r>
    <x v="1"/>
    <x v="24"/>
    <n v="15"/>
    <s v="盯海放"/>
    <x v="47"/>
    <x v="0"/>
    <x v="0"/>
    <m/>
    <m/>
    <n v="-146"/>
  </r>
  <r>
    <x v="1"/>
    <x v="24"/>
    <n v="16"/>
    <s v="盯码放"/>
    <x v="51"/>
    <x v="0"/>
    <x v="0"/>
    <m/>
    <m/>
    <n v="-144"/>
  </r>
  <r>
    <x v="1"/>
    <x v="24"/>
    <n v="17"/>
    <s v="盯配载"/>
    <x v="55"/>
    <x v="0"/>
    <x v="0"/>
    <m/>
    <m/>
    <n v="-143"/>
  </r>
  <r>
    <x v="1"/>
    <x v="24"/>
    <n v="18"/>
    <s v="盯船开"/>
    <x v="19"/>
    <x v="0"/>
    <x v="0"/>
    <m/>
    <m/>
    <n v="-141"/>
  </r>
  <r>
    <x v="1"/>
    <x v="24"/>
    <n v="19"/>
    <s v="做费用(对账单日期4号)，放公共盘，填月账单表，发孙丹"/>
    <x v="52"/>
    <x v="0"/>
    <x v="0"/>
    <m/>
    <m/>
    <n v="-142"/>
  </r>
  <r>
    <x v="7"/>
    <x v="24"/>
    <n v="1"/>
    <s v="收到徐小姐托书"/>
    <x v="42"/>
    <x v="0"/>
    <x v="0"/>
    <m/>
    <m/>
    <n v="-157"/>
  </r>
  <r>
    <x v="7"/>
    <x v="24"/>
    <n v="2"/>
    <s v="公共盘表格生成单号，YJC系统复制、生成单子"/>
    <x v="42"/>
    <x v="0"/>
    <x v="0"/>
    <m/>
    <m/>
    <n v="-157"/>
  </r>
  <r>
    <x v="7"/>
    <x v="24"/>
    <n v="3"/>
    <s v="振华网站订舱、保存、提交，等待审核"/>
    <x v="42"/>
    <x v="0"/>
    <x v="0"/>
    <m/>
    <m/>
    <n v="-157"/>
  </r>
  <r>
    <x v="7"/>
    <x v="24"/>
    <n v="4"/>
    <s v="振华审核通过，QQ发预配给徐小姐，邮件发确认给国外"/>
    <x v="32"/>
    <x v="0"/>
    <x v="0"/>
    <m/>
    <m/>
    <n v="-151"/>
  </r>
  <r>
    <x v="7"/>
    <x v="24"/>
    <n v="5"/>
    <s v="收到国外确认，公共盘表格红改黑"/>
    <x v="45"/>
    <x v="0"/>
    <x v="0"/>
    <m/>
    <m/>
    <n v="-149"/>
  </r>
  <r>
    <x v="7"/>
    <x v="24"/>
    <n v="6"/>
    <s v="收到车队江发来VGM表格"/>
    <x v="51"/>
    <x v="0"/>
    <x v="0"/>
    <m/>
    <s v="周三周一截，周日周五截"/>
    <n v="-144"/>
  </r>
  <r>
    <x v="7"/>
    <x v="24"/>
    <n v="7"/>
    <s v="YJC 截单，振华截单、截VGM"/>
    <x v="51"/>
    <x v="0"/>
    <x v="0"/>
    <m/>
    <m/>
    <n v="-144"/>
  </r>
  <r>
    <x v="7"/>
    <x v="24"/>
    <n v="8"/>
    <s v="邮件发提单确认和费用确认给国外"/>
    <x v="51"/>
    <x v="0"/>
    <x v="0"/>
    <m/>
    <m/>
    <n v="-144"/>
  </r>
  <r>
    <x v="7"/>
    <x v="24"/>
    <n v="9"/>
    <s v="船开，制作提单领取单给师傅领WAYBILL"/>
    <x v="19"/>
    <x v="0"/>
    <x v="0"/>
    <m/>
    <m/>
    <n v="-141"/>
  </r>
  <r>
    <x v="7"/>
    <x v="24"/>
    <n v="10"/>
    <s v="拿到WAYBILL，扫描，和HBL一起发国外"/>
    <x v="19"/>
    <x v="0"/>
    <x v="0"/>
    <m/>
    <m/>
    <n v="-141"/>
  </r>
  <r>
    <x v="6"/>
    <x v="24"/>
    <n v="1"/>
    <s v="收到胡媛媛发来订舱邮件"/>
    <x v="0"/>
    <x v="0"/>
    <x v="0"/>
    <m/>
    <m/>
    <n v="-182"/>
  </r>
  <r>
    <x v="6"/>
    <x v="24"/>
    <n v="2"/>
    <s v="发订舱托书给万恒（翁小姐）"/>
    <x v="0"/>
    <x v="0"/>
    <x v="0"/>
    <m/>
    <m/>
    <n v="-182"/>
  </r>
  <r>
    <x v="6"/>
    <x v="24"/>
    <n v="3"/>
    <s v="收到万恒（翁小姐）预配"/>
    <x v="0"/>
    <x v="0"/>
    <x v="0"/>
    <m/>
    <s v="一般三小时左右"/>
    <n v="-182"/>
  </r>
  <r>
    <x v="6"/>
    <x v="24"/>
    <n v="4"/>
    <s v="通知胡媛媛订舱成功"/>
    <x v="0"/>
    <x v="0"/>
    <x v="0"/>
    <m/>
    <m/>
    <n v="-182"/>
  </r>
  <r>
    <x v="6"/>
    <x v="24"/>
    <n v="5"/>
    <s v="发做箱通知邮件给车队(沈丽)"/>
    <x v="10"/>
    <x v="0"/>
    <x v="0"/>
    <m/>
    <m/>
    <n v="-181"/>
  </r>
  <r>
    <x v="6"/>
    <x v="24"/>
    <n v="5.0999999999999996"/>
    <s v="取消一个柜子的预配"/>
    <x v="1"/>
    <x v="0"/>
    <x v="0"/>
    <m/>
    <m/>
    <n v="-163"/>
  </r>
  <r>
    <x v="6"/>
    <x v="24"/>
    <n v="5.2"/>
    <s v="确认取消"/>
    <x v="29"/>
    <x v="0"/>
    <x v="0"/>
    <m/>
    <m/>
    <n v="-162"/>
  </r>
  <r>
    <x v="6"/>
    <x v="24"/>
    <n v="6"/>
    <s v="收到胡媛媛发来报关资料"/>
    <x v="45"/>
    <x v="0"/>
    <x v="0"/>
    <m/>
    <s v="船开前一周？"/>
    <n v="-149"/>
  </r>
  <r>
    <x v="6"/>
    <x v="24"/>
    <n v="7"/>
    <s v="完善报关资料发报关行（黄寅文），要校对稿，做做箱数据给沈丽"/>
    <x v="45"/>
    <x v="0"/>
    <x v="0"/>
    <m/>
    <m/>
    <n v="-149"/>
  </r>
  <r>
    <x v="6"/>
    <x v="24"/>
    <n v="8"/>
    <s v="买保险，做异地付款保函，发胡媛媛确认盖章回传"/>
    <x v="45"/>
    <x v="0"/>
    <x v="0"/>
    <m/>
    <m/>
    <n v="-149"/>
  </r>
  <r>
    <x v="6"/>
    <x v="24"/>
    <n v="9"/>
    <s v="收到客户（胡媛媛）发来保函扫描件"/>
    <x v="45"/>
    <x v="0"/>
    <x v="0"/>
    <m/>
    <s v="一般马上"/>
    <n v="-149"/>
  </r>
  <r>
    <x v="6"/>
    <x v="24"/>
    <n v="10"/>
    <s v="收到黄寅文校对稿，发客户（胡媛媛）确认"/>
    <x v="45"/>
    <x v="0"/>
    <x v="0"/>
    <m/>
    <s v="一般半天内"/>
    <n v="-149"/>
  </r>
  <r>
    <x v="6"/>
    <x v="24"/>
    <n v="11"/>
    <s v="收到客户（胡媛媛）确认校对稿OK"/>
    <x v="45"/>
    <x v="0"/>
    <x v="0"/>
    <m/>
    <s v="一般马上"/>
    <n v="-149"/>
  </r>
  <r>
    <x v="6"/>
    <x v="24"/>
    <n v="12"/>
    <s v="开港时间？明天做箱？如有变动通知胡媛媛（跟万恒确认17号做可不可以）"/>
    <x v="49"/>
    <x v="0"/>
    <x v="0"/>
    <m/>
    <s v="截单前一天"/>
    <n v="-148"/>
  </r>
  <r>
    <x v="6"/>
    <x v="24"/>
    <n v="13"/>
    <s v="收到沈丽发来装箱单"/>
    <x v="46"/>
    <x v="0"/>
    <x v="0"/>
    <m/>
    <s v="截单当天"/>
    <n v="-147"/>
  </r>
  <r>
    <x v="6"/>
    <x v="24"/>
    <n v="14"/>
    <s v="完善截单资料发万恒（翁小姐），请求发舱单"/>
    <x v="46"/>
    <x v="0"/>
    <x v="0"/>
    <m/>
    <m/>
    <n v="-147"/>
  </r>
  <r>
    <x v="6"/>
    <x v="24"/>
    <n v="15"/>
    <s v="收到舱单发送通知，核对舱单，装箱单发报关行报关"/>
    <x v="46"/>
    <x v="0"/>
    <x v="0"/>
    <m/>
    <m/>
    <n v="-147"/>
  </r>
  <r>
    <x v="6"/>
    <x v="24"/>
    <n v="16"/>
    <s v="请求万恒（翁小姐）发提单样本"/>
    <x v="51"/>
    <x v="0"/>
    <x v="0"/>
    <m/>
    <m/>
    <n v="-144"/>
  </r>
  <r>
    <x v="6"/>
    <x v="24"/>
    <n v="17"/>
    <s v="收到万恒（翁小姐）发来提单样本，发胡媛媛确认"/>
    <x v="51"/>
    <x v="0"/>
    <x v="0"/>
    <m/>
    <m/>
    <n v="-144"/>
  </r>
  <r>
    <x v="6"/>
    <x v="24"/>
    <n v="18"/>
    <s v="收到胡媛媛提单确认"/>
    <x v="51"/>
    <x v="0"/>
    <x v="0"/>
    <m/>
    <m/>
    <n v="-144"/>
  </r>
  <r>
    <x v="6"/>
    <x v="24"/>
    <n v="19"/>
    <s v="收到报关成功通知，通知车队可进港 "/>
    <x v="46"/>
    <x v="0"/>
    <x v="0"/>
    <m/>
    <m/>
    <n v="-147"/>
  </r>
  <r>
    <x v="6"/>
    <x v="24"/>
    <n v="20"/>
    <s v="进港，核对数据"/>
    <x v="46"/>
    <x v="0"/>
    <x v="0"/>
    <m/>
    <m/>
    <n v="-147"/>
  </r>
  <r>
    <x v="6"/>
    <x v="24"/>
    <n v="21"/>
    <s v="海放"/>
    <x v="46"/>
    <x v="0"/>
    <x v="0"/>
    <m/>
    <m/>
    <n v="-147"/>
  </r>
  <r>
    <x v="6"/>
    <x v="24"/>
    <n v="22"/>
    <s v="码放"/>
    <x v="51"/>
    <x v="0"/>
    <x v="0"/>
    <m/>
    <m/>
    <n v="-144"/>
  </r>
  <r>
    <x v="6"/>
    <x v="24"/>
    <n v="23"/>
    <s v="配载"/>
    <x v="55"/>
    <x v="0"/>
    <x v="0"/>
    <m/>
    <m/>
    <n v="-143"/>
  </r>
  <r>
    <x v="6"/>
    <x v="24"/>
    <n v="24"/>
    <s v="开船"/>
    <x v="19"/>
    <x v="0"/>
    <x v="0"/>
    <m/>
    <m/>
    <n v="-141"/>
  </r>
  <r>
    <x v="6"/>
    <x v="24"/>
    <n v="25"/>
    <s v="收到万恒（翁小姐）提单，放提单和预录单给胡媛媛"/>
    <x v="19"/>
    <x v="0"/>
    <x v="0"/>
    <m/>
    <m/>
    <n v="-141"/>
  </r>
  <r>
    <x v="6"/>
    <x v="24"/>
    <n v="26"/>
    <s v="做费用，发账单给石磊"/>
    <x v="19"/>
    <x v="0"/>
    <x v="0"/>
    <m/>
    <m/>
    <n v="-141"/>
  </r>
  <r>
    <x v="6"/>
    <x v="24"/>
    <n v="27"/>
    <s v="洋山提箱费未收，通知胡媛媛"/>
    <x v="56"/>
    <x v="0"/>
    <x v="1"/>
    <m/>
    <m/>
    <n v="-116"/>
  </r>
  <r>
    <x v="6"/>
    <x v="24"/>
    <n v="28"/>
    <s v="洋山提箱费未收，做入下期账单"/>
    <x v="57"/>
    <x v="0"/>
    <x v="0"/>
    <m/>
    <m/>
    <n v="-119"/>
  </r>
  <r>
    <x v="6"/>
    <x v="24"/>
    <n v="29"/>
    <s v="洋山提箱费已确认好做到7月份账单里，费用表理一下"/>
    <x v="56"/>
    <x v="0"/>
    <x v="2"/>
    <m/>
    <m/>
    <n v="-116"/>
  </r>
  <r>
    <x v="4"/>
    <x v="25"/>
    <n v="1"/>
    <s v="收到客户(徐贵)订舱预报"/>
    <x v="32"/>
    <x v="0"/>
    <x v="0"/>
    <m/>
    <s v="一般周五发隔周"/>
    <n v="-151"/>
  </r>
  <r>
    <x v="4"/>
    <x v="25"/>
    <n v="2"/>
    <s v="填WORKING PROCESS"/>
    <x v="32"/>
    <x v="0"/>
    <x v="0"/>
    <m/>
    <m/>
    <n v="-151"/>
  </r>
  <r>
    <x v="4"/>
    <x v="25"/>
    <n v="3"/>
    <s v="收到HMM(Neo)预订舱邮件通知"/>
    <x v="32"/>
    <x v="0"/>
    <x v="0"/>
    <m/>
    <s v="一般周一发下周"/>
    <n v="-151"/>
  </r>
  <r>
    <x v="4"/>
    <x v="25"/>
    <n v="4"/>
    <s v="回复HMM(Neo)预订舱邮件"/>
    <x v="32"/>
    <x v="0"/>
    <x v="0"/>
    <m/>
    <m/>
    <n v="-151"/>
  </r>
  <r>
    <x v="4"/>
    <x v="25"/>
    <n v="5"/>
    <s v="收到HMM(Neo)预订舱确认"/>
    <x v="48"/>
    <x v="0"/>
    <x v="0"/>
    <m/>
    <s v="一般马上"/>
    <n v="-150"/>
  </r>
  <r>
    <x v="4"/>
    <x v="25"/>
    <n v="6"/>
    <s v="公共盘生成提单号"/>
    <x v="48"/>
    <x v="0"/>
    <x v="0"/>
    <m/>
    <m/>
    <n v="-150"/>
  </r>
  <r>
    <x v="4"/>
    <x v="25"/>
    <n v="7"/>
    <s v="YJC系统生成单子"/>
    <x v="48"/>
    <x v="0"/>
    <x v="0"/>
    <m/>
    <m/>
    <n v="-150"/>
  </r>
  <r>
    <x v="4"/>
    <x v="25"/>
    <n v="8"/>
    <s v="发EDI"/>
    <x v="48"/>
    <x v="0"/>
    <x v="0"/>
    <m/>
    <m/>
    <n v="-150"/>
  </r>
  <r>
    <x v="4"/>
    <x v="25"/>
    <n v="9"/>
    <s v="邮件申请放单"/>
    <x v="48"/>
    <x v="0"/>
    <x v="0"/>
    <m/>
    <m/>
    <n v="-150"/>
  </r>
  <r>
    <x v="4"/>
    <x v="25"/>
    <n v="10"/>
    <s v="收到HMM(Neo) 放单确认"/>
    <x v="45"/>
    <x v="0"/>
    <x v="0"/>
    <m/>
    <s v="一般半天内"/>
    <n v="-149"/>
  </r>
  <r>
    <x v="4"/>
    <x v="25"/>
    <n v="11"/>
    <s v="HMM网站核对订舱信息"/>
    <x v="45"/>
    <x v="0"/>
    <x v="0"/>
    <m/>
    <m/>
    <n v="-149"/>
  </r>
  <r>
    <x v="4"/>
    <x v="25"/>
    <n v="12"/>
    <s v="收到客户(徐贵)做箱通知"/>
    <x v="51"/>
    <x v="0"/>
    <x v="0"/>
    <m/>
    <s v="一般做箱头天一早"/>
    <n v="-144"/>
  </r>
  <r>
    <x v="4"/>
    <x v="25"/>
    <n v="13"/>
    <s v="发做箱通知邮件给车队(沈丽)【确认港区航次！！！】"/>
    <x v="51"/>
    <x v="0"/>
    <x v="0"/>
    <m/>
    <m/>
    <n v="-144"/>
  </r>
  <r>
    <x v="4"/>
    <x v="25"/>
    <n v="14"/>
    <s v="公共盘生成提单号【如需拆单】"/>
    <x v="51"/>
    <x v="0"/>
    <x v="0"/>
    <m/>
    <m/>
    <n v="-144"/>
  </r>
  <r>
    <x v="4"/>
    <x v="25"/>
    <n v="15"/>
    <s v="YJC系统生成单子【如需拆单】"/>
    <x v="51"/>
    <x v="0"/>
    <x v="0"/>
    <m/>
    <m/>
    <n v="-144"/>
  </r>
  <r>
    <x v="4"/>
    <x v="25"/>
    <n v="16"/>
    <s v="发EDI【如需拆单】"/>
    <x v="51"/>
    <x v="0"/>
    <x v="0"/>
    <m/>
    <m/>
    <n v="-144"/>
  </r>
  <r>
    <x v="4"/>
    <x v="25"/>
    <n v="17"/>
    <s v="邮件申请放单【如需拆单】"/>
    <x v="51"/>
    <x v="0"/>
    <x v="0"/>
    <m/>
    <m/>
    <n v="-144"/>
  </r>
  <r>
    <x v="4"/>
    <x v="25"/>
    <n v="18"/>
    <s v="收到HMM(Neo) 放单确认【如需拆单】"/>
    <x v="51"/>
    <x v="0"/>
    <x v="0"/>
    <m/>
    <m/>
    <n v="-144"/>
  </r>
  <r>
    <x v="4"/>
    <x v="25"/>
    <n v="19"/>
    <s v="HMM网站核对订舱信息【如需拆单】"/>
    <x v="51"/>
    <x v="0"/>
    <x v="0"/>
    <m/>
    <m/>
    <n v="-144"/>
  </r>
  <r>
    <x v="4"/>
    <x v="25"/>
    <n v="20"/>
    <s v="收到客户(徐贵)发来报关资料"/>
    <x v="55"/>
    <x v="0"/>
    <x v="0"/>
    <m/>
    <s v="一般做箱当天一早"/>
    <n v="-143"/>
  </r>
  <r>
    <x v="4"/>
    <x v="25"/>
    <n v="21"/>
    <s v="按报关(发票)数生成提单号【如发票数超过提单数】"/>
    <x v="55"/>
    <x v="0"/>
    <x v="0"/>
    <m/>
    <m/>
    <n v="-143"/>
  </r>
  <r>
    <x v="4"/>
    <x v="25"/>
    <n v="22"/>
    <s v="做做箱数据，QQ发车队(沈丽)"/>
    <x v="55"/>
    <x v="0"/>
    <x v="0"/>
    <m/>
    <m/>
    <n v="-143"/>
  </r>
  <r>
    <x v="4"/>
    <x v="25"/>
    <n v="23"/>
    <s v="收到车队(沈丽)装箱单，转发客户（徐贵）"/>
    <x v="55"/>
    <x v="0"/>
    <x v="0"/>
    <m/>
    <s v="一般马上"/>
    <n v="-143"/>
  </r>
  <r>
    <x v="4"/>
    <x v="25"/>
    <n v="24"/>
    <s v="YJC系统截单，发EDI，邮件HMM(He)【截单时间】"/>
    <x v="55"/>
    <x v="0"/>
    <x v="0"/>
    <m/>
    <s v="注意截单时间"/>
    <n v="-143"/>
  </r>
  <r>
    <x v="4"/>
    <x v="25"/>
    <n v="25"/>
    <s v="发VGM和舱单"/>
    <x v="55"/>
    <x v="0"/>
    <x v="0"/>
    <m/>
    <m/>
    <n v="-143"/>
  </r>
  <r>
    <x v="4"/>
    <x v="25"/>
    <n v="26"/>
    <s v="做报关资料，扫描发报关行(黄寅文)QQ"/>
    <x v="55"/>
    <x v="0"/>
    <x v="0"/>
    <m/>
    <m/>
    <n v="-143"/>
  </r>
  <r>
    <x v="4"/>
    <x v="25"/>
    <n v="27"/>
    <s v="做保函给邹师傅"/>
    <x v="55"/>
    <x v="0"/>
    <x v="0"/>
    <m/>
    <m/>
    <n v="-143"/>
  </r>
  <r>
    <x v="4"/>
    <x v="25"/>
    <n v="28"/>
    <s v="做ISF，发国外资料"/>
    <x v="55"/>
    <x v="0"/>
    <x v="0"/>
    <m/>
    <m/>
    <n v="-143"/>
  </r>
  <r>
    <x v="4"/>
    <x v="25"/>
    <n v="29"/>
    <s v="买保险"/>
    <x v="55"/>
    <x v="0"/>
    <x v="0"/>
    <m/>
    <m/>
    <n v="-143"/>
  </r>
  <r>
    <x v="4"/>
    <x v="25"/>
    <n v="31"/>
    <s v="收到HMM(He)生成提单通知"/>
    <x v="55"/>
    <x v="0"/>
    <x v="0"/>
    <m/>
    <s v="一般马上"/>
    <n v="-143"/>
  </r>
  <r>
    <x v="4"/>
    <x v="25"/>
    <n v="32"/>
    <s v="HMM网站核对提单信息"/>
    <x v="55"/>
    <x v="0"/>
    <x v="0"/>
    <m/>
    <m/>
    <n v="-143"/>
  </r>
  <r>
    <x v="4"/>
    <x v="25"/>
    <n v="33"/>
    <s v="盯海关网站舱单"/>
    <x v="55"/>
    <x v="0"/>
    <x v="0"/>
    <m/>
    <s v="一般两小时左右"/>
    <n v="-143"/>
  </r>
  <r>
    <x v="4"/>
    <x v="25"/>
    <n v="34"/>
    <s v="核对舱单信息"/>
    <x v="55"/>
    <x v="0"/>
    <x v="0"/>
    <m/>
    <m/>
    <n v="-143"/>
  </r>
  <r>
    <x v="4"/>
    <x v="25"/>
    <n v="35"/>
    <s v="收到报关行(黄寅文)校对稿，邮件发客户(徐贵)确认"/>
    <x v="55"/>
    <x v="0"/>
    <x v="0"/>
    <m/>
    <s v="一般半天内"/>
    <n v="-143"/>
  </r>
  <r>
    <x v="4"/>
    <x v="25"/>
    <n v="36"/>
    <s v="收到客户(徐贵)确认校对稿"/>
    <x v="55"/>
    <x v="0"/>
    <x v="0"/>
    <m/>
    <s v="一般马上"/>
    <n v="-143"/>
  </r>
  <r>
    <x v="4"/>
    <x v="25"/>
    <n v="37"/>
    <s v="通知报关行(黄寅文)报关(开港、舱单、校对)"/>
    <x v="55"/>
    <x v="0"/>
    <x v="0"/>
    <m/>
    <m/>
    <n v="-143"/>
  </r>
  <r>
    <x v="4"/>
    <x v="25"/>
    <n v="38"/>
    <s v="收到报关成功通知"/>
    <x v="55"/>
    <x v="0"/>
    <x v="0"/>
    <m/>
    <s v="一般下班前"/>
    <n v="-143"/>
  </r>
  <r>
    <x v="4"/>
    <x v="25"/>
    <n v="39"/>
    <s v="通知车队(沈丽)可进港"/>
    <x v="55"/>
    <x v="0"/>
    <x v="0"/>
    <m/>
    <m/>
    <n v="-143"/>
  </r>
  <r>
    <x v="4"/>
    <x v="25"/>
    <n v="40"/>
    <s v="盯箱子进港"/>
    <x v="52"/>
    <x v="0"/>
    <x v="0"/>
    <m/>
    <m/>
    <n v="-142"/>
  </r>
  <r>
    <x v="4"/>
    <x v="25"/>
    <n v="41"/>
    <s v="核对进港数据"/>
    <x v="52"/>
    <x v="0"/>
    <x v="0"/>
    <m/>
    <m/>
    <n v="-142"/>
  </r>
  <r>
    <x v="4"/>
    <x v="25"/>
    <n v="42"/>
    <s v="盯海放"/>
    <x v="52"/>
    <x v="0"/>
    <x v="0"/>
    <m/>
    <m/>
    <n v="-142"/>
  </r>
  <r>
    <x v="4"/>
    <x v="25"/>
    <n v="43"/>
    <s v="盯码放"/>
    <x v="19"/>
    <x v="0"/>
    <x v="0"/>
    <m/>
    <m/>
    <n v="-141"/>
  </r>
  <r>
    <x v="4"/>
    <x v="25"/>
    <n v="44"/>
    <s v="盯配载"/>
    <x v="19"/>
    <x v="0"/>
    <x v="0"/>
    <m/>
    <m/>
    <n v="-141"/>
  </r>
  <r>
    <x v="4"/>
    <x v="25"/>
    <n v="45"/>
    <s v="做费用(月初等汇率)，发账单给石磊"/>
    <x v="19"/>
    <x v="0"/>
    <x v="0"/>
    <m/>
    <m/>
    <n v="-141"/>
  </r>
  <r>
    <x v="4"/>
    <x v="25"/>
    <n v="46"/>
    <s v="船开"/>
    <x v="58"/>
    <x v="0"/>
    <x v="0"/>
    <m/>
    <m/>
    <n v="-139"/>
  </r>
  <r>
    <x v="4"/>
    <x v="25"/>
    <n v="47"/>
    <s v="放单"/>
    <x v="59"/>
    <x v="0"/>
    <x v="0"/>
    <m/>
    <s v="一般开船后两三天"/>
    <n v="-137"/>
  </r>
  <r>
    <x v="5"/>
    <x v="25"/>
    <n v="1"/>
    <s v="收到订舱托书"/>
    <x v="45"/>
    <x v="0"/>
    <x v="0"/>
    <m/>
    <m/>
    <n v="-149"/>
  </r>
  <r>
    <x v="5"/>
    <x v="25"/>
    <n v="2"/>
    <s v="HMM（Neo）确认订舱预报"/>
    <x v="48"/>
    <x v="0"/>
    <x v="0"/>
    <m/>
    <m/>
    <n v="-150"/>
  </r>
  <r>
    <x v="5"/>
    <x v="25"/>
    <n v="3"/>
    <s v="生成单号，YJC系统数据，发EDI，邮件Neo放舱"/>
    <x v="45"/>
    <x v="0"/>
    <x v="0"/>
    <m/>
    <m/>
    <n v="-149"/>
  </r>
  <r>
    <x v="5"/>
    <x v="25"/>
    <n v="4"/>
    <s v="HMM（Neo）确认放舱"/>
    <x v="45"/>
    <x v="0"/>
    <x v="0"/>
    <m/>
    <m/>
    <n v="-149"/>
  </r>
  <r>
    <x v="5"/>
    <x v="25"/>
    <n v="5"/>
    <s v="发预配信息给客户（张婷）"/>
    <x v="45"/>
    <x v="0"/>
    <x v="0"/>
    <m/>
    <m/>
    <n v="-149"/>
  </r>
  <r>
    <x v="5"/>
    <x v="25"/>
    <n v="5.0999999999999996"/>
    <s v="做箱前一天问一下做箱时间"/>
    <x v="51"/>
    <x v="0"/>
    <x v="0"/>
    <m/>
    <m/>
    <n v="-144"/>
  </r>
  <r>
    <x v="5"/>
    <x v="25"/>
    <n v="6"/>
    <s v="收到客户（张婷）报关资料"/>
    <x v="55"/>
    <x v="0"/>
    <x v="0"/>
    <m/>
    <m/>
    <n v="-143"/>
  </r>
  <r>
    <x v="5"/>
    <x v="25"/>
    <n v="7"/>
    <s v="做报关资料，发报关行（黄寅文），要校对稿"/>
    <x v="55"/>
    <x v="0"/>
    <x v="0"/>
    <m/>
    <m/>
    <n v="-143"/>
  </r>
  <r>
    <x v="5"/>
    <x v="25"/>
    <n v="8"/>
    <s v="收到客户（张婷）装箱单"/>
    <x v="55"/>
    <x v="0"/>
    <x v="0"/>
    <m/>
    <s v="今天能放箱装？"/>
    <n v="-143"/>
  </r>
  <r>
    <x v="5"/>
    <x v="25"/>
    <n v="9"/>
    <s v="YJC系统改准确数据（截单），发ESI，做AMS模板并邮件何生成提单"/>
    <x v="55"/>
    <x v="0"/>
    <x v="0"/>
    <m/>
    <m/>
    <n v="-143"/>
  </r>
  <r>
    <x v="5"/>
    <x v="25"/>
    <n v="10"/>
    <s v="发舱单和VGM"/>
    <x v="55"/>
    <x v="0"/>
    <x v="0"/>
    <m/>
    <m/>
    <n v="-143"/>
  </r>
  <r>
    <x v="5"/>
    <x v="25"/>
    <n v="11"/>
    <s v="收到提单生成通知，核对提单信息"/>
    <x v="55"/>
    <x v="0"/>
    <x v="0"/>
    <m/>
    <m/>
    <n v="-143"/>
  </r>
  <r>
    <x v="5"/>
    <x v="25"/>
    <n v="12"/>
    <s v="发 HBL COPY 和 MBL COPY 给客户（张婷）确认"/>
    <x v="52"/>
    <x v="0"/>
    <x v="0"/>
    <m/>
    <m/>
    <n v="-142"/>
  </r>
  <r>
    <x v="5"/>
    <x v="25"/>
    <n v="13"/>
    <s v="收到客户（张婷）确认提单"/>
    <x v="55"/>
    <x v="0"/>
    <x v="0"/>
    <m/>
    <m/>
    <n v="-143"/>
  </r>
  <r>
    <x v="5"/>
    <x v="25"/>
    <n v="14"/>
    <s v="海关有舱单，核对舱单信息"/>
    <x v="55"/>
    <x v="0"/>
    <x v="0"/>
    <m/>
    <m/>
    <n v="-143"/>
  </r>
  <r>
    <x v="5"/>
    <x v="25"/>
    <n v="15"/>
    <s v="收到校对稿，发客户（张婷）"/>
    <x v="55"/>
    <x v="0"/>
    <x v="0"/>
    <m/>
    <m/>
    <n v="-143"/>
  </r>
  <r>
    <x v="5"/>
    <x v="25"/>
    <n v="16"/>
    <s v="收到客户（张婷）确认校对稿"/>
    <x v="55"/>
    <x v="0"/>
    <x v="0"/>
    <m/>
    <m/>
    <n v="-143"/>
  </r>
  <r>
    <x v="5"/>
    <x v="25"/>
    <n v="17"/>
    <s v="通知报关（开港、舱单、装箱单）"/>
    <x v="55"/>
    <x v="0"/>
    <x v="0"/>
    <m/>
    <m/>
    <n v="-143"/>
  </r>
  <r>
    <x v="5"/>
    <x v="25"/>
    <n v="18"/>
    <s v="报关成功"/>
    <x v="55"/>
    <x v="0"/>
    <x v="0"/>
    <m/>
    <m/>
    <n v="-143"/>
  </r>
  <r>
    <x v="5"/>
    <x v="25"/>
    <n v="19"/>
    <s v="通知可进港"/>
    <x v="55"/>
    <x v="0"/>
    <x v="0"/>
    <m/>
    <m/>
    <n v="-143"/>
  </r>
  <r>
    <x v="5"/>
    <x v="25"/>
    <n v="20"/>
    <s v="进港"/>
    <x v="52"/>
    <x v="0"/>
    <x v="0"/>
    <m/>
    <m/>
    <n v="-142"/>
  </r>
  <r>
    <x v="5"/>
    <x v="25"/>
    <n v="21"/>
    <s v="核对进港数据"/>
    <x v="52"/>
    <x v="0"/>
    <x v="0"/>
    <m/>
    <m/>
    <n v="-142"/>
  </r>
  <r>
    <x v="5"/>
    <x v="25"/>
    <n v="22"/>
    <s v="海放"/>
    <x v="52"/>
    <x v="0"/>
    <x v="0"/>
    <m/>
    <m/>
    <n v="-142"/>
  </r>
  <r>
    <x v="5"/>
    <x v="25"/>
    <n v="23"/>
    <s v="码放"/>
    <x v="19"/>
    <x v="0"/>
    <x v="0"/>
    <m/>
    <m/>
    <n v="-141"/>
  </r>
  <r>
    <x v="5"/>
    <x v="25"/>
    <n v="24"/>
    <s v="配载"/>
    <x v="19"/>
    <x v="0"/>
    <x v="0"/>
    <m/>
    <m/>
    <n v="-141"/>
  </r>
  <r>
    <x v="5"/>
    <x v="25"/>
    <n v="25"/>
    <s v="邮件问Neo 海运费"/>
    <x v="59"/>
    <x v="0"/>
    <x v="0"/>
    <m/>
    <m/>
    <n v="-137"/>
  </r>
  <r>
    <x v="5"/>
    <x v="25"/>
    <n v="26"/>
    <s v="收到Neo发来海运费"/>
    <x v="59"/>
    <x v="0"/>
    <x v="0"/>
    <m/>
    <m/>
    <n v="-137"/>
  </r>
  <r>
    <x v="5"/>
    <x v="25"/>
    <n v="27"/>
    <s v="做费用，发客户（张婷）确认"/>
    <x v="59"/>
    <x v="0"/>
    <x v="0"/>
    <m/>
    <m/>
    <n v="-137"/>
  </r>
  <r>
    <x v="5"/>
    <x v="25"/>
    <n v="28"/>
    <s v="收到客户（张婷）确认费用，开票（备注提单号和汇率）"/>
    <x v="33"/>
    <x v="0"/>
    <x v="0"/>
    <m/>
    <m/>
    <n v="-136"/>
  </r>
  <r>
    <x v="5"/>
    <x v="25"/>
    <n v="29"/>
    <s v="船开"/>
    <x v="59"/>
    <x v="0"/>
    <x v="0"/>
    <m/>
    <m/>
    <n v="-137"/>
  </r>
  <r>
    <x v="5"/>
    <x v="25"/>
    <n v="30"/>
    <s v="放单"/>
    <x v="59"/>
    <x v="0"/>
    <x v="0"/>
    <m/>
    <m/>
    <n v="-137"/>
  </r>
  <r>
    <x v="5"/>
    <x v="25"/>
    <n v="31"/>
    <s v="收到发票，扫描发张婷确认"/>
    <x v="60"/>
    <x v="0"/>
    <x v="0"/>
    <m/>
    <m/>
    <n v="-121"/>
  </r>
  <r>
    <x v="5"/>
    <x v="25"/>
    <n v="32"/>
    <s v="张婷确认发票，寄出（申通3716487143876）"/>
    <x v="60"/>
    <x v="0"/>
    <x v="0"/>
    <m/>
    <m/>
    <n v="-121"/>
  </r>
  <r>
    <x v="5"/>
    <x v="25"/>
    <n v="33"/>
    <s v="发票签收（申通3716487143876）"/>
    <x v="57"/>
    <x v="0"/>
    <x v="0"/>
    <m/>
    <m/>
    <n v="-119"/>
  </r>
  <r>
    <x v="7"/>
    <x v="26"/>
    <n v="1"/>
    <s v="收到徐小姐托书"/>
    <x v="55"/>
    <x v="0"/>
    <x v="0"/>
    <m/>
    <m/>
    <n v="-143"/>
  </r>
  <r>
    <x v="7"/>
    <x v="26"/>
    <n v="2"/>
    <s v="公共盘表格生成单号，YJC系统复制、生成单子"/>
    <x v="55"/>
    <x v="0"/>
    <x v="0"/>
    <m/>
    <m/>
    <n v="-143"/>
  </r>
  <r>
    <x v="7"/>
    <x v="26"/>
    <n v="3"/>
    <s v="振华网站订舱、保存、提交，等待审核"/>
    <x v="55"/>
    <x v="0"/>
    <x v="0"/>
    <m/>
    <m/>
    <n v="-143"/>
  </r>
  <r>
    <x v="7"/>
    <x v="26"/>
    <n v="4"/>
    <s v="QQ发预配给徐小姐，邮件发确认给国外"/>
    <x v="55"/>
    <x v="0"/>
    <x v="0"/>
    <m/>
    <m/>
    <n v="-143"/>
  </r>
  <r>
    <x v="7"/>
    <x v="26"/>
    <n v="5"/>
    <s v="收到国外确认，公共盘表格红改黑"/>
    <x v="55"/>
    <x v="0"/>
    <x v="0"/>
    <m/>
    <m/>
    <n v="-143"/>
  </r>
  <r>
    <x v="7"/>
    <x v="26"/>
    <n v="6"/>
    <s v="收到车队江发来VGM表格"/>
    <x v="54"/>
    <x v="0"/>
    <x v="0"/>
    <m/>
    <s v="周三周一截，周日周五截"/>
    <n v="-140"/>
  </r>
  <r>
    <x v="7"/>
    <x v="26"/>
    <n v="7"/>
    <s v="YJC 截单，振华截单、截VGM"/>
    <x v="54"/>
    <x v="0"/>
    <x v="0"/>
    <m/>
    <m/>
    <n v="-140"/>
  </r>
  <r>
    <x v="7"/>
    <x v="26"/>
    <n v="8"/>
    <s v="邮件发提单确认和费用确认给国外"/>
    <x v="54"/>
    <x v="0"/>
    <x v="0"/>
    <m/>
    <m/>
    <n v="-140"/>
  </r>
  <r>
    <x v="7"/>
    <x v="26"/>
    <n v="9"/>
    <s v="船开"/>
    <x v="61"/>
    <x v="0"/>
    <x v="0"/>
    <m/>
    <m/>
    <n v="-138"/>
  </r>
  <r>
    <x v="7"/>
    <x v="26"/>
    <n v="10"/>
    <s v="拿到WAYBILL，扫描，和HBL一起发国外"/>
    <x v="59"/>
    <x v="0"/>
    <x v="0"/>
    <m/>
    <m/>
    <n v="-137"/>
  </r>
  <r>
    <x v="3"/>
    <x v="27"/>
    <n v="1"/>
    <s v="PANCON上周日船期提单领取单"/>
    <x v="59"/>
    <x v="0"/>
    <x v="0"/>
    <m/>
    <s v="周一"/>
    <n v="-137"/>
  </r>
  <r>
    <x v="3"/>
    <x v="27"/>
    <n v="2"/>
    <s v="拿到PANCON WAYBILL，朱琳的给朱琳"/>
    <x v="59"/>
    <x v="0"/>
    <x v="0"/>
    <m/>
    <s v="周一"/>
    <n v="-137"/>
  </r>
  <r>
    <x v="3"/>
    <x v="27"/>
    <n v="3"/>
    <s v="PANCON本周三出运清单"/>
    <x v="33"/>
    <x v="0"/>
    <x v="0"/>
    <m/>
    <s v="周一"/>
    <n v="-136"/>
  </r>
  <r>
    <x v="3"/>
    <x v="27"/>
    <n v="4"/>
    <s v="WORKING PROCESS"/>
    <x v="59"/>
    <x v="0"/>
    <x v="0"/>
    <m/>
    <s v="周一"/>
    <n v="-137"/>
  </r>
  <r>
    <x v="3"/>
    <x v="27"/>
    <n v="5"/>
    <s v="WORKING PROCESS"/>
    <x v="53"/>
    <x v="0"/>
    <x v="0"/>
    <m/>
    <s v="周三"/>
    <n v="-135"/>
  </r>
  <r>
    <x v="3"/>
    <x v="27"/>
    <n v="6"/>
    <s v="PANCON周四船期提单领取单"/>
    <x v="34"/>
    <x v="0"/>
    <x v="0"/>
    <m/>
    <s v="周四"/>
    <n v="-134"/>
  </r>
  <r>
    <x v="3"/>
    <x v="27"/>
    <n v="7"/>
    <s v="拿到PANCON WAYBILL，朱琳的给朱琳"/>
    <x v="34"/>
    <x v="0"/>
    <x v="0"/>
    <m/>
    <s v="周四"/>
    <n v="-134"/>
  </r>
  <r>
    <x v="3"/>
    <x v="27"/>
    <n v="8"/>
    <s v="和 JS mobis、SC glovis确认下下周订舱需求"/>
    <x v="35"/>
    <x v="0"/>
    <x v="0"/>
    <m/>
    <s v="周五"/>
    <n v="-133"/>
  </r>
  <r>
    <x v="3"/>
    <x v="27"/>
    <n v="9"/>
    <s v="TJ glovis额外费用邮件"/>
    <x v="35"/>
    <x v="0"/>
    <x v="0"/>
    <m/>
    <s v="周五"/>
    <n v="-133"/>
  </r>
  <r>
    <x v="3"/>
    <x v="27"/>
    <n v="10"/>
    <s v="WORKING PROCESS"/>
    <x v="35"/>
    <x v="0"/>
    <x v="0"/>
    <m/>
    <s v="周五"/>
    <n v="-133"/>
  </r>
  <r>
    <x v="3"/>
    <x v="27"/>
    <n v="11"/>
    <s v="PANCON出运清单（约号更新）"/>
    <x v="35"/>
    <x v="0"/>
    <x v="0"/>
    <m/>
    <s v="周五"/>
    <n v="-133"/>
  </r>
  <r>
    <x v="3"/>
    <x v="27"/>
    <n v="12"/>
    <s v="制下周 WEEK 流水"/>
    <x v="36"/>
    <x v="0"/>
    <x v="0"/>
    <m/>
    <s v="周五"/>
    <n v="-132"/>
  </r>
  <r>
    <x v="3"/>
    <x v="27"/>
    <n v="13"/>
    <s v="盐城大有要五月六月报关单和放行单"/>
    <x v="35"/>
    <x v="0"/>
    <x v="0"/>
    <m/>
    <m/>
    <n v="-133"/>
  </r>
  <r>
    <x v="0"/>
    <x v="28"/>
    <n v="1"/>
    <s v="收到客户(孙丹/王珊)发来订舱托书"/>
    <x v="46"/>
    <x v="0"/>
    <x v="0"/>
    <m/>
    <m/>
    <n v="-147"/>
  </r>
  <r>
    <x v="0"/>
    <x v="28"/>
    <n v="2"/>
    <s v="收到CK发来预配(做箱通知，沈丽有收到？)，完善YJC系统数据"/>
    <x v="55"/>
    <x v="0"/>
    <x v="0"/>
    <m/>
    <m/>
    <n v="-143"/>
  </r>
  <r>
    <x v="0"/>
    <x v="28"/>
    <n v="3"/>
    <s v="YJC系统生成单子"/>
    <x v="55"/>
    <x v="0"/>
    <x v="0"/>
    <m/>
    <m/>
    <n v="-143"/>
  </r>
  <r>
    <x v="0"/>
    <x v="28"/>
    <n v="4"/>
    <s v="收到包装厂(刘倩梅)发来包装指示书和装箱计划"/>
    <x v="54"/>
    <x v="0"/>
    <x v="0"/>
    <m/>
    <s v="一般周四"/>
    <n v="-140"/>
  </r>
  <r>
    <x v="0"/>
    <x v="28"/>
    <n v="5"/>
    <s v="根据装箱计划汇总包装数据，发各工厂做报关资料"/>
    <x v="54"/>
    <x v="0"/>
    <x v="0"/>
    <m/>
    <m/>
    <n v="-140"/>
  </r>
  <r>
    <x v="0"/>
    <x v="28"/>
    <n v="6"/>
    <s v="做做箱数据，邮件群发(查开港时间，注明做箱时间)"/>
    <x v="54"/>
    <x v="0"/>
    <x v="0"/>
    <m/>
    <m/>
    <n v="-140"/>
  </r>
  <r>
    <x v="0"/>
    <x v="28"/>
    <n v="7"/>
    <s v="通知进港"/>
    <x v="59"/>
    <x v="0"/>
    <x v="0"/>
    <m/>
    <s v="调整顺序"/>
    <n v="-137"/>
  </r>
  <r>
    <x v="0"/>
    <x v="28"/>
    <n v="8"/>
    <s v="进港(核对数据)"/>
    <x v="59"/>
    <x v="0"/>
    <x v="0"/>
    <m/>
    <s v="调整顺序"/>
    <n v="-137"/>
  </r>
  <r>
    <x v="0"/>
    <x v="28"/>
    <n v="9"/>
    <s v="收到车队(沈丽)装箱单和洋山提箱截图(如有)，9点前群发，通知发舱单"/>
    <x v="59"/>
    <x v="0"/>
    <x v="0"/>
    <m/>
    <s v="一般KMM五、HMI日"/>
    <n v="-137"/>
  </r>
  <r>
    <x v="0"/>
    <x v="28"/>
    <n v="10"/>
    <s v="收到工厂发来报关资料并完善(代做报关资料跟客户确认)"/>
    <x v="59"/>
    <x v="0"/>
    <x v="0"/>
    <m/>
    <s v="当天至隔天"/>
    <n v="-137"/>
  </r>
  <r>
    <x v="0"/>
    <x v="28"/>
    <n v="11"/>
    <s v="报关资料齐了，发报关行(黄寅文)，"/>
    <x v="59"/>
    <x v="0"/>
    <x v="0"/>
    <m/>
    <m/>
    <n v="-137"/>
  </r>
  <r>
    <x v="0"/>
    <x v="28"/>
    <n v="12"/>
    <s v="货运模板/发票/箱单"/>
    <x v="59"/>
    <x v="0"/>
    <x v="0"/>
    <m/>
    <m/>
    <n v="-137"/>
  </r>
  <r>
    <x v="0"/>
    <x v="28"/>
    <n v="13"/>
    <s v="收到舱单发送成功通知，核对舱单信息"/>
    <x v="33"/>
    <x v="0"/>
    <x v="0"/>
    <m/>
    <m/>
    <n v="-136"/>
  </r>
  <r>
    <x v="0"/>
    <x v="28"/>
    <n v="14"/>
    <s v="通知报关"/>
    <x v="33"/>
    <x v="0"/>
    <x v="0"/>
    <m/>
    <s v="调整顺序"/>
    <n v="-136"/>
  </r>
  <r>
    <x v="0"/>
    <x v="28"/>
    <n v="15"/>
    <s v="报关成功"/>
    <x v="33"/>
    <x v="0"/>
    <x v="0"/>
    <m/>
    <s v="调整顺序"/>
    <n v="-136"/>
  </r>
  <r>
    <x v="0"/>
    <x v="28"/>
    <n v="16"/>
    <s v="盯海放"/>
    <x v="33"/>
    <x v="0"/>
    <x v="0"/>
    <m/>
    <m/>
    <n v="-136"/>
  </r>
  <r>
    <x v="0"/>
    <x v="28"/>
    <n v="17"/>
    <s v="盯码放"/>
    <x v="33"/>
    <x v="0"/>
    <x v="0"/>
    <m/>
    <m/>
    <n v="-136"/>
  </r>
  <r>
    <x v="0"/>
    <x v="28"/>
    <n v="18"/>
    <s v="盯配载"/>
    <x v="53"/>
    <x v="0"/>
    <x v="0"/>
    <m/>
    <m/>
    <n v="-135"/>
  </r>
  <r>
    <x v="0"/>
    <x v="28"/>
    <n v="19"/>
    <s v="盯船开"/>
    <x v="34"/>
    <x v="0"/>
    <x v="0"/>
    <m/>
    <m/>
    <n v="-134"/>
  </r>
  <r>
    <x v="0"/>
    <x v="28"/>
    <n v="20"/>
    <s v="做费用(对账单日期4号)，放公共盘，填月账单表，发孙丹"/>
    <x v="53"/>
    <x v="0"/>
    <x v="0"/>
    <m/>
    <m/>
    <n v="-135"/>
  </r>
  <r>
    <x v="4"/>
    <x v="28"/>
    <n v="1"/>
    <s v="收到客户(徐贵)订舱预报"/>
    <x v="51"/>
    <x v="0"/>
    <x v="0"/>
    <m/>
    <s v="一般周五发隔周"/>
    <n v="-144"/>
  </r>
  <r>
    <x v="4"/>
    <x v="28"/>
    <n v="2"/>
    <s v="填WORKING PROCESS"/>
    <x v="51"/>
    <x v="0"/>
    <x v="0"/>
    <m/>
    <m/>
    <n v="-144"/>
  </r>
  <r>
    <x v="4"/>
    <x v="28"/>
    <n v="3"/>
    <s v="收到HMM(Neo)预订舱邮件通知"/>
    <x v="51"/>
    <x v="0"/>
    <x v="0"/>
    <m/>
    <s v="一般周一发下周"/>
    <n v="-144"/>
  </r>
  <r>
    <x v="4"/>
    <x v="28"/>
    <n v="4"/>
    <s v="回复HMM(Neo)预订舱邮件"/>
    <x v="51"/>
    <x v="0"/>
    <x v="0"/>
    <m/>
    <m/>
    <n v="-144"/>
  </r>
  <r>
    <x v="4"/>
    <x v="28"/>
    <n v="5"/>
    <s v="收到HMM(Neo)预订舱确认"/>
    <x v="55"/>
    <x v="0"/>
    <x v="0"/>
    <m/>
    <s v="一般马上"/>
    <n v="-143"/>
  </r>
  <r>
    <x v="4"/>
    <x v="28"/>
    <n v="6"/>
    <s v="公共盘生成提单号"/>
    <x v="55"/>
    <x v="0"/>
    <x v="0"/>
    <m/>
    <m/>
    <n v="-143"/>
  </r>
  <r>
    <x v="4"/>
    <x v="28"/>
    <n v="7"/>
    <s v="YJC系统生成单子"/>
    <x v="55"/>
    <x v="0"/>
    <x v="0"/>
    <m/>
    <m/>
    <n v="-143"/>
  </r>
  <r>
    <x v="4"/>
    <x v="28"/>
    <n v="8"/>
    <s v="发EDI"/>
    <x v="55"/>
    <x v="0"/>
    <x v="0"/>
    <m/>
    <m/>
    <n v="-143"/>
  </r>
  <r>
    <x v="4"/>
    <x v="28"/>
    <n v="9"/>
    <s v="邮件申请放单"/>
    <x v="55"/>
    <x v="0"/>
    <x v="0"/>
    <m/>
    <m/>
    <n v="-143"/>
  </r>
  <r>
    <x v="4"/>
    <x v="28"/>
    <n v="10"/>
    <s v="收到HMM(Neo) 放单确认"/>
    <x v="55"/>
    <x v="0"/>
    <x v="0"/>
    <m/>
    <s v="一般半天内"/>
    <n v="-143"/>
  </r>
  <r>
    <x v="4"/>
    <x v="28"/>
    <n v="11"/>
    <s v="HMM网站核对订舱信息"/>
    <x v="55"/>
    <x v="0"/>
    <x v="0"/>
    <m/>
    <m/>
    <n v="-143"/>
  </r>
  <r>
    <x v="4"/>
    <x v="28"/>
    <n v="12"/>
    <s v="收到客户(徐贵)做箱通知"/>
    <x v="19"/>
    <x v="0"/>
    <x v="0"/>
    <m/>
    <s v="一般做箱头天一早"/>
    <n v="-141"/>
  </r>
  <r>
    <x v="4"/>
    <x v="28"/>
    <n v="13"/>
    <s v="发做箱通知邮件给车队(沈丽)"/>
    <x v="19"/>
    <x v="0"/>
    <x v="0"/>
    <m/>
    <m/>
    <n v="-141"/>
  </r>
  <r>
    <x v="4"/>
    <x v="28"/>
    <n v="14"/>
    <s v="公共盘生成提单号【如需拆单】"/>
    <x v="19"/>
    <x v="0"/>
    <x v="0"/>
    <m/>
    <m/>
    <n v="-141"/>
  </r>
  <r>
    <x v="4"/>
    <x v="28"/>
    <n v="15"/>
    <s v="YJC系统生成单子【如需拆单】"/>
    <x v="19"/>
    <x v="0"/>
    <x v="0"/>
    <m/>
    <m/>
    <n v="-141"/>
  </r>
  <r>
    <x v="4"/>
    <x v="28"/>
    <n v="16"/>
    <s v="发EDI【如需拆单】"/>
    <x v="19"/>
    <x v="0"/>
    <x v="0"/>
    <m/>
    <m/>
    <n v="-141"/>
  </r>
  <r>
    <x v="4"/>
    <x v="28"/>
    <n v="17"/>
    <s v="邮件申请放单【如需拆单】"/>
    <x v="19"/>
    <x v="0"/>
    <x v="0"/>
    <m/>
    <m/>
    <n v="-141"/>
  </r>
  <r>
    <x v="4"/>
    <x v="28"/>
    <n v="18"/>
    <s v="收到HMM(Neo) 放单确认【如需拆单】"/>
    <x v="19"/>
    <x v="0"/>
    <x v="0"/>
    <m/>
    <m/>
    <n v="-141"/>
  </r>
  <r>
    <x v="4"/>
    <x v="28"/>
    <n v="19"/>
    <s v="HMM网站核对订舱信息【如需拆单】"/>
    <x v="19"/>
    <x v="0"/>
    <x v="0"/>
    <m/>
    <m/>
    <n v="-141"/>
  </r>
  <r>
    <x v="4"/>
    <x v="28"/>
    <n v="20"/>
    <s v="收到客户(徐贵)发来报关资料"/>
    <x v="54"/>
    <x v="0"/>
    <x v="0"/>
    <m/>
    <s v="一般做箱当天一早"/>
    <n v="-140"/>
  </r>
  <r>
    <x v="4"/>
    <x v="28"/>
    <n v="21"/>
    <s v="按报关(发票)数生成提单号【如发票数超过提单数】"/>
    <x v="54"/>
    <x v="0"/>
    <x v="0"/>
    <m/>
    <m/>
    <n v="-140"/>
  </r>
  <r>
    <x v="4"/>
    <x v="28"/>
    <n v="22"/>
    <s v="做做箱数据，QQ发车队(沈丽)"/>
    <x v="54"/>
    <x v="0"/>
    <x v="0"/>
    <m/>
    <m/>
    <n v="-140"/>
  </r>
  <r>
    <x v="4"/>
    <x v="28"/>
    <n v="23"/>
    <s v="收到车队(沈丽)装箱单，转发客户（徐贵）"/>
    <x v="54"/>
    <x v="0"/>
    <x v="0"/>
    <m/>
    <s v="一般马上"/>
    <n v="-140"/>
  </r>
  <r>
    <x v="4"/>
    <x v="28"/>
    <n v="24"/>
    <s v="YJC系统截单，发EDI，邮件HMM(He)【截单时间】"/>
    <x v="54"/>
    <x v="0"/>
    <x v="0"/>
    <m/>
    <s v="注意截单时间"/>
    <n v="-140"/>
  </r>
  <r>
    <x v="4"/>
    <x v="28"/>
    <n v="25"/>
    <s v="发VGM和舱单"/>
    <x v="54"/>
    <x v="0"/>
    <x v="0"/>
    <m/>
    <m/>
    <n v="-140"/>
  </r>
  <r>
    <x v="4"/>
    <x v="28"/>
    <n v="26"/>
    <s v="做报关资料，扫描发报关行(黄寅文)QQ，要校对稿"/>
    <x v="54"/>
    <x v="0"/>
    <x v="0"/>
    <m/>
    <m/>
    <n v="-140"/>
  </r>
  <r>
    <x v="4"/>
    <x v="28"/>
    <n v="27"/>
    <s v="做保函给邹师傅"/>
    <x v="54"/>
    <x v="0"/>
    <x v="0"/>
    <m/>
    <m/>
    <n v="-140"/>
  </r>
  <r>
    <x v="4"/>
    <x v="28"/>
    <n v="28"/>
    <s v="做ISF，发国外资料"/>
    <x v="54"/>
    <x v="0"/>
    <x v="0"/>
    <m/>
    <m/>
    <n v="-140"/>
  </r>
  <r>
    <x v="4"/>
    <x v="28"/>
    <n v="29"/>
    <s v="买保险"/>
    <x v="54"/>
    <x v="0"/>
    <x v="0"/>
    <m/>
    <m/>
    <n v="-140"/>
  </r>
  <r>
    <x v="4"/>
    <x v="28"/>
    <n v="31"/>
    <s v="收到HMM(He)生成提单通知"/>
    <x v="54"/>
    <x v="0"/>
    <x v="0"/>
    <m/>
    <s v="一般马上"/>
    <n v="-140"/>
  </r>
  <r>
    <x v="4"/>
    <x v="28"/>
    <n v="32"/>
    <s v="HMM网站核对提单信息"/>
    <x v="54"/>
    <x v="0"/>
    <x v="0"/>
    <m/>
    <m/>
    <n v="-140"/>
  </r>
  <r>
    <x v="4"/>
    <x v="28"/>
    <n v="33"/>
    <s v="盯海关网站舱单"/>
    <x v="54"/>
    <x v="0"/>
    <x v="0"/>
    <m/>
    <s v="一般两小时左右"/>
    <n v="-140"/>
  </r>
  <r>
    <x v="4"/>
    <x v="28"/>
    <n v="34"/>
    <s v="核对舱单信息"/>
    <x v="54"/>
    <x v="0"/>
    <x v="0"/>
    <m/>
    <m/>
    <n v="-140"/>
  </r>
  <r>
    <x v="4"/>
    <x v="28"/>
    <n v="35"/>
    <s v="收到报关行(黄寅文)校对稿，邮件发客户(徐贵)确认"/>
    <x v="58"/>
    <x v="0"/>
    <x v="0"/>
    <m/>
    <s v="一般半天内"/>
    <n v="-139"/>
  </r>
  <r>
    <x v="4"/>
    <x v="28"/>
    <n v="36"/>
    <s v="收到客户(徐贵)确认校对稿"/>
    <x v="58"/>
    <x v="0"/>
    <x v="0"/>
    <m/>
    <s v="一般马上"/>
    <n v="-139"/>
  </r>
  <r>
    <x v="4"/>
    <x v="28"/>
    <n v="37"/>
    <s v="通知车队(沈丽)可进港"/>
    <x v="58"/>
    <x v="0"/>
    <x v="0"/>
    <m/>
    <m/>
    <n v="-139"/>
  </r>
  <r>
    <x v="4"/>
    <x v="28"/>
    <n v="38"/>
    <s v="盯箱子进港"/>
    <x v="61"/>
    <x v="0"/>
    <x v="0"/>
    <m/>
    <m/>
    <n v="-138"/>
  </r>
  <r>
    <x v="4"/>
    <x v="28"/>
    <n v="39"/>
    <s v="核对进港数据"/>
    <x v="58"/>
    <x v="0"/>
    <x v="0"/>
    <m/>
    <m/>
    <n v="-139"/>
  </r>
  <r>
    <x v="4"/>
    <x v="28"/>
    <n v="40"/>
    <s v="通知报关行(黄寅文)报关(开港、舱单、校对)"/>
    <x v="61"/>
    <x v="0"/>
    <x v="0"/>
    <m/>
    <m/>
    <n v="-138"/>
  </r>
  <r>
    <x v="4"/>
    <x v="28"/>
    <n v="41"/>
    <s v="收到报关成功通知"/>
    <x v="61"/>
    <x v="0"/>
    <x v="0"/>
    <m/>
    <s v="一般下班前"/>
    <n v="-138"/>
  </r>
  <r>
    <x v="4"/>
    <x v="28"/>
    <n v="42"/>
    <s v="盯海放"/>
    <x v="61"/>
    <x v="0"/>
    <x v="0"/>
    <m/>
    <m/>
    <n v="-138"/>
  </r>
  <r>
    <x v="4"/>
    <x v="28"/>
    <n v="43"/>
    <s v="盯码放"/>
    <x v="59"/>
    <x v="0"/>
    <x v="0"/>
    <m/>
    <m/>
    <n v="-137"/>
  </r>
  <r>
    <x v="4"/>
    <x v="28"/>
    <n v="44"/>
    <s v="盯配载"/>
    <x v="34"/>
    <x v="0"/>
    <x v="0"/>
    <m/>
    <m/>
    <n v="-134"/>
  </r>
  <r>
    <x v="4"/>
    <x v="28"/>
    <n v="45"/>
    <s v="做费用(月初等汇率)，发账单给石磊"/>
    <x v="53"/>
    <x v="0"/>
    <x v="0"/>
    <m/>
    <m/>
    <n v="-135"/>
  </r>
  <r>
    <x v="4"/>
    <x v="28"/>
    <n v="46"/>
    <s v="船开"/>
    <x v="35"/>
    <x v="0"/>
    <x v="0"/>
    <m/>
    <m/>
    <n v="-133"/>
  </r>
  <r>
    <x v="4"/>
    <x v="28"/>
    <n v="47"/>
    <s v="放提单、预录单、放行单（PHISON、石磊、陈云娣）"/>
    <x v="35"/>
    <x v="0"/>
    <x v="0"/>
    <m/>
    <s v="一般开船后两三天"/>
    <n v="-133"/>
  </r>
  <r>
    <x v="1"/>
    <x v="28"/>
    <n v="1"/>
    <s v="收到客户(孙丹/王珊)发来订舱托书"/>
    <x v="49"/>
    <x v="0"/>
    <x v="0"/>
    <m/>
    <m/>
    <n v="-148"/>
  </r>
  <r>
    <x v="1"/>
    <x v="28"/>
    <n v="2"/>
    <s v="收到CK发来预配(做箱通知，沈丽有收到？)"/>
    <x v="49"/>
    <x v="0"/>
    <x v="0"/>
    <m/>
    <m/>
    <n v="-148"/>
  </r>
  <r>
    <x v="1"/>
    <x v="28"/>
    <n v="3"/>
    <s v="YJC系统生成单子"/>
    <x v="49"/>
    <x v="0"/>
    <x v="0"/>
    <m/>
    <m/>
    <n v="-148"/>
  </r>
  <r>
    <x v="1"/>
    <x v="28"/>
    <n v="4"/>
    <s v="收到包装厂(刘倩梅)发来包装指示书和装箱计划"/>
    <x v="19"/>
    <x v="0"/>
    <x v="0"/>
    <m/>
    <s v="一般周四"/>
    <n v="-141"/>
  </r>
  <r>
    <x v="1"/>
    <x v="28"/>
    <n v="5"/>
    <s v="根据装箱计划汇总包装数据，发各工厂做报关资料"/>
    <x v="19"/>
    <x v="0"/>
    <x v="0"/>
    <m/>
    <m/>
    <n v="-141"/>
  </r>
  <r>
    <x v="1"/>
    <x v="28"/>
    <n v="6"/>
    <s v="做做箱数据，邮件群发(查开港时间，注明做箱时间)"/>
    <x v="19"/>
    <x v="0"/>
    <x v="0"/>
    <m/>
    <m/>
    <n v="-141"/>
  </r>
  <r>
    <x v="1"/>
    <x v="28"/>
    <n v="7"/>
    <s v="收到工厂发来报关资料并完善(代做报关资料跟客户确认)"/>
    <x v="19"/>
    <x v="0"/>
    <x v="0"/>
    <m/>
    <s v="当天至隔天"/>
    <n v="-141"/>
  </r>
  <r>
    <x v="1"/>
    <x v="28"/>
    <n v="8"/>
    <s v="报关资料齐了，发报关行(黄寅文)，货运模板/发票/箱单"/>
    <x v="54"/>
    <x v="0"/>
    <x v="0"/>
    <m/>
    <m/>
    <n v="-140"/>
  </r>
  <r>
    <x v="1"/>
    <x v="28"/>
    <n v="9"/>
    <s v="收到车队(沈丽)装箱单和洋山提箱截图(如有)，9点前群发，通知发舱单"/>
    <x v="54"/>
    <x v="0"/>
    <x v="0"/>
    <m/>
    <s v="一般KMM五、HMI日"/>
    <n v="-140"/>
  </r>
  <r>
    <x v="1"/>
    <x v="28"/>
    <n v="10"/>
    <s v="收到舱单发送成功通知，核对舱单信息"/>
    <x v="54"/>
    <x v="0"/>
    <x v="0"/>
    <m/>
    <m/>
    <n v="-140"/>
  </r>
  <r>
    <x v="1"/>
    <x v="28"/>
    <n v="11"/>
    <s v="通知报关（洋山发装箱单）"/>
    <x v="54"/>
    <x v="0"/>
    <x v="0"/>
    <m/>
    <s v="调整顺序"/>
    <n v="-140"/>
  </r>
  <r>
    <x v="1"/>
    <x v="28"/>
    <n v="12"/>
    <s v="报关成功"/>
    <x v="54"/>
    <x v="0"/>
    <x v="0"/>
    <m/>
    <s v="调整顺序"/>
    <n v="-140"/>
  </r>
  <r>
    <x v="1"/>
    <x v="28"/>
    <n v="13"/>
    <s v="通知进港"/>
    <x v="54"/>
    <x v="0"/>
    <x v="0"/>
    <m/>
    <s v="调整顺序"/>
    <n v="-140"/>
  </r>
  <r>
    <x v="1"/>
    <x v="28"/>
    <n v="14"/>
    <s v="进港(核对数据)"/>
    <x v="58"/>
    <x v="0"/>
    <x v="0"/>
    <m/>
    <s v="调整顺序"/>
    <n v="-139"/>
  </r>
  <r>
    <x v="1"/>
    <x v="28"/>
    <n v="15"/>
    <s v="海放"/>
    <x v="58"/>
    <x v="0"/>
    <x v="0"/>
    <m/>
    <m/>
    <n v="-139"/>
  </r>
  <r>
    <x v="1"/>
    <x v="28"/>
    <n v="16"/>
    <s v="码放"/>
    <x v="59"/>
    <x v="0"/>
    <x v="0"/>
    <m/>
    <m/>
    <n v="-137"/>
  </r>
  <r>
    <x v="1"/>
    <x v="28"/>
    <n v="17"/>
    <s v="配载"/>
    <x v="33"/>
    <x v="0"/>
    <x v="0"/>
    <m/>
    <m/>
    <n v="-136"/>
  </r>
  <r>
    <x v="1"/>
    <x v="28"/>
    <n v="18"/>
    <s v="做费用(对账单日期4号)，放公共盘，填月账单表，发孙丹"/>
    <x v="53"/>
    <x v="0"/>
    <x v="0"/>
    <m/>
    <m/>
    <n v="-135"/>
  </r>
  <r>
    <x v="1"/>
    <x v="28"/>
    <n v="19"/>
    <s v="船开"/>
    <x v="53"/>
    <x v="0"/>
    <x v="0"/>
    <m/>
    <m/>
    <n v="-135"/>
  </r>
  <r>
    <x v="7"/>
    <x v="28"/>
    <n v="1"/>
    <s v="收到徐小姐托书"/>
    <x v="19"/>
    <x v="0"/>
    <x v="0"/>
    <m/>
    <m/>
    <n v="-141"/>
  </r>
  <r>
    <x v="7"/>
    <x v="28"/>
    <n v="2"/>
    <s v="公共盘表格生成单号，YJC系统复制、生成单子"/>
    <x v="19"/>
    <x v="0"/>
    <x v="0"/>
    <m/>
    <m/>
    <n v="-141"/>
  </r>
  <r>
    <x v="7"/>
    <x v="28"/>
    <n v="3"/>
    <s v="振华网站订舱、保存、提交，等待审核"/>
    <x v="19"/>
    <x v="0"/>
    <x v="0"/>
    <m/>
    <m/>
    <n v="-141"/>
  </r>
  <r>
    <x v="7"/>
    <x v="28"/>
    <n v="4"/>
    <s v="QQ发预配给徐小姐，邮件发确认给国外"/>
    <x v="19"/>
    <x v="0"/>
    <x v="0"/>
    <m/>
    <m/>
    <n v="-141"/>
  </r>
  <r>
    <x v="7"/>
    <x v="28"/>
    <n v="5"/>
    <s v="收到国外确认，公共盘表格红改黑"/>
    <x v="19"/>
    <x v="0"/>
    <x v="0"/>
    <m/>
    <m/>
    <n v="-141"/>
  </r>
  <r>
    <x v="7"/>
    <x v="28"/>
    <n v="6"/>
    <s v="收到车队江发来VGM表格"/>
    <x v="59"/>
    <x v="0"/>
    <x v="0"/>
    <m/>
    <s v="周三周一截，周日周五截"/>
    <n v="-137"/>
  </r>
  <r>
    <x v="7"/>
    <x v="28"/>
    <n v="7"/>
    <s v="YJC 截单，振华截单、截VGM"/>
    <x v="59"/>
    <x v="0"/>
    <x v="0"/>
    <m/>
    <m/>
    <n v="-137"/>
  </r>
  <r>
    <x v="7"/>
    <x v="28"/>
    <n v="8"/>
    <s v="邮件发提单确认和费用确认给国外"/>
    <x v="59"/>
    <x v="0"/>
    <x v="0"/>
    <m/>
    <m/>
    <n v="-137"/>
  </r>
  <r>
    <x v="7"/>
    <x v="28"/>
    <n v="9"/>
    <s v="船开"/>
    <x v="34"/>
    <x v="0"/>
    <x v="0"/>
    <m/>
    <m/>
    <n v="-134"/>
  </r>
  <r>
    <x v="7"/>
    <x v="28"/>
    <n v="10"/>
    <s v="拿到WAYBILL，扫描，和HBL一起发国外"/>
    <x v="34"/>
    <x v="0"/>
    <x v="0"/>
    <m/>
    <m/>
    <n v="-134"/>
  </r>
  <r>
    <x v="4"/>
    <x v="29"/>
    <n v="1"/>
    <s v="收到客户(徐贵)订舱预报"/>
    <x v="51"/>
    <x v="0"/>
    <x v="0"/>
    <m/>
    <s v="一般周五发隔周"/>
    <n v="-144"/>
  </r>
  <r>
    <x v="4"/>
    <x v="29"/>
    <n v="2"/>
    <s v="填WORKING PROCESS"/>
    <x v="51"/>
    <x v="0"/>
    <x v="0"/>
    <m/>
    <m/>
    <n v="-144"/>
  </r>
  <r>
    <x v="4"/>
    <x v="29"/>
    <n v="3"/>
    <s v="收到HMM(Neo)预订舱邮件通知"/>
    <x v="51"/>
    <x v="0"/>
    <x v="0"/>
    <m/>
    <s v="一般周一发下周"/>
    <n v="-144"/>
  </r>
  <r>
    <x v="4"/>
    <x v="29"/>
    <n v="4"/>
    <s v="回复HMM(Neo)预订舱邮件"/>
    <x v="51"/>
    <x v="0"/>
    <x v="0"/>
    <m/>
    <m/>
    <n v="-144"/>
  </r>
  <r>
    <x v="4"/>
    <x v="29"/>
    <n v="5"/>
    <s v="收到HMM(Neo)预订舱确认"/>
    <x v="55"/>
    <x v="0"/>
    <x v="0"/>
    <m/>
    <s v="一般马上"/>
    <n v="-143"/>
  </r>
  <r>
    <x v="4"/>
    <x v="29"/>
    <n v="6"/>
    <s v="公共盘生成提单号"/>
    <x v="55"/>
    <x v="0"/>
    <x v="0"/>
    <m/>
    <m/>
    <n v="-143"/>
  </r>
  <r>
    <x v="4"/>
    <x v="29"/>
    <n v="7"/>
    <s v="YJC系统生成单子"/>
    <x v="55"/>
    <x v="0"/>
    <x v="0"/>
    <m/>
    <m/>
    <n v="-143"/>
  </r>
  <r>
    <x v="4"/>
    <x v="29"/>
    <n v="8"/>
    <s v="发EDI"/>
    <x v="55"/>
    <x v="0"/>
    <x v="0"/>
    <m/>
    <m/>
    <n v="-143"/>
  </r>
  <r>
    <x v="4"/>
    <x v="29"/>
    <n v="9"/>
    <s v="邮件申请放单"/>
    <x v="55"/>
    <x v="0"/>
    <x v="0"/>
    <m/>
    <m/>
    <n v="-143"/>
  </r>
  <r>
    <x v="4"/>
    <x v="29"/>
    <n v="9.1"/>
    <s v="改船期"/>
    <x v="52"/>
    <x v="0"/>
    <x v="0"/>
    <m/>
    <m/>
    <n v="-142"/>
  </r>
  <r>
    <x v="4"/>
    <x v="29"/>
    <n v="10"/>
    <s v="收到HMM(Neo) 放单确认"/>
    <x v="52"/>
    <x v="0"/>
    <x v="0"/>
    <m/>
    <s v="一般半天内"/>
    <n v="-142"/>
  </r>
  <r>
    <x v="4"/>
    <x v="29"/>
    <n v="11"/>
    <s v="HMM网站核对订舱信息"/>
    <x v="52"/>
    <x v="0"/>
    <x v="0"/>
    <m/>
    <m/>
    <n v="-142"/>
  </r>
  <r>
    <x v="4"/>
    <x v="29"/>
    <n v="12"/>
    <s v="收到客户(徐贵)做箱通知"/>
    <x v="59"/>
    <x v="0"/>
    <x v="0"/>
    <m/>
    <s v="一般做箱头天一早"/>
    <n v="-137"/>
  </r>
  <r>
    <x v="4"/>
    <x v="29"/>
    <n v="13"/>
    <s v="发做箱通知邮件给车队(沈丽)"/>
    <x v="59"/>
    <x v="0"/>
    <x v="0"/>
    <m/>
    <m/>
    <n v="-137"/>
  </r>
  <r>
    <x v="4"/>
    <x v="29"/>
    <n v="14"/>
    <s v="公共盘生成提单号【如需拆单】"/>
    <x v="59"/>
    <x v="0"/>
    <x v="0"/>
    <m/>
    <m/>
    <n v="-137"/>
  </r>
  <r>
    <x v="4"/>
    <x v="29"/>
    <n v="15"/>
    <s v="YJC系统生成单子【如需拆单】"/>
    <x v="59"/>
    <x v="0"/>
    <x v="0"/>
    <m/>
    <m/>
    <n v="-137"/>
  </r>
  <r>
    <x v="4"/>
    <x v="29"/>
    <n v="16"/>
    <s v="发EDI【如需拆单】"/>
    <x v="59"/>
    <x v="0"/>
    <x v="0"/>
    <m/>
    <m/>
    <n v="-137"/>
  </r>
  <r>
    <x v="4"/>
    <x v="29"/>
    <n v="17"/>
    <s v="邮件申请放单【如需拆单】"/>
    <x v="59"/>
    <x v="0"/>
    <x v="0"/>
    <m/>
    <m/>
    <n v="-137"/>
  </r>
  <r>
    <x v="4"/>
    <x v="29"/>
    <n v="18"/>
    <s v="收到HMM(Neo) 放单确认【如需拆单】"/>
    <x v="59"/>
    <x v="0"/>
    <x v="0"/>
    <m/>
    <m/>
    <n v="-137"/>
  </r>
  <r>
    <x v="4"/>
    <x v="29"/>
    <n v="19"/>
    <s v="HMM网站核对订舱信息【如需拆单】"/>
    <x v="59"/>
    <x v="0"/>
    <x v="0"/>
    <m/>
    <m/>
    <n v="-137"/>
  </r>
  <r>
    <x v="4"/>
    <x v="29"/>
    <n v="20"/>
    <s v="收到客户(徐贵)发来报关资料"/>
    <x v="33"/>
    <x v="0"/>
    <x v="0"/>
    <m/>
    <s v="一般做箱当天一早"/>
    <n v="-136"/>
  </r>
  <r>
    <x v="4"/>
    <x v="29"/>
    <n v="21"/>
    <s v="按报关(发票)数生成提单号【如发票数超过提单数】"/>
    <x v="33"/>
    <x v="0"/>
    <x v="0"/>
    <m/>
    <m/>
    <n v="-136"/>
  </r>
  <r>
    <x v="4"/>
    <x v="29"/>
    <n v="22"/>
    <s v="做做箱数据，QQ发车队(沈丽)"/>
    <x v="33"/>
    <x v="0"/>
    <x v="0"/>
    <m/>
    <m/>
    <n v="-136"/>
  </r>
  <r>
    <x v="4"/>
    <x v="29"/>
    <n v="23"/>
    <s v="收到车队(沈丽)装箱单，转发客户（徐贵）"/>
    <x v="33"/>
    <x v="0"/>
    <x v="0"/>
    <m/>
    <s v="一般马上"/>
    <n v="-136"/>
  </r>
  <r>
    <x v="4"/>
    <x v="29"/>
    <n v="24"/>
    <s v="YJC系统截单，发EDI，邮件HMM(He)【截单时间】"/>
    <x v="33"/>
    <x v="0"/>
    <x v="0"/>
    <m/>
    <s v="注意截单时间"/>
    <n v="-136"/>
  </r>
  <r>
    <x v="4"/>
    <x v="29"/>
    <n v="25"/>
    <s v="发VGM和舱单（亿通，鹏海两次）"/>
    <x v="33"/>
    <x v="0"/>
    <x v="0"/>
    <m/>
    <m/>
    <n v="-136"/>
  </r>
  <r>
    <x v="4"/>
    <x v="29"/>
    <n v="26"/>
    <s v="做报关资料，扫描发报关行(黄寅文)QQ，要校对稿"/>
    <x v="33"/>
    <x v="0"/>
    <x v="0"/>
    <m/>
    <m/>
    <n v="-136"/>
  </r>
  <r>
    <x v="4"/>
    <x v="29"/>
    <n v="27"/>
    <s v="做保函给邹师傅"/>
    <x v="33"/>
    <x v="0"/>
    <x v="0"/>
    <m/>
    <m/>
    <n v="-136"/>
  </r>
  <r>
    <x v="4"/>
    <x v="29"/>
    <n v="28"/>
    <s v="做ISF，发国外资料"/>
    <x v="33"/>
    <x v="0"/>
    <x v="0"/>
    <m/>
    <m/>
    <n v="-136"/>
  </r>
  <r>
    <x v="4"/>
    <x v="29"/>
    <n v="29"/>
    <s v="买保险"/>
    <x v="33"/>
    <x v="0"/>
    <x v="0"/>
    <m/>
    <m/>
    <n v="-136"/>
  </r>
  <r>
    <x v="4"/>
    <x v="29"/>
    <n v="31"/>
    <s v="收到HMM(He)生成提单通知"/>
    <x v="33"/>
    <x v="0"/>
    <x v="0"/>
    <m/>
    <s v="一般马上"/>
    <n v="-136"/>
  </r>
  <r>
    <x v="4"/>
    <x v="29"/>
    <n v="32"/>
    <s v="HMM网站核对提单信息"/>
    <x v="33"/>
    <x v="0"/>
    <x v="0"/>
    <m/>
    <m/>
    <n v="-136"/>
  </r>
  <r>
    <x v="4"/>
    <x v="29"/>
    <n v="33"/>
    <s v="盯海关网站舱单"/>
    <x v="33"/>
    <x v="0"/>
    <x v="0"/>
    <m/>
    <s v="一般两小时左右"/>
    <n v="-136"/>
  </r>
  <r>
    <x v="4"/>
    <x v="29"/>
    <n v="34"/>
    <s v="核对舱单信息"/>
    <x v="33"/>
    <x v="0"/>
    <x v="0"/>
    <m/>
    <m/>
    <n v="-136"/>
  </r>
  <r>
    <x v="4"/>
    <x v="29"/>
    <n v="35"/>
    <s v="收到报关行(黄寅文)校对稿，邮件发客户(徐贵)确认"/>
    <x v="33"/>
    <x v="0"/>
    <x v="0"/>
    <m/>
    <s v="一般半天内"/>
    <n v="-136"/>
  </r>
  <r>
    <x v="4"/>
    <x v="29"/>
    <n v="36"/>
    <s v="收到客户(徐贵)确认校对稿"/>
    <x v="33"/>
    <x v="0"/>
    <x v="0"/>
    <m/>
    <s v="一般马上"/>
    <n v="-136"/>
  </r>
  <r>
    <x v="4"/>
    <x v="29"/>
    <n v="37"/>
    <s v="通知报关行(黄寅文)报关(开港、舱单、校对)"/>
    <x v="33"/>
    <x v="0"/>
    <x v="0"/>
    <m/>
    <m/>
    <n v="-136"/>
  </r>
  <r>
    <x v="4"/>
    <x v="29"/>
    <n v="38"/>
    <s v="收到报关成功通知"/>
    <x v="33"/>
    <x v="0"/>
    <x v="0"/>
    <m/>
    <s v="一般下班前"/>
    <n v="-136"/>
  </r>
  <r>
    <x v="4"/>
    <x v="29"/>
    <n v="39"/>
    <s v="通知车队(沈丽)可进港"/>
    <x v="33"/>
    <x v="0"/>
    <x v="0"/>
    <m/>
    <m/>
    <n v="-136"/>
  </r>
  <r>
    <x v="4"/>
    <x v="29"/>
    <n v="40"/>
    <s v="盯箱子进港"/>
    <x v="53"/>
    <x v="0"/>
    <x v="0"/>
    <m/>
    <m/>
    <n v="-135"/>
  </r>
  <r>
    <x v="4"/>
    <x v="29"/>
    <n v="41"/>
    <s v="核对进港数据"/>
    <x v="53"/>
    <x v="0"/>
    <x v="0"/>
    <m/>
    <m/>
    <n v="-135"/>
  </r>
  <r>
    <x v="4"/>
    <x v="29"/>
    <n v="42"/>
    <s v="盯海放"/>
    <x v="53"/>
    <x v="0"/>
    <x v="0"/>
    <m/>
    <m/>
    <n v="-135"/>
  </r>
  <r>
    <x v="4"/>
    <x v="29"/>
    <n v="43"/>
    <s v="盯码放"/>
    <x v="53"/>
    <x v="0"/>
    <x v="0"/>
    <m/>
    <m/>
    <n v="-135"/>
  </r>
  <r>
    <x v="4"/>
    <x v="29"/>
    <n v="44"/>
    <s v="盯配载"/>
    <x v="34"/>
    <x v="0"/>
    <x v="0"/>
    <m/>
    <m/>
    <n v="-134"/>
  </r>
  <r>
    <x v="4"/>
    <x v="29"/>
    <n v="45"/>
    <s v="做费用(月初等汇率)，发账单给石磊"/>
    <x v="53"/>
    <x v="0"/>
    <x v="0"/>
    <m/>
    <m/>
    <n v="-135"/>
  </r>
  <r>
    <x v="4"/>
    <x v="29"/>
    <n v="46"/>
    <s v="船开"/>
    <x v="35"/>
    <x v="0"/>
    <x v="0"/>
    <m/>
    <m/>
    <n v="-133"/>
  </r>
  <r>
    <x v="4"/>
    <x v="29"/>
    <n v="47"/>
    <s v="放提单、预录单、放行单（PHISON、石磊、陈云娣）"/>
    <x v="35"/>
    <x v="0"/>
    <x v="0"/>
    <m/>
    <s v="一般开船后两三天"/>
    <n v="-133"/>
  </r>
  <r>
    <x v="2"/>
    <x v="30"/>
    <n v="1"/>
    <s v="准备 PANCON 本月所有出运清单（文件名）"/>
    <x v="62"/>
    <x v="0"/>
    <x v="0"/>
    <m/>
    <s v="1号"/>
    <n v="-130"/>
  </r>
  <r>
    <x v="2"/>
    <x v="30"/>
    <n v="2"/>
    <s v="收到保险公司（常）上月对账单，对账后回复常"/>
    <x v="63"/>
    <x v="0"/>
    <x v="0"/>
    <m/>
    <s v="月初"/>
    <n v="-125"/>
  </r>
  <r>
    <x v="2"/>
    <x v="30"/>
    <n v="3"/>
    <s v="万盛发来上月结算单，核对，开票，扫描确认，寄金善娥"/>
    <x v="56"/>
    <x v="0"/>
    <x v="3"/>
    <m/>
    <s v="月初"/>
    <n v="-116"/>
  </r>
  <r>
    <x v="2"/>
    <x v="30"/>
    <n v="4"/>
    <s v="CK TJ glovis有没有驳货费"/>
    <x v="64"/>
    <x v="1"/>
    <x v="0"/>
    <m/>
    <s v="月底"/>
    <n v="-109"/>
  </r>
  <r>
    <x v="2"/>
    <x v="30"/>
    <n v="5"/>
    <s v="KMM HMI 全部APP"/>
    <x v="65"/>
    <x v="0"/>
    <x v="0"/>
    <m/>
    <m/>
    <n v="-102"/>
  </r>
  <r>
    <x v="2"/>
    <x v="30"/>
    <n v="6"/>
    <s v="客户对账单，开票"/>
    <x v="66"/>
    <x v="0"/>
    <x v="0"/>
    <m/>
    <s v="月底"/>
    <n v="-101"/>
  </r>
  <r>
    <x v="2"/>
    <x v="30"/>
    <n v="7"/>
    <s v="本月JS mobis车队费用邮件发给汤爱华"/>
    <x v="65"/>
    <x v="0"/>
    <x v="1"/>
    <m/>
    <s v="月底"/>
    <n v="-102"/>
  </r>
  <r>
    <x v="2"/>
    <x v="30"/>
    <n v="8"/>
    <s v="新身份证办下来发给殷"/>
    <x v="67"/>
    <x v="2"/>
    <x v="0"/>
    <m/>
    <m/>
    <n v="3"/>
  </r>
  <r>
    <x v="2"/>
    <x v="30"/>
    <n v="9"/>
    <s v="ROADSUN本月账单（包括别人的）发给陈强英确认"/>
    <x v="66"/>
    <x v="0"/>
    <x v="1"/>
    <m/>
    <s v="月底"/>
    <n v="-101"/>
  </r>
  <r>
    <x v="2"/>
    <x v="30"/>
    <n v="10"/>
    <s v="ROADSUN客户陈强英确认月账单，申请开票（抬头广州美越，只能纸质票）"/>
    <x v="66"/>
    <x v="0"/>
    <x v="0"/>
    <m/>
    <s v="月底"/>
    <n v="-101"/>
  </r>
  <r>
    <x v="2"/>
    <x v="30"/>
    <n v="11"/>
    <s v="ROADSUN收到发票，和确认的账单表格一起寄给陈强英"/>
    <x v="66"/>
    <x v="0"/>
    <x v="0"/>
    <m/>
    <m/>
    <n v="-101"/>
  </r>
  <r>
    <x v="2"/>
    <x v="30"/>
    <n v="12"/>
    <s v="无锡摩比斯6月19洋提费用记得开票收"/>
    <x v="65"/>
    <x v="0"/>
    <x v="1"/>
    <m/>
    <m/>
    <n v="-102"/>
  </r>
  <r>
    <x v="2"/>
    <x v="30"/>
    <n v="13"/>
    <s v="7-15下班忘打卡（打了）"/>
    <x v="68"/>
    <x v="1"/>
    <x v="0"/>
    <m/>
    <m/>
    <n v="-87"/>
  </r>
  <r>
    <x v="2"/>
    <x v="30"/>
    <n v="14"/>
    <s v="下月 MONTH"/>
    <x v="69"/>
    <x v="0"/>
    <x v="0"/>
    <m/>
    <s v="月底"/>
    <n v="-100"/>
  </r>
  <r>
    <x v="3"/>
    <x v="30"/>
    <n v="1"/>
    <s v="PANCON上周日船期提单领取单"/>
    <x v="62"/>
    <x v="0"/>
    <x v="0"/>
    <m/>
    <s v="周一"/>
    <n v="-130"/>
  </r>
  <r>
    <x v="3"/>
    <x v="30"/>
    <n v="2"/>
    <s v="收到 Neo 下周订舱预报邮件"/>
    <x v="62"/>
    <x v="0"/>
    <x v="0"/>
    <m/>
    <s v="周一"/>
    <n v="-130"/>
  </r>
  <r>
    <x v="3"/>
    <x v="30"/>
    <n v="3"/>
    <s v="汇总SC JS下周订舱需求，回Neo邮件"/>
    <x v="62"/>
    <x v="0"/>
    <x v="0"/>
    <m/>
    <s v="周一"/>
    <n v="-130"/>
  </r>
  <r>
    <x v="3"/>
    <x v="30"/>
    <n v="4"/>
    <s v="收到Neo确认，制作每票清单流水"/>
    <x v="62"/>
    <x v="0"/>
    <x v="0"/>
    <m/>
    <s v="周一"/>
    <n v="-130"/>
  </r>
  <r>
    <x v="3"/>
    <x v="30"/>
    <n v="5"/>
    <s v="拿到PANCON WAYBILL，朱琳的给朱琳"/>
    <x v="62"/>
    <x v="0"/>
    <x v="0"/>
    <m/>
    <s v="周一"/>
    <n v="-130"/>
  </r>
  <r>
    <x v="3"/>
    <x v="30"/>
    <n v="6"/>
    <s v="PANCON周三出运清单（约号更新）"/>
    <x v="62"/>
    <x v="0"/>
    <x v="0"/>
    <m/>
    <s v="周一"/>
    <n v="-130"/>
  </r>
  <r>
    <x v="3"/>
    <x v="30"/>
    <n v="7"/>
    <s v="WORKING PROCESS"/>
    <x v="62"/>
    <x v="0"/>
    <x v="0"/>
    <m/>
    <s v="周一"/>
    <n v="-130"/>
  </r>
  <r>
    <x v="3"/>
    <x v="30"/>
    <n v="8"/>
    <s v="寄发票给陈吟勇"/>
    <x v="62"/>
    <x v="0"/>
    <x v="0"/>
    <m/>
    <m/>
    <n v="-130"/>
  </r>
  <r>
    <x v="3"/>
    <x v="30"/>
    <n v="9"/>
    <s v="JS mobis 寄保函"/>
    <x v="70"/>
    <x v="0"/>
    <x v="0"/>
    <m/>
    <m/>
    <n v="-128"/>
  </r>
  <r>
    <x v="3"/>
    <x v="30"/>
    <n v="10"/>
    <s v="WORKING PROCESS"/>
    <x v="70"/>
    <x v="0"/>
    <x v="0"/>
    <m/>
    <s v="周三"/>
    <n v="-128"/>
  </r>
  <r>
    <x v="3"/>
    <x v="30"/>
    <n v="11"/>
    <s v="PANCON周三船期提单领取单"/>
    <x v="38"/>
    <x v="0"/>
    <x v="0"/>
    <m/>
    <s v="周四"/>
    <n v="-127"/>
  </r>
  <r>
    <x v="3"/>
    <x v="30"/>
    <n v="12"/>
    <s v="拿到PANCON WAYBILL，朱琳的给朱琳"/>
    <x v="38"/>
    <x v="0"/>
    <x v="0"/>
    <m/>
    <s v="周四"/>
    <n v="-127"/>
  </r>
  <r>
    <x v="3"/>
    <x v="30"/>
    <n v="13"/>
    <s v="问JS mobis、SC glovis下下周订舱需求"/>
    <x v="71"/>
    <x v="0"/>
    <x v="0"/>
    <m/>
    <s v="周五"/>
    <n v="-126"/>
  </r>
  <r>
    <x v="3"/>
    <x v="30"/>
    <n v="14"/>
    <s v="WORKING PROCESS"/>
    <x v="72"/>
    <x v="0"/>
    <x v="0"/>
    <m/>
    <s v="周五"/>
    <n v="-123"/>
  </r>
  <r>
    <x v="3"/>
    <x v="30"/>
    <n v="15"/>
    <s v="PANCON周日出运清单（约号更新）"/>
    <x v="71"/>
    <x v="0"/>
    <x v="0"/>
    <m/>
    <s v="周五"/>
    <n v="-126"/>
  </r>
  <r>
    <x v="3"/>
    <x v="30"/>
    <n v="16"/>
    <s v="制下周 WEEK 流水"/>
    <x v="63"/>
    <x v="0"/>
    <x v="0"/>
    <m/>
    <s v="周五"/>
    <n v="-125"/>
  </r>
  <r>
    <x v="3"/>
    <x v="30"/>
    <n v="17"/>
    <s v="书包小袋子里两把一样的钥匙拿一把带着"/>
    <x v="37"/>
    <x v="0"/>
    <x v="0"/>
    <m/>
    <m/>
    <n v="-129"/>
  </r>
  <r>
    <x v="3"/>
    <x v="30"/>
    <n v="18"/>
    <s v="万盛错误抬头全部改！金善娥确认了开票"/>
    <x v="71"/>
    <x v="0"/>
    <x v="0"/>
    <m/>
    <m/>
    <n v="-126"/>
  </r>
  <r>
    <x v="3"/>
    <x v="30"/>
    <n v="19"/>
    <s v="寄第一橡胶和路递申发票"/>
    <x v="71"/>
    <x v="0"/>
    <x v="0"/>
    <m/>
    <m/>
    <n v="-126"/>
  </r>
  <r>
    <x v="3"/>
    <x v="30"/>
    <n v="20"/>
    <s v="产假单"/>
    <x v="73"/>
    <x v="0"/>
    <x v="0"/>
    <m/>
    <m/>
    <n v="-120"/>
  </r>
  <r>
    <x v="3"/>
    <x v="30"/>
    <n v="21"/>
    <s v="APP"/>
    <x v="72"/>
    <x v="0"/>
    <x v="0"/>
    <m/>
    <m/>
    <n v="-123"/>
  </r>
  <r>
    <x v="3"/>
    <x v="30"/>
    <n v="22"/>
    <s v="万盛加抄送hypark@kylogix.co.kr"/>
    <x v="73"/>
    <x v="0"/>
    <x v="0"/>
    <m/>
    <m/>
    <n v="-120"/>
  </r>
  <r>
    <x v="0"/>
    <x v="31"/>
    <n v="1"/>
    <s v="收到客户(孙丹/王珊)发来订舱托书"/>
    <x v="53"/>
    <x v="0"/>
    <x v="0"/>
    <m/>
    <m/>
    <n v="-135"/>
  </r>
  <r>
    <x v="0"/>
    <x v="31"/>
    <n v="2"/>
    <s v="收到CK发来预配(做箱通知，沈丽有收到？)"/>
    <x v="34"/>
    <x v="0"/>
    <x v="0"/>
    <m/>
    <m/>
    <n v="-134"/>
  </r>
  <r>
    <x v="0"/>
    <x v="31"/>
    <n v="3"/>
    <s v="YJC系统生成单子"/>
    <x v="34"/>
    <x v="0"/>
    <x v="0"/>
    <m/>
    <m/>
    <n v="-134"/>
  </r>
  <r>
    <x v="0"/>
    <x v="31"/>
    <n v="4"/>
    <s v="收到包装厂(刘倩梅)发来包装指示书和装箱计划"/>
    <x v="34"/>
    <x v="0"/>
    <x v="0"/>
    <m/>
    <s v="一般周四"/>
    <n v="-134"/>
  </r>
  <r>
    <x v="0"/>
    <x v="31"/>
    <n v="5"/>
    <s v="根据装箱计划汇总包装数据，发各工厂做报关资料"/>
    <x v="35"/>
    <x v="0"/>
    <x v="0"/>
    <m/>
    <m/>
    <n v="-133"/>
  </r>
  <r>
    <x v="0"/>
    <x v="31"/>
    <n v="6"/>
    <s v="做做箱数据，邮件群发(查开港时间，注明做箱时间)"/>
    <x v="35"/>
    <x v="0"/>
    <x v="0"/>
    <m/>
    <m/>
    <n v="-133"/>
  </r>
  <r>
    <x v="0"/>
    <x v="31"/>
    <n v="7"/>
    <s v="通知进港"/>
    <x v="35"/>
    <x v="0"/>
    <x v="0"/>
    <m/>
    <s v="调整顺序"/>
    <n v="-133"/>
  </r>
  <r>
    <x v="0"/>
    <x v="31"/>
    <n v="7.1"/>
    <s v="确认一下开港时间，看做箱时间要不要变"/>
    <x v="35"/>
    <x v="0"/>
    <x v="0"/>
    <m/>
    <s v="周六"/>
    <n v="-133"/>
  </r>
  <r>
    <x v="0"/>
    <x v="31"/>
    <n v="8"/>
    <s v="进港(核对数据)"/>
    <x v="62"/>
    <x v="0"/>
    <x v="0"/>
    <m/>
    <s v="调整顺序"/>
    <n v="-130"/>
  </r>
  <r>
    <x v="0"/>
    <x v="31"/>
    <n v="9"/>
    <s v="收到工厂发来报关资料并完善(代做报关资料跟客户确认)"/>
    <x v="62"/>
    <x v="0"/>
    <x v="0"/>
    <m/>
    <s v="当天至隔天"/>
    <n v="-130"/>
  </r>
  <r>
    <x v="0"/>
    <x v="31"/>
    <n v="10"/>
    <s v="报关资料齐了（光成要素划掉XXX），发报关行(黄寅文)"/>
    <x v="62"/>
    <x v="0"/>
    <x v="0"/>
    <m/>
    <m/>
    <n v="-130"/>
  </r>
  <r>
    <x v="0"/>
    <x v="31"/>
    <n v="11"/>
    <s v="货运模板/发票/箱单"/>
    <x v="62"/>
    <x v="0"/>
    <x v="0"/>
    <m/>
    <m/>
    <n v="-130"/>
  </r>
  <r>
    <x v="0"/>
    <x v="31"/>
    <n v="12"/>
    <s v="收到车队(沈丽)装箱单和洋山提箱截图(如有)，9点前群发，通知发舱单"/>
    <x v="62"/>
    <x v="0"/>
    <x v="0"/>
    <m/>
    <s v="一般KMM五、HMI日"/>
    <n v="-130"/>
  </r>
  <r>
    <x v="0"/>
    <x v="31"/>
    <n v="13"/>
    <s v="收到舱单发送成功通知，核对舱单信息"/>
    <x v="62"/>
    <x v="0"/>
    <x v="0"/>
    <m/>
    <m/>
    <n v="-130"/>
  </r>
  <r>
    <x v="0"/>
    <x v="31"/>
    <n v="14"/>
    <s v="通知报关（洋山发装箱单）"/>
    <x v="62"/>
    <x v="0"/>
    <x v="0"/>
    <m/>
    <s v="调整顺序"/>
    <n v="-130"/>
  </r>
  <r>
    <x v="0"/>
    <x v="31"/>
    <n v="15"/>
    <s v="报关成功"/>
    <x v="62"/>
    <x v="0"/>
    <x v="0"/>
    <m/>
    <s v="调整顺序"/>
    <n v="-130"/>
  </r>
  <r>
    <x v="0"/>
    <x v="31"/>
    <n v="16"/>
    <s v="海放"/>
    <x v="62"/>
    <x v="0"/>
    <x v="0"/>
    <m/>
    <m/>
    <n v="-130"/>
  </r>
  <r>
    <x v="0"/>
    <x v="31"/>
    <n v="17"/>
    <s v="码放"/>
    <x v="70"/>
    <x v="0"/>
    <x v="0"/>
    <m/>
    <m/>
    <n v="-128"/>
  </r>
  <r>
    <x v="0"/>
    <x v="31"/>
    <n v="18"/>
    <s v="配载"/>
    <x v="70"/>
    <x v="0"/>
    <x v="0"/>
    <m/>
    <m/>
    <n v="-128"/>
  </r>
  <r>
    <x v="0"/>
    <x v="31"/>
    <n v="19"/>
    <s v="做费用(对账单日期4号)，放公共盘，填月账单表，发孙丹"/>
    <x v="38"/>
    <x v="0"/>
    <x v="0"/>
    <m/>
    <m/>
    <n v="-127"/>
  </r>
  <r>
    <x v="0"/>
    <x v="31"/>
    <n v="20"/>
    <s v="船开"/>
    <x v="38"/>
    <x v="0"/>
    <x v="0"/>
    <m/>
    <m/>
    <n v="-127"/>
  </r>
  <r>
    <x v="4"/>
    <x v="31"/>
    <n v="1"/>
    <s v="收到客户(陈云娣)订舱预报"/>
    <x v="59"/>
    <x v="0"/>
    <x v="0"/>
    <m/>
    <s v="一般周五发隔周"/>
    <n v="-137"/>
  </r>
  <r>
    <x v="4"/>
    <x v="31"/>
    <n v="2"/>
    <s v="填WORKING PROCESS"/>
    <x v="33"/>
    <x v="0"/>
    <x v="0"/>
    <m/>
    <m/>
    <n v="-136"/>
  </r>
  <r>
    <x v="4"/>
    <x v="31"/>
    <n v="6"/>
    <s v="公共盘生成提单号"/>
    <x v="33"/>
    <x v="0"/>
    <x v="0"/>
    <m/>
    <m/>
    <n v="-136"/>
  </r>
  <r>
    <x v="4"/>
    <x v="31"/>
    <n v="7"/>
    <s v="YJC系统生成单子"/>
    <x v="33"/>
    <x v="0"/>
    <x v="0"/>
    <m/>
    <m/>
    <n v="-136"/>
  </r>
  <r>
    <x v="4"/>
    <x v="31"/>
    <n v="8"/>
    <s v="发EDI"/>
    <x v="33"/>
    <x v="0"/>
    <x v="0"/>
    <m/>
    <m/>
    <n v="-136"/>
  </r>
  <r>
    <x v="4"/>
    <x v="31"/>
    <n v="9"/>
    <s v="邮件申请放单"/>
    <x v="33"/>
    <x v="0"/>
    <x v="0"/>
    <m/>
    <m/>
    <n v="-136"/>
  </r>
  <r>
    <x v="4"/>
    <x v="31"/>
    <n v="10"/>
    <s v="收到HMM(Neo) 放单确认"/>
    <x v="33"/>
    <x v="0"/>
    <x v="0"/>
    <m/>
    <s v="一般半天内"/>
    <n v="-136"/>
  </r>
  <r>
    <x v="4"/>
    <x v="31"/>
    <n v="11"/>
    <s v="HMM网站核对订舱信息"/>
    <x v="33"/>
    <x v="0"/>
    <x v="0"/>
    <m/>
    <m/>
    <n v="-136"/>
  </r>
  <r>
    <x v="4"/>
    <x v="31"/>
    <n v="12"/>
    <s v="收到客户(陈云娣)做箱通知"/>
    <x v="34"/>
    <x v="0"/>
    <x v="0"/>
    <m/>
    <s v="一般做箱头天一早"/>
    <n v="-134"/>
  </r>
  <r>
    <x v="4"/>
    <x v="31"/>
    <n v="13"/>
    <s v="发做箱通知邮件给车队(沈丽)"/>
    <x v="34"/>
    <x v="0"/>
    <x v="0"/>
    <m/>
    <m/>
    <n v="-134"/>
  </r>
  <r>
    <x v="4"/>
    <x v="31"/>
    <n v="14"/>
    <s v="公共盘生成提单号【如需拆单】"/>
    <x v="34"/>
    <x v="0"/>
    <x v="0"/>
    <m/>
    <m/>
    <n v="-134"/>
  </r>
  <r>
    <x v="4"/>
    <x v="31"/>
    <n v="15"/>
    <s v="YJC系统生成单子【如需拆单】"/>
    <x v="34"/>
    <x v="0"/>
    <x v="0"/>
    <m/>
    <m/>
    <n v="-134"/>
  </r>
  <r>
    <x v="4"/>
    <x v="31"/>
    <n v="16"/>
    <s v="发EDI【如需拆单】"/>
    <x v="34"/>
    <x v="0"/>
    <x v="0"/>
    <m/>
    <m/>
    <n v="-134"/>
  </r>
  <r>
    <x v="4"/>
    <x v="31"/>
    <n v="17"/>
    <s v="邮件申请放单【如需拆单】"/>
    <x v="34"/>
    <x v="0"/>
    <x v="0"/>
    <m/>
    <m/>
    <n v="-134"/>
  </r>
  <r>
    <x v="4"/>
    <x v="31"/>
    <n v="18"/>
    <s v="收到HMM(Neo) 放单确认【如需拆单】"/>
    <x v="34"/>
    <x v="0"/>
    <x v="0"/>
    <m/>
    <m/>
    <n v="-134"/>
  </r>
  <r>
    <x v="4"/>
    <x v="31"/>
    <n v="19"/>
    <s v="HMM网站核对订舱信息【如需拆单】"/>
    <x v="34"/>
    <x v="0"/>
    <x v="0"/>
    <m/>
    <m/>
    <n v="-134"/>
  </r>
  <r>
    <x v="4"/>
    <x v="31"/>
    <n v="20"/>
    <s v="收到客户(陈云娣)发来报关资料"/>
    <x v="35"/>
    <x v="0"/>
    <x v="0"/>
    <m/>
    <s v="一般做箱当天一早"/>
    <n v="-133"/>
  </r>
  <r>
    <x v="4"/>
    <x v="31"/>
    <n v="21"/>
    <s v="按报关(发票)数生成提单号【如发票数超过提单数】"/>
    <x v="35"/>
    <x v="0"/>
    <x v="0"/>
    <m/>
    <m/>
    <n v="-133"/>
  </r>
  <r>
    <x v="4"/>
    <x v="31"/>
    <n v="22"/>
    <s v="做做箱数据，QQ发车队(沈丽)"/>
    <x v="35"/>
    <x v="0"/>
    <x v="0"/>
    <m/>
    <m/>
    <n v="-133"/>
  </r>
  <r>
    <x v="4"/>
    <x v="31"/>
    <n v="23"/>
    <s v="收到车队(沈丽)装箱单，转发客户（陈云娣）"/>
    <x v="35"/>
    <x v="0"/>
    <x v="0"/>
    <m/>
    <s v="一般马上"/>
    <n v="-133"/>
  </r>
  <r>
    <x v="4"/>
    <x v="31"/>
    <n v="24"/>
    <s v="YJC系统截单，发EDI，邮件HMM(He)【截单时间】"/>
    <x v="35"/>
    <x v="0"/>
    <x v="0"/>
    <m/>
    <s v="注意截单时间"/>
    <n v="-133"/>
  </r>
  <r>
    <x v="4"/>
    <x v="31"/>
    <n v="25"/>
    <s v="发VGM和舱单（亿通，鹏海两次）"/>
    <x v="35"/>
    <x v="0"/>
    <x v="0"/>
    <m/>
    <m/>
    <n v="-133"/>
  </r>
  <r>
    <x v="4"/>
    <x v="31"/>
    <n v="26"/>
    <s v="做报关资料，扫描发报关行(黄寅文)QQ，要校对稿"/>
    <x v="35"/>
    <x v="0"/>
    <x v="0"/>
    <m/>
    <m/>
    <n v="-133"/>
  </r>
  <r>
    <x v="4"/>
    <x v="31"/>
    <n v="27"/>
    <s v="做保函给邹师傅"/>
    <x v="35"/>
    <x v="0"/>
    <x v="0"/>
    <m/>
    <m/>
    <n v="-133"/>
  </r>
  <r>
    <x v="4"/>
    <x v="31"/>
    <n v="28"/>
    <s v="做ISF，发国外资料"/>
    <x v="35"/>
    <x v="0"/>
    <x v="0"/>
    <m/>
    <m/>
    <n v="-133"/>
  </r>
  <r>
    <x v="4"/>
    <x v="31"/>
    <n v="29"/>
    <s v="买保险"/>
    <x v="35"/>
    <x v="0"/>
    <x v="0"/>
    <m/>
    <m/>
    <n v="-133"/>
  </r>
  <r>
    <x v="4"/>
    <x v="31"/>
    <n v="31"/>
    <s v="收到HMM(He)生成提单通知"/>
    <x v="35"/>
    <x v="0"/>
    <x v="0"/>
    <m/>
    <s v="一般马上"/>
    <n v="-133"/>
  </r>
  <r>
    <x v="4"/>
    <x v="31"/>
    <n v="32"/>
    <s v="HMM网站核对提单信息"/>
    <x v="35"/>
    <x v="0"/>
    <x v="0"/>
    <m/>
    <m/>
    <n v="-133"/>
  </r>
  <r>
    <x v="4"/>
    <x v="31"/>
    <n v="33"/>
    <s v="盯海关网站舱单"/>
    <x v="35"/>
    <x v="0"/>
    <x v="0"/>
    <m/>
    <s v="一般两小时左右"/>
    <n v="-133"/>
  </r>
  <r>
    <x v="4"/>
    <x v="31"/>
    <n v="34"/>
    <s v="核对舱单信息"/>
    <x v="35"/>
    <x v="0"/>
    <x v="0"/>
    <m/>
    <m/>
    <n v="-133"/>
  </r>
  <r>
    <x v="4"/>
    <x v="31"/>
    <n v="35"/>
    <s v="收到报关行(黄寅文)校对稿，邮件发客户(陈云娣)确认"/>
    <x v="36"/>
    <x v="0"/>
    <x v="0"/>
    <m/>
    <s v="一般半天内"/>
    <n v="-132"/>
  </r>
  <r>
    <x v="4"/>
    <x v="31"/>
    <n v="36"/>
    <s v="收到客户(陈云娣)确认校对稿"/>
    <x v="36"/>
    <x v="0"/>
    <x v="0"/>
    <m/>
    <s v="一般马上"/>
    <n v="-132"/>
  </r>
  <r>
    <x v="4"/>
    <x v="31"/>
    <n v="37"/>
    <s v="通知车队(沈丽)可进港"/>
    <x v="74"/>
    <x v="0"/>
    <x v="0"/>
    <m/>
    <m/>
    <n v="-131"/>
  </r>
  <r>
    <x v="4"/>
    <x v="31"/>
    <n v="38"/>
    <s v="盯箱子进港，有落箱费？"/>
    <x v="62"/>
    <x v="0"/>
    <x v="0"/>
    <m/>
    <m/>
    <n v="-130"/>
  </r>
  <r>
    <x v="4"/>
    <x v="31"/>
    <n v="39"/>
    <s v="核对进港数据"/>
    <x v="62"/>
    <x v="0"/>
    <x v="0"/>
    <m/>
    <m/>
    <n v="-130"/>
  </r>
  <r>
    <x v="4"/>
    <x v="31"/>
    <n v="40"/>
    <s v="通知报关行(黄寅文)报关(开港、舱单、校对)（洋山提供装箱单）"/>
    <x v="62"/>
    <x v="0"/>
    <x v="0"/>
    <m/>
    <m/>
    <n v="-130"/>
  </r>
  <r>
    <x v="4"/>
    <x v="31"/>
    <n v="41"/>
    <s v="收到报关成功通知"/>
    <x v="62"/>
    <x v="0"/>
    <x v="0"/>
    <m/>
    <s v="一般下班前"/>
    <n v="-130"/>
  </r>
  <r>
    <x v="4"/>
    <x v="31"/>
    <n v="42"/>
    <s v="盯海放"/>
    <x v="62"/>
    <x v="0"/>
    <x v="0"/>
    <m/>
    <m/>
    <n v="-130"/>
  </r>
  <r>
    <x v="4"/>
    <x v="31"/>
    <n v="43"/>
    <s v="盯码放"/>
    <x v="62"/>
    <x v="0"/>
    <x v="0"/>
    <m/>
    <m/>
    <n v="-130"/>
  </r>
  <r>
    <x v="4"/>
    <x v="31"/>
    <n v="44"/>
    <s v="盯配载"/>
    <x v="37"/>
    <x v="0"/>
    <x v="0"/>
    <m/>
    <m/>
    <n v="-129"/>
  </r>
  <r>
    <x v="4"/>
    <x v="31"/>
    <n v="45"/>
    <s v="做费用(月初等汇率)，发账单给石磊"/>
    <x v="38"/>
    <x v="0"/>
    <x v="0"/>
    <m/>
    <m/>
    <n v="-127"/>
  </r>
  <r>
    <x v="4"/>
    <x v="31"/>
    <n v="46"/>
    <s v="船开"/>
    <x v="38"/>
    <x v="0"/>
    <x v="0"/>
    <m/>
    <m/>
    <n v="-127"/>
  </r>
  <r>
    <x v="4"/>
    <x v="31"/>
    <n v="47"/>
    <s v="放提单、预录单、放行单（PHISON、石磊提单、陈云娣三单）"/>
    <x v="63"/>
    <x v="0"/>
    <x v="0"/>
    <m/>
    <s v="一般开船后两三天"/>
    <n v="-125"/>
  </r>
  <r>
    <x v="4"/>
    <x v="31"/>
    <n v="48"/>
    <s v="落箱费去掉"/>
    <x v="60"/>
    <x v="0"/>
    <x v="0"/>
    <m/>
    <m/>
    <n v="-121"/>
  </r>
  <r>
    <x v="1"/>
    <x v="31"/>
    <n v="1"/>
    <s v="收到客户(孙丹/王珊)发来订舱托书"/>
    <x v="19"/>
    <x v="0"/>
    <x v="0"/>
    <m/>
    <m/>
    <n v="-141"/>
  </r>
  <r>
    <x v="1"/>
    <x v="31"/>
    <n v="2"/>
    <s v="收到CK发来预配(做箱通知，沈丽有收到？)"/>
    <x v="19"/>
    <x v="0"/>
    <x v="0"/>
    <m/>
    <m/>
    <n v="-141"/>
  </r>
  <r>
    <x v="1"/>
    <x v="31"/>
    <n v="3"/>
    <s v="YJC系统生成单子"/>
    <x v="19"/>
    <x v="0"/>
    <x v="0"/>
    <m/>
    <m/>
    <n v="-141"/>
  </r>
  <r>
    <x v="1"/>
    <x v="31"/>
    <n v="4"/>
    <s v="收到包装厂(刘倩梅)发来包装指示书和装箱计划"/>
    <x v="34"/>
    <x v="0"/>
    <x v="0"/>
    <m/>
    <s v="一般周四"/>
    <n v="-134"/>
  </r>
  <r>
    <x v="1"/>
    <x v="31"/>
    <n v="5"/>
    <s v="根据装箱计划汇总包装数据，发各工厂做报关资料"/>
    <x v="34"/>
    <x v="0"/>
    <x v="0"/>
    <m/>
    <m/>
    <n v="-134"/>
  </r>
  <r>
    <x v="1"/>
    <x v="31"/>
    <n v="6"/>
    <s v="做做箱数据，邮件群发(查开港时间，注明做箱时间，洋提)"/>
    <x v="34"/>
    <x v="0"/>
    <x v="0"/>
    <m/>
    <m/>
    <n v="-134"/>
  </r>
  <r>
    <x v="1"/>
    <x v="31"/>
    <n v="7"/>
    <s v="收到工厂发来报关资料并完善(代做报关资料跟客户确认)"/>
    <x v="34"/>
    <x v="0"/>
    <x v="0"/>
    <m/>
    <s v="当天至隔天"/>
    <n v="-134"/>
  </r>
  <r>
    <x v="1"/>
    <x v="31"/>
    <n v="8"/>
    <s v="报关资料齐了（光成要素划掉XXX），发报关行(黄寅文)"/>
    <x v="34"/>
    <x v="0"/>
    <x v="0"/>
    <m/>
    <m/>
    <n v="-134"/>
  </r>
  <r>
    <x v="1"/>
    <x v="31"/>
    <n v="9"/>
    <s v="货运模板/发票/箱单"/>
    <x v="35"/>
    <x v="0"/>
    <x v="0"/>
    <m/>
    <m/>
    <n v="-133"/>
  </r>
  <r>
    <x v="1"/>
    <x v="31"/>
    <n v="10"/>
    <s v="收到车队(沈丽)装箱单和洋山提箱截图(如有)，9点前群发，通知发舱单"/>
    <x v="35"/>
    <x v="0"/>
    <x v="0"/>
    <m/>
    <s v="一般KMM五、HMI日"/>
    <n v="-133"/>
  </r>
  <r>
    <x v="1"/>
    <x v="31"/>
    <n v="11"/>
    <s v="收到舱单发送成功通知，核对舱单信息"/>
    <x v="35"/>
    <x v="0"/>
    <x v="0"/>
    <m/>
    <m/>
    <n v="-133"/>
  </r>
  <r>
    <x v="1"/>
    <x v="31"/>
    <n v="12"/>
    <s v="通知报关（洋山发装箱单）"/>
    <x v="35"/>
    <x v="0"/>
    <x v="0"/>
    <m/>
    <s v="调整顺序"/>
    <n v="-133"/>
  </r>
  <r>
    <x v="1"/>
    <x v="31"/>
    <n v="13"/>
    <s v="报关成功"/>
    <x v="35"/>
    <x v="0"/>
    <x v="0"/>
    <m/>
    <s v="调整顺序"/>
    <n v="-133"/>
  </r>
  <r>
    <x v="1"/>
    <x v="31"/>
    <n v="14"/>
    <s v="通知进港"/>
    <x v="35"/>
    <x v="0"/>
    <x v="0"/>
    <m/>
    <s v="调整顺序"/>
    <n v="-133"/>
  </r>
  <r>
    <x v="1"/>
    <x v="31"/>
    <n v="15"/>
    <s v="进港(核对数据)"/>
    <x v="36"/>
    <x v="0"/>
    <x v="0"/>
    <m/>
    <s v="调整顺序"/>
    <n v="-132"/>
  </r>
  <r>
    <x v="1"/>
    <x v="31"/>
    <n v="16"/>
    <s v="海放"/>
    <x v="36"/>
    <x v="0"/>
    <x v="0"/>
    <m/>
    <m/>
    <n v="-132"/>
  </r>
  <r>
    <x v="1"/>
    <x v="31"/>
    <n v="17"/>
    <s v="码放"/>
    <x v="62"/>
    <x v="0"/>
    <x v="0"/>
    <m/>
    <m/>
    <n v="-130"/>
  </r>
  <r>
    <x v="1"/>
    <x v="31"/>
    <n v="18"/>
    <s v="配载"/>
    <x v="37"/>
    <x v="0"/>
    <x v="0"/>
    <m/>
    <m/>
    <n v="-129"/>
  </r>
  <r>
    <x v="1"/>
    <x v="31"/>
    <n v="19"/>
    <s v="做费用(对账单日期4号)，放公共盘，填月账单表，发孙丹"/>
    <x v="38"/>
    <x v="0"/>
    <x v="0"/>
    <m/>
    <m/>
    <n v="-127"/>
  </r>
  <r>
    <x v="1"/>
    <x v="31"/>
    <n v="20"/>
    <s v="船开"/>
    <x v="70"/>
    <x v="0"/>
    <x v="0"/>
    <m/>
    <m/>
    <n v="-128"/>
  </r>
  <r>
    <x v="7"/>
    <x v="31"/>
    <n v="1"/>
    <s v="收到徐小姐托书"/>
    <x v="34"/>
    <x v="0"/>
    <x v="0"/>
    <m/>
    <m/>
    <n v="-134"/>
  </r>
  <r>
    <x v="7"/>
    <x v="31"/>
    <n v="2"/>
    <s v="公共盘表格生成单号，YJC系统复制、生成单子"/>
    <x v="34"/>
    <x v="0"/>
    <x v="0"/>
    <m/>
    <m/>
    <n v="-134"/>
  </r>
  <r>
    <x v="7"/>
    <x v="31"/>
    <n v="3"/>
    <s v="振华网站订舱（7.3改约号）、保存、提交，等待审核"/>
    <x v="34"/>
    <x v="0"/>
    <x v="0"/>
    <m/>
    <m/>
    <n v="-134"/>
  </r>
  <r>
    <x v="7"/>
    <x v="31"/>
    <n v="4"/>
    <s v="QQ发预配给徐小姐，邮件发确认给国外"/>
    <x v="34"/>
    <x v="0"/>
    <x v="0"/>
    <m/>
    <m/>
    <n v="-134"/>
  </r>
  <r>
    <x v="7"/>
    <x v="31"/>
    <n v="5"/>
    <s v="收到国外确认，公共盘表格红改黑"/>
    <x v="34"/>
    <x v="0"/>
    <x v="0"/>
    <m/>
    <m/>
    <n v="-134"/>
  </r>
  <r>
    <x v="7"/>
    <x v="31"/>
    <n v="6"/>
    <s v="收到车队江发来VGM表格"/>
    <x v="62"/>
    <x v="0"/>
    <x v="0"/>
    <m/>
    <s v="周三周一截，周日周五截"/>
    <n v="-130"/>
  </r>
  <r>
    <x v="7"/>
    <x v="31"/>
    <n v="7"/>
    <s v="YJC 截单，徐小姐确认，振华截单、截VGM"/>
    <x v="62"/>
    <x v="0"/>
    <x v="0"/>
    <m/>
    <m/>
    <n v="-130"/>
  </r>
  <r>
    <x v="7"/>
    <x v="31"/>
    <n v="8"/>
    <s v="邮件发提单确认和费用确认给国外"/>
    <x v="70"/>
    <x v="0"/>
    <x v="0"/>
    <m/>
    <s v="没看到邮件？"/>
    <n v="-128"/>
  </r>
  <r>
    <x v="7"/>
    <x v="31"/>
    <n v="9"/>
    <s v="船开"/>
    <x v="38"/>
    <x v="0"/>
    <x v="0"/>
    <m/>
    <m/>
    <n v="-127"/>
  </r>
  <r>
    <x v="7"/>
    <x v="31"/>
    <n v="10"/>
    <s v="拿到WAYBILL，扫描，和HBL一起发国外"/>
    <x v="38"/>
    <x v="0"/>
    <x v="0"/>
    <m/>
    <m/>
    <n v="-127"/>
  </r>
  <r>
    <x v="8"/>
    <x v="32"/>
    <n v="1"/>
    <s v="收到托书"/>
    <x v="34"/>
    <x v="0"/>
    <x v="0"/>
    <m/>
    <m/>
    <n v="-134"/>
  </r>
  <r>
    <x v="8"/>
    <x v="32"/>
    <n v="2"/>
    <s v="问怎么看截单日期"/>
    <x v="35"/>
    <x v="0"/>
    <x v="0"/>
    <m/>
    <m/>
    <n v="-133"/>
  </r>
  <r>
    <x v="8"/>
    <x v="32"/>
    <n v="3"/>
    <s v="沈丽确认拖车费用"/>
    <x v="62"/>
    <x v="0"/>
    <x v="0"/>
    <m/>
    <m/>
    <n v="-130"/>
  </r>
  <r>
    <x v="8"/>
    <x v="32"/>
    <n v="4"/>
    <s v="YJC系统录入"/>
    <x v="74"/>
    <x v="0"/>
    <x v="0"/>
    <m/>
    <m/>
    <n v="-131"/>
  </r>
  <r>
    <x v="8"/>
    <x v="32"/>
    <n v="5"/>
    <s v="研究KMTC如何截单，如何发舱单，如何发VGM。"/>
    <x v="37"/>
    <x v="1"/>
    <x v="0"/>
    <m/>
    <m/>
    <n v="-129"/>
  </r>
  <r>
    <x v="8"/>
    <x v="32"/>
    <n v="6"/>
    <s v="确认报关资料谁给什么时间给"/>
    <x v="37"/>
    <x v="1"/>
    <x v="0"/>
    <m/>
    <m/>
    <n v="-129"/>
  </r>
  <r>
    <x v="8"/>
    <x v="32"/>
    <n v="6.5"/>
    <s v="确认开港时间，要不要推迟做箱"/>
    <x v="62"/>
    <x v="0"/>
    <x v="0"/>
    <m/>
    <m/>
    <n v="-130"/>
  </r>
  <r>
    <x v="8"/>
    <x v="32"/>
    <n v="7"/>
    <s v="收到车队(沈丽)装箱单和洋山提箱截图(如有)已收到装箱单"/>
    <x v="37"/>
    <x v="1"/>
    <x v="0"/>
    <m/>
    <m/>
    <n v="-129"/>
  </r>
  <r>
    <x v="8"/>
    <x v="32"/>
    <n v="8"/>
    <s v="收到报关资料，完善报关单，发报关行。"/>
    <x v="37"/>
    <x v="1"/>
    <x v="0"/>
    <m/>
    <m/>
    <n v="-129"/>
  </r>
  <r>
    <x v="8"/>
    <x v="32"/>
    <n v="9"/>
    <s v="截单，发舱单，发VGM"/>
    <x v="37"/>
    <x v="1"/>
    <x v="0"/>
    <m/>
    <m/>
    <n v="-129"/>
  </r>
  <r>
    <x v="8"/>
    <x v="32"/>
    <n v="10"/>
    <s v="提单确认件发客户确认"/>
    <x v="37"/>
    <x v="1"/>
    <x v="0"/>
    <m/>
    <m/>
    <n v="-129"/>
  </r>
  <r>
    <x v="8"/>
    <x v="32"/>
    <n v="11"/>
    <s v="客户确认提单"/>
    <x v="37"/>
    <x v="1"/>
    <x v="0"/>
    <m/>
    <m/>
    <n v="-129"/>
  </r>
  <r>
    <x v="8"/>
    <x v="32"/>
    <n v="12"/>
    <s v="核对舱单信息"/>
    <x v="37"/>
    <x v="1"/>
    <x v="0"/>
    <m/>
    <m/>
    <n v="-129"/>
  </r>
  <r>
    <x v="8"/>
    <x v="32"/>
    <n v="13"/>
    <s v="进港(核对数据)"/>
    <x v="37"/>
    <x v="1"/>
    <x v="0"/>
    <m/>
    <m/>
    <n v="-129"/>
  </r>
  <r>
    <x v="8"/>
    <x v="32"/>
    <n v="14"/>
    <s v="通知报关（洋山发装箱单）"/>
    <x v="37"/>
    <x v="1"/>
    <x v="0"/>
    <m/>
    <m/>
    <n v="-129"/>
  </r>
  <r>
    <x v="8"/>
    <x v="32"/>
    <n v="15"/>
    <s v="报关成功"/>
    <x v="37"/>
    <x v="1"/>
    <x v="0"/>
    <m/>
    <m/>
    <n v="-129"/>
  </r>
  <r>
    <x v="8"/>
    <x v="32"/>
    <n v="15"/>
    <s v="码放"/>
    <x v="63"/>
    <x v="1"/>
    <x v="0"/>
    <m/>
    <m/>
    <n v="-125"/>
  </r>
  <r>
    <x v="8"/>
    <x v="32"/>
    <n v="16"/>
    <s v="配载"/>
    <x v="75"/>
    <x v="1"/>
    <x v="0"/>
    <m/>
    <m/>
    <n v="-124"/>
  </r>
  <r>
    <x v="8"/>
    <x v="32"/>
    <n v="16"/>
    <s v="海放"/>
    <x v="37"/>
    <x v="1"/>
    <x v="0"/>
    <m/>
    <m/>
    <n v="-129"/>
  </r>
  <r>
    <x v="8"/>
    <x v="32"/>
    <n v="17"/>
    <s v="做费用(对账单日期4号)，放公共盘，填月账单表，发孙丹"/>
    <x v="72"/>
    <x v="1"/>
    <x v="0"/>
    <m/>
    <m/>
    <n v="-123"/>
  </r>
  <r>
    <x v="8"/>
    <x v="32"/>
    <n v="18"/>
    <s v="船开"/>
    <x v="72"/>
    <x v="1"/>
    <x v="0"/>
    <m/>
    <m/>
    <n v="-123"/>
  </r>
  <r>
    <x v="4"/>
    <x v="32"/>
    <n v="1"/>
    <s v="收到客户(陈云娣)订舱预报"/>
    <x v="59"/>
    <x v="0"/>
    <x v="0"/>
    <m/>
    <s v="一般周五发隔周"/>
    <n v="-137"/>
  </r>
  <r>
    <x v="4"/>
    <x v="32"/>
    <n v="2"/>
    <s v="填WORKING PROCESS"/>
    <x v="33"/>
    <x v="0"/>
    <x v="0"/>
    <m/>
    <m/>
    <n v="-136"/>
  </r>
  <r>
    <x v="4"/>
    <x v="32"/>
    <n v="6"/>
    <s v="公共盘生成提单号"/>
    <x v="33"/>
    <x v="0"/>
    <x v="0"/>
    <m/>
    <m/>
    <n v="-136"/>
  </r>
  <r>
    <x v="4"/>
    <x v="32"/>
    <n v="7"/>
    <s v="YJC系统生成单子"/>
    <x v="33"/>
    <x v="0"/>
    <x v="0"/>
    <m/>
    <m/>
    <n v="-136"/>
  </r>
  <r>
    <x v="4"/>
    <x v="32"/>
    <n v="8"/>
    <s v="发EDI"/>
    <x v="33"/>
    <x v="0"/>
    <x v="0"/>
    <m/>
    <m/>
    <n v="-136"/>
  </r>
  <r>
    <x v="4"/>
    <x v="32"/>
    <n v="9"/>
    <s v="邮件申请放单"/>
    <x v="33"/>
    <x v="0"/>
    <x v="0"/>
    <m/>
    <m/>
    <n v="-136"/>
  </r>
  <r>
    <x v="4"/>
    <x v="32"/>
    <n v="10"/>
    <s v="收到HMM(Neo) 放单确认"/>
    <x v="33"/>
    <x v="0"/>
    <x v="0"/>
    <m/>
    <s v="一般半天内"/>
    <n v="-136"/>
  </r>
  <r>
    <x v="4"/>
    <x v="32"/>
    <n v="11"/>
    <s v="HMM网站核对订舱信息"/>
    <x v="33"/>
    <x v="0"/>
    <x v="0"/>
    <m/>
    <m/>
    <n v="-136"/>
  </r>
  <r>
    <x v="4"/>
    <x v="32"/>
    <n v="12"/>
    <s v="收到客户(陈云娣)做箱通知"/>
    <x v="62"/>
    <x v="0"/>
    <x v="0"/>
    <m/>
    <s v="一般做箱头天一早"/>
    <n v="-130"/>
  </r>
  <r>
    <x v="4"/>
    <x v="32"/>
    <n v="13"/>
    <s v="发做箱通知邮件给车队(沈丽)"/>
    <x v="62"/>
    <x v="0"/>
    <x v="0"/>
    <m/>
    <m/>
    <n v="-130"/>
  </r>
  <r>
    <x v="4"/>
    <x v="32"/>
    <n v="14"/>
    <s v="公共盘生成提单号【如需拆单】"/>
    <x v="62"/>
    <x v="0"/>
    <x v="0"/>
    <m/>
    <m/>
    <n v="-130"/>
  </r>
  <r>
    <x v="4"/>
    <x v="32"/>
    <n v="15"/>
    <s v="YJC系统生成单子【如需拆单】"/>
    <x v="62"/>
    <x v="0"/>
    <x v="0"/>
    <m/>
    <m/>
    <n v="-130"/>
  </r>
  <r>
    <x v="4"/>
    <x v="32"/>
    <n v="16"/>
    <s v="发EDI【如需拆单】"/>
    <x v="62"/>
    <x v="0"/>
    <x v="0"/>
    <m/>
    <m/>
    <n v="-130"/>
  </r>
  <r>
    <x v="4"/>
    <x v="32"/>
    <n v="17"/>
    <s v="邮件申请放单【如需拆单】"/>
    <x v="62"/>
    <x v="0"/>
    <x v="0"/>
    <m/>
    <m/>
    <n v="-130"/>
  </r>
  <r>
    <x v="4"/>
    <x v="32"/>
    <n v="18"/>
    <s v="收到HMM(Neo) 放单确认【如需拆单】"/>
    <x v="62"/>
    <x v="0"/>
    <x v="0"/>
    <m/>
    <m/>
    <n v="-130"/>
  </r>
  <r>
    <x v="4"/>
    <x v="32"/>
    <n v="19"/>
    <s v="HMM网站核对订舱信息【如需拆单】"/>
    <x v="62"/>
    <x v="0"/>
    <x v="0"/>
    <m/>
    <m/>
    <n v="-130"/>
  </r>
  <r>
    <x v="4"/>
    <x v="32"/>
    <n v="20"/>
    <s v="收到客户(陈云娣)发来报关资料"/>
    <x v="37"/>
    <x v="0"/>
    <x v="0"/>
    <m/>
    <s v="一般做箱当天一早"/>
    <n v="-129"/>
  </r>
  <r>
    <x v="4"/>
    <x v="32"/>
    <n v="21"/>
    <s v="按报关(发票)数生成提单号【如发票数超过提单数】"/>
    <x v="37"/>
    <x v="0"/>
    <x v="0"/>
    <m/>
    <m/>
    <n v="-129"/>
  </r>
  <r>
    <x v="4"/>
    <x v="32"/>
    <n v="22"/>
    <s v="做做箱数据，QQ发车队(沈丽)"/>
    <x v="37"/>
    <x v="0"/>
    <x v="0"/>
    <m/>
    <m/>
    <n v="-129"/>
  </r>
  <r>
    <x v="4"/>
    <x v="32"/>
    <n v="23"/>
    <s v="收到车队(沈丽)装箱单，转发客户（陈云娣）"/>
    <x v="37"/>
    <x v="0"/>
    <x v="0"/>
    <m/>
    <s v="一般马上"/>
    <n v="-129"/>
  </r>
  <r>
    <x v="4"/>
    <x v="32"/>
    <n v="24"/>
    <s v="YJC系统截单，发EDI，邮件HMM(He)【截单时间】"/>
    <x v="37"/>
    <x v="0"/>
    <x v="0"/>
    <m/>
    <s v="注意截单时间"/>
    <n v="-129"/>
  </r>
  <r>
    <x v="4"/>
    <x v="32"/>
    <n v="25"/>
    <s v="发VGM和舱单（亿通，鹏海两次）"/>
    <x v="37"/>
    <x v="0"/>
    <x v="0"/>
    <m/>
    <m/>
    <n v="-129"/>
  </r>
  <r>
    <x v="4"/>
    <x v="32"/>
    <n v="26"/>
    <s v="做报关资料，扫描发报关行(黄寅文)QQ，要校对稿"/>
    <x v="37"/>
    <x v="0"/>
    <x v="0"/>
    <m/>
    <m/>
    <n v="-129"/>
  </r>
  <r>
    <x v="4"/>
    <x v="32"/>
    <n v="27"/>
    <s v="做保函给邹师傅"/>
    <x v="37"/>
    <x v="0"/>
    <x v="0"/>
    <m/>
    <m/>
    <n v="-129"/>
  </r>
  <r>
    <x v="4"/>
    <x v="32"/>
    <n v="28"/>
    <s v="做ISF，发国外资料"/>
    <x v="70"/>
    <x v="0"/>
    <x v="0"/>
    <m/>
    <m/>
    <n v="-128"/>
  </r>
  <r>
    <x v="4"/>
    <x v="32"/>
    <n v="29"/>
    <s v="买保险"/>
    <x v="70"/>
    <x v="0"/>
    <x v="0"/>
    <m/>
    <m/>
    <n v="-128"/>
  </r>
  <r>
    <x v="4"/>
    <x v="32"/>
    <n v="31"/>
    <s v="收到HMM(He)生成提单通知"/>
    <x v="37"/>
    <x v="0"/>
    <x v="0"/>
    <m/>
    <s v="一般马上"/>
    <n v="-129"/>
  </r>
  <r>
    <x v="4"/>
    <x v="32"/>
    <n v="32"/>
    <s v="HMM网站核对提单信息"/>
    <x v="37"/>
    <x v="0"/>
    <x v="0"/>
    <m/>
    <m/>
    <n v="-129"/>
  </r>
  <r>
    <x v="4"/>
    <x v="32"/>
    <n v="33"/>
    <s v="盯海关网站舱单"/>
    <x v="37"/>
    <x v="0"/>
    <x v="0"/>
    <m/>
    <s v="一般两小时左右"/>
    <n v="-129"/>
  </r>
  <r>
    <x v="4"/>
    <x v="32"/>
    <n v="34"/>
    <s v="核对舱单信息"/>
    <x v="37"/>
    <x v="0"/>
    <x v="0"/>
    <m/>
    <m/>
    <n v="-129"/>
  </r>
  <r>
    <x v="4"/>
    <x v="32"/>
    <n v="35"/>
    <s v="收到报关行(黄寅文)校对稿，邮件发客户(陈云娣)确认"/>
    <x v="37"/>
    <x v="0"/>
    <x v="0"/>
    <m/>
    <s v="一般半天内"/>
    <n v="-129"/>
  </r>
  <r>
    <x v="4"/>
    <x v="32"/>
    <n v="36"/>
    <s v="收到客户(陈云娣)确认校对稿"/>
    <x v="37"/>
    <x v="0"/>
    <x v="0"/>
    <m/>
    <s v="一般马上"/>
    <n v="-129"/>
  </r>
  <r>
    <x v="4"/>
    <x v="32"/>
    <n v="37"/>
    <s v="通知报关行(黄寅文)报关(开港、舱单、校对)（洋山提供装箱单）"/>
    <x v="37"/>
    <x v="0"/>
    <x v="0"/>
    <m/>
    <m/>
    <n v="-129"/>
  </r>
  <r>
    <x v="4"/>
    <x v="32"/>
    <n v="38"/>
    <s v="收到报关成功通知"/>
    <x v="37"/>
    <x v="0"/>
    <x v="0"/>
    <m/>
    <s v="一般下班前"/>
    <n v="-129"/>
  </r>
  <r>
    <x v="4"/>
    <x v="32"/>
    <n v="39"/>
    <s v="通知车队(沈丽)可进港"/>
    <x v="37"/>
    <x v="0"/>
    <x v="0"/>
    <m/>
    <m/>
    <n v="-129"/>
  </r>
  <r>
    <x v="4"/>
    <x v="32"/>
    <n v="40"/>
    <s v="盯箱子进港，关注开港时间，有落箱费？"/>
    <x v="70"/>
    <x v="0"/>
    <x v="0"/>
    <m/>
    <m/>
    <n v="-128"/>
  </r>
  <r>
    <x v="4"/>
    <x v="32"/>
    <n v="41"/>
    <s v="核对进港数据"/>
    <x v="70"/>
    <x v="0"/>
    <x v="0"/>
    <m/>
    <m/>
    <n v="-128"/>
  </r>
  <r>
    <x v="4"/>
    <x v="32"/>
    <n v="42"/>
    <s v="盯海放"/>
    <x v="70"/>
    <x v="0"/>
    <x v="0"/>
    <m/>
    <m/>
    <n v="-128"/>
  </r>
  <r>
    <x v="4"/>
    <x v="32"/>
    <n v="43"/>
    <s v="盯码放"/>
    <x v="38"/>
    <x v="0"/>
    <x v="0"/>
    <m/>
    <m/>
    <n v="-127"/>
  </r>
  <r>
    <x v="4"/>
    <x v="32"/>
    <n v="44"/>
    <s v="盯配载"/>
    <x v="63"/>
    <x v="0"/>
    <x v="0"/>
    <m/>
    <m/>
    <n v="-125"/>
  </r>
  <r>
    <x v="4"/>
    <x v="32"/>
    <n v="45"/>
    <s v="做费用(月初等汇率)，发账单给石磊"/>
    <x v="38"/>
    <x v="0"/>
    <x v="0"/>
    <m/>
    <m/>
    <n v="-127"/>
  </r>
  <r>
    <x v="4"/>
    <x v="32"/>
    <n v="46"/>
    <s v="船开"/>
    <x v="63"/>
    <x v="0"/>
    <x v="0"/>
    <m/>
    <m/>
    <n v="-125"/>
  </r>
  <r>
    <x v="4"/>
    <x v="32"/>
    <n v="47"/>
    <s v="放提单、预录单、放行单（PHISON、石磊提单、陈云娣三单）"/>
    <x v="72"/>
    <x v="0"/>
    <x v="0"/>
    <m/>
    <s v="一般开船后两三天"/>
    <n v="-123"/>
  </r>
  <r>
    <x v="4"/>
    <x v="32"/>
    <n v="48"/>
    <s v="发未结关情况说明给报关行徐倩"/>
    <x v="76"/>
    <x v="0"/>
    <x v="0"/>
    <m/>
    <m/>
    <n v="-49"/>
  </r>
  <r>
    <x v="4"/>
    <x v="32"/>
    <n v="49"/>
    <s v="废舱单处理"/>
    <x v="77"/>
    <x v="0"/>
    <x v="0"/>
    <s v="徐倩"/>
    <m/>
    <n v="-40"/>
  </r>
  <r>
    <x v="9"/>
    <x v="33"/>
    <n v="1"/>
    <s v="收到订舱邮件"/>
    <x v="46"/>
    <x v="0"/>
    <x v="0"/>
    <m/>
    <m/>
    <n v="-147"/>
  </r>
  <r>
    <x v="9"/>
    <x v="33"/>
    <n v="2"/>
    <s v="MSK网站订舱"/>
    <x v="46"/>
    <x v="0"/>
    <x v="0"/>
    <m/>
    <m/>
    <n v="-147"/>
  </r>
  <r>
    <x v="9"/>
    <x v="33"/>
    <n v="3"/>
    <s v="MSK网站有了截单时间"/>
    <x v="51"/>
    <x v="0"/>
    <x v="0"/>
    <m/>
    <s v="此时间之前要有"/>
    <n v="-144"/>
  </r>
  <r>
    <x v="9"/>
    <x v="33"/>
    <n v="4"/>
    <s v="发做箱通知邮件给车队(沈丽)，参考968603508"/>
    <x v="62"/>
    <x v="0"/>
    <x v="0"/>
    <m/>
    <m/>
    <n v="-130"/>
  </r>
  <r>
    <x v="9"/>
    <x v="33"/>
    <n v="5"/>
    <s v="申请外港提箱？"/>
    <x v="62"/>
    <x v="0"/>
    <x v="0"/>
    <m/>
    <s v="无此需求"/>
    <n v="-130"/>
  </r>
  <r>
    <x v="9"/>
    <x v="33"/>
    <n v="7"/>
    <s v="代发AMS申请邮件，参考968603508"/>
    <x v="71"/>
    <x v="1"/>
    <x v="0"/>
    <m/>
    <s v="？"/>
    <n v="-126"/>
  </r>
  <r>
    <x v="9"/>
    <x v="33"/>
    <n v="8"/>
    <s v="发提单确认给国外，参考968603508"/>
    <x v="71"/>
    <x v="1"/>
    <x v="0"/>
    <m/>
    <s v="？"/>
    <n v="-126"/>
  </r>
  <r>
    <x v="9"/>
    <x v="33"/>
    <n v="9"/>
    <s v="确认HBL为首尔预付，参考968603508"/>
    <x v="71"/>
    <x v="1"/>
    <x v="0"/>
    <m/>
    <s v="？"/>
    <n v="-126"/>
  </r>
  <r>
    <x v="9"/>
    <x v="33"/>
    <n v="10"/>
    <s v="销账？，参考968603508"/>
    <x v="71"/>
    <x v="1"/>
    <x v="0"/>
    <m/>
    <s v="？"/>
    <n v="-126"/>
  </r>
  <r>
    <x v="9"/>
    <x v="33"/>
    <n v="11"/>
    <s v="发更正了船名航次的HBL给国外"/>
    <x v="60"/>
    <x v="0"/>
    <x v="0"/>
    <m/>
    <m/>
    <n v="-121"/>
  </r>
  <r>
    <x v="9"/>
    <x v="33"/>
    <n v="12"/>
    <s v="收RECEIPT，发提单，参考968603508"/>
    <x v="73"/>
    <x v="1"/>
    <x v="0"/>
    <m/>
    <s v="？"/>
    <n v="-120"/>
  </r>
  <r>
    <x v="9"/>
    <x v="33"/>
    <n v="13"/>
    <s v="跟踪船公司网站，如船名航次有更正，发国外"/>
    <x v="73"/>
    <x v="0"/>
    <x v="0"/>
    <m/>
    <m/>
    <n v="-120"/>
  </r>
  <r>
    <x v="9"/>
    <x v="33"/>
    <n v="14"/>
    <s v="收到MSK邮件，列出釜山到Savannah二程船名航次"/>
    <x v="57"/>
    <x v="0"/>
    <x v="0"/>
    <m/>
    <m/>
    <n v="-119"/>
  </r>
  <r>
    <x v="9"/>
    <x v="33"/>
    <n v="15"/>
    <s v="后面要做什么？"/>
    <x v="56"/>
    <x v="1"/>
    <x v="0"/>
    <m/>
    <m/>
    <n v="-116"/>
  </r>
  <r>
    <x v="9"/>
    <x v="33"/>
    <n v="16"/>
    <s v="甩箱，跟踪后序节奏"/>
    <x v="56"/>
    <x v="1"/>
    <x v="0"/>
    <m/>
    <m/>
    <n v="-116"/>
  </r>
  <r>
    <x v="9"/>
    <x v="33"/>
    <n v="17"/>
    <s v="码放"/>
    <x v="78"/>
    <x v="0"/>
    <x v="0"/>
    <m/>
    <s v="甩至ETD0715"/>
    <n v="-118"/>
  </r>
  <r>
    <x v="9"/>
    <x v="33"/>
    <n v="18"/>
    <s v="配载"/>
    <x v="56"/>
    <x v="0"/>
    <x v="4"/>
    <m/>
    <s v="甩至ETD0715"/>
    <n v="-116"/>
  </r>
  <r>
    <x v="9"/>
    <x v="33"/>
    <n v="19"/>
    <s v="船开"/>
    <x v="79"/>
    <x v="0"/>
    <x v="5"/>
    <m/>
    <s v="甩至ETD0715"/>
    <n v="-115"/>
  </r>
  <r>
    <x v="9"/>
    <x v="33"/>
    <n v="20"/>
    <s v="收到EUROLINE付款水单"/>
    <x v="80"/>
    <x v="0"/>
    <x v="0"/>
    <m/>
    <m/>
    <n v="-105"/>
  </r>
  <r>
    <x v="9"/>
    <x v="33"/>
    <n v="21"/>
    <s v="下载SWB，发国外"/>
    <x v="80"/>
    <x v="0"/>
    <x v="0"/>
    <m/>
    <m/>
    <n v="-105"/>
  </r>
  <r>
    <x v="9"/>
    <x v="33"/>
    <n v="22"/>
    <s v="整理流程"/>
    <x v="66"/>
    <x v="0"/>
    <x v="1"/>
    <m/>
    <m/>
    <n v="-101"/>
  </r>
  <r>
    <x v="7"/>
    <x v="33"/>
    <n v="1"/>
    <s v="收到徐小姐托书"/>
    <x v="38"/>
    <x v="0"/>
    <x v="0"/>
    <m/>
    <m/>
    <n v="-127"/>
  </r>
  <r>
    <x v="7"/>
    <x v="33"/>
    <n v="2"/>
    <s v="公共盘表格生成单号，YJC系统复制、生成单子"/>
    <x v="38"/>
    <x v="0"/>
    <x v="0"/>
    <m/>
    <m/>
    <n v="-127"/>
  </r>
  <r>
    <x v="7"/>
    <x v="33"/>
    <n v="3"/>
    <s v="振华网站订舱（7.3改约号）、保存、提交，等待审核"/>
    <x v="38"/>
    <x v="0"/>
    <x v="0"/>
    <m/>
    <m/>
    <n v="-127"/>
  </r>
  <r>
    <x v="7"/>
    <x v="33"/>
    <n v="4"/>
    <s v="QQ发预配给徐小姐，邮件发确认给国外"/>
    <x v="38"/>
    <x v="0"/>
    <x v="0"/>
    <m/>
    <m/>
    <n v="-127"/>
  </r>
  <r>
    <x v="7"/>
    <x v="33"/>
    <n v="5"/>
    <s v="收到国外确认，公共盘表格红改黑"/>
    <x v="38"/>
    <x v="0"/>
    <x v="0"/>
    <m/>
    <m/>
    <n v="-127"/>
  </r>
  <r>
    <x v="7"/>
    <x v="33"/>
    <n v="6"/>
    <s v="收到车队江发来VGM表格"/>
    <x v="71"/>
    <x v="0"/>
    <x v="0"/>
    <m/>
    <s v="周三周一截，周日周五截"/>
    <n v="-126"/>
  </r>
  <r>
    <x v="7"/>
    <x v="33"/>
    <n v="7"/>
    <s v="YJC 截单，徐小姐确认，振华截单、截VGM"/>
    <x v="71"/>
    <x v="0"/>
    <x v="0"/>
    <m/>
    <m/>
    <n v="-126"/>
  </r>
  <r>
    <x v="7"/>
    <x v="33"/>
    <n v="8"/>
    <s v="邮件发提单确认和费用确认给国外"/>
    <x v="71"/>
    <x v="0"/>
    <x v="0"/>
    <m/>
    <m/>
    <n v="-126"/>
  </r>
  <r>
    <x v="7"/>
    <x v="33"/>
    <n v="9"/>
    <s v="船开"/>
    <x v="72"/>
    <x v="0"/>
    <x v="0"/>
    <m/>
    <m/>
    <n v="-123"/>
  </r>
  <r>
    <x v="7"/>
    <x v="33"/>
    <n v="10"/>
    <s v="拿到WAYBILL，扫描，和HBL一起发国外"/>
    <x v="72"/>
    <x v="0"/>
    <x v="0"/>
    <m/>
    <m/>
    <n v="-123"/>
  </r>
  <r>
    <x v="8"/>
    <x v="34"/>
    <n v="1"/>
    <s v="收到托书"/>
    <x v="33"/>
    <x v="0"/>
    <x v="0"/>
    <m/>
    <m/>
    <n v="-136"/>
  </r>
  <r>
    <x v="8"/>
    <x v="34"/>
    <n v="2"/>
    <s v="订舱"/>
    <x v="33"/>
    <x v="0"/>
    <x v="0"/>
    <m/>
    <m/>
    <n v="-136"/>
  </r>
  <r>
    <x v="8"/>
    <x v="34"/>
    <n v="3"/>
    <s v="YJC系统录入"/>
    <x v="74"/>
    <x v="0"/>
    <x v="0"/>
    <m/>
    <m/>
    <n v="-131"/>
  </r>
  <r>
    <x v="8"/>
    <x v="34"/>
    <n v="4"/>
    <s v="研究KMTC如何截单，如何发舱单，如何发VGM。"/>
    <x v="38"/>
    <x v="1"/>
    <x v="0"/>
    <m/>
    <m/>
    <n v="-127"/>
  </r>
  <r>
    <x v="8"/>
    <x v="34"/>
    <n v="5"/>
    <s v="确认报关资料谁给什么时间给"/>
    <x v="38"/>
    <x v="1"/>
    <x v="0"/>
    <m/>
    <m/>
    <n v="-127"/>
  </r>
  <r>
    <x v="8"/>
    <x v="34"/>
    <n v="5.0999999999999996"/>
    <s v="确认开港时间，要不要推迟做箱"/>
    <x v="62"/>
    <x v="0"/>
    <x v="0"/>
    <m/>
    <m/>
    <n v="-130"/>
  </r>
  <r>
    <x v="8"/>
    <x v="34"/>
    <n v="6"/>
    <s v="收到报关资料，完善报关单，发报关行。"/>
    <x v="38"/>
    <x v="0"/>
    <x v="0"/>
    <m/>
    <m/>
    <n v="-127"/>
  </r>
  <r>
    <x v="8"/>
    <x v="34"/>
    <n v="7"/>
    <s v="收到车队(沈丽)装箱单和洋山提箱截图(如有)【7个】已收到装箱单"/>
    <x v="70"/>
    <x v="0"/>
    <x v="0"/>
    <m/>
    <m/>
    <n v="-128"/>
  </r>
  <r>
    <x v="8"/>
    <x v="34"/>
    <n v="7.1"/>
    <s v="7个进港、核对数据"/>
    <x v="70"/>
    <x v="0"/>
    <x v="0"/>
    <m/>
    <m/>
    <n v="-128"/>
  </r>
  <r>
    <x v="8"/>
    <x v="34"/>
    <n v="8"/>
    <s v="收到车队(沈丽)装箱单和洋山提箱截图(如有)【2个】"/>
    <x v="38"/>
    <x v="0"/>
    <x v="0"/>
    <m/>
    <m/>
    <n v="-127"/>
  </r>
  <r>
    <x v="8"/>
    <x v="34"/>
    <n v="9"/>
    <s v="发舱单，VGM，截单"/>
    <x v="38"/>
    <x v="0"/>
    <x v="0"/>
    <m/>
    <m/>
    <n v="-127"/>
  </r>
  <r>
    <x v="8"/>
    <x v="34"/>
    <n v="10"/>
    <s v="核对舱单信息"/>
    <x v="38"/>
    <x v="0"/>
    <x v="0"/>
    <m/>
    <m/>
    <n v="-127"/>
  </r>
  <r>
    <x v="8"/>
    <x v="34"/>
    <n v="11"/>
    <s v="2个进港(核对数据)"/>
    <x v="38"/>
    <x v="0"/>
    <x v="0"/>
    <m/>
    <m/>
    <n v="-127"/>
  </r>
  <r>
    <x v="8"/>
    <x v="34"/>
    <n v="12"/>
    <s v="通知报关（洋山发装箱单）"/>
    <x v="38"/>
    <x v="0"/>
    <x v="0"/>
    <m/>
    <m/>
    <n v="-127"/>
  </r>
  <r>
    <x v="8"/>
    <x v="34"/>
    <n v="13"/>
    <s v="报关成功"/>
    <x v="38"/>
    <x v="0"/>
    <x v="0"/>
    <m/>
    <m/>
    <n v="-127"/>
  </r>
  <r>
    <x v="8"/>
    <x v="34"/>
    <n v="14"/>
    <s v="海放"/>
    <x v="38"/>
    <x v="0"/>
    <x v="0"/>
    <m/>
    <m/>
    <n v="-127"/>
  </r>
  <r>
    <x v="8"/>
    <x v="34"/>
    <n v="15"/>
    <s v="码放"/>
    <x v="71"/>
    <x v="0"/>
    <x v="0"/>
    <m/>
    <m/>
    <n v="-126"/>
  </r>
  <r>
    <x v="8"/>
    <x v="34"/>
    <n v="16"/>
    <s v="配载"/>
    <x v="63"/>
    <x v="0"/>
    <x v="0"/>
    <m/>
    <m/>
    <n v="-125"/>
  </r>
  <r>
    <x v="8"/>
    <x v="34"/>
    <n v="17"/>
    <s v="客户确认收费明细"/>
    <x v="81"/>
    <x v="1"/>
    <x v="0"/>
    <m/>
    <s v="下班前问一下"/>
    <n v="-112"/>
  </r>
  <r>
    <x v="8"/>
    <x v="34"/>
    <n v="18"/>
    <s v="做费用(对账单日期4号)，放公共盘，填月账单表，发孙丹"/>
    <x v="82"/>
    <x v="0"/>
    <x v="0"/>
    <m/>
    <m/>
    <n v="-106"/>
  </r>
  <r>
    <x v="8"/>
    <x v="34"/>
    <n v="19"/>
    <s v="船开"/>
    <x v="75"/>
    <x v="0"/>
    <x v="0"/>
    <m/>
    <m/>
    <n v="-124"/>
  </r>
  <r>
    <x v="8"/>
    <x v="34"/>
    <n v="20"/>
    <s v="待网站有WAYBILL，放单给客户"/>
    <x v="60"/>
    <x v="0"/>
    <x v="0"/>
    <m/>
    <m/>
    <n v="-121"/>
  </r>
  <r>
    <x v="8"/>
    <x v="34"/>
    <n v="21"/>
    <s v="改体积，上海收费300，目的港待确认，还要改么？"/>
    <x v="60"/>
    <x v="1"/>
    <x v="0"/>
    <m/>
    <s v="发xiayan@ekmtc.com"/>
    <n v="-121"/>
  </r>
  <r>
    <x v="8"/>
    <x v="34"/>
    <n v="22"/>
    <s v="海运费发票寄甘雯 3719140545067"/>
    <x v="66"/>
    <x v="0"/>
    <x v="0"/>
    <m/>
    <m/>
    <n v="-101"/>
  </r>
  <r>
    <x v="8"/>
    <x v="34"/>
    <n v="23"/>
    <s v="Vivi收到发票3719140545067"/>
    <x v="69"/>
    <x v="0"/>
    <x v="0"/>
    <m/>
    <m/>
    <n v="-100"/>
  </r>
  <r>
    <x v="3"/>
    <x v="34"/>
    <n v="1"/>
    <s v="Viviv 发来的做箱通知，重新发完整的给沈丽"/>
    <x v="72"/>
    <x v="0"/>
    <x v="0"/>
    <m/>
    <m/>
    <n v="-123"/>
  </r>
  <r>
    <x v="3"/>
    <x v="34"/>
    <n v="2"/>
    <s v="PANCON上周日船期提单领取单"/>
    <x v="72"/>
    <x v="0"/>
    <x v="0"/>
    <m/>
    <s v="周一"/>
    <n v="-123"/>
  </r>
  <r>
    <x v="3"/>
    <x v="34"/>
    <n v="3"/>
    <s v="收到 Neo 下周订舱预报邮件"/>
    <x v="71"/>
    <x v="0"/>
    <x v="0"/>
    <m/>
    <s v="周一"/>
    <n v="-126"/>
  </r>
  <r>
    <x v="3"/>
    <x v="34"/>
    <n v="4"/>
    <s v="汇总SC JS下周订舱需求，回Neo邮件，制作每票清单流水"/>
    <x v="63"/>
    <x v="0"/>
    <x v="0"/>
    <m/>
    <s v="周一"/>
    <n v="-125"/>
  </r>
  <r>
    <x v="3"/>
    <x v="34"/>
    <n v="5"/>
    <s v="收到Abbi确认"/>
    <x v="83"/>
    <x v="0"/>
    <x v="0"/>
    <m/>
    <s v="周一"/>
    <n v="-122"/>
  </r>
  <r>
    <x v="3"/>
    <x v="34"/>
    <n v="6"/>
    <s v="万恒翁小姐本周休假"/>
    <x v="57"/>
    <x v="0"/>
    <x v="0"/>
    <m/>
    <s v="改明天"/>
    <n v="-119"/>
  </r>
  <r>
    <x v="3"/>
    <x v="34"/>
    <n v="7"/>
    <s v="拿到PANCON WAYBILL，朱琳的给朱琳"/>
    <x v="72"/>
    <x v="0"/>
    <x v="0"/>
    <m/>
    <s v="周一"/>
    <n v="-123"/>
  </r>
  <r>
    <x v="3"/>
    <x v="34"/>
    <n v="8"/>
    <s v="PANCON周三出运清单（约号更新）"/>
    <x v="72"/>
    <x v="0"/>
    <x v="0"/>
    <m/>
    <s v="周一"/>
    <n v="-123"/>
  </r>
  <r>
    <x v="3"/>
    <x v="34"/>
    <n v="9"/>
    <s v="WORKING PROCESS"/>
    <x v="72"/>
    <x v="0"/>
    <x v="0"/>
    <m/>
    <s v="周一"/>
    <n v="-123"/>
  </r>
  <r>
    <x v="3"/>
    <x v="34"/>
    <n v="10"/>
    <s v="WORKING PROCESS"/>
    <x v="60"/>
    <x v="0"/>
    <x v="0"/>
    <m/>
    <s v="周三"/>
    <n v="-121"/>
  </r>
  <r>
    <x v="3"/>
    <x v="34"/>
    <n v="11"/>
    <s v="PANCON周三船期提单领取单"/>
    <x v="73"/>
    <x v="0"/>
    <x v="0"/>
    <m/>
    <s v="周四"/>
    <n v="-120"/>
  </r>
  <r>
    <x v="3"/>
    <x v="34"/>
    <n v="12"/>
    <s v="拿到PANCON WAYBILL，朱琳的给朱琳"/>
    <x v="73"/>
    <x v="0"/>
    <x v="0"/>
    <m/>
    <s v="周四"/>
    <n v="-120"/>
  </r>
  <r>
    <x v="3"/>
    <x v="34"/>
    <n v="13"/>
    <s v="问JS mobis、SC glovis下下周订舱需求"/>
    <x v="56"/>
    <x v="0"/>
    <x v="1"/>
    <m/>
    <s v="周五"/>
    <n v="-116"/>
  </r>
  <r>
    <x v="3"/>
    <x v="34"/>
    <n v="14"/>
    <s v="WORKING PROCESS"/>
    <x v="57"/>
    <x v="0"/>
    <x v="0"/>
    <m/>
    <s v="周五"/>
    <n v="-119"/>
  </r>
  <r>
    <x v="3"/>
    <x v="34"/>
    <n v="15"/>
    <s v="PANCON周日出运清单（约号更新）"/>
    <x v="57"/>
    <x v="0"/>
    <x v="0"/>
    <m/>
    <s v="周五"/>
    <n v="-119"/>
  </r>
  <r>
    <x v="3"/>
    <x v="34"/>
    <n v="16"/>
    <s v="制下周 WEEK 流水"/>
    <x v="57"/>
    <x v="0"/>
    <x v="0"/>
    <m/>
    <s v="周五"/>
    <n v="-119"/>
  </r>
  <r>
    <x v="3"/>
    <x v="34"/>
    <n v="17"/>
    <s v="ROADSUN新订舱"/>
    <x v="73"/>
    <x v="0"/>
    <x v="0"/>
    <m/>
    <m/>
    <n v="-120"/>
  </r>
  <r>
    <x v="3"/>
    <x v="34"/>
    <n v="19"/>
    <s v="越南新订单"/>
    <x v="73"/>
    <x v="0"/>
    <x v="0"/>
    <m/>
    <m/>
    <n v="-120"/>
  </r>
  <r>
    <x v="3"/>
    <x v="34"/>
    <n v="20"/>
    <s v="确认四川近达月结情况"/>
    <x v="73"/>
    <x v="1"/>
    <x v="0"/>
    <m/>
    <m/>
    <n v="-120"/>
  </r>
  <r>
    <x v="3"/>
    <x v="34"/>
    <n v="21"/>
    <s v="研究导出来的YJC账单文件"/>
    <x v="57"/>
    <x v="0"/>
    <x v="0"/>
    <m/>
    <m/>
    <n v="-119"/>
  </r>
  <r>
    <x v="3"/>
    <x v="34"/>
    <n v="22"/>
    <s v="厄瓜多尔整理"/>
    <x v="73"/>
    <x v="1"/>
    <x v="0"/>
    <m/>
    <m/>
    <n v="-120"/>
  </r>
  <r>
    <x v="3"/>
    <x v="34"/>
    <n v="23"/>
    <s v="6月车队账单核对"/>
    <x v="73"/>
    <x v="0"/>
    <x v="0"/>
    <m/>
    <m/>
    <n v="-120"/>
  </r>
  <r>
    <x v="3"/>
    <x v="34"/>
    <n v="24"/>
    <s v="ROADSUN订舱修改"/>
    <x v="73"/>
    <x v="0"/>
    <x v="0"/>
    <m/>
    <m/>
    <n v="-120"/>
  </r>
  <r>
    <x v="3"/>
    <x v="34"/>
    <n v="25"/>
    <s v="青岛世佳6月费用核对"/>
    <x v="79"/>
    <x v="0"/>
    <x v="1"/>
    <m/>
    <m/>
    <n v="-115"/>
  </r>
  <r>
    <x v="3"/>
    <x v="34"/>
    <n v="26"/>
    <s v="整理邮件中关于马来西亚、越南、厄瓜多尔的内容，落实到流水和表格"/>
    <x v="57"/>
    <x v="0"/>
    <x v="0"/>
    <m/>
    <m/>
    <n v="-119"/>
  </r>
  <r>
    <x v="3"/>
    <x v="34"/>
    <n v="27"/>
    <s v="整理QQ中关于马来西亚、越南、厄瓜多尔的内容，落实到流水和表格"/>
    <x v="84"/>
    <x v="0"/>
    <x v="0"/>
    <m/>
    <m/>
    <n v="-117"/>
  </r>
  <r>
    <x v="3"/>
    <x v="34"/>
    <n v="28"/>
    <s v="车队6月账单APP"/>
    <x v="57"/>
    <x v="0"/>
    <x v="0"/>
    <m/>
    <m/>
    <n v="-119"/>
  </r>
  <r>
    <x v="3"/>
    <x v="34"/>
    <n v="29"/>
    <s v="车队6月账单APP完成"/>
    <x v="57"/>
    <x v="0"/>
    <x v="0"/>
    <m/>
    <m/>
    <n v="-119"/>
  </r>
  <r>
    <x v="3"/>
    <x v="34"/>
    <n v="30"/>
    <s v="车队6月账单APP，系统里确认后，邮件汤爱华"/>
    <x v="57"/>
    <x v="0"/>
    <x v="0"/>
    <m/>
    <m/>
    <n v="-119"/>
  </r>
  <r>
    <x v="3"/>
    <x v="34"/>
    <n v="31"/>
    <s v="HANSSEM加拼流程加入单票流程"/>
    <x v="84"/>
    <x v="0"/>
    <x v="0"/>
    <m/>
    <m/>
    <n v="-117"/>
  </r>
  <r>
    <x v="3"/>
    <x v="34"/>
    <n v="32"/>
    <s v="现代三票少录放单费10元"/>
    <x v="57"/>
    <x v="1"/>
    <x v="0"/>
    <m/>
    <m/>
    <n v="-119"/>
  </r>
  <r>
    <x v="3"/>
    <x v="34"/>
    <n v="33"/>
    <s v="EUROLINE 8/20新订单"/>
    <x v="78"/>
    <x v="0"/>
    <x v="0"/>
    <m/>
    <m/>
    <n v="-118"/>
  </r>
  <r>
    <x v="3"/>
    <x v="34"/>
    <n v="34"/>
    <s v="ROADSUN 四票信息再改回来，发邮件"/>
    <x v="78"/>
    <x v="0"/>
    <x v="0"/>
    <m/>
    <m/>
    <n v="-118"/>
  </r>
  <r>
    <x v="3"/>
    <x v="34"/>
    <n v="35"/>
    <s v="ROADSUN 收到MSK四票改好通知，确认好后发邮件给Wanda"/>
    <x v="56"/>
    <x v="0"/>
    <x v="6"/>
    <m/>
    <m/>
    <n v="-116"/>
  </r>
  <r>
    <x v="8"/>
    <x v="35"/>
    <n v="1"/>
    <s v="收到CK Nikki发来做箱通知"/>
    <x v="35"/>
    <x v="0"/>
    <x v="0"/>
    <m/>
    <m/>
    <n v="-133"/>
  </r>
  <r>
    <x v="8"/>
    <x v="35"/>
    <n v="2"/>
    <s v="YJC系统生成"/>
    <x v="74"/>
    <x v="0"/>
    <x v="0"/>
    <m/>
    <m/>
    <n v="-131"/>
  </r>
  <r>
    <x v="8"/>
    <x v="35"/>
    <n v="3"/>
    <s v="跟王钰确认货好时间，关注开港时间，确定做箱时间，必要时延船期。"/>
    <x v="38"/>
    <x v="0"/>
    <x v="0"/>
    <m/>
    <m/>
    <n v="-127"/>
  </r>
  <r>
    <x v="8"/>
    <x v="35"/>
    <n v="4"/>
    <s v="收到报关资料，完善报关单，发报关行。"/>
    <x v="71"/>
    <x v="0"/>
    <x v="0"/>
    <m/>
    <m/>
    <n v="-126"/>
  </r>
  <r>
    <x v="8"/>
    <x v="35"/>
    <n v="5"/>
    <s v="收到车队(沈丽)装箱单和洋山提箱截图(如有)，9点前群发，通知发舱单"/>
    <x v="71"/>
    <x v="0"/>
    <x v="0"/>
    <m/>
    <s v="一般KMM五、HMI日"/>
    <n v="-126"/>
  </r>
  <r>
    <x v="8"/>
    <x v="35"/>
    <n v="6"/>
    <s v="收到舱单发送成功通知，核对舱单信息"/>
    <x v="71"/>
    <x v="0"/>
    <x v="0"/>
    <m/>
    <m/>
    <n v="-126"/>
  </r>
  <r>
    <x v="8"/>
    <x v="35"/>
    <n v="7"/>
    <s v="通知进港"/>
    <x v="38"/>
    <x v="0"/>
    <x v="0"/>
    <m/>
    <s v="调整顺序"/>
    <n v="-127"/>
  </r>
  <r>
    <x v="8"/>
    <x v="35"/>
    <n v="8"/>
    <s v="进港(核对数据)"/>
    <x v="63"/>
    <x v="0"/>
    <x v="0"/>
    <m/>
    <s v="调整顺序"/>
    <n v="-125"/>
  </r>
  <r>
    <x v="8"/>
    <x v="35"/>
    <n v="9"/>
    <s v="通知报关（洋山发装箱单）"/>
    <x v="63"/>
    <x v="0"/>
    <x v="0"/>
    <m/>
    <s v="调整顺序"/>
    <n v="-125"/>
  </r>
  <r>
    <x v="8"/>
    <x v="35"/>
    <n v="10"/>
    <s v="报关成功"/>
    <x v="63"/>
    <x v="0"/>
    <x v="0"/>
    <m/>
    <s v="调整顺序"/>
    <n v="-125"/>
  </r>
  <r>
    <x v="8"/>
    <x v="35"/>
    <n v="11"/>
    <s v="海放"/>
    <x v="63"/>
    <x v="0"/>
    <x v="0"/>
    <m/>
    <m/>
    <n v="-125"/>
  </r>
  <r>
    <x v="8"/>
    <x v="35"/>
    <n v="12"/>
    <s v="码放"/>
    <x v="63"/>
    <x v="0"/>
    <x v="0"/>
    <m/>
    <m/>
    <n v="-125"/>
  </r>
  <r>
    <x v="8"/>
    <x v="35"/>
    <n v="13"/>
    <s v="配载"/>
    <x v="83"/>
    <x v="0"/>
    <x v="0"/>
    <m/>
    <m/>
    <n v="-122"/>
  </r>
  <r>
    <x v="8"/>
    <x v="35"/>
    <n v="14"/>
    <s v="客户确认收费明细"/>
    <x v="81"/>
    <x v="1"/>
    <x v="0"/>
    <m/>
    <m/>
    <n v="-112"/>
  </r>
  <r>
    <x v="8"/>
    <x v="35"/>
    <n v="15"/>
    <s v="做费用(对账单日期4号)，放公共盘，填月账单表，发孙丹"/>
    <x v="82"/>
    <x v="0"/>
    <x v="0"/>
    <m/>
    <m/>
    <n v="-106"/>
  </r>
  <r>
    <x v="8"/>
    <x v="35"/>
    <n v="16"/>
    <s v="船开"/>
    <x v="60"/>
    <x v="0"/>
    <x v="0"/>
    <m/>
    <m/>
    <n v="-121"/>
  </r>
  <r>
    <x v="8"/>
    <x v="35"/>
    <n v="17"/>
    <s v="车队待时费客户不认，通知沈丽找领导解决"/>
    <x v="82"/>
    <x v="0"/>
    <x v="0"/>
    <m/>
    <m/>
    <n v="-106"/>
  </r>
  <r>
    <x v="7"/>
    <x v="36"/>
    <n v="1"/>
    <s v="两票拼箱后续"/>
    <x v="60"/>
    <x v="0"/>
    <x v="0"/>
    <m/>
    <m/>
    <n v="-121"/>
  </r>
  <r>
    <x v="7"/>
    <x v="36"/>
    <n v="2"/>
    <s v="两票拼箱一票费用做好了，参照做另一票费用"/>
    <x v="63"/>
    <x v="0"/>
    <x v="0"/>
    <m/>
    <m/>
    <n v="-125"/>
  </r>
  <r>
    <x v="7"/>
    <x v="36"/>
    <n v="3"/>
    <s v="HANSSEM拼箱付款买单"/>
    <x v="72"/>
    <x v="0"/>
    <x v="0"/>
    <m/>
    <m/>
    <n v="-123"/>
  </r>
  <r>
    <x v="7"/>
    <x v="36"/>
    <n v="4"/>
    <s v="也会收到提单确认，还是发给朱琳确认了？"/>
    <x v="72"/>
    <x v="0"/>
    <x v="0"/>
    <m/>
    <m/>
    <n v="-123"/>
  </r>
  <r>
    <x v="7"/>
    <x v="36"/>
    <n v="5"/>
    <s v="客户来催提单了，跟环发催一下"/>
    <x v="60"/>
    <x v="0"/>
    <x v="0"/>
    <m/>
    <m/>
    <n v="-121"/>
  </r>
  <r>
    <x v="7"/>
    <x v="36"/>
    <n v="11"/>
    <s v="做账单给徐小姐确认（不足一方按一方算）"/>
    <x v="60"/>
    <x v="0"/>
    <x v="0"/>
    <m/>
    <m/>
    <n v="-121"/>
  </r>
  <r>
    <x v="7"/>
    <x v="36"/>
    <n v="12"/>
    <s v="收到船公司发来提单确认件"/>
    <x v="60"/>
    <x v="0"/>
    <x v="0"/>
    <m/>
    <m/>
    <n v="-121"/>
  </r>
  <r>
    <x v="7"/>
    <x v="36"/>
    <n v="13"/>
    <s v="确认件毛体要不要修改，回复环发"/>
    <x v="60"/>
    <x v="0"/>
    <x v="0"/>
    <m/>
    <m/>
    <n v="-121"/>
  </r>
  <r>
    <x v="7"/>
    <x v="36"/>
    <n v="14"/>
    <s v="船开"/>
    <x v="60"/>
    <x v="0"/>
    <x v="0"/>
    <m/>
    <m/>
    <n v="-121"/>
  </r>
  <r>
    <x v="7"/>
    <x v="36"/>
    <n v="15"/>
    <s v="收到徐小姐确认账单"/>
    <x v="60"/>
    <x v="0"/>
    <x v="0"/>
    <m/>
    <m/>
    <n v="-121"/>
  </r>
  <r>
    <x v="7"/>
    <x v="36"/>
    <n v="16"/>
    <s v="应收APP"/>
    <x v="60"/>
    <x v="0"/>
    <x v="0"/>
    <m/>
    <m/>
    <n v="-121"/>
  </r>
  <r>
    <x v="7"/>
    <x v="36"/>
    <n v="17"/>
    <s v="申请开票（能不能开电子发票？万盛开纸质票）"/>
    <x v="60"/>
    <x v="0"/>
    <x v="0"/>
    <m/>
    <m/>
    <n v="-121"/>
  </r>
  <r>
    <x v="7"/>
    <x v="36"/>
    <n v="18"/>
    <s v="收到发票，扫描发徐小姐确认"/>
    <x v="60"/>
    <x v="0"/>
    <x v="0"/>
    <m/>
    <m/>
    <n v="-121"/>
  </r>
  <r>
    <x v="7"/>
    <x v="36"/>
    <n v="19"/>
    <s v="寄徐小姐（申通3716479787908）"/>
    <x v="60"/>
    <x v="0"/>
    <x v="0"/>
    <m/>
    <m/>
    <n v="-121"/>
  </r>
  <r>
    <x v="7"/>
    <x v="36"/>
    <n v="20"/>
    <s v="发票签收（申通3716479787908），7月15日搬家，这之前必须寄到"/>
    <x v="73"/>
    <x v="0"/>
    <x v="0"/>
    <m/>
    <m/>
    <n v="-120"/>
  </r>
  <r>
    <x v="7"/>
    <x v="36"/>
    <n v="21"/>
    <s v="收到付款水单（两票拼箱）【一般收到发票一两个星期才付】"/>
    <x v="66"/>
    <x v="1"/>
    <x v="0"/>
    <m/>
    <m/>
    <n v="-101"/>
  </r>
  <r>
    <x v="7"/>
    <x v="36"/>
    <n v="22"/>
    <s v="放MBL 和 HBL给客户（两票)"/>
    <x v="73"/>
    <x v="0"/>
    <x v="0"/>
    <m/>
    <m/>
    <n v="-120"/>
  </r>
  <r>
    <x v="7"/>
    <x v="36"/>
    <n v="23"/>
    <s v="收到环发发来账单（两票）"/>
    <x v="73"/>
    <x v="0"/>
    <x v="0"/>
    <m/>
    <m/>
    <n v="-120"/>
  </r>
  <r>
    <x v="7"/>
    <x v="36"/>
    <n v="24"/>
    <s v="录入系统（两票）"/>
    <x v="73"/>
    <x v="0"/>
    <x v="0"/>
    <m/>
    <m/>
    <n v="-120"/>
  </r>
  <r>
    <x v="7"/>
    <x v="36"/>
    <n v="25"/>
    <s v="应付APP（两票）"/>
    <x v="73"/>
    <x v="1"/>
    <x v="0"/>
    <m/>
    <m/>
    <n v="-120"/>
  </r>
  <r>
    <x v="7"/>
    <x v="36"/>
    <n v="26"/>
    <s v="收到预录单，发徐小姐"/>
    <x v="64"/>
    <x v="0"/>
    <x v="1"/>
    <m/>
    <m/>
    <n v="-109"/>
  </r>
  <r>
    <x v="7"/>
    <x v="37"/>
    <n v="2"/>
    <s v="环发提单确认邮件回复？"/>
    <x v="72"/>
    <x v="0"/>
    <x v="0"/>
    <m/>
    <m/>
    <n v="-123"/>
  </r>
  <r>
    <x v="7"/>
    <x v="37"/>
    <n v="3"/>
    <s v="客户反应拼箱进仓收费偏贵，问有没有收费标准，能否开发票？已邮件王雯"/>
    <x v="83"/>
    <x v="0"/>
    <x v="0"/>
    <m/>
    <m/>
    <n v="-122"/>
  </r>
  <r>
    <x v="7"/>
    <x v="37"/>
    <n v="4"/>
    <s v="收到预录单，发徐小姐"/>
    <x v="64"/>
    <x v="0"/>
    <x v="1"/>
    <m/>
    <m/>
    <n v="-109"/>
  </r>
  <r>
    <x v="0"/>
    <x v="38"/>
    <n v="1"/>
    <s v="收到客户(孙丹/王珊)发来订舱托书"/>
    <x v="34"/>
    <x v="0"/>
    <x v="0"/>
    <m/>
    <m/>
    <n v="-134"/>
  </r>
  <r>
    <x v="0"/>
    <x v="38"/>
    <n v="2"/>
    <s v="收到CK发来预配(做箱通知，沈丽有收到？)"/>
    <x v="70"/>
    <x v="0"/>
    <x v="0"/>
    <m/>
    <m/>
    <n v="-128"/>
  </r>
  <r>
    <x v="0"/>
    <x v="38"/>
    <n v="3"/>
    <s v="YJC系统生成单子"/>
    <x v="70"/>
    <x v="0"/>
    <x v="0"/>
    <m/>
    <m/>
    <n v="-128"/>
  </r>
  <r>
    <x v="0"/>
    <x v="38"/>
    <n v="4"/>
    <s v="收到包装厂(刘倩梅)发来包装指示书和装箱计划"/>
    <x v="38"/>
    <x v="0"/>
    <x v="0"/>
    <m/>
    <s v="一般周四"/>
    <n v="-127"/>
  </r>
  <r>
    <x v="0"/>
    <x v="38"/>
    <n v="5"/>
    <s v="根据装箱计划汇总包装数据，发各工厂做报关资料"/>
    <x v="38"/>
    <x v="0"/>
    <x v="0"/>
    <m/>
    <m/>
    <n v="-127"/>
  </r>
  <r>
    <x v="0"/>
    <x v="38"/>
    <n v="5.0999999999999996"/>
    <s v="收到苏州万都和维宁尔报关资料，完善发报关行"/>
    <x v="63"/>
    <x v="0"/>
    <x v="0"/>
    <m/>
    <m/>
    <n v="-125"/>
  </r>
  <r>
    <x v="0"/>
    <x v="38"/>
    <n v="6"/>
    <s v="做做箱数据，邮件群发(查开港时间，注明做箱时间)"/>
    <x v="38"/>
    <x v="0"/>
    <x v="0"/>
    <m/>
    <m/>
    <n v="-127"/>
  </r>
  <r>
    <x v="0"/>
    <x v="38"/>
    <n v="6.1"/>
    <s v="查开港时间，看做箱时间是否需要调整"/>
    <x v="63"/>
    <x v="0"/>
    <x v="0"/>
    <m/>
    <m/>
    <n v="-125"/>
  </r>
  <r>
    <x v="0"/>
    <x v="38"/>
    <n v="7"/>
    <s v="通知进港"/>
    <x v="63"/>
    <x v="0"/>
    <x v="0"/>
    <m/>
    <s v="调整顺序"/>
    <n v="-125"/>
  </r>
  <r>
    <x v="0"/>
    <x v="38"/>
    <n v="8"/>
    <s v="进港(核对数据)"/>
    <x v="72"/>
    <x v="0"/>
    <x v="0"/>
    <m/>
    <s v="调整顺序"/>
    <n v="-123"/>
  </r>
  <r>
    <x v="0"/>
    <x v="38"/>
    <n v="9"/>
    <s v="指示书发杨凤阳，收到上海三立发来报关资料并完善"/>
    <x v="72"/>
    <x v="0"/>
    <x v="0"/>
    <m/>
    <s v="当天至隔天"/>
    <n v="-123"/>
  </r>
  <r>
    <x v="0"/>
    <x v="38"/>
    <n v="10"/>
    <s v="上海三立报关资料发报关行(黄寅文)"/>
    <x v="72"/>
    <x v="0"/>
    <x v="0"/>
    <m/>
    <m/>
    <n v="-123"/>
  </r>
  <r>
    <x v="0"/>
    <x v="38"/>
    <n v="11"/>
    <s v="货运模板/发票/箱单"/>
    <x v="72"/>
    <x v="0"/>
    <x v="0"/>
    <m/>
    <m/>
    <n v="-123"/>
  </r>
  <r>
    <x v="0"/>
    <x v="38"/>
    <n v="12"/>
    <s v="收到车队(沈丽)装箱单和洋山提箱截图(如有)，9点前群发，"/>
    <x v="75"/>
    <x v="0"/>
    <x v="0"/>
    <m/>
    <s v="一般KMM五、HMI日"/>
    <n v="-124"/>
  </r>
  <r>
    <x v="0"/>
    <x v="38"/>
    <n v="12.1"/>
    <s v="通知发舱单"/>
    <x v="72"/>
    <x v="0"/>
    <x v="0"/>
    <m/>
    <m/>
    <n v="-123"/>
  </r>
  <r>
    <x v="0"/>
    <x v="38"/>
    <n v="13"/>
    <s v="收到舱单发送成功通知，核对舱单信息"/>
    <x v="72"/>
    <x v="0"/>
    <x v="0"/>
    <m/>
    <m/>
    <n v="-123"/>
  </r>
  <r>
    <x v="0"/>
    <x v="38"/>
    <n v="14"/>
    <s v="通知报关（洋山发装箱单）"/>
    <x v="72"/>
    <x v="0"/>
    <x v="0"/>
    <m/>
    <s v="调整顺序"/>
    <n v="-123"/>
  </r>
  <r>
    <x v="0"/>
    <x v="38"/>
    <n v="15"/>
    <s v="报关成功"/>
    <x v="72"/>
    <x v="0"/>
    <x v="0"/>
    <m/>
    <s v="调整顺序"/>
    <n v="-123"/>
  </r>
  <r>
    <x v="0"/>
    <x v="38"/>
    <n v="16"/>
    <s v="海放"/>
    <x v="72"/>
    <x v="0"/>
    <x v="0"/>
    <m/>
    <m/>
    <n v="-123"/>
  </r>
  <r>
    <x v="0"/>
    <x v="38"/>
    <n v="17"/>
    <s v="码放"/>
    <x v="83"/>
    <x v="0"/>
    <x v="0"/>
    <m/>
    <m/>
    <n v="-122"/>
  </r>
  <r>
    <x v="0"/>
    <x v="38"/>
    <n v="18"/>
    <s v="配载"/>
    <x v="60"/>
    <x v="0"/>
    <x v="0"/>
    <m/>
    <m/>
    <n v="-121"/>
  </r>
  <r>
    <x v="0"/>
    <x v="38"/>
    <n v="19"/>
    <s v="做费用(对账单日期4号)，放公共盘，填月账单表，发孙丹"/>
    <x v="60"/>
    <x v="0"/>
    <x v="0"/>
    <m/>
    <m/>
    <n v="-121"/>
  </r>
  <r>
    <x v="0"/>
    <x v="38"/>
    <n v="20"/>
    <s v="船开"/>
    <x v="73"/>
    <x v="0"/>
    <x v="0"/>
    <m/>
    <m/>
    <n v="-120"/>
  </r>
  <r>
    <x v="4"/>
    <x v="38"/>
    <n v="1"/>
    <s v="收到客户(陈云娣)订舱预报"/>
    <x v="62"/>
    <x v="0"/>
    <x v="0"/>
    <m/>
    <s v="一般周五发隔周"/>
    <n v="-130"/>
  </r>
  <r>
    <x v="4"/>
    <x v="38"/>
    <n v="2"/>
    <s v="填WORKING PROCESS"/>
    <x v="37"/>
    <x v="0"/>
    <x v="0"/>
    <m/>
    <m/>
    <n v="-129"/>
  </r>
  <r>
    <x v="4"/>
    <x v="38"/>
    <n v="6"/>
    <s v="公共盘生成提单号"/>
    <x v="37"/>
    <x v="0"/>
    <x v="0"/>
    <m/>
    <m/>
    <n v="-129"/>
  </r>
  <r>
    <x v="4"/>
    <x v="38"/>
    <n v="7"/>
    <s v="YJC系统生成单子"/>
    <x v="37"/>
    <x v="0"/>
    <x v="0"/>
    <m/>
    <m/>
    <n v="-129"/>
  </r>
  <r>
    <x v="4"/>
    <x v="38"/>
    <n v="8"/>
    <s v="发EDI"/>
    <x v="37"/>
    <x v="0"/>
    <x v="0"/>
    <m/>
    <m/>
    <n v="-129"/>
  </r>
  <r>
    <x v="4"/>
    <x v="38"/>
    <n v="9"/>
    <s v="邮件申请放单"/>
    <x v="37"/>
    <x v="0"/>
    <x v="0"/>
    <m/>
    <m/>
    <n v="-129"/>
  </r>
  <r>
    <x v="4"/>
    <x v="38"/>
    <n v="10"/>
    <s v="收到HMM(Neo) 预订舱确认"/>
    <x v="38"/>
    <x v="0"/>
    <x v="0"/>
    <m/>
    <s v="一般半天内"/>
    <n v="-127"/>
  </r>
  <r>
    <x v="4"/>
    <x v="38"/>
    <n v="11"/>
    <s v="HMM网站核对预订舱信息"/>
    <x v="38"/>
    <x v="0"/>
    <x v="0"/>
    <m/>
    <m/>
    <n v="-127"/>
  </r>
  <r>
    <x v="4"/>
    <x v="38"/>
    <n v="12"/>
    <s v="收到客户(陈云娣)做箱通知"/>
    <x v="70"/>
    <x v="0"/>
    <x v="0"/>
    <m/>
    <s v="一般做箱头天一早"/>
    <n v="-128"/>
  </r>
  <r>
    <x v="4"/>
    <x v="38"/>
    <n v="13"/>
    <s v="公共盘生成提单号【如需拆单】"/>
    <x v="70"/>
    <x v="0"/>
    <x v="0"/>
    <m/>
    <m/>
    <n v="-128"/>
  </r>
  <r>
    <x v="4"/>
    <x v="38"/>
    <n v="14"/>
    <s v="发做箱通知邮件给车队(沈丽)"/>
    <x v="70"/>
    <x v="0"/>
    <x v="0"/>
    <m/>
    <m/>
    <n v="-128"/>
  </r>
  <r>
    <x v="4"/>
    <x v="38"/>
    <n v="15"/>
    <s v="YJC系统生成单子【如需拆单】"/>
    <x v="70"/>
    <x v="0"/>
    <x v="0"/>
    <m/>
    <m/>
    <n v="-128"/>
  </r>
  <r>
    <x v="4"/>
    <x v="38"/>
    <n v="16"/>
    <s v="发EDI【如需拆单】"/>
    <x v="70"/>
    <x v="0"/>
    <x v="0"/>
    <m/>
    <m/>
    <n v="-128"/>
  </r>
  <r>
    <x v="4"/>
    <x v="38"/>
    <n v="17"/>
    <s v="邮件申请放单【如需拆单】"/>
    <x v="70"/>
    <x v="0"/>
    <x v="0"/>
    <m/>
    <m/>
    <n v="-128"/>
  </r>
  <r>
    <x v="4"/>
    <x v="38"/>
    <n v="18"/>
    <s v="收到HMM(Neo) 加拼放单确认【如需拆单】"/>
    <x v="38"/>
    <x v="0"/>
    <x v="0"/>
    <m/>
    <m/>
    <n v="-127"/>
  </r>
  <r>
    <x v="4"/>
    <x v="38"/>
    <n v="19"/>
    <s v="HMM网站核对订舱信息【如需拆单】"/>
    <x v="38"/>
    <x v="0"/>
    <x v="0"/>
    <m/>
    <m/>
    <n v="-127"/>
  </r>
  <r>
    <x v="4"/>
    <x v="38"/>
    <n v="20"/>
    <s v="收到客户(陈云娣)发来报关资料"/>
    <x v="71"/>
    <x v="0"/>
    <x v="0"/>
    <m/>
    <s v="一般做箱当天一早"/>
    <n v="-126"/>
  </r>
  <r>
    <x v="4"/>
    <x v="38"/>
    <n v="21"/>
    <s v="按报关(发票)数生成提单号【如发票数超过提单数】"/>
    <x v="71"/>
    <x v="0"/>
    <x v="0"/>
    <m/>
    <m/>
    <n v="-126"/>
  </r>
  <r>
    <x v="4"/>
    <x v="38"/>
    <n v="22"/>
    <s v="做做箱数据，QQ发车队(沈丽)"/>
    <x v="71"/>
    <x v="0"/>
    <x v="0"/>
    <m/>
    <m/>
    <n v="-126"/>
  </r>
  <r>
    <x v="4"/>
    <x v="38"/>
    <n v="23"/>
    <s v="收到车队(沈丽)装箱单，转发客户（陈云娣）"/>
    <x v="71"/>
    <x v="0"/>
    <x v="0"/>
    <m/>
    <s v="一般马上"/>
    <n v="-126"/>
  </r>
  <r>
    <x v="4"/>
    <x v="38"/>
    <n v="24"/>
    <s v="YJC系统截单，发EDI，邮件HMM(He)【截单时间】"/>
    <x v="71"/>
    <x v="0"/>
    <x v="0"/>
    <m/>
    <s v="注意截单时间"/>
    <n v="-126"/>
  </r>
  <r>
    <x v="4"/>
    <x v="38"/>
    <n v="25"/>
    <s v="发VGM和舱单（亿通，鹏海两次）"/>
    <x v="71"/>
    <x v="0"/>
    <x v="0"/>
    <m/>
    <m/>
    <n v="-126"/>
  </r>
  <r>
    <x v="4"/>
    <x v="38"/>
    <n v="26"/>
    <s v="做报关资料，扫描发报关行(黄寅文)QQ，要校对稿"/>
    <x v="71"/>
    <x v="0"/>
    <x v="0"/>
    <m/>
    <m/>
    <n v="-126"/>
  </r>
  <r>
    <x v="4"/>
    <x v="38"/>
    <n v="27"/>
    <s v="做保函给邹师傅"/>
    <x v="71"/>
    <x v="0"/>
    <x v="0"/>
    <m/>
    <m/>
    <n v="-126"/>
  </r>
  <r>
    <x v="4"/>
    <x v="38"/>
    <n v="28"/>
    <s v="做ISF，发国外资料"/>
    <x v="63"/>
    <x v="0"/>
    <x v="0"/>
    <m/>
    <m/>
    <n v="-125"/>
  </r>
  <r>
    <x v="4"/>
    <x v="38"/>
    <n v="29"/>
    <s v="买保险"/>
    <x v="63"/>
    <x v="0"/>
    <x v="0"/>
    <m/>
    <m/>
    <n v="-125"/>
  </r>
  <r>
    <x v="4"/>
    <x v="38"/>
    <n v="31"/>
    <s v="收到HMM(He)生成提单通知"/>
    <x v="71"/>
    <x v="0"/>
    <x v="0"/>
    <m/>
    <s v="一般马上"/>
    <n v="-126"/>
  </r>
  <r>
    <x v="4"/>
    <x v="38"/>
    <n v="32"/>
    <s v="HMM网站核对提单信息"/>
    <x v="71"/>
    <x v="0"/>
    <x v="0"/>
    <m/>
    <m/>
    <n v="-126"/>
  </r>
  <r>
    <x v="4"/>
    <x v="38"/>
    <n v="33"/>
    <s v="盯海关网站舱单"/>
    <x v="63"/>
    <x v="0"/>
    <x v="0"/>
    <m/>
    <s v="一般两小时左右"/>
    <n v="-125"/>
  </r>
  <r>
    <x v="4"/>
    <x v="38"/>
    <n v="34"/>
    <s v="核对舱单信息"/>
    <x v="63"/>
    <x v="0"/>
    <x v="0"/>
    <m/>
    <m/>
    <n v="-125"/>
  </r>
  <r>
    <x v="4"/>
    <x v="38"/>
    <n v="35"/>
    <s v="收到报关行(黄寅文)校对稿，邮件发客户(陈云娣)确认"/>
    <x v="71"/>
    <x v="0"/>
    <x v="0"/>
    <m/>
    <s v="一般半天内"/>
    <n v="-126"/>
  </r>
  <r>
    <x v="4"/>
    <x v="38"/>
    <n v="36"/>
    <s v="收到客户(陈云娣)确认校对稿"/>
    <x v="72"/>
    <x v="0"/>
    <x v="0"/>
    <m/>
    <s v="一般马上"/>
    <n v="-123"/>
  </r>
  <r>
    <x v="4"/>
    <x v="38"/>
    <n v="37"/>
    <s v="通知车队(沈丽)可进港"/>
    <x v="63"/>
    <x v="0"/>
    <x v="0"/>
    <m/>
    <m/>
    <n v="-125"/>
  </r>
  <r>
    <x v="4"/>
    <x v="38"/>
    <n v="38"/>
    <s v="盯箱子进港，关注开港时间，有落箱费？"/>
    <x v="72"/>
    <x v="0"/>
    <x v="0"/>
    <m/>
    <m/>
    <n v="-123"/>
  </r>
  <r>
    <x v="4"/>
    <x v="38"/>
    <n v="39"/>
    <s v="核对进港数据"/>
    <x v="63"/>
    <x v="0"/>
    <x v="0"/>
    <m/>
    <m/>
    <n v="-125"/>
  </r>
  <r>
    <x v="4"/>
    <x v="38"/>
    <n v="40"/>
    <s v="通知报关行(黄寅文)报关(开港、舱单、校对)（洋山提供装箱单）"/>
    <x v="75"/>
    <x v="0"/>
    <x v="0"/>
    <m/>
    <m/>
    <n v="-124"/>
  </r>
  <r>
    <x v="4"/>
    <x v="38"/>
    <n v="41"/>
    <s v="收到报关成功通知"/>
    <x v="75"/>
    <x v="0"/>
    <x v="0"/>
    <m/>
    <s v="一般下班前"/>
    <n v="-124"/>
  </r>
  <r>
    <x v="4"/>
    <x v="38"/>
    <n v="42"/>
    <s v="盯海放"/>
    <x v="75"/>
    <x v="0"/>
    <x v="0"/>
    <m/>
    <m/>
    <n v="-124"/>
  </r>
  <r>
    <x v="4"/>
    <x v="38"/>
    <n v="43"/>
    <s v="盯码放"/>
    <x v="60"/>
    <x v="0"/>
    <x v="0"/>
    <m/>
    <m/>
    <n v="-121"/>
  </r>
  <r>
    <x v="4"/>
    <x v="38"/>
    <n v="44"/>
    <s v="盯配载"/>
    <x v="60"/>
    <x v="0"/>
    <x v="0"/>
    <m/>
    <m/>
    <n v="-121"/>
  </r>
  <r>
    <x v="4"/>
    <x v="38"/>
    <n v="45"/>
    <s v="做费用(月初等汇率)，发账单给石磊"/>
    <x v="60"/>
    <x v="0"/>
    <x v="0"/>
    <m/>
    <m/>
    <n v="-121"/>
  </r>
  <r>
    <x v="4"/>
    <x v="38"/>
    <n v="46"/>
    <s v="船开"/>
    <x v="73"/>
    <x v="0"/>
    <x v="0"/>
    <m/>
    <m/>
    <n v="-120"/>
  </r>
  <r>
    <x v="4"/>
    <x v="38"/>
    <n v="47"/>
    <s v="放提单、预录单、放行单（PHISON、石磊提单、陈云娣三单）"/>
    <x v="57"/>
    <x v="0"/>
    <x v="0"/>
    <m/>
    <s v="一般开船后两三天"/>
    <n v="-119"/>
  </r>
  <r>
    <x v="1"/>
    <x v="38"/>
    <n v="1"/>
    <s v="收到客户(孙丹/王珊)发来订舱托书"/>
    <x v="53"/>
    <x v="0"/>
    <x v="0"/>
    <m/>
    <m/>
    <n v="-135"/>
  </r>
  <r>
    <x v="1"/>
    <x v="38"/>
    <n v="2"/>
    <s v="收到CK发来预配(做箱通知，沈丽有收到？)"/>
    <x v="53"/>
    <x v="0"/>
    <x v="0"/>
    <m/>
    <m/>
    <n v="-135"/>
  </r>
  <r>
    <x v="1"/>
    <x v="38"/>
    <n v="3"/>
    <s v="YJC系统生成单子"/>
    <x v="34"/>
    <x v="0"/>
    <x v="0"/>
    <m/>
    <m/>
    <n v="-134"/>
  </r>
  <r>
    <x v="1"/>
    <x v="38"/>
    <n v="4"/>
    <s v="收到包装厂(刘倩梅)发来包装指示书和装箱计划"/>
    <x v="38"/>
    <x v="0"/>
    <x v="0"/>
    <m/>
    <s v="一般周四"/>
    <n v="-127"/>
  </r>
  <r>
    <x v="1"/>
    <x v="38"/>
    <n v="5"/>
    <s v="根据装箱计划汇总包装数据，发各工厂做报关资料"/>
    <x v="38"/>
    <x v="0"/>
    <x v="0"/>
    <m/>
    <m/>
    <n v="-127"/>
  </r>
  <r>
    <x v="1"/>
    <x v="38"/>
    <n v="6"/>
    <s v="做做箱数据，邮件群发(查开港时间，注明做箱时间)"/>
    <x v="38"/>
    <x v="0"/>
    <x v="0"/>
    <m/>
    <m/>
    <n v="-127"/>
  </r>
  <r>
    <x v="1"/>
    <x v="38"/>
    <n v="7"/>
    <s v="收到工厂发来报关资料并完善(代做报关资料跟客户确认)"/>
    <x v="38"/>
    <x v="0"/>
    <x v="0"/>
    <m/>
    <s v="当天至隔天"/>
    <n v="-127"/>
  </r>
  <r>
    <x v="1"/>
    <x v="38"/>
    <n v="8"/>
    <s v="报关资料齐了（光成要素划掉XXX），发报关行(黄寅文)"/>
    <x v="38"/>
    <x v="0"/>
    <x v="0"/>
    <m/>
    <m/>
    <n v="-127"/>
  </r>
  <r>
    <x v="1"/>
    <x v="38"/>
    <n v="9"/>
    <s v="货运模板/发票/箱单"/>
    <x v="72"/>
    <x v="0"/>
    <x v="0"/>
    <m/>
    <m/>
    <n v="-123"/>
  </r>
  <r>
    <x v="1"/>
    <x v="38"/>
    <n v="10"/>
    <s v="收到车队(沈丽)装箱单和洋山提箱截图(如有)，9点前群发，通知发舱单"/>
    <x v="71"/>
    <x v="0"/>
    <x v="0"/>
    <m/>
    <s v="一般KMM五、HMI日"/>
    <n v="-126"/>
  </r>
  <r>
    <x v="1"/>
    <x v="38"/>
    <n v="11"/>
    <s v="收到舱单发送成功通知，核对舱单信息"/>
    <x v="71"/>
    <x v="0"/>
    <x v="0"/>
    <m/>
    <m/>
    <n v="-126"/>
  </r>
  <r>
    <x v="1"/>
    <x v="38"/>
    <n v="12"/>
    <s v="通知报关（洋山发装箱单）"/>
    <x v="71"/>
    <x v="0"/>
    <x v="0"/>
    <m/>
    <s v="调整顺序"/>
    <n v="-126"/>
  </r>
  <r>
    <x v="1"/>
    <x v="38"/>
    <n v="13"/>
    <s v="报关成功"/>
    <x v="71"/>
    <x v="0"/>
    <x v="0"/>
    <m/>
    <s v="调整顺序"/>
    <n v="-126"/>
  </r>
  <r>
    <x v="1"/>
    <x v="38"/>
    <n v="14"/>
    <s v="通知进港"/>
    <x v="71"/>
    <x v="0"/>
    <x v="0"/>
    <m/>
    <s v="调整顺序"/>
    <n v="-126"/>
  </r>
  <r>
    <x v="1"/>
    <x v="38"/>
    <n v="15"/>
    <s v="进港(核对数据)"/>
    <x v="63"/>
    <x v="0"/>
    <x v="0"/>
    <m/>
    <s v="调整顺序"/>
    <n v="-125"/>
  </r>
  <r>
    <x v="1"/>
    <x v="38"/>
    <n v="16"/>
    <s v="海放"/>
    <x v="63"/>
    <x v="0"/>
    <x v="0"/>
    <m/>
    <m/>
    <n v="-125"/>
  </r>
  <r>
    <x v="1"/>
    <x v="38"/>
    <n v="17"/>
    <s v="码放"/>
    <x v="72"/>
    <x v="0"/>
    <x v="0"/>
    <m/>
    <m/>
    <n v="-123"/>
  </r>
  <r>
    <x v="1"/>
    <x v="38"/>
    <n v="18"/>
    <s v="配载"/>
    <x v="83"/>
    <x v="0"/>
    <x v="0"/>
    <m/>
    <m/>
    <n v="-122"/>
  </r>
  <r>
    <x v="1"/>
    <x v="38"/>
    <n v="19"/>
    <s v="做费用(对账单日期4号)，放公共盘，填月账单表，发孙丹"/>
    <x v="60"/>
    <x v="0"/>
    <x v="0"/>
    <m/>
    <m/>
    <n v="-121"/>
  </r>
  <r>
    <x v="1"/>
    <x v="38"/>
    <n v="20"/>
    <s v="船开"/>
    <x v="73"/>
    <x v="0"/>
    <x v="0"/>
    <m/>
    <m/>
    <n v="-120"/>
  </r>
  <r>
    <x v="7"/>
    <x v="38"/>
    <n v="1"/>
    <s v="收到徐小姐托书"/>
    <x v="38"/>
    <x v="0"/>
    <x v="0"/>
    <m/>
    <m/>
    <n v="-127"/>
  </r>
  <r>
    <x v="7"/>
    <x v="38"/>
    <n v="2"/>
    <s v="公共盘表格生成单号，YJC系统复制、生成单子"/>
    <x v="38"/>
    <x v="0"/>
    <x v="0"/>
    <m/>
    <m/>
    <n v="-127"/>
  </r>
  <r>
    <x v="7"/>
    <x v="38"/>
    <n v="3"/>
    <s v="振华网站订舱（7.3改约号）、保存、提交，等待审核"/>
    <x v="38"/>
    <x v="0"/>
    <x v="0"/>
    <m/>
    <m/>
    <n v="-127"/>
  </r>
  <r>
    <x v="7"/>
    <x v="38"/>
    <n v="3.1"/>
    <s v="更改订舱箱量，网站确认，国外确认"/>
    <x v="38"/>
    <x v="0"/>
    <x v="0"/>
    <m/>
    <m/>
    <n v="-127"/>
  </r>
  <r>
    <x v="7"/>
    <x v="38"/>
    <n v="4"/>
    <s v="QQ发预配给徐小姐，邮件发确认给国外"/>
    <x v="38"/>
    <x v="0"/>
    <x v="0"/>
    <m/>
    <m/>
    <n v="-127"/>
  </r>
  <r>
    <x v="7"/>
    <x v="38"/>
    <n v="5"/>
    <s v="收到国外确认，公共盘表格红改黑"/>
    <x v="38"/>
    <x v="0"/>
    <x v="0"/>
    <m/>
    <m/>
    <n v="-127"/>
  </r>
  <r>
    <x v="7"/>
    <x v="38"/>
    <n v="6"/>
    <s v="收到车队江发来VGM表格"/>
    <x v="72"/>
    <x v="0"/>
    <x v="0"/>
    <m/>
    <s v="周三周一截，周日周五截"/>
    <n v="-123"/>
  </r>
  <r>
    <x v="7"/>
    <x v="38"/>
    <n v="7"/>
    <s v="YJC 截单，徐小姐确认，振华截单、截VGM"/>
    <x v="72"/>
    <x v="0"/>
    <x v="0"/>
    <m/>
    <m/>
    <n v="-123"/>
  </r>
  <r>
    <x v="7"/>
    <x v="38"/>
    <n v="8"/>
    <s v="邮件发提单确认和费用确认给国外"/>
    <x v="72"/>
    <x v="0"/>
    <x v="0"/>
    <m/>
    <m/>
    <n v="-123"/>
  </r>
  <r>
    <x v="7"/>
    <x v="38"/>
    <n v="9"/>
    <s v="船开"/>
    <x v="60"/>
    <x v="0"/>
    <x v="0"/>
    <m/>
    <m/>
    <n v="-121"/>
  </r>
  <r>
    <x v="7"/>
    <x v="38"/>
    <n v="10"/>
    <s v="拿到WAYBILL，扫描，和HBL一起发国外"/>
    <x v="73"/>
    <x v="0"/>
    <x v="0"/>
    <m/>
    <m/>
    <n v="-120"/>
  </r>
  <r>
    <x v="6"/>
    <x v="38"/>
    <n v="1"/>
    <s v="收到胡媛媛发来订舱邮件"/>
    <x v="34"/>
    <x v="0"/>
    <x v="0"/>
    <m/>
    <m/>
    <n v="-134"/>
  </r>
  <r>
    <x v="6"/>
    <x v="38"/>
    <n v="2"/>
    <s v="发订舱托书给万恒（翁小姐）"/>
    <x v="34"/>
    <x v="0"/>
    <x v="0"/>
    <m/>
    <m/>
    <n v="-134"/>
  </r>
  <r>
    <x v="6"/>
    <x v="38"/>
    <n v="3"/>
    <s v="收到万恒（翁小姐）预配"/>
    <x v="35"/>
    <x v="0"/>
    <x v="0"/>
    <m/>
    <s v="一般三小时左右"/>
    <n v="-133"/>
  </r>
  <r>
    <x v="6"/>
    <x v="38"/>
    <n v="4"/>
    <s v="通知胡媛媛订舱成功"/>
    <x v="34"/>
    <x v="0"/>
    <x v="0"/>
    <m/>
    <m/>
    <n v="-134"/>
  </r>
  <r>
    <x v="6"/>
    <x v="38"/>
    <n v="5"/>
    <s v="发做箱通知邮件给车队(沈丽)"/>
    <x v="35"/>
    <x v="0"/>
    <x v="0"/>
    <m/>
    <m/>
    <n v="-133"/>
  </r>
  <r>
    <x v="6"/>
    <x v="38"/>
    <n v="5.0999999999999996"/>
    <s v="跟客户确认最迟明天发报关资料、做箱？"/>
    <x v="62"/>
    <x v="0"/>
    <x v="0"/>
    <m/>
    <m/>
    <n v="-130"/>
  </r>
  <r>
    <x v="6"/>
    <x v="38"/>
    <n v="6"/>
    <s v="收到胡媛媛发来报关资料"/>
    <x v="62"/>
    <x v="0"/>
    <x v="0"/>
    <m/>
    <s v="船开前一周？"/>
    <n v="-130"/>
  </r>
  <r>
    <x v="6"/>
    <x v="38"/>
    <n v="7"/>
    <s v="完善报关资料发报关行（黄寅文），要校对稿，做箱数据给沈丽，更新系统件毛体"/>
    <x v="37"/>
    <x v="0"/>
    <x v="0"/>
    <m/>
    <m/>
    <n v="-129"/>
  </r>
  <r>
    <x v="6"/>
    <x v="38"/>
    <n v="8"/>
    <s v="买保险"/>
    <x v="37"/>
    <x v="0"/>
    <x v="0"/>
    <m/>
    <m/>
    <n v="-129"/>
  </r>
  <r>
    <x v="6"/>
    <x v="38"/>
    <n v="8"/>
    <s v="做异地付款保函，发胡媛媛确认盖章回传"/>
    <x v="37"/>
    <x v="0"/>
    <x v="0"/>
    <m/>
    <m/>
    <n v="-129"/>
  </r>
  <r>
    <x v="6"/>
    <x v="38"/>
    <n v="9"/>
    <s v="收到客户（胡媛媛）发来保函扫描件"/>
    <x v="70"/>
    <x v="0"/>
    <x v="0"/>
    <m/>
    <s v="一般马上"/>
    <n v="-128"/>
  </r>
  <r>
    <x v="6"/>
    <x v="38"/>
    <n v="10"/>
    <s v="收到黄寅文校对稿，发客户（胡媛媛）确认"/>
    <x v="37"/>
    <x v="0"/>
    <x v="0"/>
    <m/>
    <s v="一般半天内"/>
    <n v="-129"/>
  </r>
  <r>
    <x v="6"/>
    <x v="38"/>
    <n v="11"/>
    <s v="收到客户（胡媛媛）确认校对稿OK"/>
    <x v="37"/>
    <x v="0"/>
    <x v="0"/>
    <m/>
    <s v="一般马上"/>
    <n v="-129"/>
  </r>
  <r>
    <x v="6"/>
    <x v="38"/>
    <n v="12"/>
    <s v="关注开港时间，跟车队(沈丽)确认做箱时间，如有变动通知胡媛媛"/>
    <x v="70"/>
    <x v="0"/>
    <x v="0"/>
    <m/>
    <s v="截单前一天"/>
    <n v="-128"/>
  </r>
  <r>
    <x v="6"/>
    <x v="38"/>
    <n v="13"/>
    <s v="收到沈丽发来装箱单"/>
    <x v="71"/>
    <x v="0"/>
    <x v="0"/>
    <m/>
    <s v="截单当天"/>
    <n v="-126"/>
  </r>
  <r>
    <x v="6"/>
    <x v="38"/>
    <n v="14"/>
    <s v="完善截单资料发万恒（翁小姐），请求发舱单"/>
    <x v="71"/>
    <x v="0"/>
    <x v="0"/>
    <m/>
    <m/>
    <n v="-126"/>
  </r>
  <r>
    <x v="6"/>
    <x v="38"/>
    <n v="15"/>
    <s v="收到舱单发送通知，核对舱单，装箱单发报关行报关"/>
    <x v="71"/>
    <x v="0"/>
    <x v="0"/>
    <m/>
    <m/>
    <n v="-126"/>
  </r>
  <r>
    <x v="6"/>
    <x v="38"/>
    <n v="16"/>
    <s v="请求万恒（翁小姐）发提单样本"/>
    <x v="71"/>
    <x v="0"/>
    <x v="0"/>
    <m/>
    <m/>
    <n v="-126"/>
  </r>
  <r>
    <x v="6"/>
    <x v="38"/>
    <n v="17"/>
    <s v="收到万恒（翁小姐）发来提单样本，发胡媛媛确认"/>
    <x v="71"/>
    <x v="0"/>
    <x v="0"/>
    <m/>
    <m/>
    <n v="-126"/>
  </r>
  <r>
    <x v="6"/>
    <x v="38"/>
    <n v="18"/>
    <s v="收到胡媛媛提单确认"/>
    <x v="71"/>
    <x v="0"/>
    <x v="0"/>
    <m/>
    <m/>
    <n v="-126"/>
  </r>
  <r>
    <x v="6"/>
    <x v="38"/>
    <n v="19"/>
    <s v="收到报关成功通知，通知车队可进港 "/>
    <x v="71"/>
    <x v="0"/>
    <x v="0"/>
    <m/>
    <m/>
    <n v="-126"/>
  </r>
  <r>
    <x v="6"/>
    <x v="38"/>
    <n v="20"/>
    <s v="进港，核对数据"/>
    <x v="63"/>
    <x v="0"/>
    <x v="0"/>
    <m/>
    <m/>
    <n v="-125"/>
  </r>
  <r>
    <x v="6"/>
    <x v="38"/>
    <n v="21"/>
    <s v="海放"/>
    <x v="63"/>
    <x v="0"/>
    <x v="0"/>
    <m/>
    <m/>
    <n v="-125"/>
  </r>
  <r>
    <x v="6"/>
    <x v="38"/>
    <n v="22"/>
    <s v="码放"/>
    <x v="72"/>
    <x v="0"/>
    <x v="0"/>
    <m/>
    <m/>
    <n v="-123"/>
  </r>
  <r>
    <x v="6"/>
    <x v="38"/>
    <n v="23"/>
    <s v="配载"/>
    <x v="83"/>
    <x v="0"/>
    <x v="0"/>
    <m/>
    <m/>
    <n v="-122"/>
  </r>
  <r>
    <x v="6"/>
    <x v="38"/>
    <n v="24"/>
    <s v="开船"/>
    <x v="73"/>
    <x v="0"/>
    <x v="0"/>
    <m/>
    <m/>
    <n v="-120"/>
  </r>
  <r>
    <x v="6"/>
    <x v="38"/>
    <n v="25"/>
    <s v="问陆惠要账单和提单（提单已给）"/>
    <x v="56"/>
    <x v="0"/>
    <x v="3"/>
    <m/>
    <m/>
    <n v="-116"/>
  </r>
  <r>
    <x v="6"/>
    <x v="38"/>
    <n v="26"/>
    <s v="收到万恒（陆惠）账单，回复确认，做费用(别再忘了)，发账单给石磊"/>
    <x v="56"/>
    <x v="0"/>
    <x v="2"/>
    <m/>
    <m/>
    <n v="-116"/>
  </r>
  <r>
    <x v="6"/>
    <x v="38"/>
    <n v="27"/>
    <s v="收到万恒（陆惠）提单，放提单和预录单给胡媛媛"/>
    <x v="57"/>
    <x v="0"/>
    <x v="0"/>
    <m/>
    <m/>
    <n v="-119"/>
  </r>
  <r>
    <x v="4"/>
    <x v="39"/>
    <n v="1"/>
    <s v="收到客户(陈云娣)订舱预报"/>
    <x v="62"/>
    <x v="0"/>
    <x v="0"/>
    <m/>
    <s v="一般周五发隔周"/>
    <n v="-130"/>
  </r>
  <r>
    <x v="4"/>
    <x v="39"/>
    <n v="2"/>
    <s v="填WORKING PROCESS"/>
    <x v="70"/>
    <x v="0"/>
    <x v="0"/>
    <m/>
    <m/>
    <n v="-128"/>
  </r>
  <r>
    <x v="4"/>
    <x v="39"/>
    <n v="6"/>
    <s v="公共盘生成提单号"/>
    <x v="37"/>
    <x v="0"/>
    <x v="0"/>
    <m/>
    <m/>
    <n v="-129"/>
  </r>
  <r>
    <x v="4"/>
    <x v="39"/>
    <n v="7"/>
    <s v="YJC系统生成单子"/>
    <x v="37"/>
    <x v="0"/>
    <x v="0"/>
    <m/>
    <m/>
    <n v="-129"/>
  </r>
  <r>
    <x v="4"/>
    <x v="39"/>
    <n v="8"/>
    <s v="发EDI"/>
    <x v="37"/>
    <x v="0"/>
    <x v="0"/>
    <m/>
    <m/>
    <n v="-129"/>
  </r>
  <r>
    <x v="4"/>
    <x v="39"/>
    <n v="9"/>
    <s v="邮件申请放单"/>
    <x v="37"/>
    <x v="0"/>
    <x v="0"/>
    <m/>
    <m/>
    <n v="-129"/>
  </r>
  <r>
    <x v="4"/>
    <x v="39"/>
    <n v="10"/>
    <s v="收到HMM(Neo) 放单确认"/>
    <x v="70"/>
    <x v="0"/>
    <x v="0"/>
    <m/>
    <s v="一般半天内"/>
    <n v="-128"/>
  </r>
  <r>
    <x v="4"/>
    <x v="39"/>
    <n v="11"/>
    <s v="HMM网站核对订舱信息"/>
    <x v="70"/>
    <x v="0"/>
    <x v="0"/>
    <m/>
    <m/>
    <n v="-128"/>
  </r>
  <r>
    <x v="4"/>
    <x v="39"/>
    <n v="12"/>
    <s v="收到客户(陈云娣)做箱通知"/>
    <x v="72"/>
    <x v="0"/>
    <x v="0"/>
    <m/>
    <s v="一般做箱头天一早"/>
    <n v="-123"/>
  </r>
  <r>
    <x v="4"/>
    <x v="39"/>
    <n v="13"/>
    <s v="公共盘生成提单号【如需拆单】"/>
    <x v="72"/>
    <x v="1"/>
    <x v="0"/>
    <m/>
    <m/>
    <n v="-123"/>
  </r>
  <r>
    <x v="4"/>
    <x v="39"/>
    <n v="14"/>
    <s v="发做箱通知邮件给车队(沈丽)（航次要加QL？）"/>
    <x v="72"/>
    <x v="0"/>
    <x v="0"/>
    <m/>
    <m/>
    <n v="-123"/>
  </r>
  <r>
    <x v="4"/>
    <x v="39"/>
    <n v="15"/>
    <s v="YJC系统生成单子【如需拆单】"/>
    <x v="72"/>
    <x v="1"/>
    <x v="0"/>
    <m/>
    <m/>
    <n v="-123"/>
  </r>
  <r>
    <x v="4"/>
    <x v="39"/>
    <n v="16"/>
    <s v="发EDI【如需拆单】"/>
    <x v="72"/>
    <x v="1"/>
    <x v="0"/>
    <m/>
    <m/>
    <n v="-123"/>
  </r>
  <r>
    <x v="4"/>
    <x v="39"/>
    <n v="17"/>
    <s v="邮件申请放单【如需拆单】"/>
    <x v="72"/>
    <x v="1"/>
    <x v="0"/>
    <m/>
    <m/>
    <n v="-123"/>
  </r>
  <r>
    <x v="4"/>
    <x v="39"/>
    <n v="18"/>
    <s v="收到HMM(Neo) 放单确认【如需拆单】"/>
    <x v="72"/>
    <x v="1"/>
    <x v="0"/>
    <m/>
    <m/>
    <n v="-123"/>
  </r>
  <r>
    <x v="4"/>
    <x v="39"/>
    <n v="19"/>
    <s v="HMM网站核对订舱信息【如需拆单】"/>
    <x v="72"/>
    <x v="1"/>
    <x v="0"/>
    <m/>
    <m/>
    <n v="-123"/>
  </r>
  <r>
    <x v="4"/>
    <x v="39"/>
    <n v="20"/>
    <s v="收到客户(陈云娣)发来报关资料"/>
    <x v="83"/>
    <x v="0"/>
    <x v="0"/>
    <m/>
    <s v="一般做箱当天一早"/>
    <n v="-122"/>
  </r>
  <r>
    <x v="4"/>
    <x v="39"/>
    <n v="21"/>
    <s v="按报关(发票)数生成提单号【如发票数超过提单数】"/>
    <x v="83"/>
    <x v="0"/>
    <x v="0"/>
    <m/>
    <m/>
    <n v="-122"/>
  </r>
  <r>
    <x v="4"/>
    <x v="39"/>
    <n v="22"/>
    <s v="做做箱数据，QQ发车队(沈丽)"/>
    <x v="83"/>
    <x v="0"/>
    <x v="0"/>
    <m/>
    <m/>
    <n v="-122"/>
  </r>
  <r>
    <x v="4"/>
    <x v="39"/>
    <n v="23"/>
    <s v="收到车队(沈丽)装箱单，转发客户（陈云娣）"/>
    <x v="83"/>
    <x v="0"/>
    <x v="0"/>
    <m/>
    <s v="一般马上"/>
    <n v="-122"/>
  </r>
  <r>
    <x v="4"/>
    <x v="39"/>
    <n v="24"/>
    <s v="YJC系统截单，发EDI，邮件HMM(He)【截单时间】"/>
    <x v="83"/>
    <x v="0"/>
    <x v="0"/>
    <m/>
    <s v="注意截单时间"/>
    <n v="-122"/>
  </r>
  <r>
    <x v="4"/>
    <x v="39"/>
    <n v="25"/>
    <s v="发VGM和舱单（亿通，鹏海两次）"/>
    <x v="83"/>
    <x v="0"/>
    <x v="0"/>
    <m/>
    <m/>
    <n v="-122"/>
  </r>
  <r>
    <x v="4"/>
    <x v="39"/>
    <n v="26"/>
    <s v="做报关资料，扫描发报关行(黄寅文)QQ，要校对稿"/>
    <x v="83"/>
    <x v="0"/>
    <x v="0"/>
    <m/>
    <m/>
    <n v="-122"/>
  </r>
  <r>
    <x v="4"/>
    <x v="39"/>
    <n v="27"/>
    <s v="做保函给邹师傅"/>
    <x v="83"/>
    <x v="0"/>
    <x v="0"/>
    <m/>
    <m/>
    <n v="-122"/>
  </r>
  <r>
    <x v="4"/>
    <x v="39"/>
    <n v="28"/>
    <s v="做ISF，发国外资料"/>
    <x v="83"/>
    <x v="0"/>
    <x v="0"/>
    <m/>
    <m/>
    <n v="-122"/>
  </r>
  <r>
    <x v="4"/>
    <x v="39"/>
    <n v="29"/>
    <s v="买保险"/>
    <x v="83"/>
    <x v="0"/>
    <x v="0"/>
    <m/>
    <m/>
    <n v="-122"/>
  </r>
  <r>
    <x v="4"/>
    <x v="39"/>
    <n v="31"/>
    <s v="收到HMM(He)生成提单通知"/>
    <x v="83"/>
    <x v="0"/>
    <x v="0"/>
    <m/>
    <s v="一般马上"/>
    <n v="-122"/>
  </r>
  <r>
    <x v="4"/>
    <x v="39"/>
    <n v="32"/>
    <s v="HMM网站核对提单信息"/>
    <x v="83"/>
    <x v="0"/>
    <x v="0"/>
    <m/>
    <m/>
    <n v="-122"/>
  </r>
  <r>
    <x v="4"/>
    <x v="39"/>
    <n v="33"/>
    <s v="盯海关网站舱单"/>
    <x v="83"/>
    <x v="0"/>
    <x v="0"/>
    <m/>
    <s v="一般两小时左右"/>
    <n v="-122"/>
  </r>
  <r>
    <x v="4"/>
    <x v="39"/>
    <n v="34"/>
    <s v="核对舱单信息"/>
    <x v="83"/>
    <x v="0"/>
    <x v="0"/>
    <m/>
    <m/>
    <n v="-122"/>
  </r>
  <r>
    <x v="4"/>
    <x v="39"/>
    <n v="35"/>
    <s v="收到报关行(黄寅文)校对稿，邮件发客户(陈云娣)确认"/>
    <x v="83"/>
    <x v="0"/>
    <x v="0"/>
    <m/>
    <s v="一般半天内"/>
    <n v="-122"/>
  </r>
  <r>
    <x v="4"/>
    <x v="39"/>
    <n v="36"/>
    <s v="收到客户(陈云娣)确认校对稿"/>
    <x v="83"/>
    <x v="0"/>
    <x v="0"/>
    <m/>
    <s v="一般马上"/>
    <n v="-122"/>
  </r>
  <r>
    <x v="4"/>
    <x v="39"/>
    <n v="37"/>
    <s v="通知报关行(黄寅文)报关(开港、舱单、校对)（洋山提供装箱单）"/>
    <x v="83"/>
    <x v="0"/>
    <x v="0"/>
    <m/>
    <m/>
    <n v="-122"/>
  </r>
  <r>
    <x v="4"/>
    <x v="39"/>
    <n v="38"/>
    <s v="收到报关成功通知"/>
    <x v="83"/>
    <x v="0"/>
    <x v="0"/>
    <m/>
    <s v="一般下班前"/>
    <n v="-122"/>
  </r>
  <r>
    <x v="4"/>
    <x v="39"/>
    <n v="39"/>
    <s v="通知车队(沈丽)可进港"/>
    <x v="83"/>
    <x v="0"/>
    <x v="0"/>
    <m/>
    <m/>
    <n v="-122"/>
  </r>
  <r>
    <x v="4"/>
    <x v="39"/>
    <n v="40"/>
    <s v="盯箱子进港，关注开港时间，有落箱费？"/>
    <x v="60"/>
    <x v="0"/>
    <x v="0"/>
    <m/>
    <m/>
    <n v="-121"/>
  </r>
  <r>
    <x v="4"/>
    <x v="39"/>
    <n v="41"/>
    <s v="核对进港数据"/>
    <x v="60"/>
    <x v="0"/>
    <x v="0"/>
    <m/>
    <m/>
    <n v="-121"/>
  </r>
  <r>
    <x v="4"/>
    <x v="39"/>
    <n v="42"/>
    <s v="盯海放"/>
    <x v="60"/>
    <x v="0"/>
    <x v="0"/>
    <m/>
    <m/>
    <n v="-121"/>
  </r>
  <r>
    <x v="4"/>
    <x v="39"/>
    <n v="43"/>
    <s v="盯码放"/>
    <x v="73"/>
    <x v="0"/>
    <x v="0"/>
    <m/>
    <m/>
    <n v="-120"/>
  </r>
  <r>
    <x v="4"/>
    <x v="39"/>
    <n v="44"/>
    <s v="盯配载"/>
    <x v="73"/>
    <x v="0"/>
    <x v="0"/>
    <m/>
    <m/>
    <n v="-120"/>
  </r>
  <r>
    <x v="4"/>
    <x v="39"/>
    <n v="45"/>
    <s v="做费用(月初等汇率)，发账单给石磊"/>
    <x v="73"/>
    <x v="0"/>
    <x v="0"/>
    <m/>
    <m/>
    <n v="-120"/>
  </r>
  <r>
    <x v="4"/>
    <x v="39"/>
    <n v="46"/>
    <s v="船开"/>
    <x v="57"/>
    <x v="0"/>
    <x v="0"/>
    <m/>
    <m/>
    <n v="-119"/>
  </r>
  <r>
    <x v="4"/>
    <x v="39"/>
    <n v="47"/>
    <s v="放提单、预录单、放行单（PHISON、石磊提单、陈云娣三单）"/>
    <x v="57"/>
    <x v="0"/>
    <x v="0"/>
    <m/>
    <s v="一般开船后两三天"/>
    <n v="-119"/>
  </r>
  <r>
    <x v="10"/>
    <x v="39"/>
    <n v="1"/>
    <s v="收到订舱托书"/>
    <x v="62"/>
    <x v="0"/>
    <x v="0"/>
    <m/>
    <m/>
    <n v="-130"/>
  </r>
  <r>
    <x v="10"/>
    <x v="39"/>
    <n v="2"/>
    <s v="HMM（Neo）确认订舱预报"/>
    <x v="37"/>
    <x v="0"/>
    <x v="0"/>
    <m/>
    <m/>
    <n v="-129"/>
  </r>
  <r>
    <x v="10"/>
    <x v="39"/>
    <n v="3"/>
    <s v="生成单号，YJC系统数据，发EDI，邮件Neo放舱"/>
    <x v="37"/>
    <x v="0"/>
    <x v="0"/>
    <m/>
    <m/>
    <n v="-129"/>
  </r>
  <r>
    <x v="10"/>
    <x v="39"/>
    <n v="4"/>
    <s v="HMM（Neo）确认放舱，网站核对信息"/>
    <x v="70"/>
    <x v="0"/>
    <x v="0"/>
    <m/>
    <m/>
    <n v="-128"/>
  </r>
  <r>
    <x v="10"/>
    <x v="39"/>
    <n v="5"/>
    <s v="发预配信息给客户（张婷），QQ上的信息"/>
    <x v="70"/>
    <x v="0"/>
    <x v="0"/>
    <m/>
    <m/>
    <n v="-128"/>
  </r>
  <r>
    <x v="10"/>
    <x v="39"/>
    <n v="5.0999999999999996"/>
    <s v="确定哪天发报关资料"/>
    <x v="72"/>
    <x v="1"/>
    <x v="0"/>
    <m/>
    <m/>
    <n v="-123"/>
  </r>
  <r>
    <x v="10"/>
    <x v="39"/>
    <n v="6"/>
    <s v="收到客户（张婷）报关资料"/>
    <x v="72"/>
    <x v="1"/>
    <x v="0"/>
    <m/>
    <m/>
    <n v="-123"/>
  </r>
  <r>
    <x v="10"/>
    <x v="39"/>
    <n v="7"/>
    <s v="做报关资料，发报关行（黄寅文），要校对稿"/>
    <x v="72"/>
    <x v="1"/>
    <x v="0"/>
    <m/>
    <m/>
    <n v="-123"/>
  </r>
  <r>
    <x v="10"/>
    <x v="39"/>
    <n v="8"/>
    <s v="收到客户（张婷）装箱单"/>
    <x v="72"/>
    <x v="1"/>
    <x v="0"/>
    <m/>
    <s v="今天能放箱装？"/>
    <n v="-123"/>
  </r>
  <r>
    <x v="10"/>
    <x v="39"/>
    <n v="9"/>
    <s v="YJC系统改准确数据（截单），发ESI，做AMS模板并邮件何生成提单"/>
    <x v="72"/>
    <x v="1"/>
    <x v="0"/>
    <m/>
    <m/>
    <n v="-123"/>
  </r>
  <r>
    <x v="10"/>
    <x v="39"/>
    <n v="10"/>
    <s v="发舱单（亿通，鹏海两次）和VGM"/>
    <x v="72"/>
    <x v="1"/>
    <x v="0"/>
    <m/>
    <m/>
    <n v="-123"/>
  </r>
  <r>
    <x v="10"/>
    <x v="39"/>
    <n v="11"/>
    <s v="收到提单生成通知，核对提单信息"/>
    <x v="72"/>
    <x v="1"/>
    <x v="0"/>
    <m/>
    <m/>
    <n v="-123"/>
  </r>
  <r>
    <x v="10"/>
    <x v="39"/>
    <n v="12"/>
    <s v="发 HBL COPY 和 MBL COPY 给客户（张婷）确认"/>
    <x v="72"/>
    <x v="1"/>
    <x v="0"/>
    <m/>
    <m/>
    <n v="-123"/>
  </r>
  <r>
    <x v="10"/>
    <x v="39"/>
    <n v="13"/>
    <s v="收到客户（张婷）确认提单"/>
    <x v="72"/>
    <x v="1"/>
    <x v="0"/>
    <m/>
    <m/>
    <n v="-123"/>
  </r>
  <r>
    <x v="10"/>
    <x v="39"/>
    <n v="14"/>
    <s v="海关有舱单，核对舱单信息"/>
    <x v="72"/>
    <x v="1"/>
    <x v="0"/>
    <m/>
    <m/>
    <n v="-123"/>
  </r>
  <r>
    <x v="10"/>
    <x v="39"/>
    <n v="15"/>
    <s v="收到校对稿，发客户（张婷）"/>
    <x v="72"/>
    <x v="1"/>
    <x v="0"/>
    <m/>
    <m/>
    <n v="-123"/>
  </r>
  <r>
    <x v="10"/>
    <x v="39"/>
    <n v="16"/>
    <s v="收到客户（张婷）确认校对稿"/>
    <x v="72"/>
    <x v="1"/>
    <x v="0"/>
    <m/>
    <m/>
    <n v="-123"/>
  </r>
  <r>
    <x v="10"/>
    <x v="39"/>
    <n v="17"/>
    <s v="通知报关（开港、舱单、装箱单）"/>
    <x v="72"/>
    <x v="1"/>
    <x v="0"/>
    <m/>
    <m/>
    <n v="-123"/>
  </r>
  <r>
    <x v="10"/>
    <x v="39"/>
    <n v="18"/>
    <s v="报关成功"/>
    <x v="72"/>
    <x v="1"/>
    <x v="0"/>
    <m/>
    <m/>
    <n v="-123"/>
  </r>
  <r>
    <x v="10"/>
    <x v="39"/>
    <n v="19"/>
    <s v="通知可进港"/>
    <x v="72"/>
    <x v="1"/>
    <x v="0"/>
    <m/>
    <m/>
    <n v="-123"/>
  </r>
  <r>
    <x v="10"/>
    <x v="39"/>
    <n v="20"/>
    <s v="进港"/>
    <x v="72"/>
    <x v="1"/>
    <x v="0"/>
    <m/>
    <m/>
    <n v="-123"/>
  </r>
  <r>
    <x v="10"/>
    <x v="39"/>
    <n v="21"/>
    <s v="核对进港数据"/>
    <x v="72"/>
    <x v="1"/>
    <x v="0"/>
    <m/>
    <m/>
    <n v="-123"/>
  </r>
  <r>
    <x v="10"/>
    <x v="39"/>
    <n v="22"/>
    <s v="海放"/>
    <x v="72"/>
    <x v="1"/>
    <x v="0"/>
    <m/>
    <m/>
    <n v="-123"/>
  </r>
  <r>
    <x v="10"/>
    <x v="39"/>
    <n v="23"/>
    <s v="码放"/>
    <x v="72"/>
    <x v="1"/>
    <x v="0"/>
    <m/>
    <m/>
    <n v="-123"/>
  </r>
  <r>
    <x v="10"/>
    <x v="39"/>
    <n v="24"/>
    <s v="配载"/>
    <x v="72"/>
    <x v="1"/>
    <x v="0"/>
    <m/>
    <m/>
    <n v="-123"/>
  </r>
  <r>
    <x v="10"/>
    <x v="39"/>
    <n v="25"/>
    <s v="邮件问Neo 海运费"/>
    <x v="72"/>
    <x v="1"/>
    <x v="0"/>
    <m/>
    <m/>
    <n v="-123"/>
  </r>
  <r>
    <x v="10"/>
    <x v="39"/>
    <n v="26"/>
    <s v="收到Neo发来海运费"/>
    <x v="72"/>
    <x v="1"/>
    <x v="0"/>
    <m/>
    <m/>
    <n v="-123"/>
  </r>
  <r>
    <x v="10"/>
    <x v="39"/>
    <n v="27"/>
    <s v="做费用，发客户（张婷）确认"/>
    <x v="72"/>
    <x v="1"/>
    <x v="0"/>
    <m/>
    <m/>
    <n v="-123"/>
  </r>
  <r>
    <x v="10"/>
    <x v="39"/>
    <n v="28"/>
    <s v="收到客户（张婷）确认费用"/>
    <x v="72"/>
    <x v="1"/>
    <x v="0"/>
    <m/>
    <m/>
    <n v="-123"/>
  </r>
  <r>
    <x v="10"/>
    <x v="39"/>
    <n v="29"/>
    <s v="船开"/>
    <x v="72"/>
    <x v="1"/>
    <x v="0"/>
    <m/>
    <m/>
    <n v="-123"/>
  </r>
  <r>
    <x v="10"/>
    <x v="39"/>
    <n v="30"/>
    <s v="放单（MBL HBL给张婷）"/>
    <x v="72"/>
    <x v="1"/>
    <x v="0"/>
    <m/>
    <m/>
    <n v="-123"/>
  </r>
  <r>
    <x v="7"/>
    <x v="40"/>
    <n v="1"/>
    <s v="收到徐小姐托书"/>
    <x v="83"/>
    <x v="0"/>
    <x v="0"/>
    <m/>
    <m/>
    <n v="-122"/>
  </r>
  <r>
    <x v="7"/>
    <x v="40"/>
    <n v="2"/>
    <s v="公共盘表格生成单号，YJC系统复制、生成单子"/>
    <x v="83"/>
    <x v="0"/>
    <x v="0"/>
    <m/>
    <m/>
    <n v="-122"/>
  </r>
  <r>
    <x v="7"/>
    <x v="40"/>
    <n v="3"/>
    <s v="振华网站订舱（7.3改约号）、保存、提交，等待审核"/>
    <x v="83"/>
    <x v="0"/>
    <x v="0"/>
    <m/>
    <m/>
    <n v="-122"/>
  </r>
  <r>
    <x v="7"/>
    <x v="40"/>
    <n v="4"/>
    <s v="QQ发预配给徐小姐，邮件发确认给国外"/>
    <x v="83"/>
    <x v="0"/>
    <x v="0"/>
    <m/>
    <m/>
    <n v="-122"/>
  </r>
  <r>
    <x v="7"/>
    <x v="40"/>
    <n v="5"/>
    <s v="收到国外确认，公共盘表格红改黑"/>
    <x v="83"/>
    <x v="0"/>
    <x v="0"/>
    <m/>
    <m/>
    <n v="-122"/>
  </r>
  <r>
    <x v="7"/>
    <x v="40"/>
    <n v="6"/>
    <s v="收到车队江发来VGM表格"/>
    <x v="57"/>
    <x v="0"/>
    <x v="0"/>
    <m/>
    <s v="周三周一截，周日周五截"/>
    <n v="-119"/>
  </r>
  <r>
    <x v="7"/>
    <x v="40"/>
    <n v="7"/>
    <s v="YJC 截单，徐小姐确认，振华截单、截VGM"/>
    <x v="57"/>
    <x v="0"/>
    <x v="0"/>
    <m/>
    <m/>
    <n v="-119"/>
  </r>
  <r>
    <x v="7"/>
    <x v="40"/>
    <n v="8"/>
    <s v="振华输入件毛体（一报关一录入，两个地方），保存"/>
    <x v="57"/>
    <x v="0"/>
    <x v="0"/>
    <m/>
    <m/>
    <n v="-119"/>
  </r>
  <r>
    <x v="7"/>
    <x v="40"/>
    <n v="9"/>
    <s v="徐小姐确认HBL"/>
    <x v="57"/>
    <x v="0"/>
    <x v="0"/>
    <m/>
    <m/>
    <n v="-119"/>
  </r>
  <r>
    <x v="7"/>
    <x v="40"/>
    <n v="10"/>
    <s v="发送舱单（一报关一发送）"/>
    <x v="57"/>
    <x v="0"/>
    <x v="0"/>
    <m/>
    <m/>
    <n v="-119"/>
  </r>
  <r>
    <x v="7"/>
    <x v="40"/>
    <n v="11"/>
    <s v="待海关网站可查到舱单，核对数据，振华并单"/>
    <x v="57"/>
    <x v="0"/>
    <x v="0"/>
    <m/>
    <m/>
    <n v="-119"/>
  </r>
  <r>
    <x v="7"/>
    <x v="40"/>
    <n v="12"/>
    <s v="待振华网站并单审核成功后，录入VGM并导入"/>
    <x v="57"/>
    <x v="0"/>
    <x v="0"/>
    <m/>
    <m/>
    <n v="-119"/>
  </r>
  <r>
    <x v="7"/>
    <x v="40"/>
    <n v="13"/>
    <s v="邮件发提单确认和费用确认给国外"/>
    <x v="57"/>
    <x v="0"/>
    <x v="0"/>
    <m/>
    <m/>
    <n v="-119"/>
  </r>
  <r>
    <x v="7"/>
    <x v="40"/>
    <n v="14"/>
    <s v="船开"/>
    <x v="84"/>
    <x v="0"/>
    <x v="3"/>
    <m/>
    <m/>
    <n v="-117"/>
  </r>
  <r>
    <x v="7"/>
    <x v="40"/>
    <n v="15"/>
    <s v="拿到WAYBILL"/>
    <x v="56"/>
    <x v="0"/>
    <x v="4"/>
    <m/>
    <m/>
    <n v="-11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16"/>
  </r>
  <r>
    <x v="8"/>
    <x v="41"/>
    <n v="1"/>
    <s v="收到CK Vivi发来做箱通知"/>
    <x v="38"/>
    <x v="0"/>
    <x v="0"/>
    <m/>
    <m/>
    <n v="-127"/>
  </r>
  <r>
    <x v="8"/>
    <x v="41"/>
    <n v="2"/>
    <s v="YJC系统生成"/>
    <x v="63"/>
    <x v="0"/>
    <x v="0"/>
    <m/>
    <m/>
    <n v="-125"/>
  </r>
  <r>
    <x v="8"/>
    <x v="41"/>
    <n v="3"/>
    <s v="关注开港时间，能延截单？确定做箱时间，通知车队和包装厂"/>
    <x v="60"/>
    <x v="0"/>
    <x v="0"/>
    <m/>
    <s v="7-12装"/>
    <n v="-121"/>
  </r>
  <r>
    <x v="8"/>
    <x v="41"/>
    <n v="4"/>
    <s v="要装箱数据，收到装箱数据，转发车队和斗源卞亦琴，要报关资料"/>
    <x v="83"/>
    <x v="0"/>
    <x v="0"/>
    <m/>
    <m/>
    <n v="-122"/>
  </r>
  <r>
    <x v="8"/>
    <x v="41"/>
    <n v="4"/>
    <s v="（早上给）收到报关资料，完善报关单，发报关行。"/>
    <x v="73"/>
    <x v="0"/>
    <x v="0"/>
    <m/>
    <m/>
    <n v="-120"/>
  </r>
  <r>
    <x v="8"/>
    <x v="41"/>
    <n v="5"/>
    <s v="收到车队(沈丽)装箱单和洋山提箱截图(如有)，9点前群发，通知发舱单"/>
    <x v="57"/>
    <x v="0"/>
    <x v="0"/>
    <m/>
    <s v="9点半前截单！！！"/>
    <n v="-119"/>
  </r>
  <r>
    <x v="8"/>
    <x v="41"/>
    <n v="6"/>
    <s v="装箱单发给王钰一份"/>
    <x v="57"/>
    <x v="0"/>
    <x v="0"/>
    <m/>
    <m/>
    <n v="-119"/>
  </r>
  <r>
    <x v="8"/>
    <x v="41"/>
    <n v="7"/>
    <s v="收到舱单发送成功通知，核对舱单信息"/>
    <x v="57"/>
    <x v="0"/>
    <x v="0"/>
    <m/>
    <m/>
    <n v="-119"/>
  </r>
  <r>
    <x v="8"/>
    <x v="41"/>
    <n v="8"/>
    <s v="通知进港"/>
    <x v="57"/>
    <x v="1"/>
    <x v="0"/>
    <m/>
    <m/>
    <n v="-119"/>
  </r>
  <r>
    <x v="8"/>
    <x v="41"/>
    <n v="9"/>
    <s v="周五下班前统计，如果没有装完，有待时费跟GLV说"/>
    <x v="57"/>
    <x v="0"/>
    <x v="0"/>
    <m/>
    <m/>
    <n v="-119"/>
  </r>
  <r>
    <x v="8"/>
    <x v="41"/>
    <n v="10"/>
    <s v="进港(核对数据)，有落箱费？"/>
    <x v="78"/>
    <x v="0"/>
    <x v="0"/>
    <m/>
    <m/>
    <n v="-118"/>
  </r>
  <r>
    <x v="8"/>
    <x v="41"/>
    <n v="11"/>
    <s v="通知报关"/>
    <x v="78"/>
    <x v="0"/>
    <x v="0"/>
    <m/>
    <m/>
    <n v="-118"/>
  </r>
  <r>
    <x v="8"/>
    <x v="41"/>
    <n v="12"/>
    <s v="报关成功"/>
    <x v="78"/>
    <x v="0"/>
    <x v="0"/>
    <m/>
    <m/>
    <n v="-118"/>
  </r>
  <r>
    <x v="8"/>
    <x v="41"/>
    <n v="13"/>
    <s v="海放"/>
    <x v="78"/>
    <x v="0"/>
    <x v="0"/>
    <m/>
    <m/>
    <n v="-118"/>
  </r>
  <r>
    <x v="8"/>
    <x v="41"/>
    <n v="14"/>
    <s v="码放"/>
    <x v="56"/>
    <x v="0"/>
    <x v="4"/>
    <m/>
    <m/>
    <n v="-116"/>
  </r>
  <r>
    <x v="8"/>
    <x v="41"/>
    <n v="15"/>
    <s v="配载"/>
    <x v="79"/>
    <x v="0"/>
    <x v="0"/>
    <m/>
    <m/>
    <n v="-115"/>
  </r>
  <r>
    <x v="8"/>
    <x v="41"/>
    <n v="16"/>
    <s v="收到CK发来费用明细"/>
    <x v="85"/>
    <x v="0"/>
    <x v="0"/>
    <m/>
    <m/>
    <n v="-114"/>
  </r>
  <r>
    <x v="8"/>
    <x v="41"/>
    <n v="17"/>
    <s v="阿康确认"/>
    <x v="85"/>
    <x v="0"/>
    <x v="0"/>
    <m/>
    <m/>
    <n v="-114"/>
  </r>
  <r>
    <x v="8"/>
    <x v="41"/>
    <n v="17"/>
    <s v="做费用（聊天记录里Vivi发来的成本），发孙丹"/>
    <x v="82"/>
    <x v="0"/>
    <x v="0"/>
    <m/>
    <m/>
    <n v="-106"/>
  </r>
  <r>
    <x v="8"/>
    <x v="41"/>
    <n v="17"/>
    <s v="阿康确认"/>
    <x v="85"/>
    <x v="0"/>
    <x v="0"/>
    <m/>
    <m/>
    <n v="-114"/>
  </r>
  <r>
    <x v="8"/>
    <x v="41"/>
    <n v="18"/>
    <s v="船开"/>
    <x v="85"/>
    <x v="0"/>
    <x v="0"/>
    <m/>
    <m/>
    <n v="-114"/>
  </r>
  <r>
    <x v="8"/>
    <x v="41"/>
    <n v="19"/>
    <s v="确定CK成本"/>
    <x v="65"/>
    <x v="0"/>
    <x v="1"/>
    <m/>
    <m/>
    <n v="-102"/>
  </r>
  <r>
    <x v="8"/>
    <x v="41"/>
    <n v="20"/>
    <s v="报关资料报错了，改"/>
    <x v="86"/>
    <x v="0"/>
    <x v="0"/>
    <m/>
    <m/>
    <n v="-95"/>
  </r>
  <r>
    <x v="8"/>
    <x v="41"/>
    <n v="21"/>
    <s v="卞亦琴情况说明寄出，要单号EMS1197189711879"/>
    <x v="86"/>
    <x v="0"/>
    <x v="0"/>
    <m/>
    <m/>
    <n v="-95"/>
  </r>
  <r>
    <x v="8"/>
    <x v="41"/>
    <n v="22"/>
    <s v="徐倩收到情况说明"/>
    <x v="86"/>
    <x v="0"/>
    <x v="0"/>
    <m/>
    <m/>
    <n v="-95"/>
  </r>
  <r>
    <x v="3"/>
    <x v="41"/>
    <n v="1"/>
    <s v="收到 Abbi 下周订舱预报邮件"/>
    <x v="57"/>
    <x v="0"/>
    <x v="0"/>
    <m/>
    <s v="周一"/>
    <n v="-119"/>
  </r>
  <r>
    <x v="3"/>
    <x v="41"/>
    <n v="2"/>
    <s v="PANCON上周日船期提单领取单"/>
    <x v="56"/>
    <x v="0"/>
    <x v="5"/>
    <m/>
    <s v="周一"/>
    <n v="-116"/>
  </r>
  <r>
    <x v="3"/>
    <x v="41"/>
    <n v="3"/>
    <s v="WEEKLY REPORT"/>
    <x v="56"/>
    <x v="0"/>
    <x v="6"/>
    <m/>
    <s v="周一"/>
    <n v="-116"/>
  </r>
  <r>
    <x v="3"/>
    <x v="41"/>
    <n v="4"/>
    <s v="汇总SC JS下周订舱需求，回Abbi邮件，制作每票清单流水"/>
    <x v="56"/>
    <x v="0"/>
    <x v="6"/>
    <m/>
    <s v="周一"/>
    <n v="-116"/>
  </r>
  <r>
    <x v="3"/>
    <x v="41"/>
    <n v="5"/>
    <s v="收到Abbi确认"/>
    <x v="56"/>
    <x v="0"/>
    <x v="0"/>
    <m/>
    <s v="周一"/>
    <n v="-116"/>
  </r>
  <r>
    <x v="3"/>
    <x v="41"/>
    <n v="6"/>
    <s v="拿到PANCON WAYBILL，朱琳的给朱琳"/>
    <x v="56"/>
    <x v="0"/>
    <x v="4"/>
    <m/>
    <s v="周一"/>
    <n v="-116"/>
  </r>
  <r>
    <x v="3"/>
    <x v="41"/>
    <n v="7"/>
    <s v="PANCON周三出运清单（约号更新）"/>
    <x v="56"/>
    <x v="0"/>
    <x v="3"/>
    <m/>
    <s v="周一"/>
    <n v="-116"/>
  </r>
  <r>
    <x v="3"/>
    <x v="41"/>
    <n v="8"/>
    <s v="WORKING PROCESS"/>
    <x v="56"/>
    <x v="0"/>
    <x v="6"/>
    <m/>
    <s v="周一"/>
    <n v="-116"/>
  </r>
  <r>
    <x v="3"/>
    <x v="41"/>
    <n v="9"/>
    <s v="金善娥签收万盛发票（3717119953239）"/>
    <x v="79"/>
    <x v="0"/>
    <x v="6"/>
    <m/>
    <m/>
    <n v="-115"/>
  </r>
  <r>
    <x v="3"/>
    <x v="41"/>
    <n v="10"/>
    <s v="请假！下雨？"/>
    <x v="79"/>
    <x v="0"/>
    <x v="6"/>
    <m/>
    <m/>
    <n v="-115"/>
  </r>
  <r>
    <x v="3"/>
    <x v="41"/>
    <n v="11"/>
    <s v="WORKING PROCESS"/>
    <x v="85"/>
    <x v="0"/>
    <x v="4"/>
    <m/>
    <s v="周三"/>
    <n v="-114"/>
  </r>
  <r>
    <x v="3"/>
    <x v="41"/>
    <n v="12"/>
    <s v="HMM订舱Abbi说约号没有CY-DR价格"/>
    <x v="85"/>
    <x v="0"/>
    <x v="1"/>
    <m/>
    <m/>
    <n v="-114"/>
  </r>
  <r>
    <x v="3"/>
    <x v="41"/>
    <n v="13"/>
    <s v="看ROADSUN群消息记录，完善四票流水"/>
    <x v="85"/>
    <x v="0"/>
    <x v="0"/>
    <m/>
    <m/>
    <n v="-114"/>
  </r>
  <r>
    <x v="3"/>
    <x v="41"/>
    <n v="14"/>
    <s v="研究HMM新流程"/>
    <x v="85"/>
    <x v="1"/>
    <x v="3"/>
    <m/>
    <m/>
    <n v="-114"/>
  </r>
  <r>
    <x v="3"/>
    <x v="41"/>
    <n v="15"/>
    <s v="研究厄瓜多尔中转路径"/>
    <x v="85"/>
    <x v="0"/>
    <x v="0"/>
    <m/>
    <m/>
    <n v="-114"/>
  </r>
  <r>
    <x v="3"/>
    <x v="41"/>
    <n v="16"/>
    <s v="搜船网(用户名就是手机号）"/>
    <x v="85"/>
    <x v="0"/>
    <x v="0"/>
    <m/>
    <m/>
    <n v="-114"/>
  </r>
  <r>
    <x v="3"/>
    <x v="41"/>
    <n v="17"/>
    <s v="PANCON周三船期提单领取单"/>
    <x v="87"/>
    <x v="0"/>
    <x v="5"/>
    <m/>
    <s v="周四"/>
    <n v="-113"/>
  </r>
  <r>
    <x v="3"/>
    <x v="41"/>
    <n v="18"/>
    <s v="拿到PANCON WAYBILL，朱琳的给朱琳"/>
    <x v="87"/>
    <x v="0"/>
    <x v="4"/>
    <m/>
    <s v="周四"/>
    <n v="-113"/>
  </r>
  <r>
    <x v="3"/>
    <x v="41"/>
    <n v="19"/>
    <s v="HMM 四票费用问题等现代回复，再答复许培"/>
    <x v="87"/>
    <x v="0"/>
    <x v="0"/>
    <m/>
    <m/>
    <n v="-113"/>
  </r>
  <r>
    <x v="3"/>
    <x v="41"/>
    <n v="20"/>
    <s v="WORKING PROCESS"/>
    <x v="81"/>
    <x v="0"/>
    <x v="4"/>
    <m/>
    <s v="周五"/>
    <n v="-112"/>
  </r>
  <r>
    <x v="3"/>
    <x v="41"/>
    <n v="21"/>
    <s v="PANCON周日出运清单（约号更新）"/>
    <x v="81"/>
    <x v="0"/>
    <x v="3"/>
    <m/>
    <s v="周五"/>
    <n v="-112"/>
  </r>
  <r>
    <x v="3"/>
    <x v="41"/>
    <n v="22"/>
    <s v="制下周 WEEK 流水"/>
    <x v="81"/>
    <x v="0"/>
    <x v="2"/>
    <m/>
    <s v="周五"/>
    <n v="-112"/>
  </r>
  <r>
    <x v="3"/>
    <x v="41"/>
    <n v="23"/>
    <s v="周五中午有午饭"/>
    <x v="81"/>
    <x v="0"/>
    <x v="6"/>
    <m/>
    <m/>
    <n v="-112"/>
  </r>
  <r>
    <x v="3"/>
    <x v="41"/>
    <n v="24"/>
    <s v="问JS mobis、SC glovis下下周订舱需求"/>
    <x v="64"/>
    <x v="0"/>
    <x v="1"/>
    <m/>
    <s v="周五"/>
    <n v="-109"/>
  </r>
  <r>
    <x v="3"/>
    <x v="41"/>
    <n v="25"/>
    <s v="研究MAERSK线上帮助文档"/>
    <x v="64"/>
    <x v="1"/>
    <x v="2"/>
    <m/>
    <m/>
    <n v="-109"/>
  </r>
  <r>
    <x v="8"/>
    <x v="42"/>
    <n v="1"/>
    <s v="收到孙丹发来托书"/>
    <x v="37"/>
    <x v="0"/>
    <x v="0"/>
    <m/>
    <m/>
    <n v="-129"/>
  </r>
  <r>
    <x v="8"/>
    <x v="42"/>
    <n v="2"/>
    <s v="问CK要预配，收到CK发来做箱通知"/>
    <x v="72"/>
    <x v="0"/>
    <x v="0"/>
    <m/>
    <m/>
    <n v="-123"/>
  </r>
  <r>
    <x v="8"/>
    <x v="42"/>
    <n v="3"/>
    <s v="完善YJC系统数据"/>
    <x v="72"/>
    <x v="0"/>
    <x v="0"/>
    <m/>
    <m/>
    <n v="-123"/>
  </r>
  <r>
    <x v="8"/>
    <x v="42"/>
    <n v="4"/>
    <s v="关注开港时间，能延截单？确定做箱时间，通知车队和包装厂"/>
    <x v="60"/>
    <x v="0"/>
    <x v="0"/>
    <m/>
    <s v="7-11装"/>
    <n v="-121"/>
  </r>
  <r>
    <x v="8"/>
    <x v="42"/>
    <n v="5"/>
    <s v="要装箱数据，收到装箱数据，转发车队和悦达祝卫红，要报关资料"/>
    <x v="83"/>
    <x v="0"/>
    <x v="0"/>
    <m/>
    <m/>
    <n v="-122"/>
  </r>
  <r>
    <x v="8"/>
    <x v="42"/>
    <n v="6"/>
    <s v="收到报关资料，完善报关单，核对，要委托书，发报关行。"/>
    <x v="73"/>
    <x v="0"/>
    <x v="0"/>
    <m/>
    <m/>
    <n v="-120"/>
  </r>
  <r>
    <x v="8"/>
    <x v="42"/>
    <n v="7"/>
    <s v="收到车队(沈丽)装箱单和洋山提箱截图(如有)，9点前群发，通知发舱单"/>
    <x v="73"/>
    <x v="0"/>
    <x v="0"/>
    <m/>
    <m/>
    <n v="-120"/>
  </r>
  <r>
    <x v="8"/>
    <x v="42"/>
    <n v="8"/>
    <s v="收到舱单发送成功通知，核对舱单信息"/>
    <x v="73"/>
    <x v="0"/>
    <x v="0"/>
    <m/>
    <m/>
    <n v="-120"/>
  </r>
  <r>
    <x v="8"/>
    <x v="42"/>
    <n v="9"/>
    <s v="通知进港"/>
    <x v="73"/>
    <x v="0"/>
    <x v="0"/>
    <m/>
    <m/>
    <n v="-120"/>
  </r>
  <r>
    <x v="8"/>
    <x v="42"/>
    <n v="10"/>
    <s v="进港(核对数据)，有落箱费？"/>
    <x v="78"/>
    <x v="0"/>
    <x v="0"/>
    <m/>
    <m/>
    <n v="-118"/>
  </r>
  <r>
    <x v="8"/>
    <x v="42"/>
    <n v="11"/>
    <s v="通知报关（洋山发装箱单）"/>
    <x v="78"/>
    <x v="0"/>
    <x v="0"/>
    <m/>
    <m/>
    <n v="-118"/>
  </r>
  <r>
    <x v="8"/>
    <x v="42"/>
    <n v="12"/>
    <s v="报关成功"/>
    <x v="78"/>
    <x v="0"/>
    <x v="0"/>
    <m/>
    <m/>
    <n v="-118"/>
  </r>
  <r>
    <x v="8"/>
    <x v="42"/>
    <n v="13"/>
    <s v="海放"/>
    <x v="78"/>
    <x v="0"/>
    <x v="0"/>
    <m/>
    <m/>
    <n v="-118"/>
  </r>
  <r>
    <x v="8"/>
    <x v="42"/>
    <n v="14"/>
    <s v="码放"/>
    <x v="56"/>
    <x v="0"/>
    <x v="4"/>
    <m/>
    <m/>
    <n v="-116"/>
  </r>
  <r>
    <x v="8"/>
    <x v="42"/>
    <n v="15"/>
    <s v="配载"/>
    <x v="79"/>
    <x v="0"/>
    <x v="0"/>
    <m/>
    <m/>
    <n v="-115"/>
  </r>
  <r>
    <x v="8"/>
    <x v="42"/>
    <n v="16"/>
    <s v="做费用（聊天记录里Vivi发来的成本），发孙丹"/>
    <x v="82"/>
    <x v="0"/>
    <x v="0"/>
    <m/>
    <m/>
    <n v="-106"/>
  </r>
  <r>
    <x v="8"/>
    <x v="42"/>
    <n v="17"/>
    <s v="船开"/>
    <x v="85"/>
    <x v="0"/>
    <x v="0"/>
    <m/>
    <m/>
    <n v="-114"/>
  </r>
  <r>
    <x v="8"/>
    <x v="42"/>
    <n v="18"/>
    <s v="确定CK成本"/>
    <x v="65"/>
    <x v="0"/>
    <x v="1"/>
    <m/>
    <m/>
    <n v="-102"/>
  </r>
  <r>
    <x v="0"/>
    <x v="43"/>
    <n v="1"/>
    <s v="收到客户(孙丹/王珊)发来订舱托书"/>
    <x v="71"/>
    <x v="0"/>
    <x v="0"/>
    <m/>
    <m/>
    <n v="-126"/>
  </r>
  <r>
    <x v="0"/>
    <x v="43"/>
    <n v="2"/>
    <s v="收到CK发来预配(做箱通知，沈丽有收到？)"/>
    <x v="83"/>
    <x v="0"/>
    <x v="0"/>
    <m/>
    <m/>
    <n v="-122"/>
  </r>
  <r>
    <x v="0"/>
    <x v="43"/>
    <n v="3"/>
    <s v="YJC系统生成单子"/>
    <x v="63"/>
    <x v="0"/>
    <x v="0"/>
    <m/>
    <m/>
    <n v="-125"/>
  </r>
  <r>
    <x v="0"/>
    <x v="43"/>
    <n v="4"/>
    <s v="收到包装厂(刘倩梅)发来包装指示书和装箱计划"/>
    <x v="73"/>
    <x v="0"/>
    <x v="0"/>
    <m/>
    <s v="一般周四"/>
    <n v="-120"/>
  </r>
  <r>
    <x v="0"/>
    <x v="43"/>
    <n v="5"/>
    <s v="根据装箱计划汇总包装数据，发各工厂做报关资料"/>
    <x v="73"/>
    <x v="0"/>
    <x v="0"/>
    <m/>
    <m/>
    <n v="-120"/>
  </r>
  <r>
    <x v="0"/>
    <x v="43"/>
    <n v="6"/>
    <s v="做做箱数据，邮件群发(查开港时间，注明做箱时间)"/>
    <x v="73"/>
    <x v="0"/>
    <x v="0"/>
    <m/>
    <m/>
    <n v="-120"/>
  </r>
  <r>
    <x v="0"/>
    <x v="43"/>
    <n v="7"/>
    <s v="HMI确认一下开港时间，看做箱时间要不要变"/>
    <x v="57"/>
    <x v="0"/>
    <x v="0"/>
    <m/>
    <s v="周六"/>
    <n v="-119"/>
  </r>
  <r>
    <x v="0"/>
    <x v="43"/>
    <n v="8"/>
    <s v="收到工厂发来报关资料并完善(代做报关资料跟客户确认)"/>
    <x v="57"/>
    <x v="0"/>
    <x v="0"/>
    <m/>
    <s v="当天至隔天"/>
    <n v="-119"/>
  </r>
  <r>
    <x v="0"/>
    <x v="43"/>
    <n v="9"/>
    <s v="报关资料齐了（光成要素划掉XXX），发报关行(黄寅文)"/>
    <x v="57"/>
    <x v="0"/>
    <x v="0"/>
    <m/>
    <m/>
    <n v="-119"/>
  </r>
  <r>
    <x v="0"/>
    <x v="43"/>
    <n v="10"/>
    <s v="货运模板/发票/箱单"/>
    <x v="57"/>
    <x v="0"/>
    <x v="0"/>
    <m/>
    <m/>
    <n v="-119"/>
  </r>
  <r>
    <x v="0"/>
    <x v="43"/>
    <n v="11"/>
    <s v="通知进港"/>
    <x v="57"/>
    <x v="1"/>
    <x v="0"/>
    <m/>
    <s v="调整顺序"/>
    <n v="-119"/>
  </r>
  <r>
    <x v="0"/>
    <x v="43"/>
    <n v="12"/>
    <s v="收到车队(沈丽)装箱单和洋山提箱截图(如有)，9点前群发，通知发舱单"/>
    <x v="84"/>
    <x v="0"/>
    <x v="6"/>
    <m/>
    <s v="一般KMM五、HMI日"/>
    <n v="-117"/>
  </r>
  <r>
    <x v="0"/>
    <x v="43"/>
    <n v="13"/>
    <s v="进港(核对数据)"/>
    <x v="84"/>
    <x v="0"/>
    <x v="4"/>
    <m/>
    <s v="调整顺序"/>
    <n v="-117"/>
  </r>
  <r>
    <x v="0"/>
    <x v="43"/>
    <n v="14"/>
    <s v="收到舱单发送成功通知，核对舱单信息"/>
    <x v="56"/>
    <x v="0"/>
    <x v="1"/>
    <m/>
    <m/>
    <n v="-116"/>
  </r>
  <r>
    <x v="0"/>
    <x v="43"/>
    <n v="15"/>
    <s v="通知报关（洋山发装箱单）"/>
    <x v="56"/>
    <x v="0"/>
    <x v="6"/>
    <m/>
    <s v="调整顺序"/>
    <n v="-116"/>
  </r>
  <r>
    <x v="0"/>
    <x v="43"/>
    <n v="16"/>
    <s v="报关成功"/>
    <x v="56"/>
    <x v="0"/>
    <x v="3"/>
    <m/>
    <s v="调整顺序"/>
    <n v="-116"/>
  </r>
  <r>
    <x v="0"/>
    <x v="43"/>
    <n v="17"/>
    <s v="海放"/>
    <x v="56"/>
    <x v="0"/>
    <x v="3"/>
    <m/>
    <m/>
    <n v="-116"/>
  </r>
  <r>
    <x v="0"/>
    <x v="43"/>
    <n v="18"/>
    <s v="码放"/>
    <x v="79"/>
    <x v="0"/>
    <x v="0"/>
    <m/>
    <m/>
    <n v="-115"/>
  </r>
  <r>
    <x v="0"/>
    <x v="43"/>
    <n v="19"/>
    <s v="配载"/>
    <x v="79"/>
    <x v="0"/>
    <x v="0"/>
    <m/>
    <m/>
    <n v="-115"/>
  </r>
  <r>
    <x v="0"/>
    <x v="43"/>
    <n v="20"/>
    <s v="做费用(对账单日期4号)，放公共盘，填月账单表，发孙丹"/>
    <x v="85"/>
    <x v="0"/>
    <x v="0"/>
    <m/>
    <m/>
    <n v="-114"/>
  </r>
  <r>
    <x v="0"/>
    <x v="43"/>
    <n v="21"/>
    <s v="如有额外费用发邮件"/>
    <x v="85"/>
    <x v="0"/>
    <x v="0"/>
    <m/>
    <m/>
    <n v="-114"/>
  </r>
  <r>
    <x v="0"/>
    <x v="43"/>
    <n v="22"/>
    <s v="船开"/>
    <x v="85"/>
    <x v="0"/>
    <x v="4"/>
    <m/>
    <m/>
    <n v="-114"/>
  </r>
  <r>
    <x v="4"/>
    <x v="43"/>
    <n v="1"/>
    <s v="收到客户(陈云娣)订舱预报"/>
    <x v="71"/>
    <x v="0"/>
    <x v="0"/>
    <m/>
    <s v="一般周五发隔周"/>
    <n v="-126"/>
  </r>
  <r>
    <x v="4"/>
    <x v="43"/>
    <n v="2"/>
    <s v="填WORKING PROCESS"/>
    <x v="72"/>
    <x v="0"/>
    <x v="0"/>
    <m/>
    <m/>
    <n v="-123"/>
  </r>
  <r>
    <x v="4"/>
    <x v="43"/>
    <n v="6"/>
    <s v="公共盘生成提单号(QSWB不要搞错)"/>
    <x v="63"/>
    <x v="0"/>
    <x v="0"/>
    <m/>
    <m/>
    <n v="-125"/>
  </r>
  <r>
    <x v="4"/>
    <x v="43"/>
    <n v="7"/>
    <s v="YJC系统生成单子"/>
    <x v="63"/>
    <x v="0"/>
    <x v="0"/>
    <m/>
    <m/>
    <n v="-125"/>
  </r>
  <r>
    <x v="4"/>
    <x v="43"/>
    <n v="8"/>
    <s v="发EDI"/>
    <x v="83"/>
    <x v="0"/>
    <x v="0"/>
    <m/>
    <m/>
    <n v="-122"/>
  </r>
  <r>
    <x v="4"/>
    <x v="43"/>
    <n v="9"/>
    <s v="邮件申请放舱"/>
    <x v="83"/>
    <x v="0"/>
    <x v="0"/>
    <m/>
    <m/>
    <n v="-122"/>
  </r>
  <r>
    <x v="4"/>
    <x v="43"/>
    <n v="10"/>
    <s v="收到HMM(Abbi) 订舱确认"/>
    <x v="83"/>
    <x v="0"/>
    <x v="0"/>
    <m/>
    <s v="一般半天内"/>
    <n v="-122"/>
  </r>
  <r>
    <x v="4"/>
    <x v="43"/>
    <n v="11"/>
    <s v="HMM网站核对预订舱信息"/>
    <x v="83"/>
    <x v="0"/>
    <x v="0"/>
    <m/>
    <m/>
    <n v="-122"/>
  </r>
  <r>
    <x v="4"/>
    <x v="43"/>
    <n v="12"/>
    <s v="收到客户(陈云娣)做箱通知"/>
    <x v="73"/>
    <x v="0"/>
    <x v="0"/>
    <m/>
    <s v="一般做箱头天一早"/>
    <n v="-120"/>
  </r>
  <r>
    <x v="4"/>
    <x v="43"/>
    <n v="13"/>
    <s v="公共盘生成提单号【如需拆单】"/>
    <x v="73"/>
    <x v="0"/>
    <x v="0"/>
    <m/>
    <m/>
    <n v="-120"/>
  </r>
  <r>
    <x v="4"/>
    <x v="43"/>
    <n v="14"/>
    <s v="发做箱通知邮件给车队(沈丽)（航次要加QL？）"/>
    <x v="73"/>
    <x v="0"/>
    <x v="0"/>
    <m/>
    <m/>
    <n v="-120"/>
  </r>
  <r>
    <x v="4"/>
    <x v="43"/>
    <n v="15"/>
    <s v="YJC系统生成单子【如需拆单】（QSWB不要搞错）"/>
    <x v="73"/>
    <x v="0"/>
    <x v="0"/>
    <m/>
    <m/>
    <n v="-120"/>
  </r>
  <r>
    <x v="4"/>
    <x v="43"/>
    <n v="16"/>
    <s v="发EDI【如需拆单】"/>
    <x v="73"/>
    <x v="0"/>
    <x v="0"/>
    <m/>
    <m/>
    <n v="-120"/>
  </r>
  <r>
    <x v="4"/>
    <x v="43"/>
    <n v="17"/>
    <s v="邮件申请放单【如需拆单】"/>
    <x v="73"/>
    <x v="0"/>
    <x v="0"/>
    <m/>
    <m/>
    <n v="-120"/>
  </r>
  <r>
    <x v="4"/>
    <x v="43"/>
    <n v="18"/>
    <s v="收到HMM(Neo) 加拼放单确认【如需拆单】"/>
    <x v="73"/>
    <x v="0"/>
    <x v="0"/>
    <m/>
    <m/>
    <n v="-120"/>
  </r>
  <r>
    <x v="4"/>
    <x v="43"/>
    <n v="19"/>
    <s v="HMM网站核对订舱信息【如需拆单】"/>
    <x v="73"/>
    <x v="0"/>
    <x v="0"/>
    <m/>
    <m/>
    <n v="-120"/>
  </r>
  <r>
    <x v="4"/>
    <x v="43"/>
    <n v="20"/>
    <s v="收到客户(陈云娣)发来报关资料"/>
    <x v="57"/>
    <x v="0"/>
    <x v="0"/>
    <m/>
    <s v="一般做箱当天一早"/>
    <n v="-119"/>
  </r>
  <r>
    <x v="4"/>
    <x v="43"/>
    <n v="21"/>
    <s v="按报关(发票)数生成提单号【如发票数超过提单数】"/>
    <x v="57"/>
    <x v="0"/>
    <x v="0"/>
    <m/>
    <m/>
    <n v="-119"/>
  </r>
  <r>
    <x v="4"/>
    <x v="43"/>
    <n v="22"/>
    <s v="做做箱数据，QQ发车队(沈丽)"/>
    <x v="57"/>
    <x v="0"/>
    <x v="0"/>
    <m/>
    <m/>
    <n v="-119"/>
  </r>
  <r>
    <x v="4"/>
    <x v="43"/>
    <n v="23"/>
    <s v="收到车队(沈丽)装箱单，转发客户（陈云娣）"/>
    <x v="57"/>
    <x v="0"/>
    <x v="0"/>
    <m/>
    <s v="一般马上"/>
    <n v="-119"/>
  </r>
  <r>
    <x v="4"/>
    <x v="43"/>
    <n v="24"/>
    <s v="YJC系统截单，发EDI，邮件HMM(He)【截单时间】"/>
    <x v="57"/>
    <x v="0"/>
    <x v="0"/>
    <m/>
    <s v="注意截单时间"/>
    <n v="-119"/>
  </r>
  <r>
    <x v="4"/>
    <x v="43"/>
    <n v="25"/>
    <s v="发VGM和舱单（亿通，鹏海两次）"/>
    <x v="57"/>
    <x v="0"/>
    <x v="0"/>
    <m/>
    <m/>
    <n v="-119"/>
  </r>
  <r>
    <x v="4"/>
    <x v="43"/>
    <n v="26"/>
    <s v="做报关资料，扫描发报关行(黄寅文)QQ，要校对稿"/>
    <x v="57"/>
    <x v="0"/>
    <x v="0"/>
    <m/>
    <m/>
    <n v="-119"/>
  </r>
  <r>
    <x v="4"/>
    <x v="43"/>
    <n v="27"/>
    <s v="做保函给邹师傅"/>
    <x v="57"/>
    <x v="0"/>
    <x v="0"/>
    <m/>
    <m/>
    <n v="-119"/>
  </r>
  <r>
    <x v="4"/>
    <x v="43"/>
    <n v="28"/>
    <s v="做ISF，发国外资料"/>
    <x v="57"/>
    <x v="0"/>
    <x v="0"/>
    <m/>
    <m/>
    <n v="-119"/>
  </r>
  <r>
    <x v="4"/>
    <x v="43"/>
    <n v="29"/>
    <s v="买保险"/>
    <x v="57"/>
    <x v="0"/>
    <x v="0"/>
    <m/>
    <m/>
    <n v="-119"/>
  </r>
  <r>
    <x v="4"/>
    <x v="43"/>
    <n v="31"/>
    <s v="收到HMM(He)生成提单通知"/>
    <x v="57"/>
    <x v="0"/>
    <x v="0"/>
    <m/>
    <s v="一般马上"/>
    <n v="-119"/>
  </r>
  <r>
    <x v="4"/>
    <x v="43"/>
    <n v="32"/>
    <s v="HMM网站核对提单信息"/>
    <x v="57"/>
    <x v="0"/>
    <x v="0"/>
    <m/>
    <m/>
    <n v="-119"/>
  </r>
  <r>
    <x v="4"/>
    <x v="43"/>
    <n v="33"/>
    <s v="盯海关网站舱单"/>
    <x v="57"/>
    <x v="0"/>
    <x v="0"/>
    <m/>
    <s v="一般两小时左右"/>
    <n v="-119"/>
  </r>
  <r>
    <x v="4"/>
    <x v="43"/>
    <n v="34"/>
    <s v="核对舱单信息"/>
    <x v="57"/>
    <x v="0"/>
    <x v="0"/>
    <m/>
    <m/>
    <n v="-119"/>
  </r>
  <r>
    <x v="4"/>
    <x v="43"/>
    <n v="35"/>
    <s v="收到报关行(黄寅文)校对稿，邮件发客户(陈云娣)确认"/>
    <x v="57"/>
    <x v="0"/>
    <x v="0"/>
    <m/>
    <s v="一般半天内"/>
    <n v="-119"/>
  </r>
  <r>
    <x v="4"/>
    <x v="43"/>
    <n v="36"/>
    <s v="收到客户(陈云娣)确认校对稿"/>
    <x v="78"/>
    <x v="0"/>
    <x v="0"/>
    <m/>
    <s v="一般马上"/>
    <n v="-118"/>
  </r>
  <r>
    <x v="4"/>
    <x v="43"/>
    <n v="37"/>
    <s v="通知车队(沈丽)可进港"/>
    <x v="57"/>
    <x v="0"/>
    <x v="0"/>
    <m/>
    <m/>
    <n v="-119"/>
  </r>
  <r>
    <x v="4"/>
    <x v="43"/>
    <n v="38"/>
    <s v="盯箱子进港，关注开港时间，有落箱费？"/>
    <x v="84"/>
    <x v="0"/>
    <x v="1"/>
    <m/>
    <s v="有落箱费"/>
    <n v="-117"/>
  </r>
  <r>
    <x v="4"/>
    <x v="43"/>
    <n v="39"/>
    <s v="核对进港数据"/>
    <x v="78"/>
    <x v="0"/>
    <x v="0"/>
    <m/>
    <m/>
    <n v="-118"/>
  </r>
  <r>
    <x v="4"/>
    <x v="43"/>
    <n v="40"/>
    <s v="通知报关行(黄寅文)报关(开港、舱单、校对)（洋山提供装箱单）"/>
    <x v="84"/>
    <x v="0"/>
    <x v="1"/>
    <m/>
    <m/>
    <n v="-117"/>
  </r>
  <r>
    <x v="4"/>
    <x v="43"/>
    <n v="41"/>
    <s v="查验，提供资料"/>
    <x v="56"/>
    <x v="0"/>
    <x v="3"/>
    <m/>
    <m/>
    <n v="-116"/>
  </r>
  <r>
    <x v="4"/>
    <x v="43"/>
    <n v="41.1"/>
    <s v="收查验资料"/>
    <x v="85"/>
    <x v="0"/>
    <x v="2"/>
    <m/>
    <m/>
    <n v="-114"/>
  </r>
  <r>
    <x v="4"/>
    <x v="43"/>
    <n v="42"/>
    <s v="收到报关成功通知"/>
    <x v="56"/>
    <x v="0"/>
    <x v="4"/>
    <m/>
    <s v="一般下班前"/>
    <n v="-116"/>
  </r>
  <r>
    <x v="4"/>
    <x v="43"/>
    <n v="43"/>
    <s v="盯海放"/>
    <x v="56"/>
    <x v="0"/>
    <x v="4"/>
    <m/>
    <m/>
    <n v="-116"/>
  </r>
  <r>
    <x v="4"/>
    <x v="43"/>
    <n v="44"/>
    <s v="盯码放"/>
    <x v="79"/>
    <x v="0"/>
    <x v="0"/>
    <m/>
    <m/>
    <n v="-115"/>
  </r>
  <r>
    <x v="4"/>
    <x v="43"/>
    <n v="45"/>
    <s v="盯配载"/>
    <x v="85"/>
    <x v="0"/>
    <x v="0"/>
    <m/>
    <m/>
    <n v="-114"/>
  </r>
  <r>
    <x v="4"/>
    <x v="43"/>
    <n v="46"/>
    <s v="做费用(查验的费用)，发账单给陈吟勇，查验费用"/>
    <x v="81"/>
    <x v="0"/>
    <x v="2"/>
    <m/>
    <m/>
    <n v="-112"/>
  </r>
  <r>
    <x v="4"/>
    <x v="43"/>
    <n v="47"/>
    <s v="船开"/>
    <x v="81"/>
    <x v="0"/>
    <x v="0"/>
    <m/>
    <m/>
    <n v="-112"/>
  </r>
  <r>
    <x v="4"/>
    <x v="43"/>
    <n v="48"/>
    <s v="发预录单和放行单给陈云娣"/>
    <x v="79"/>
    <x v="0"/>
    <x v="0"/>
    <m/>
    <m/>
    <n v="-115"/>
  </r>
  <r>
    <x v="4"/>
    <x v="43"/>
    <n v="49"/>
    <s v="放提单（PHISON、石磊提单、陈云娣三单）"/>
    <x v="81"/>
    <x v="0"/>
    <x v="4"/>
    <m/>
    <s v="一般开船后两三天"/>
    <n v="-112"/>
  </r>
  <r>
    <x v="1"/>
    <x v="43"/>
    <n v="1"/>
    <s v="收到客户(孙丹/王珊)发来订舱托书"/>
    <x v="70"/>
    <x v="0"/>
    <x v="0"/>
    <m/>
    <m/>
    <n v="-128"/>
  </r>
  <r>
    <x v="1"/>
    <x v="43"/>
    <n v="2"/>
    <s v="收到CK发来预配(做箱通知，沈丽有收到？)"/>
    <x v="38"/>
    <x v="0"/>
    <x v="0"/>
    <m/>
    <m/>
    <n v="-127"/>
  </r>
  <r>
    <x v="1"/>
    <x v="43"/>
    <n v="3"/>
    <s v="YJC系统生成单子"/>
    <x v="38"/>
    <x v="0"/>
    <x v="0"/>
    <m/>
    <m/>
    <n v="-127"/>
  </r>
  <r>
    <x v="1"/>
    <x v="43"/>
    <n v="4"/>
    <s v="收到包装厂(刘倩梅)发来包装指示书和装箱计划"/>
    <x v="73"/>
    <x v="0"/>
    <x v="0"/>
    <m/>
    <s v="一般周四"/>
    <n v="-120"/>
  </r>
  <r>
    <x v="1"/>
    <x v="43"/>
    <n v="5"/>
    <s v="根据装箱计划汇总包装数据，发各工厂做报关资料"/>
    <x v="73"/>
    <x v="0"/>
    <x v="0"/>
    <m/>
    <m/>
    <n v="-120"/>
  </r>
  <r>
    <x v="1"/>
    <x v="43"/>
    <n v="6"/>
    <s v="做做箱数据，邮件群发(查开港时间，注明做箱时间)"/>
    <x v="73"/>
    <x v="0"/>
    <x v="0"/>
    <m/>
    <m/>
    <n v="-120"/>
  </r>
  <r>
    <x v="1"/>
    <x v="43"/>
    <n v="7"/>
    <s v="HMI确认一下开港时间，看做箱时间要不要变"/>
    <x v="73"/>
    <x v="1"/>
    <x v="0"/>
    <m/>
    <s v="周六"/>
    <n v="-120"/>
  </r>
  <r>
    <x v="1"/>
    <x v="43"/>
    <n v="8"/>
    <s v="收到工厂发来报关资料并完善(代做报关资料跟客户确认)"/>
    <x v="73"/>
    <x v="0"/>
    <x v="0"/>
    <m/>
    <s v="当天至隔天"/>
    <n v="-120"/>
  </r>
  <r>
    <x v="1"/>
    <x v="43"/>
    <n v="9"/>
    <s v="报关资料齐了（光成要素划掉XXX），发报关行(黄寅文)"/>
    <x v="73"/>
    <x v="0"/>
    <x v="0"/>
    <m/>
    <m/>
    <n v="-120"/>
  </r>
  <r>
    <x v="1"/>
    <x v="43"/>
    <n v="10"/>
    <s v="货运模板/发票/箱单"/>
    <x v="73"/>
    <x v="0"/>
    <x v="0"/>
    <m/>
    <m/>
    <n v="-120"/>
  </r>
  <r>
    <x v="1"/>
    <x v="43"/>
    <n v="11"/>
    <s v="收到车队(沈丽)装箱单和洋山提箱截图(如有)，9点前群发，通知发舱单"/>
    <x v="57"/>
    <x v="0"/>
    <x v="0"/>
    <m/>
    <s v="一般KMM五、HMI日"/>
    <n v="-119"/>
  </r>
  <r>
    <x v="1"/>
    <x v="43"/>
    <n v="12"/>
    <s v="收到舱单发送成功通知，核对舱单信息"/>
    <x v="57"/>
    <x v="0"/>
    <x v="0"/>
    <m/>
    <m/>
    <n v="-119"/>
  </r>
  <r>
    <x v="1"/>
    <x v="43"/>
    <n v="13"/>
    <s v="通知报关（洋山发装箱单）"/>
    <x v="57"/>
    <x v="0"/>
    <x v="0"/>
    <m/>
    <s v="调整顺序"/>
    <n v="-119"/>
  </r>
  <r>
    <x v="1"/>
    <x v="43"/>
    <n v="14"/>
    <s v="报关成功"/>
    <x v="57"/>
    <x v="0"/>
    <x v="0"/>
    <m/>
    <s v="调整顺序"/>
    <n v="-119"/>
  </r>
  <r>
    <x v="1"/>
    <x v="43"/>
    <n v="15"/>
    <s v="通知进港"/>
    <x v="57"/>
    <x v="0"/>
    <x v="0"/>
    <m/>
    <s v="调整顺序"/>
    <n v="-119"/>
  </r>
  <r>
    <x v="1"/>
    <x v="43"/>
    <n v="16"/>
    <s v="进港(核对数据)"/>
    <x v="57"/>
    <x v="0"/>
    <x v="0"/>
    <m/>
    <s v="调整顺序"/>
    <n v="-119"/>
  </r>
  <r>
    <x v="1"/>
    <x v="43"/>
    <n v="17"/>
    <s v="海放"/>
    <x v="57"/>
    <x v="0"/>
    <x v="0"/>
    <m/>
    <m/>
    <n v="-119"/>
  </r>
  <r>
    <x v="1"/>
    <x v="43"/>
    <n v="18"/>
    <s v="码放"/>
    <x v="56"/>
    <x v="0"/>
    <x v="4"/>
    <m/>
    <m/>
    <n v="-116"/>
  </r>
  <r>
    <x v="1"/>
    <x v="43"/>
    <n v="19"/>
    <s v="配载"/>
    <x v="79"/>
    <x v="0"/>
    <x v="0"/>
    <m/>
    <m/>
    <n v="-115"/>
  </r>
  <r>
    <x v="1"/>
    <x v="43"/>
    <n v="20"/>
    <s v="做费用(对账单日期4号)，放公共盘，填月账单表，发孙丹"/>
    <x v="85"/>
    <x v="0"/>
    <x v="0"/>
    <m/>
    <m/>
    <n v="-114"/>
  </r>
  <r>
    <x v="1"/>
    <x v="43"/>
    <n v="21"/>
    <s v="船开"/>
    <x v="85"/>
    <x v="0"/>
    <x v="4"/>
    <m/>
    <m/>
    <n v="-114"/>
  </r>
  <r>
    <x v="7"/>
    <x v="43"/>
    <n v="1"/>
    <s v="收到徐小姐托书"/>
    <x v="73"/>
    <x v="0"/>
    <x v="0"/>
    <m/>
    <m/>
    <n v="-120"/>
  </r>
  <r>
    <x v="7"/>
    <x v="43"/>
    <n v="2"/>
    <s v="公共盘表格生成单号，YJC系统复制、生成"/>
    <x v="73"/>
    <x v="0"/>
    <x v="0"/>
    <m/>
    <s v="注意MBL#命名规则"/>
    <n v="-12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20"/>
  </r>
  <r>
    <x v="7"/>
    <x v="43"/>
    <n v="4"/>
    <s v="邮件发确认给国外"/>
    <x v="73"/>
    <x v="0"/>
    <x v="0"/>
    <m/>
    <s v="Delete ayjun@kylogix.co.kr Add hypark@kylogix.co.kr"/>
    <n v="-120"/>
  </r>
  <r>
    <x v="7"/>
    <x v="43"/>
    <n v="5"/>
    <s v="QQ发预配信息给徐小姐（模板），问是否要加拼"/>
    <x v="73"/>
    <x v="0"/>
    <x v="0"/>
    <m/>
    <m/>
    <n v="-120"/>
  </r>
  <r>
    <x v="7"/>
    <x v="43"/>
    <n v="6"/>
    <s v="订舱审核通过"/>
    <x v="73"/>
    <x v="0"/>
    <x v="0"/>
    <m/>
    <m/>
    <n v="-120"/>
  </r>
  <r>
    <x v="7"/>
    <x v="43"/>
    <n v="7"/>
    <s v="订舱界面加拼、提交，通知徐小姐加拼单号"/>
    <x v="57"/>
    <x v="0"/>
    <x v="0"/>
    <m/>
    <s v="点“多票加拼”"/>
    <n v="-119"/>
  </r>
  <r>
    <x v="7"/>
    <x v="43"/>
    <n v="8"/>
    <s v="加拼审核通过"/>
    <x v="57"/>
    <x v="0"/>
    <x v="0"/>
    <m/>
    <m/>
    <n v="-119"/>
  </r>
  <r>
    <x v="7"/>
    <x v="43"/>
    <n v="9"/>
    <s v="收到国外确认，公共盘红改黑，加CONFIRM"/>
    <x v="57"/>
    <x v="0"/>
    <x v="0"/>
    <m/>
    <m/>
    <n v="-119"/>
  </r>
  <r>
    <x v="7"/>
    <x v="43"/>
    <n v="10"/>
    <s v="收到车队江发来装箱数据和装箱单"/>
    <x v="56"/>
    <x v="0"/>
    <x v="1"/>
    <m/>
    <s v="周三周一截，周日周五截"/>
    <n v="-116"/>
  </r>
  <r>
    <x v="7"/>
    <x v="43"/>
    <n v="11"/>
    <s v="数据表中加入封号，汇总单票总件毛体"/>
    <x v="56"/>
    <x v="0"/>
    <x v="1"/>
    <m/>
    <m/>
    <n v="-116"/>
  </r>
  <r>
    <x v="7"/>
    <x v="43"/>
    <n v="12"/>
    <s v="YJC 截单"/>
    <x v="56"/>
    <x v="0"/>
    <x v="1"/>
    <m/>
    <s v="船名航次 开航日 件毛体 CC 箱量 箱封号 品名"/>
    <n v="-116"/>
  </r>
  <r>
    <x v="7"/>
    <x v="43"/>
    <n v="13"/>
    <s v="导出HBL，发徐小姐确认"/>
    <x v="56"/>
    <x v="0"/>
    <x v="1"/>
    <m/>
    <m/>
    <n v="-116"/>
  </r>
  <r>
    <x v="7"/>
    <x v="43"/>
    <n v="14"/>
    <s v="徐小姐确认HBL时，振华录入每一关单号的件毛体(注意箱状态)，保存"/>
    <x v="56"/>
    <x v="0"/>
    <x v="1"/>
    <m/>
    <s v="提单确认界面"/>
    <n v="-116"/>
  </r>
  <r>
    <x v="7"/>
    <x v="43"/>
    <n v="15"/>
    <s v="徐小姐确认HBL"/>
    <x v="56"/>
    <x v="0"/>
    <x v="1"/>
    <m/>
    <m/>
    <n v="-116"/>
  </r>
  <r>
    <x v="7"/>
    <x v="43"/>
    <n v="16"/>
    <s v="发舱单"/>
    <x v="56"/>
    <x v="0"/>
    <x v="1"/>
    <m/>
    <s v="一关单一发"/>
    <n v="-116"/>
  </r>
  <r>
    <x v="7"/>
    <x v="43"/>
    <n v="17"/>
    <s v="海关有舱单，核对舱单信息，(如无并单，可直接录VGM)"/>
    <x v="56"/>
    <x v="0"/>
    <x v="1"/>
    <m/>
    <m/>
    <n v="-116"/>
  </r>
  <r>
    <x v="7"/>
    <x v="43"/>
    <n v="18"/>
    <s v="订舱界面并单"/>
    <x v="56"/>
    <x v="1"/>
    <x v="1"/>
    <m/>
    <m/>
    <n v="-116"/>
  </r>
  <r>
    <x v="7"/>
    <x v="43"/>
    <n v="19"/>
    <s v="并单审核通过"/>
    <x v="56"/>
    <x v="1"/>
    <x v="1"/>
    <m/>
    <m/>
    <n v="-116"/>
  </r>
  <r>
    <x v="7"/>
    <x v="43"/>
    <n v="20"/>
    <s v="每票录入所有箱子箱封号和件毛体，保存，录VGM，导入"/>
    <x v="56"/>
    <x v="0"/>
    <x v="1"/>
    <m/>
    <m/>
    <n v="-116"/>
  </r>
  <r>
    <x v="7"/>
    <x v="43"/>
    <n v="21"/>
    <s v="打印MBL"/>
    <x v="56"/>
    <x v="0"/>
    <x v="1"/>
    <m/>
    <m/>
    <n v="-116"/>
  </r>
  <r>
    <x v="7"/>
    <x v="43"/>
    <n v="22"/>
    <s v="做费用，保存到下月3号"/>
    <x v="56"/>
    <x v="0"/>
    <x v="1"/>
    <m/>
    <m/>
    <n v="-116"/>
  </r>
  <r>
    <x v="7"/>
    <x v="43"/>
    <n v="23"/>
    <s v="表格、HBL、MBL、费用一起发邮件给国外"/>
    <x v="56"/>
    <x v="0"/>
    <x v="1"/>
    <m/>
    <s v="Delete ayjun@kylogix.co.kr Add hypark@kylogix.co.kr"/>
    <n v="-116"/>
  </r>
  <r>
    <x v="7"/>
    <x v="43"/>
    <n v="24"/>
    <s v="船开"/>
    <x v="87"/>
    <x v="0"/>
    <x v="0"/>
    <m/>
    <m/>
    <n v="-113"/>
  </r>
  <r>
    <x v="7"/>
    <x v="43"/>
    <n v="25"/>
    <s v="拿到WAYBILL"/>
    <x v="87"/>
    <x v="0"/>
    <x v="4"/>
    <m/>
    <m/>
    <n v="-11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13"/>
  </r>
  <r>
    <x v="11"/>
    <x v="44"/>
    <n v="1"/>
    <s v="收到客户(孙丹/王珊)发来订舱托书"/>
    <x v="73"/>
    <x v="0"/>
    <x v="0"/>
    <m/>
    <m/>
    <n v="-120"/>
  </r>
  <r>
    <x v="11"/>
    <x v="44"/>
    <n v="2"/>
    <s v="收到ZHL发来预配(做箱通知，沈丽有收到？)"/>
    <x v="73"/>
    <x v="0"/>
    <x v="0"/>
    <m/>
    <m/>
    <n v="-120"/>
  </r>
  <r>
    <x v="11"/>
    <x v="44"/>
    <n v="3"/>
    <s v="YJC系统生成单子"/>
    <x v="73"/>
    <x v="0"/>
    <x v="0"/>
    <m/>
    <m/>
    <n v="-120"/>
  </r>
  <r>
    <x v="11"/>
    <x v="44"/>
    <n v="4"/>
    <s v="关注开港时间，关注王钰货好时间，周日下午装箱"/>
    <x v="73"/>
    <x v="0"/>
    <x v="0"/>
    <m/>
    <m/>
    <n v="-120"/>
  </r>
  <r>
    <x v="11"/>
    <x v="44"/>
    <n v="5"/>
    <s v="中转港不对，更新船信息？"/>
    <x v="57"/>
    <x v="0"/>
    <x v="0"/>
    <m/>
    <m/>
    <n v="-119"/>
  </r>
  <r>
    <x v="11"/>
    <x v="44"/>
    <n v="6"/>
    <s v="收到包装厂(王钰)发来包装指示书和装箱计划（周日给）"/>
    <x v="84"/>
    <x v="0"/>
    <x v="6"/>
    <m/>
    <m/>
    <n v="-117"/>
  </r>
  <r>
    <x v="11"/>
    <x v="44"/>
    <n v="7"/>
    <s v="根据装箱计划汇总包装数据"/>
    <x v="84"/>
    <x v="0"/>
    <x v="6"/>
    <m/>
    <m/>
    <n v="-117"/>
  </r>
  <r>
    <x v="11"/>
    <x v="44"/>
    <n v="8"/>
    <s v="做做箱数据，查开港时间，通知全和及车队做箱时间和做箱数据"/>
    <x v="84"/>
    <x v="0"/>
    <x v="6"/>
    <m/>
    <m/>
    <n v="-117"/>
  </r>
  <r>
    <x v="11"/>
    <x v="44"/>
    <n v="9"/>
    <s v="收到车队(沈丽)装箱单和洋山提箱截图(如有)，转发装箱单给全和"/>
    <x v="84"/>
    <x v="0"/>
    <x v="6"/>
    <m/>
    <m/>
    <n v="-117"/>
  </r>
  <r>
    <x v="11"/>
    <x v="44"/>
    <n v="10"/>
    <s v="下午装箱"/>
    <x v="84"/>
    <x v="0"/>
    <x v="0"/>
    <m/>
    <m/>
    <n v="-117"/>
  </r>
  <r>
    <x v="11"/>
    <x v="44"/>
    <n v="11"/>
    <s v="进港(核对数据)"/>
    <x v="56"/>
    <x v="0"/>
    <x v="1"/>
    <m/>
    <m/>
    <n v="-116"/>
  </r>
  <r>
    <x v="11"/>
    <x v="44"/>
    <n v="12"/>
    <s v="海放（明天就要靠了，还没报关）"/>
    <x v="85"/>
    <x v="0"/>
    <x v="3"/>
    <m/>
    <s v="有点问题"/>
    <n v="-114"/>
  </r>
  <r>
    <x v="11"/>
    <x v="44"/>
    <n v="13"/>
    <s v="码放"/>
    <x v="87"/>
    <x v="0"/>
    <x v="3"/>
    <m/>
    <m/>
    <n v="-113"/>
  </r>
  <r>
    <x v="11"/>
    <x v="44"/>
    <n v="14"/>
    <s v="配载"/>
    <x v="87"/>
    <x v="0"/>
    <x v="3"/>
    <m/>
    <m/>
    <n v="-113"/>
  </r>
  <r>
    <x v="11"/>
    <x v="44"/>
    <n v="15"/>
    <s v="如何做费用，开票"/>
    <x v="82"/>
    <x v="0"/>
    <x v="0"/>
    <m/>
    <m/>
    <n v="-106"/>
  </r>
  <r>
    <x v="11"/>
    <x v="44"/>
    <n v="16"/>
    <s v="如有额外费用发邮件"/>
    <x v="82"/>
    <x v="0"/>
    <x v="0"/>
    <m/>
    <m/>
    <n v="-106"/>
  </r>
  <r>
    <x v="11"/>
    <x v="44"/>
    <n v="17"/>
    <s v="船开"/>
    <x v="81"/>
    <x v="0"/>
    <x v="0"/>
    <m/>
    <m/>
    <n v="-112"/>
  </r>
  <r>
    <x v="11"/>
    <x v="44"/>
    <n v="18"/>
    <s v="收到发票"/>
    <x v="88"/>
    <x v="0"/>
    <x v="1"/>
    <m/>
    <m/>
    <n v="-107"/>
  </r>
  <r>
    <x v="11"/>
    <x v="44"/>
    <n v="19"/>
    <s v="记录流程申请付款"/>
    <x v="88"/>
    <x v="0"/>
    <x v="0"/>
    <m/>
    <m/>
    <n v="-107"/>
  </r>
  <r>
    <x v="11"/>
    <x v="44"/>
    <n v="20"/>
    <s v="记录公章申请流程"/>
    <x v="89"/>
    <x v="0"/>
    <x v="0"/>
    <m/>
    <m/>
    <n v="-108"/>
  </r>
  <r>
    <x v="11"/>
    <x v="44"/>
    <n v="21"/>
    <s v="电放保函（找韩国要）"/>
    <x v="88"/>
    <x v="1"/>
    <x v="5"/>
    <m/>
    <m/>
    <n v="-107"/>
  </r>
  <r>
    <x v="11"/>
    <x v="44"/>
    <n v="22"/>
    <s v="发票金额不对"/>
    <x v="88"/>
    <x v="0"/>
    <x v="0"/>
    <m/>
    <m/>
    <n v="-107"/>
  </r>
  <r>
    <x v="11"/>
    <x v="44"/>
    <n v="23"/>
    <s v="APP"/>
    <x v="88"/>
    <x v="0"/>
    <x v="0"/>
    <m/>
    <m/>
    <n v="-107"/>
  </r>
  <r>
    <x v="11"/>
    <x v="44"/>
    <n v="24"/>
    <s v="申请付款，柳理事签字，给许培"/>
    <x v="82"/>
    <x v="0"/>
    <x v="3"/>
    <m/>
    <m/>
    <n v="-106"/>
  </r>
  <r>
    <x v="11"/>
    <x v="44"/>
    <n v="25"/>
    <s v="下午付款，拿到水单给肖凡（周五未付？）"/>
    <x v="65"/>
    <x v="0"/>
    <x v="1"/>
    <m/>
    <m/>
    <n v="-102"/>
  </r>
  <r>
    <x v="9"/>
    <x v="44"/>
    <n v="1"/>
    <s v="收到订舱邮件"/>
    <x v="46"/>
    <x v="1"/>
    <x v="0"/>
    <m/>
    <m/>
    <n v="-147"/>
  </r>
  <r>
    <x v="9"/>
    <x v="44"/>
    <n v="2"/>
    <s v="MSK网站订舱"/>
    <x v="46"/>
    <x v="1"/>
    <x v="0"/>
    <m/>
    <m/>
    <n v="-147"/>
  </r>
  <r>
    <x v="9"/>
    <x v="44"/>
    <n v="3"/>
    <s v="MSK网站有了截单时间"/>
    <x v="72"/>
    <x v="1"/>
    <x v="0"/>
    <m/>
    <s v="？"/>
    <n v="-123"/>
  </r>
  <r>
    <x v="9"/>
    <x v="44"/>
    <n v="4"/>
    <s v="发做箱通知邮件给车队(沈丽)，参考968603508"/>
    <x v="72"/>
    <x v="1"/>
    <x v="0"/>
    <m/>
    <s v="？"/>
    <n v="-123"/>
  </r>
  <r>
    <x v="9"/>
    <x v="44"/>
    <n v="5"/>
    <s v="申请外港提箱？"/>
    <x v="72"/>
    <x v="1"/>
    <x v="0"/>
    <m/>
    <s v="？"/>
    <n v="-123"/>
  </r>
  <r>
    <x v="9"/>
    <x v="44"/>
    <n v="6"/>
    <s v="代发AMS申请邮件，参考968603508"/>
    <x v="73"/>
    <x v="1"/>
    <x v="0"/>
    <m/>
    <s v="？"/>
    <n v="-120"/>
  </r>
  <r>
    <x v="9"/>
    <x v="44"/>
    <n v="7"/>
    <s v="发确认邮件给国外，参考968603508"/>
    <x v="73"/>
    <x v="1"/>
    <x v="0"/>
    <m/>
    <s v="？"/>
    <n v="-120"/>
  </r>
  <r>
    <x v="9"/>
    <x v="44"/>
    <n v="8"/>
    <s v="确认HBL为首尔预付，参考968603508"/>
    <x v="73"/>
    <x v="1"/>
    <x v="0"/>
    <m/>
    <s v="？"/>
    <n v="-120"/>
  </r>
  <r>
    <x v="9"/>
    <x v="44"/>
    <n v="9"/>
    <s v="销账？，参考968603508"/>
    <x v="73"/>
    <x v="1"/>
    <x v="0"/>
    <m/>
    <s v="？"/>
    <n v="-120"/>
  </r>
  <r>
    <x v="9"/>
    <x v="44"/>
    <n v="10"/>
    <s v="收入RECEIPT，发提单，参考968603508"/>
    <x v="87"/>
    <x v="1"/>
    <x v="0"/>
    <m/>
    <s v="？"/>
    <n v="-113"/>
  </r>
  <r>
    <x v="4"/>
    <x v="45"/>
    <n v="1"/>
    <s v="收到客户(陈云娣)订舱预报"/>
    <x v="71"/>
    <x v="0"/>
    <x v="0"/>
    <m/>
    <s v="一般周五发隔周"/>
    <n v="-126"/>
  </r>
  <r>
    <x v="4"/>
    <x v="45"/>
    <n v="2"/>
    <s v="填WORKING PROCESS"/>
    <x v="72"/>
    <x v="0"/>
    <x v="0"/>
    <m/>
    <m/>
    <n v="-123"/>
  </r>
  <r>
    <x v="4"/>
    <x v="45"/>
    <n v="6"/>
    <s v="公共盘生成提单号(QSWB不要搞错)"/>
    <x v="63"/>
    <x v="0"/>
    <x v="0"/>
    <m/>
    <m/>
    <n v="-125"/>
  </r>
  <r>
    <x v="4"/>
    <x v="45"/>
    <n v="7"/>
    <s v="YJC系统生成单子"/>
    <x v="63"/>
    <x v="0"/>
    <x v="0"/>
    <m/>
    <m/>
    <n v="-125"/>
  </r>
  <r>
    <x v="4"/>
    <x v="45"/>
    <n v="8"/>
    <s v="发EDI"/>
    <x v="83"/>
    <x v="0"/>
    <x v="0"/>
    <m/>
    <m/>
    <n v="-122"/>
  </r>
  <r>
    <x v="4"/>
    <x v="45"/>
    <n v="9"/>
    <s v="邮件申请放舱"/>
    <x v="83"/>
    <x v="0"/>
    <x v="0"/>
    <m/>
    <m/>
    <n v="-122"/>
  </r>
  <r>
    <x v="4"/>
    <x v="45"/>
    <n v="10"/>
    <s v="收到HMM(Abbi) 放舱确认"/>
    <x v="83"/>
    <x v="0"/>
    <x v="0"/>
    <m/>
    <s v="一般半天内"/>
    <n v="-122"/>
  </r>
  <r>
    <x v="4"/>
    <x v="45"/>
    <n v="11"/>
    <s v="HMM网站核对预订舱信息"/>
    <x v="83"/>
    <x v="0"/>
    <x v="0"/>
    <m/>
    <m/>
    <n v="-122"/>
  </r>
  <r>
    <x v="4"/>
    <x v="45"/>
    <n v="12"/>
    <s v="收到客户(陈云娣)做箱通知"/>
    <x v="56"/>
    <x v="1"/>
    <x v="1"/>
    <m/>
    <s v="一般做箱头天一早"/>
    <n v="-116"/>
  </r>
  <r>
    <x v="4"/>
    <x v="45"/>
    <n v="13"/>
    <s v="公共盘生成提单号【如需拆单】"/>
    <x v="56"/>
    <x v="1"/>
    <x v="6"/>
    <m/>
    <m/>
    <n v="-116"/>
  </r>
  <r>
    <x v="4"/>
    <x v="45"/>
    <n v="14"/>
    <s v="发做箱通知邮件给车队(沈丽)（航次要加QL？）"/>
    <x v="56"/>
    <x v="1"/>
    <x v="6"/>
    <m/>
    <m/>
    <n v="-116"/>
  </r>
  <r>
    <x v="4"/>
    <x v="45"/>
    <n v="15"/>
    <s v="YJC系统生成单子【如需拆单】（QSWB不要搞错）"/>
    <x v="56"/>
    <x v="1"/>
    <x v="6"/>
    <m/>
    <m/>
    <n v="-116"/>
  </r>
  <r>
    <x v="4"/>
    <x v="45"/>
    <n v="16"/>
    <s v="发EDI【如需拆单】"/>
    <x v="56"/>
    <x v="1"/>
    <x v="6"/>
    <m/>
    <m/>
    <n v="-116"/>
  </r>
  <r>
    <x v="4"/>
    <x v="45"/>
    <n v="17"/>
    <s v="邮件申请放单【如需拆单】"/>
    <x v="56"/>
    <x v="1"/>
    <x v="6"/>
    <m/>
    <m/>
    <n v="-116"/>
  </r>
  <r>
    <x v="4"/>
    <x v="45"/>
    <n v="18"/>
    <s v="收到HMM(Neo) 加拼放单确认【如需拆单】"/>
    <x v="56"/>
    <x v="1"/>
    <x v="6"/>
    <m/>
    <m/>
    <n v="-116"/>
  </r>
  <r>
    <x v="4"/>
    <x v="45"/>
    <n v="19"/>
    <s v="HMM网站核对订舱信息【如需拆单】"/>
    <x v="56"/>
    <x v="1"/>
    <x v="6"/>
    <m/>
    <m/>
    <n v="-116"/>
  </r>
  <r>
    <x v="4"/>
    <x v="45"/>
    <n v="20"/>
    <s v="收到客户(陈云娣)发来报关资料"/>
    <x v="79"/>
    <x v="1"/>
    <x v="0"/>
    <m/>
    <s v="一般做箱当天一早"/>
    <n v="-115"/>
  </r>
  <r>
    <x v="4"/>
    <x v="45"/>
    <n v="21"/>
    <s v="按报关(发票)数生成提单号【如发票数超过提单数】"/>
    <x v="79"/>
    <x v="1"/>
    <x v="0"/>
    <m/>
    <m/>
    <n v="-115"/>
  </r>
  <r>
    <x v="4"/>
    <x v="45"/>
    <n v="22"/>
    <s v="做做箱数据，QQ发车队(沈丽)"/>
    <x v="79"/>
    <x v="1"/>
    <x v="0"/>
    <m/>
    <m/>
    <n v="-115"/>
  </r>
  <r>
    <x v="4"/>
    <x v="45"/>
    <n v="23"/>
    <s v="收到车队(沈丽)装箱单，转发客户（陈云娣）"/>
    <x v="79"/>
    <x v="1"/>
    <x v="0"/>
    <m/>
    <s v="一般马上"/>
    <n v="-115"/>
  </r>
  <r>
    <x v="4"/>
    <x v="45"/>
    <n v="24"/>
    <s v="YJC系统截单，发EDI，邮件HMM(He)【截单时间】"/>
    <x v="79"/>
    <x v="1"/>
    <x v="0"/>
    <m/>
    <s v="注意截单时间"/>
    <n v="-115"/>
  </r>
  <r>
    <x v="4"/>
    <x v="45"/>
    <n v="25"/>
    <s v="发VGM和舱单（亿通，鹏海两次）"/>
    <x v="79"/>
    <x v="1"/>
    <x v="0"/>
    <m/>
    <m/>
    <n v="-115"/>
  </r>
  <r>
    <x v="4"/>
    <x v="45"/>
    <n v="26"/>
    <s v="做报关资料，扫描发报关行(黄寅文)QQ，要校对稿"/>
    <x v="79"/>
    <x v="1"/>
    <x v="0"/>
    <m/>
    <m/>
    <n v="-115"/>
  </r>
  <r>
    <x v="4"/>
    <x v="45"/>
    <n v="27"/>
    <s v="做保函给邹师傅"/>
    <x v="79"/>
    <x v="1"/>
    <x v="0"/>
    <m/>
    <m/>
    <n v="-115"/>
  </r>
  <r>
    <x v="4"/>
    <x v="45"/>
    <n v="28"/>
    <s v="做ISF，发国外资料"/>
    <x v="79"/>
    <x v="1"/>
    <x v="0"/>
    <m/>
    <m/>
    <n v="-115"/>
  </r>
  <r>
    <x v="4"/>
    <x v="45"/>
    <n v="29"/>
    <s v="买保险"/>
    <x v="79"/>
    <x v="1"/>
    <x v="0"/>
    <m/>
    <m/>
    <n v="-115"/>
  </r>
  <r>
    <x v="4"/>
    <x v="45"/>
    <n v="31"/>
    <s v="收到HMM(He)生成提单通知"/>
    <x v="79"/>
    <x v="1"/>
    <x v="0"/>
    <m/>
    <s v="一般马上"/>
    <n v="-115"/>
  </r>
  <r>
    <x v="4"/>
    <x v="45"/>
    <n v="32"/>
    <s v="HMM网站核对提单信息"/>
    <x v="79"/>
    <x v="1"/>
    <x v="0"/>
    <m/>
    <m/>
    <n v="-115"/>
  </r>
  <r>
    <x v="4"/>
    <x v="45"/>
    <n v="33"/>
    <s v="盯海关网站舱单"/>
    <x v="79"/>
    <x v="1"/>
    <x v="0"/>
    <m/>
    <s v="一般两小时左右"/>
    <n v="-115"/>
  </r>
  <r>
    <x v="4"/>
    <x v="45"/>
    <n v="34"/>
    <s v="核对舱单信息"/>
    <x v="79"/>
    <x v="1"/>
    <x v="0"/>
    <m/>
    <m/>
    <n v="-115"/>
  </r>
  <r>
    <x v="4"/>
    <x v="45"/>
    <n v="35"/>
    <s v="收到报关行(黄寅文)校对稿，邮件发客户(陈云娣)确认"/>
    <x v="79"/>
    <x v="1"/>
    <x v="0"/>
    <m/>
    <s v="一般半天内"/>
    <n v="-115"/>
  </r>
  <r>
    <x v="4"/>
    <x v="45"/>
    <n v="36"/>
    <s v="收到客户(陈云娣)确认校对稿"/>
    <x v="79"/>
    <x v="1"/>
    <x v="0"/>
    <m/>
    <s v="一般马上"/>
    <n v="-115"/>
  </r>
  <r>
    <x v="4"/>
    <x v="45"/>
    <n v="37"/>
    <s v="通知报关行(黄寅文)报关(开港、舱单、校对)（洋山提供装箱单）"/>
    <x v="79"/>
    <x v="1"/>
    <x v="0"/>
    <m/>
    <m/>
    <n v="-115"/>
  </r>
  <r>
    <x v="4"/>
    <x v="45"/>
    <n v="38"/>
    <s v="收到报关成功通知"/>
    <x v="79"/>
    <x v="1"/>
    <x v="0"/>
    <m/>
    <s v="一般下班前"/>
    <n v="-115"/>
  </r>
  <r>
    <x v="4"/>
    <x v="45"/>
    <n v="39"/>
    <s v="通知车队(沈丽)可进港"/>
    <x v="79"/>
    <x v="1"/>
    <x v="0"/>
    <m/>
    <m/>
    <n v="-115"/>
  </r>
  <r>
    <x v="4"/>
    <x v="45"/>
    <n v="40"/>
    <s v="盯箱子进港，关注开港时间，有落箱费？"/>
    <x v="85"/>
    <x v="1"/>
    <x v="0"/>
    <m/>
    <m/>
    <n v="-114"/>
  </r>
  <r>
    <x v="4"/>
    <x v="45"/>
    <n v="41"/>
    <s v="核对进港数据"/>
    <x v="85"/>
    <x v="1"/>
    <x v="0"/>
    <m/>
    <m/>
    <n v="-114"/>
  </r>
  <r>
    <x v="4"/>
    <x v="45"/>
    <n v="42"/>
    <s v="盯海放"/>
    <x v="85"/>
    <x v="1"/>
    <x v="0"/>
    <m/>
    <m/>
    <n v="-114"/>
  </r>
  <r>
    <x v="4"/>
    <x v="45"/>
    <n v="43"/>
    <s v="盯码放"/>
    <x v="85"/>
    <x v="1"/>
    <x v="0"/>
    <m/>
    <m/>
    <n v="-114"/>
  </r>
  <r>
    <x v="4"/>
    <x v="45"/>
    <n v="44"/>
    <s v="盯配载"/>
    <x v="87"/>
    <x v="1"/>
    <x v="0"/>
    <m/>
    <m/>
    <n v="-113"/>
  </r>
  <r>
    <x v="4"/>
    <x v="45"/>
    <n v="45"/>
    <s v="做费用(月初等汇率)，发账单给石磊"/>
    <x v="87"/>
    <x v="1"/>
    <x v="0"/>
    <m/>
    <m/>
    <n v="-113"/>
  </r>
  <r>
    <x v="4"/>
    <x v="45"/>
    <n v="46"/>
    <s v="船开"/>
    <x v="81"/>
    <x v="1"/>
    <x v="0"/>
    <m/>
    <m/>
    <n v="-112"/>
  </r>
  <r>
    <x v="4"/>
    <x v="45"/>
    <n v="47"/>
    <s v="放提单、预录单、放行单（PHISON、石磊提单、陈云娣三单）"/>
    <x v="81"/>
    <x v="1"/>
    <x v="0"/>
    <m/>
    <s v="一般开船后两三天"/>
    <n v="-112"/>
  </r>
  <r>
    <x v="12"/>
    <x v="46"/>
    <n v="1"/>
    <s v="收到孙丹发来托书"/>
    <x v="73"/>
    <x v="0"/>
    <x v="0"/>
    <m/>
    <m/>
    <n v="-120"/>
  </r>
  <r>
    <x v="12"/>
    <x v="46"/>
    <n v="2"/>
    <s v="问下，谁订舱，何时有预配"/>
    <x v="56"/>
    <x v="0"/>
    <x v="0"/>
    <m/>
    <m/>
    <n v="-116"/>
  </r>
  <r>
    <x v="12"/>
    <x v="46"/>
    <n v="3"/>
    <s v="收到CK发来预配(做箱通知，沈丽有收到？)"/>
    <x v="56"/>
    <x v="0"/>
    <x v="1"/>
    <m/>
    <m/>
    <n v="-116"/>
  </r>
  <r>
    <x v="12"/>
    <x v="46"/>
    <n v="4"/>
    <s v="确认货好时间，做箱数据什么时间能发来（通知金杰）"/>
    <x v="56"/>
    <x v="0"/>
    <x v="4"/>
    <m/>
    <m/>
    <n v="-116"/>
  </r>
  <r>
    <x v="12"/>
    <x v="46"/>
    <n v="5"/>
    <s v="YJC系统生成单子"/>
    <x v="56"/>
    <x v="0"/>
    <x v="2"/>
    <m/>
    <m/>
    <n v="-116"/>
  </r>
  <r>
    <x v="12"/>
    <x v="46"/>
    <n v="6"/>
    <s v="Nikki申请外港提箱，未通过"/>
    <x v="79"/>
    <x v="0"/>
    <x v="0"/>
    <m/>
    <m/>
    <n v="-115"/>
  </r>
  <r>
    <x v="12"/>
    <x v="46"/>
    <n v="7"/>
    <s v="收到包装厂(王钰)发来包装指示书和装箱计划"/>
    <x v="85"/>
    <x v="0"/>
    <x v="3"/>
    <m/>
    <s v="一般周四"/>
    <n v="-114"/>
  </r>
  <r>
    <x v="12"/>
    <x v="46"/>
    <n v="8"/>
    <s v="根据装箱计划汇总包装数据，发卢俊做报关资料"/>
    <x v="85"/>
    <x v="0"/>
    <x v="3"/>
    <m/>
    <m/>
    <n v="-114"/>
  </r>
  <r>
    <x v="12"/>
    <x v="46"/>
    <n v="9"/>
    <s v="做做箱数据，发车队和Nikki"/>
    <x v="85"/>
    <x v="0"/>
    <x v="3"/>
    <m/>
    <m/>
    <n v="-114"/>
  </r>
  <r>
    <x v="12"/>
    <x v="46"/>
    <n v="10"/>
    <s v="确认一下开港时间，看做箱时间要不要变"/>
    <x v="79"/>
    <x v="0"/>
    <x v="0"/>
    <m/>
    <m/>
    <n v="-115"/>
  </r>
  <r>
    <x v="12"/>
    <x v="46"/>
    <n v="11"/>
    <s v="收卢俊发来报关资料并完善(代做报关资料跟卢俊确认)"/>
    <x v="85"/>
    <x v="0"/>
    <x v="3"/>
    <m/>
    <s v="当天至隔天"/>
    <n v="-114"/>
  </r>
  <r>
    <x v="12"/>
    <x v="46"/>
    <n v="12"/>
    <s v="报关资料齐了，发报关行(黄寅文)"/>
    <x v="85"/>
    <x v="0"/>
    <x v="3"/>
    <m/>
    <m/>
    <n v="-114"/>
  </r>
  <r>
    <x v="12"/>
    <x v="46"/>
    <n v="13"/>
    <s v="收到车队(沈丽)装箱单和洋山提箱截图(如有)，9点前群发，通知发舱单"/>
    <x v="85"/>
    <x v="0"/>
    <x v="3"/>
    <m/>
    <s v="一般KMM五、HMI日"/>
    <n v="-114"/>
  </r>
  <r>
    <x v="12"/>
    <x v="46"/>
    <n v="13.1"/>
    <s v="报关资料很多问题，重新提供"/>
    <x v="81"/>
    <x v="0"/>
    <x v="1"/>
    <m/>
    <m/>
    <n v="-112"/>
  </r>
  <r>
    <x v="12"/>
    <x v="46"/>
    <n v="14"/>
    <s v="收到舱单发送成功通知，核对舱单信息"/>
    <x v="87"/>
    <x v="0"/>
    <x v="6"/>
    <m/>
    <m/>
    <n v="-113"/>
  </r>
  <r>
    <x v="12"/>
    <x v="46"/>
    <n v="15"/>
    <s v="通知进港"/>
    <x v="85"/>
    <x v="0"/>
    <x v="3"/>
    <m/>
    <s v="调整顺序"/>
    <n v="-114"/>
  </r>
  <r>
    <x v="12"/>
    <x v="46"/>
    <n v="16"/>
    <s v="通知报关（洋山发装箱单）"/>
    <x v="81"/>
    <x v="0"/>
    <x v="1"/>
    <m/>
    <s v="调整顺序"/>
    <n v="-112"/>
  </r>
  <r>
    <x v="12"/>
    <x v="46"/>
    <n v="17"/>
    <s v="报关成功"/>
    <x v="81"/>
    <x v="0"/>
    <x v="4"/>
    <m/>
    <s v="调整顺序"/>
    <n v="-112"/>
  </r>
  <r>
    <x v="12"/>
    <x v="46"/>
    <n v="18"/>
    <s v="进港(核对数据)"/>
    <x v="90"/>
    <x v="0"/>
    <x v="0"/>
    <m/>
    <s v="调整顺序"/>
    <n v="-111"/>
  </r>
  <r>
    <x v="12"/>
    <x v="46"/>
    <n v="19"/>
    <s v="海放"/>
    <x v="90"/>
    <x v="0"/>
    <x v="0"/>
    <m/>
    <m/>
    <n v="-111"/>
  </r>
  <r>
    <x v="12"/>
    <x v="46"/>
    <n v="20"/>
    <s v="码放"/>
    <x v="91"/>
    <x v="0"/>
    <x v="0"/>
    <m/>
    <m/>
    <n v="-110"/>
  </r>
  <r>
    <x v="12"/>
    <x v="46"/>
    <n v="21"/>
    <s v="配载"/>
    <x v="91"/>
    <x v="0"/>
    <x v="0"/>
    <m/>
    <m/>
    <n v="-110"/>
  </r>
  <r>
    <x v="12"/>
    <x v="46"/>
    <n v="22"/>
    <s v="8月结算，TJ glv承担洋提和落箱费，不承担二次进港费"/>
    <x v="92"/>
    <x v="0"/>
    <x v="0"/>
    <m/>
    <m/>
    <n v="-99"/>
  </r>
  <r>
    <x v="12"/>
    <x v="46"/>
    <n v="23"/>
    <s v="如有额外费用发邮件"/>
    <x v="64"/>
    <x v="0"/>
    <x v="3"/>
    <m/>
    <m/>
    <n v="-109"/>
  </r>
  <r>
    <x v="12"/>
    <x v="46"/>
    <n v="24"/>
    <s v="船开"/>
    <x v="89"/>
    <x v="0"/>
    <x v="0"/>
    <m/>
    <m/>
    <n v="-108"/>
  </r>
  <r>
    <x v="12"/>
    <x v="46"/>
    <n v="25"/>
    <s v="问沈丽落箱费"/>
    <x v="64"/>
    <x v="0"/>
    <x v="3"/>
    <m/>
    <m/>
    <n v="-109"/>
  </r>
  <r>
    <x v="12"/>
    <x v="46"/>
    <n v="26"/>
    <s v="落箱费邮件给孙丹"/>
    <x v="64"/>
    <x v="0"/>
    <x v="3"/>
    <m/>
    <m/>
    <n v="-109"/>
  </r>
  <r>
    <x v="12"/>
    <x v="46"/>
    <n v="27"/>
    <s v="孙丹确认落箱、洋提和二次进港费（数据，报关资料，舱单都晚）"/>
    <x v="64"/>
    <x v="1"/>
    <x v="3"/>
    <m/>
    <m/>
    <n v="-109"/>
  </r>
  <r>
    <x v="12"/>
    <x v="46"/>
    <n v="28"/>
    <s v="发预录单给卢俊"/>
    <x v="64"/>
    <x v="0"/>
    <x v="0"/>
    <m/>
    <m/>
    <n v="-109"/>
  </r>
  <r>
    <x v="12"/>
    <x v="46"/>
    <n v="29"/>
    <s v="开票"/>
    <x v="93"/>
    <x v="0"/>
    <x v="1"/>
    <m/>
    <m/>
    <n v="-93"/>
  </r>
  <r>
    <x v="12"/>
    <x v="46"/>
    <n v="30"/>
    <s v="收到周田发票700488727525圆通"/>
    <x v="94"/>
    <x v="0"/>
    <x v="6"/>
    <m/>
    <m/>
    <n v="-92"/>
  </r>
  <r>
    <x v="12"/>
    <x v="46"/>
    <n v="31"/>
    <s v="收到狄雪云发票，扫描发孙丹确认"/>
    <x v="94"/>
    <x v="0"/>
    <x v="0"/>
    <m/>
    <m/>
    <n v="-92"/>
  </r>
  <r>
    <x v="12"/>
    <x v="46"/>
    <n v="32"/>
    <s v="两张发票一起寄孙丹"/>
    <x v="94"/>
    <x v="0"/>
    <x v="6"/>
    <m/>
    <m/>
    <n v="-92"/>
  </r>
  <r>
    <x v="12"/>
    <x v="46"/>
    <n v="33"/>
    <s v="孙丹收到发票3720226951605"/>
    <x v="95"/>
    <x v="0"/>
    <x v="2"/>
    <m/>
    <m/>
    <n v="-88"/>
  </r>
  <r>
    <x v="7"/>
    <x v="47"/>
    <n v="1"/>
    <s v="收到徐小姐托书"/>
    <x v="79"/>
    <x v="0"/>
    <x v="0"/>
    <m/>
    <m/>
    <n v="-115"/>
  </r>
  <r>
    <x v="7"/>
    <x v="47"/>
    <n v="2"/>
    <s v="公共盘表格生成单号，YJC系统复制、生成"/>
    <x v="79"/>
    <x v="0"/>
    <x v="0"/>
    <m/>
    <s v="注意MBL#命名规则"/>
    <n v="-11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15"/>
  </r>
  <r>
    <x v="7"/>
    <x v="47"/>
    <n v="4"/>
    <s v="邮件发确认给国外"/>
    <x v="79"/>
    <x v="0"/>
    <x v="0"/>
    <m/>
    <s v="Delete ayjun@kylogix.co.kr Add hypark@kylogix.co.kr"/>
    <n v="-115"/>
  </r>
  <r>
    <x v="7"/>
    <x v="47"/>
    <n v="5"/>
    <s v="QQ发预配信息给徐小姐（模板），问是否要加拼"/>
    <x v="79"/>
    <x v="0"/>
    <x v="0"/>
    <m/>
    <m/>
    <n v="-115"/>
  </r>
  <r>
    <x v="7"/>
    <x v="47"/>
    <n v="6"/>
    <s v="订舱审核通过"/>
    <x v="79"/>
    <x v="0"/>
    <x v="6"/>
    <m/>
    <m/>
    <n v="-115"/>
  </r>
  <r>
    <x v="7"/>
    <x v="47"/>
    <n v="7"/>
    <s v="【如加拼】订舱界面加拼、提交，通知徐小姐加拼单号"/>
    <x v="79"/>
    <x v="1"/>
    <x v="0"/>
    <m/>
    <s v="点“多票加拼”"/>
    <n v="-115"/>
  </r>
  <r>
    <x v="7"/>
    <x v="47"/>
    <n v="8"/>
    <s v="【如加拼】加拼审核通过"/>
    <x v="79"/>
    <x v="1"/>
    <x v="0"/>
    <m/>
    <m/>
    <n v="-115"/>
  </r>
  <r>
    <x v="7"/>
    <x v="47"/>
    <n v="9"/>
    <s v="收到国外确认，公共盘红改黑，加CONFIRM"/>
    <x v="79"/>
    <x v="0"/>
    <x v="0"/>
    <m/>
    <m/>
    <n v="-115"/>
  </r>
  <r>
    <x v="7"/>
    <x v="47"/>
    <n v="10"/>
    <s v="收到车队江发来装箱数据和装箱单"/>
    <x v="81"/>
    <x v="0"/>
    <x v="1"/>
    <m/>
    <s v="周三周一截，周日周五截"/>
    <n v="-112"/>
  </r>
  <r>
    <x v="7"/>
    <x v="47"/>
    <n v="11"/>
    <s v="数据表中加入封号，汇总单票总件毛体"/>
    <x v="81"/>
    <x v="0"/>
    <x v="1"/>
    <m/>
    <m/>
    <n v="-112"/>
  </r>
  <r>
    <x v="7"/>
    <x v="47"/>
    <n v="12"/>
    <s v="YJC 截单"/>
    <x v="81"/>
    <x v="0"/>
    <x v="1"/>
    <m/>
    <s v="船名航次 开航日 件毛体 CC 箱量 箱封号 品名"/>
    <n v="-112"/>
  </r>
  <r>
    <x v="7"/>
    <x v="47"/>
    <n v="13"/>
    <s v="导出HBL，发徐小姐确认"/>
    <x v="81"/>
    <x v="0"/>
    <x v="1"/>
    <m/>
    <m/>
    <n v="-112"/>
  </r>
  <r>
    <x v="7"/>
    <x v="47"/>
    <n v="14"/>
    <s v="徐小姐确认HBL时，振华录入每一关单号的件毛体(注意箱状态)，保存"/>
    <x v="81"/>
    <x v="0"/>
    <x v="1"/>
    <m/>
    <m/>
    <n v="-112"/>
  </r>
  <r>
    <x v="7"/>
    <x v="47"/>
    <n v="15"/>
    <s v="徐小姐确认HBL"/>
    <x v="81"/>
    <x v="0"/>
    <x v="1"/>
    <m/>
    <m/>
    <n v="-112"/>
  </r>
  <r>
    <x v="7"/>
    <x v="47"/>
    <n v="16"/>
    <s v="发舱单"/>
    <x v="81"/>
    <x v="0"/>
    <x v="1"/>
    <m/>
    <s v="一关单一发"/>
    <n v="-112"/>
  </r>
  <r>
    <x v="7"/>
    <x v="47"/>
    <n v="17"/>
    <s v="海关有舱单，核对舱单信息，(如无并单，可直接录VGM)"/>
    <x v="81"/>
    <x v="0"/>
    <x v="1"/>
    <m/>
    <m/>
    <n v="-112"/>
  </r>
  <r>
    <x v="7"/>
    <x v="47"/>
    <n v="18"/>
    <s v="订舱界面并单"/>
    <x v="81"/>
    <x v="1"/>
    <x v="1"/>
    <m/>
    <m/>
    <n v="-112"/>
  </r>
  <r>
    <x v="7"/>
    <x v="47"/>
    <n v="19"/>
    <s v="并单审核通过"/>
    <x v="81"/>
    <x v="1"/>
    <x v="1"/>
    <m/>
    <m/>
    <n v="-112"/>
  </r>
  <r>
    <x v="7"/>
    <x v="47"/>
    <n v="20"/>
    <s v="每票录入所有箱子箱封号和件毛体，保存，录VGM，导入"/>
    <x v="81"/>
    <x v="0"/>
    <x v="1"/>
    <m/>
    <m/>
    <n v="-112"/>
  </r>
  <r>
    <x v="7"/>
    <x v="47"/>
    <n v="21"/>
    <s v="打印MBL"/>
    <x v="81"/>
    <x v="0"/>
    <x v="1"/>
    <m/>
    <m/>
    <n v="-112"/>
  </r>
  <r>
    <x v="7"/>
    <x v="47"/>
    <n v="22"/>
    <s v="做费用，保存到下月3号"/>
    <x v="81"/>
    <x v="0"/>
    <x v="1"/>
    <m/>
    <m/>
    <n v="-112"/>
  </r>
  <r>
    <x v="7"/>
    <x v="47"/>
    <n v="23"/>
    <s v="表格、HBL、MBL、费用一起发邮件给国外"/>
    <x v="81"/>
    <x v="0"/>
    <x v="1"/>
    <m/>
    <s v="Delete ayjun@kylogix.co.kr Add hypark@kylogix.co.kr"/>
    <n v="-112"/>
  </r>
  <r>
    <x v="7"/>
    <x v="47"/>
    <n v="24"/>
    <s v="船开"/>
    <x v="91"/>
    <x v="0"/>
    <x v="0"/>
    <m/>
    <m/>
    <n v="-110"/>
  </r>
  <r>
    <x v="7"/>
    <x v="47"/>
    <n v="25"/>
    <s v="拿到WAYBILL"/>
    <x v="64"/>
    <x v="0"/>
    <x v="3"/>
    <m/>
    <m/>
    <n v="-10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109"/>
  </r>
  <r>
    <x v="3"/>
    <x v="48"/>
    <n v="1"/>
    <s v="PANCON上周日船期提单领取单"/>
    <x v="64"/>
    <x v="0"/>
    <x v="1"/>
    <m/>
    <s v="周一"/>
    <n v="-109"/>
  </r>
  <r>
    <x v="3"/>
    <x v="48"/>
    <n v="2"/>
    <s v="WEEKLY REPORT"/>
    <x v="64"/>
    <x v="0"/>
    <x v="3"/>
    <m/>
    <s v="周一"/>
    <n v="-109"/>
  </r>
  <r>
    <x v="3"/>
    <x v="48"/>
    <n v="3"/>
    <s v="汇总SC JS下周订舱需求，回Abbi邮件，制作每票清单流水"/>
    <x v="64"/>
    <x v="0"/>
    <x v="1"/>
    <m/>
    <s v="周一"/>
    <n v="-109"/>
  </r>
  <r>
    <x v="3"/>
    <x v="48"/>
    <n v="4"/>
    <s v="收到Abbi确认"/>
    <x v="64"/>
    <x v="0"/>
    <x v="3"/>
    <m/>
    <s v="周一"/>
    <n v="-109"/>
  </r>
  <r>
    <x v="3"/>
    <x v="48"/>
    <n v="5"/>
    <s v="拿到PANCON WAYBILL，朱琳的给朱琳"/>
    <x v="64"/>
    <x v="0"/>
    <x v="3"/>
    <m/>
    <s v="周一"/>
    <n v="-109"/>
  </r>
  <r>
    <x v="3"/>
    <x v="48"/>
    <n v="6"/>
    <s v="PANCON周三出运清单（约号更新）"/>
    <x v="64"/>
    <x v="0"/>
    <x v="3"/>
    <m/>
    <s v="周一"/>
    <n v="-109"/>
  </r>
  <r>
    <x v="3"/>
    <x v="48"/>
    <n v="7"/>
    <s v="WORKING PROCESS"/>
    <x v="64"/>
    <x v="0"/>
    <x v="3"/>
    <m/>
    <s v="周一"/>
    <n v="-109"/>
  </r>
  <r>
    <x v="3"/>
    <x v="48"/>
    <n v="8"/>
    <s v="7-22这周（7-5两周后）带磁卡到医技楼取胎盘病理报告"/>
    <x v="89"/>
    <x v="0"/>
    <x v="6"/>
    <m/>
    <m/>
    <n v="-108"/>
  </r>
  <r>
    <x v="3"/>
    <x v="48"/>
    <n v="9"/>
    <s v="JS mobis 8月2号船期没定上"/>
    <x v="89"/>
    <x v="0"/>
    <x v="1"/>
    <m/>
    <m/>
    <n v="-108"/>
  </r>
  <r>
    <x v="3"/>
    <x v="48"/>
    <n v="10"/>
    <s v="ROADSUN群里说计划又改了"/>
    <x v="88"/>
    <x v="0"/>
    <x v="5"/>
    <m/>
    <m/>
    <n v="-107"/>
  </r>
  <r>
    <x v="3"/>
    <x v="48"/>
    <n v="11"/>
    <s v="HDMUQSWB4063618的费用做好给陈吟勇"/>
    <x v="88"/>
    <x v="0"/>
    <x v="5"/>
    <m/>
    <m/>
    <n v="-107"/>
  </r>
  <r>
    <x v="3"/>
    <x v="48"/>
    <n v="12"/>
    <s v="Nikki QQ 上说的事"/>
    <x v="88"/>
    <x v="0"/>
    <x v="5"/>
    <m/>
    <m/>
    <n v="-107"/>
  </r>
  <r>
    <x v="3"/>
    <x v="48"/>
    <n v="13"/>
    <s v="ROADSUN 改预配，新订舱"/>
    <x v="88"/>
    <x v="0"/>
    <x v="0"/>
    <m/>
    <m/>
    <n v="-107"/>
  </r>
  <r>
    <x v="3"/>
    <x v="48"/>
    <n v="14"/>
    <s v="WORKING PROCESS"/>
    <x v="82"/>
    <x v="0"/>
    <x v="1"/>
    <m/>
    <s v="周三"/>
    <n v="-106"/>
  </r>
  <r>
    <x v="3"/>
    <x v="48"/>
    <n v="15"/>
    <s v="PANCON周三船期提单领取单"/>
    <x v="82"/>
    <x v="0"/>
    <x v="5"/>
    <m/>
    <s v="周四"/>
    <n v="-106"/>
  </r>
  <r>
    <x v="3"/>
    <x v="48"/>
    <n v="16"/>
    <s v="拿到PANCON WAYBILL，朱琳的给朱琳"/>
    <x v="82"/>
    <x v="0"/>
    <x v="4"/>
    <m/>
    <s v="周四"/>
    <n v="-106"/>
  </r>
  <r>
    <x v="3"/>
    <x v="48"/>
    <n v="17"/>
    <s v="现代几票费用跟许培确认"/>
    <x v="82"/>
    <x v="0"/>
    <x v="1"/>
    <m/>
    <m/>
    <n v="-106"/>
  </r>
  <r>
    <x v="3"/>
    <x v="48"/>
    <n v="18"/>
    <s v="联合船代有未清洁费用不能发舱单，QQ上通知许培处理即可"/>
    <x v="82"/>
    <x v="0"/>
    <x v="0"/>
    <m/>
    <m/>
    <n v="-106"/>
  </r>
  <r>
    <x v="3"/>
    <x v="48"/>
    <n v="19"/>
    <s v="今天把越南马来西亚的费用做了发孙丹"/>
    <x v="82"/>
    <x v="0"/>
    <x v="0"/>
    <m/>
    <m/>
    <n v="-106"/>
  </r>
  <r>
    <x v="3"/>
    <x v="48"/>
    <n v="20"/>
    <s v="收到 Abbi 下下周订舱预报邮件"/>
    <x v="80"/>
    <x v="0"/>
    <x v="0"/>
    <m/>
    <s v="周五"/>
    <n v="-105"/>
  </r>
  <r>
    <x v="3"/>
    <x v="48"/>
    <n v="21"/>
    <s v="问JS mobis、SC glovis下下周订舱需求"/>
    <x v="65"/>
    <x v="0"/>
    <x v="1"/>
    <m/>
    <s v="周五"/>
    <n v="-102"/>
  </r>
  <r>
    <x v="3"/>
    <x v="48"/>
    <n v="22"/>
    <s v="WORKING PROCESS"/>
    <x v="80"/>
    <x v="0"/>
    <x v="0"/>
    <m/>
    <s v="周五"/>
    <n v="-105"/>
  </r>
  <r>
    <x v="3"/>
    <x v="48"/>
    <n v="23"/>
    <s v="PANCON周日出运清单（约号更新）"/>
    <x v="80"/>
    <x v="0"/>
    <x v="3"/>
    <m/>
    <s v="周五"/>
    <n v="-105"/>
  </r>
  <r>
    <x v="3"/>
    <x v="48"/>
    <n v="24"/>
    <s v="制下周 WEEK 流水"/>
    <x v="96"/>
    <x v="0"/>
    <x v="0"/>
    <m/>
    <s v="周五"/>
    <n v="-104"/>
  </r>
  <r>
    <x v="3"/>
    <x v="48"/>
    <n v="25"/>
    <s v="张婷转财务的快递"/>
    <x v="80"/>
    <x v="0"/>
    <x v="4"/>
    <m/>
    <m/>
    <n v="-105"/>
  </r>
  <r>
    <x v="3"/>
    <x v="48"/>
    <n v="26"/>
    <s v="问朱琳 Wanda 发来的official receipt什么用途"/>
    <x v="80"/>
    <x v="0"/>
    <x v="3"/>
    <m/>
    <m/>
    <n v="-105"/>
  </r>
  <r>
    <x v="3"/>
    <x v="48"/>
    <n v="27"/>
    <s v="问一下文生然ROADSUN新订舱的情况，再让康问下韩国"/>
    <x v="80"/>
    <x v="0"/>
    <x v="1"/>
    <m/>
    <m/>
    <n v="-105"/>
  </r>
  <r>
    <x v="3"/>
    <x v="48"/>
    <n v="28"/>
    <s v="JS mobis 31号船期报关的箱型码号发给陈云娣（啥意思？）"/>
    <x v="96"/>
    <x v="1"/>
    <x v="0"/>
    <m/>
    <m/>
    <n v="-104"/>
  </r>
  <r>
    <x v="3"/>
    <x v="48"/>
    <n v="29"/>
    <s v="ROADSUN 阿康问国外情况，和文小姐的核对"/>
    <x v="65"/>
    <x v="0"/>
    <x v="1"/>
    <m/>
    <m/>
    <n v="-102"/>
  </r>
  <r>
    <x v="3"/>
    <x v="48"/>
    <n v="30"/>
    <s v="张婷询证函"/>
    <x v="65"/>
    <x v="0"/>
    <x v="6"/>
    <m/>
    <m/>
    <n v="-102"/>
  </r>
  <r>
    <x v="3"/>
    <x v="48"/>
    <n v="31"/>
    <s v="越南马来西亚5票费用有没有问题"/>
    <x v="65"/>
    <x v="0"/>
    <x v="1"/>
    <m/>
    <m/>
    <n v="-102"/>
  </r>
  <r>
    <x v="3"/>
    <x v="48"/>
    <m/>
    <s v="车队江0729这周休假"/>
    <x v="97"/>
    <x v="0"/>
    <x v="0"/>
    <m/>
    <m/>
    <n v="-98"/>
  </r>
  <r>
    <x v="3"/>
    <x v="48"/>
    <m/>
    <s v="万盛31号取消"/>
    <x v="96"/>
    <x v="0"/>
    <x v="0"/>
    <m/>
    <m/>
    <n v="-104"/>
  </r>
  <r>
    <x v="3"/>
    <x v="48"/>
    <m/>
    <s v="8.1越南取消做箱邮件"/>
    <x v="96"/>
    <x v="0"/>
    <x v="0"/>
    <m/>
    <m/>
    <n v="-104"/>
  </r>
  <r>
    <x v="3"/>
    <x v="48"/>
    <m/>
    <s v="黄美华 高丽人民币美金"/>
    <x v="96"/>
    <x v="0"/>
    <x v="0"/>
    <m/>
    <m/>
    <n v="-104"/>
  </r>
  <r>
    <x v="3"/>
    <x v="48"/>
    <m/>
    <s v="ROADSUN 新订舱"/>
    <x v="66"/>
    <x v="0"/>
    <x v="1"/>
    <m/>
    <m/>
    <n v="-101"/>
  </r>
  <r>
    <x v="0"/>
    <x v="49"/>
    <n v="1"/>
    <s v="收到客户(孙丹/王珊)发来订舱托书"/>
    <x v="57"/>
    <x v="0"/>
    <x v="0"/>
    <m/>
    <m/>
    <n v="-119"/>
  </r>
  <r>
    <x v="0"/>
    <x v="49"/>
    <n v="2"/>
    <s v="收到CK发来预配(做箱通知，沈丽有收到？)"/>
    <x v="87"/>
    <x v="0"/>
    <x v="5"/>
    <m/>
    <m/>
    <n v="-113"/>
  </r>
  <r>
    <x v="0"/>
    <x v="49"/>
    <n v="3"/>
    <s v="YJC系统生成单子"/>
    <x v="87"/>
    <x v="0"/>
    <x v="0"/>
    <m/>
    <m/>
    <n v="-113"/>
  </r>
  <r>
    <x v="0"/>
    <x v="49"/>
    <n v="4"/>
    <s v="收到包装厂(刘倩梅)发来包装指示书和装箱计划"/>
    <x v="87"/>
    <x v="0"/>
    <x v="4"/>
    <m/>
    <s v="一般周四"/>
    <n v="-113"/>
  </r>
  <r>
    <x v="0"/>
    <x v="49"/>
    <n v="4.0999999999999996"/>
    <s v="收到包装厂(刘倩梅)发来北京光成的数据"/>
    <x v="87"/>
    <x v="0"/>
    <x v="0"/>
    <m/>
    <m/>
    <n v="-113"/>
  </r>
  <r>
    <x v="0"/>
    <x v="49"/>
    <n v="5"/>
    <s v="根据装箱计划汇总包装数据，发各工厂做报关资料"/>
    <x v="87"/>
    <x v="0"/>
    <x v="0"/>
    <m/>
    <m/>
    <n v="-113"/>
  </r>
  <r>
    <x v="0"/>
    <x v="49"/>
    <n v="6"/>
    <s v="做做箱数据，邮件群发(查开港时间，注明做箱时间)"/>
    <x v="87"/>
    <x v="0"/>
    <x v="0"/>
    <m/>
    <m/>
    <n v="-113"/>
  </r>
  <r>
    <x v="0"/>
    <x v="49"/>
    <n v="7"/>
    <s v="HMI确认一下开港时间，看做箱时间要不要变"/>
    <x v="90"/>
    <x v="0"/>
    <x v="3"/>
    <m/>
    <s v="周六"/>
    <n v="-111"/>
  </r>
  <r>
    <x v="0"/>
    <x v="49"/>
    <n v="8"/>
    <s v="通知进港"/>
    <x v="81"/>
    <x v="0"/>
    <x v="0"/>
    <m/>
    <s v="调整顺序"/>
    <n v="-112"/>
  </r>
  <r>
    <x v="0"/>
    <x v="49"/>
    <n v="9"/>
    <s v="收到工厂发来报关资料并完善(代做报关资料跟客户确认)"/>
    <x v="64"/>
    <x v="0"/>
    <x v="5"/>
    <m/>
    <s v="当天至隔天"/>
    <n v="-109"/>
  </r>
  <r>
    <x v="0"/>
    <x v="49"/>
    <n v="10"/>
    <s v="报关资料齐了（光成要素划掉XXX），发报关行(黄寅文)"/>
    <x v="64"/>
    <x v="0"/>
    <x v="5"/>
    <m/>
    <m/>
    <n v="-109"/>
  </r>
  <r>
    <x v="0"/>
    <x v="49"/>
    <n v="11"/>
    <s v="货运模板/发票/箱单"/>
    <x v="64"/>
    <x v="0"/>
    <x v="2"/>
    <m/>
    <m/>
    <n v="-109"/>
  </r>
  <r>
    <x v="0"/>
    <x v="49"/>
    <n v="12"/>
    <s v="收到车队(沈丽)装箱单和洋山提箱截图(如有)，9点前群发，通知发舱单"/>
    <x v="64"/>
    <x v="0"/>
    <x v="5"/>
    <m/>
    <s v="一般KMM五、HMI日"/>
    <n v="-109"/>
  </r>
  <r>
    <x v="0"/>
    <x v="49"/>
    <n v="13"/>
    <s v="进港(核对数据)"/>
    <x v="64"/>
    <x v="0"/>
    <x v="1"/>
    <m/>
    <s v="调整顺序"/>
    <n v="-109"/>
  </r>
  <r>
    <x v="0"/>
    <x v="49"/>
    <n v="14"/>
    <s v="收到舱单发送成功通知，核对舱单信息"/>
    <x v="64"/>
    <x v="0"/>
    <x v="1"/>
    <m/>
    <m/>
    <n v="-109"/>
  </r>
  <r>
    <x v="0"/>
    <x v="49"/>
    <n v="15"/>
    <s v="通知报关（洋山发装箱单）"/>
    <x v="64"/>
    <x v="0"/>
    <x v="1"/>
    <m/>
    <s v="调整顺序"/>
    <n v="-109"/>
  </r>
  <r>
    <x v="0"/>
    <x v="49"/>
    <n v="16"/>
    <s v="报关成功"/>
    <x v="64"/>
    <x v="0"/>
    <x v="6"/>
    <m/>
    <s v="调整顺序"/>
    <n v="-109"/>
  </r>
  <r>
    <x v="0"/>
    <x v="49"/>
    <n v="17"/>
    <s v="海放"/>
    <x v="64"/>
    <x v="0"/>
    <x v="3"/>
    <m/>
    <m/>
    <n v="-109"/>
  </r>
  <r>
    <x v="0"/>
    <x v="49"/>
    <n v="18"/>
    <s v="码放"/>
    <x v="88"/>
    <x v="0"/>
    <x v="3"/>
    <m/>
    <m/>
    <n v="-107"/>
  </r>
  <r>
    <x v="0"/>
    <x v="49"/>
    <n v="19"/>
    <s v="配载"/>
    <x v="82"/>
    <x v="0"/>
    <x v="3"/>
    <m/>
    <m/>
    <n v="-106"/>
  </r>
  <r>
    <x v="0"/>
    <x v="49"/>
    <n v="20"/>
    <s v="做费用(对账单日期4号)，放公共盘，填月账单表，发孙丹"/>
    <x v="88"/>
    <x v="0"/>
    <x v="3"/>
    <m/>
    <m/>
    <n v="-107"/>
  </r>
  <r>
    <x v="0"/>
    <x v="49"/>
    <n v="21"/>
    <s v="如有额外费用发邮件"/>
    <x v="88"/>
    <x v="1"/>
    <x v="3"/>
    <m/>
    <m/>
    <n v="-107"/>
  </r>
  <r>
    <x v="0"/>
    <x v="49"/>
    <n v="22"/>
    <s v="船开"/>
    <x v="80"/>
    <x v="0"/>
    <x v="0"/>
    <m/>
    <m/>
    <n v="-105"/>
  </r>
  <r>
    <x v="4"/>
    <x v="49"/>
    <n v="1"/>
    <s v="收到客户(陈云娣)订舱预报"/>
    <x v="56"/>
    <x v="0"/>
    <x v="0"/>
    <m/>
    <s v="一般周五发隔周"/>
    <n v="-116"/>
  </r>
  <r>
    <x v="4"/>
    <x v="49"/>
    <n v="2"/>
    <s v="填WORKING PROCESS"/>
    <x v="56"/>
    <x v="0"/>
    <x v="0"/>
    <m/>
    <m/>
    <n v="-116"/>
  </r>
  <r>
    <x v="4"/>
    <x v="49"/>
    <n v="3"/>
    <s v="船带到韩国中转，哪些地方要跟着变？"/>
    <x v="79"/>
    <x v="0"/>
    <x v="0"/>
    <m/>
    <m/>
    <n v="-115"/>
  </r>
  <r>
    <x v="4"/>
    <x v="49"/>
    <n v="6"/>
    <s v="公共盘生成提单号(QSWB不要搞错)"/>
    <x v="56"/>
    <x v="0"/>
    <x v="0"/>
    <m/>
    <m/>
    <n v="-116"/>
  </r>
  <r>
    <x v="4"/>
    <x v="49"/>
    <n v="7"/>
    <s v="YJC系统生成单子"/>
    <x v="56"/>
    <x v="0"/>
    <x v="0"/>
    <m/>
    <m/>
    <n v="-116"/>
  </r>
  <r>
    <x v="4"/>
    <x v="49"/>
    <n v="8"/>
    <s v="发EDI（CY-CY）"/>
    <x v="56"/>
    <x v="0"/>
    <x v="0"/>
    <m/>
    <m/>
    <n v="-116"/>
  </r>
  <r>
    <x v="4"/>
    <x v="49"/>
    <n v="9"/>
    <s v="邮件申请放舱"/>
    <x v="56"/>
    <x v="0"/>
    <x v="0"/>
    <m/>
    <m/>
    <n v="-116"/>
  </r>
  <r>
    <x v="4"/>
    <x v="49"/>
    <n v="10"/>
    <s v="收到HMM(Abbi) 确认放舱"/>
    <x v="85"/>
    <x v="0"/>
    <x v="1"/>
    <m/>
    <s v="一般半天内"/>
    <n v="-114"/>
  </r>
  <r>
    <x v="4"/>
    <x v="49"/>
    <n v="11"/>
    <s v="HMM网站核对订舱信息"/>
    <x v="85"/>
    <x v="0"/>
    <x v="1"/>
    <m/>
    <m/>
    <n v="-114"/>
  </r>
  <r>
    <x v="4"/>
    <x v="49"/>
    <n v="12"/>
    <s v="收到客户(陈云娣)做箱通知"/>
    <x v="85"/>
    <x v="0"/>
    <x v="0"/>
    <m/>
    <s v="一般做箱头天一早"/>
    <n v="-114"/>
  </r>
  <r>
    <x v="4"/>
    <x v="49"/>
    <n v="13"/>
    <s v="公共盘生成提单号【如需拆单】"/>
    <x v="85"/>
    <x v="0"/>
    <x v="1"/>
    <m/>
    <m/>
    <n v="-114"/>
  </r>
  <r>
    <x v="4"/>
    <x v="49"/>
    <n v="14"/>
    <s v="发做箱通知邮件给车队(沈丽)（航次要加QL？）"/>
    <x v="85"/>
    <x v="0"/>
    <x v="1"/>
    <m/>
    <m/>
    <n v="-114"/>
  </r>
  <r>
    <x v="4"/>
    <x v="49"/>
    <n v="15"/>
    <s v="YJC系统生成单子【如需拆单】（QSWB不要搞错）"/>
    <x v="85"/>
    <x v="0"/>
    <x v="1"/>
    <m/>
    <m/>
    <n v="-114"/>
  </r>
  <r>
    <x v="4"/>
    <x v="49"/>
    <n v="16"/>
    <s v="发EDI【如需拆单】（CY-CY）"/>
    <x v="85"/>
    <x v="0"/>
    <x v="1"/>
    <m/>
    <m/>
    <n v="-114"/>
  </r>
  <r>
    <x v="4"/>
    <x v="49"/>
    <n v="17"/>
    <s v="邮件申请放单【如需拆单】"/>
    <x v="85"/>
    <x v="0"/>
    <x v="1"/>
    <m/>
    <m/>
    <n v="-114"/>
  </r>
  <r>
    <x v="4"/>
    <x v="49"/>
    <n v="18"/>
    <s v="收到HMM(Abbi) 加拼放单确认【如需拆单】"/>
    <x v="85"/>
    <x v="0"/>
    <x v="4"/>
    <m/>
    <m/>
    <n v="-114"/>
  </r>
  <r>
    <x v="4"/>
    <x v="49"/>
    <n v="19"/>
    <s v="HMM网站核对订舱信息【如需拆单】"/>
    <x v="85"/>
    <x v="0"/>
    <x v="4"/>
    <m/>
    <m/>
    <n v="-114"/>
  </r>
  <r>
    <x v="4"/>
    <x v="49"/>
    <n v="20"/>
    <s v="收到客户(陈云娣)发来报关资料"/>
    <x v="87"/>
    <x v="0"/>
    <x v="1"/>
    <m/>
    <s v="一般做箱当天一早"/>
    <n v="-113"/>
  </r>
  <r>
    <x v="4"/>
    <x v="49"/>
    <n v="21"/>
    <s v="按报关(发票)数生成提单号【如发票数超过提单数】"/>
    <x v="87"/>
    <x v="0"/>
    <x v="0"/>
    <m/>
    <m/>
    <n v="-113"/>
  </r>
  <r>
    <x v="4"/>
    <x v="49"/>
    <n v="22"/>
    <s v="做做箱数据，QQ发车队(沈丽)"/>
    <x v="87"/>
    <x v="0"/>
    <x v="0"/>
    <m/>
    <m/>
    <n v="-113"/>
  </r>
  <r>
    <x v="4"/>
    <x v="49"/>
    <n v="23"/>
    <s v="收到车队(沈丽)装箱单，转发客户（陈云娣）"/>
    <x v="87"/>
    <x v="0"/>
    <x v="0"/>
    <m/>
    <s v="一般马上"/>
    <n v="-113"/>
  </r>
  <r>
    <x v="4"/>
    <x v="49"/>
    <n v="24"/>
    <s v="YJC系统截单，发EDI，邮件HMM(He)【截单时间】（CY-CY）"/>
    <x v="87"/>
    <x v="0"/>
    <x v="0"/>
    <m/>
    <s v="注意截单时间"/>
    <n v="-113"/>
  </r>
  <r>
    <x v="4"/>
    <x v="49"/>
    <n v="25"/>
    <s v="发VGM和舱单（亿通，鹏海两次）"/>
    <x v="87"/>
    <x v="0"/>
    <x v="0"/>
    <m/>
    <m/>
    <n v="-113"/>
  </r>
  <r>
    <x v="4"/>
    <x v="49"/>
    <n v="26"/>
    <s v="做报关资料，扫描发报关行(黄寅文)QQ，要校对稿"/>
    <x v="87"/>
    <x v="0"/>
    <x v="0"/>
    <m/>
    <m/>
    <n v="-113"/>
  </r>
  <r>
    <x v="4"/>
    <x v="49"/>
    <n v="27"/>
    <s v="做保函给邹师傅（中转，注意船名航次）"/>
    <x v="87"/>
    <x v="0"/>
    <x v="0"/>
    <m/>
    <m/>
    <n v="-113"/>
  </r>
  <r>
    <x v="4"/>
    <x v="49"/>
    <n v="28"/>
    <s v="做ISF，发国外资料（中转，注意船名航次）"/>
    <x v="87"/>
    <x v="0"/>
    <x v="0"/>
    <m/>
    <m/>
    <n v="-113"/>
  </r>
  <r>
    <x v="4"/>
    <x v="49"/>
    <n v="29"/>
    <s v="买保险"/>
    <x v="87"/>
    <x v="0"/>
    <x v="0"/>
    <m/>
    <m/>
    <n v="-113"/>
  </r>
  <r>
    <x v="4"/>
    <x v="49"/>
    <n v="31"/>
    <s v="收到HMM(He)生成提单通知"/>
    <x v="87"/>
    <x v="0"/>
    <x v="0"/>
    <m/>
    <s v="一般马上"/>
    <n v="-113"/>
  </r>
  <r>
    <x v="4"/>
    <x v="49"/>
    <n v="32"/>
    <s v="HMM网站核对提单信息"/>
    <x v="87"/>
    <x v="0"/>
    <x v="0"/>
    <m/>
    <m/>
    <n v="-113"/>
  </r>
  <r>
    <x v="4"/>
    <x v="49"/>
    <n v="33"/>
    <s v="盯海关网站舱单"/>
    <x v="87"/>
    <x v="0"/>
    <x v="0"/>
    <m/>
    <s v="一般两小时左右"/>
    <n v="-113"/>
  </r>
  <r>
    <x v="4"/>
    <x v="49"/>
    <n v="34"/>
    <s v="核对舱单信息"/>
    <x v="87"/>
    <x v="0"/>
    <x v="0"/>
    <m/>
    <m/>
    <n v="-113"/>
  </r>
  <r>
    <x v="4"/>
    <x v="49"/>
    <n v="35"/>
    <s v="收到报关行(黄寅文)校对稿，邮件发客户(陈云娣)确认"/>
    <x v="81"/>
    <x v="0"/>
    <x v="0"/>
    <m/>
    <s v="一般半天内"/>
    <n v="-112"/>
  </r>
  <r>
    <x v="4"/>
    <x v="49"/>
    <n v="36"/>
    <s v="收到客户(陈云娣)确认校对稿"/>
    <x v="81"/>
    <x v="0"/>
    <x v="0"/>
    <m/>
    <s v="一般马上"/>
    <n v="-112"/>
  </r>
  <r>
    <x v="4"/>
    <x v="49"/>
    <n v="37"/>
    <s v="通知车队(沈丽)可进港"/>
    <x v="81"/>
    <x v="0"/>
    <x v="0"/>
    <m/>
    <m/>
    <n v="-112"/>
  </r>
  <r>
    <x v="4"/>
    <x v="49"/>
    <n v="38"/>
    <s v="收到开港通知，通知进港，有落箱费"/>
    <x v="81"/>
    <x v="0"/>
    <x v="4"/>
    <m/>
    <m/>
    <n v="-112"/>
  </r>
  <r>
    <x v="4"/>
    <x v="49"/>
    <n v="38.1"/>
    <s v="进港"/>
    <x v="91"/>
    <x v="0"/>
    <x v="4"/>
    <m/>
    <m/>
    <n v="-110"/>
  </r>
  <r>
    <x v="4"/>
    <x v="49"/>
    <n v="39"/>
    <s v="核对进港数据"/>
    <x v="91"/>
    <x v="0"/>
    <x v="4"/>
    <m/>
    <m/>
    <n v="-110"/>
  </r>
  <r>
    <x v="4"/>
    <x v="49"/>
    <n v="40"/>
    <s v="通知报关行(黄寅文)报关(开港、舱单、校对)（洋山提供装箱单）"/>
    <x v="91"/>
    <x v="0"/>
    <x v="4"/>
    <m/>
    <m/>
    <n v="-110"/>
  </r>
  <r>
    <x v="4"/>
    <x v="49"/>
    <n v="41"/>
    <s v="收到报关成功通知"/>
    <x v="91"/>
    <x v="0"/>
    <x v="4"/>
    <m/>
    <s v="一般下班前"/>
    <n v="-110"/>
  </r>
  <r>
    <x v="4"/>
    <x v="49"/>
    <n v="42"/>
    <s v="盯海放"/>
    <x v="91"/>
    <x v="0"/>
    <x v="4"/>
    <m/>
    <m/>
    <n v="-110"/>
  </r>
  <r>
    <x v="4"/>
    <x v="49"/>
    <n v="43"/>
    <s v="盯码放"/>
    <x v="89"/>
    <x v="0"/>
    <x v="2"/>
    <m/>
    <m/>
    <n v="-108"/>
  </r>
  <r>
    <x v="4"/>
    <x v="49"/>
    <n v="44"/>
    <s v="盯配载"/>
    <x v="89"/>
    <x v="0"/>
    <x v="0"/>
    <m/>
    <m/>
    <n v="-108"/>
  </r>
  <r>
    <x v="4"/>
    <x v="49"/>
    <n v="45"/>
    <s v="做费用(月初等汇率)，发账单给陈吟勇"/>
    <x v="88"/>
    <x v="0"/>
    <x v="6"/>
    <m/>
    <m/>
    <n v="-107"/>
  </r>
  <r>
    <x v="4"/>
    <x v="49"/>
    <n v="46"/>
    <s v="船开"/>
    <x v="82"/>
    <x v="0"/>
    <x v="0"/>
    <m/>
    <m/>
    <n v="-106"/>
  </r>
  <r>
    <x v="4"/>
    <x v="49"/>
    <n v="46.1"/>
    <s v="预录单放行单发陈云娣"/>
    <x v="82"/>
    <x v="0"/>
    <x v="5"/>
    <m/>
    <m/>
    <n v="-106"/>
  </r>
  <r>
    <x v="4"/>
    <x v="49"/>
    <n v="47"/>
    <s v="放提单（PHISON、石磊提单、陈云娣三单）"/>
    <x v="82"/>
    <x v="0"/>
    <x v="4"/>
    <m/>
    <s v="一般开船后两三天"/>
    <n v="-106"/>
  </r>
  <r>
    <x v="4"/>
    <x v="49"/>
    <n v="48"/>
    <s v="关注开港时间，记录"/>
    <x v="64"/>
    <x v="0"/>
    <x v="1"/>
    <m/>
    <m/>
    <n v="-109"/>
  </r>
  <r>
    <x v="4"/>
    <x v="49"/>
    <n v="49"/>
    <s v="Abbi回复箱状态，回复PHISON"/>
    <x v="66"/>
    <x v="0"/>
    <x v="3"/>
    <m/>
    <m/>
    <n v="-101"/>
  </r>
  <r>
    <x v="4"/>
    <x v="49"/>
    <n v="50"/>
    <s v="超期费扣单"/>
    <x v="98"/>
    <x v="0"/>
    <x v="1"/>
    <m/>
    <m/>
    <n v="-74"/>
  </r>
  <r>
    <x v="1"/>
    <x v="49"/>
    <n v="1"/>
    <s v="收到客户(孙丹/王珊)发来订舱托书"/>
    <x v="73"/>
    <x v="0"/>
    <x v="0"/>
    <m/>
    <m/>
    <n v="-120"/>
  </r>
  <r>
    <x v="1"/>
    <x v="49"/>
    <n v="2"/>
    <s v="收到CK发来预配(做箱通知，沈丽有收到？)"/>
    <x v="57"/>
    <x v="0"/>
    <x v="0"/>
    <m/>
    <m/>
    <n v="-119"/>
  </r>
  <r>
    <x v="1"/>
    <x v="49"/>
    <n v="3"/>
    <s v="YJC系统生成单子"/>
    <x v="57"/>
    <x v="0"/>
    <x v="0"/>
    <m/>
    <m/>
    <n v="-119"/>
  </r>
  <r>
    <x v="1"/>
    <x v="49"/>
    <n v="4"/>
    <s v="收到包装厂(刘倩梅)发来包装指示书和装箱计划"/>
    <x v="87"/>
    <x v="0"/>
    <x v="3"/>
    <m/>
    <s v="一般周四"/>
    <n v="-113"/>
  </r>
  <r>
    <x v="1"/>
    <x v="49"/>
    <n v="5"/>
    <s v="根据装箱计划汇总包装数据，发各工厂做报关资料"/>
    <x v="87"/>
    <x v="0"/>
    <x v="0"/>
    <m/>
    <m/>
    <n v="-113"/>
  </r>
  <r>
    <x v="1"/>
    <x v="49"/>
    <n v="6"/>
    <s v="做做箱数据，邮件群发(查开港时间，注明做箱时间)"/>
    <x v="87"/>
    <x v="0"/>
    <x v="0"/>
    <m/>
    <m/>
    <n v="-113"/>
  </r>
  <r>
    <x v="1"/>
    <x v="49"/>
    <n v="7"/>
    <s v="HMI确认一下开港时间，看做箱时间要不要变"/>
    <x v="87"/>
    <x v="1"/>
    <x v="0"/>
    <m/>
    <s v="周六"/>
    <n v="-113"/>
  </r>
  <r>
    <x v="1"/>
    <x v="49"/>
    <n v="8"/>
    <s v="收到工厂发来报关资料并完善(代做报关资料跟客户确认)"/>
    <x v="81"/>
    <x v="0"/>
    <x v="1"/>
    <m/>
    <s v="当天至隔天"/>
    <n v="-112"/>
  </r>
  <r>
    <x v="1"/>
    <x v="49"/>
    <n v="9"/>
    <s v="报关资料齐了（光成要素划掉XXX），发报关行(黄寅文)"/>
    <x v="81"/>
    <x v="0"/>
    <x v="1"/>
    <m/>
    <m/>
    <n v="-112"/>
  </r>
  <r>
    <x v="1"/>
    <x v="49"/>
    <n v="10"/>
    <s v="货运模板/发票/箱单"/>
    <x v="64"/>
    <x v="0"/>
    <x v="2"/>
    <m/>
    <m/>
    <n v="-109"/>
  </r>
  <r>
    <x v="1"/>
    <x v="49"/>
    <n v="11"/>
    <s v="收到车队(沈丽)装箱单和洋山提箱截图(如有)，9点前群发，通知发舱单"/>
    <x v="81"/>
    <x v="0"/>
    <x v="1"/>
    <m/>
    <s v="一般KMM五、HMI日"/>
    <n v="-112"/>
  </r>
  <r>
    <x v="1"/>
    <x v="49"/>
    <n v="12"/>
    <s v="收到舱单发送成功通知，核对舱单信息"/>
    <x v="81"/>
    <x v="0"/>
    <x v="1"/>
    <m/>
    <m/>
    <n v="-112"/>
  </r>
  <r>
    <x v="1"/>
    <x v="49"/>
    <n v="13"/>
    <s v="通知报关（洋山发装箱单）"/>
    <x v="81"/>
    <x v="0"/>
    <x v="1"/>
    <m/>
    <s v="调整顺序"/>
    <n v="-112"/>
  </r>
  <r>
    <x v="1"/>
    <x v="49"/>
    <n v="14"/>
    <s v="报关成功"/>
    <x v="81"/>
    <x v="0"/>
    <x v="4"/>
    <m/>
    <s v="调整顺序"/>
    <n v="-112"/>
  </r>
  <r>
    <x v="1"/>
    <x v="49"/>
    <n v="15"/>
    <s v="通知进港"/>
    <x v="81"/>
    <x v="0"/>
    <x v="4"/>
    <m/>
    <s v="调整顺序"/>
    <n v="-112"/>
  </r>
  <r>
    <x v="1"/>
    <x v="49"/>
    <n v="16"/>
    <s v="进港(核对数据)"/>
    <x v="90"/>
    <x v="0"/>
    <x v="0"/>
    <m/>
    <s v="调整顺序"/>
    <n v="-111"/>
  </r>
  <r>
    <x v="1"/>
    <x v="49"/>
    <n v="17"/>
    <s v="海放"/>
    <x v="90"/>
    <x v="0"/>
    <x v="0"/>
    <m/>
    <m/>
    <n v="-111"/>
  </r>
  <r>
    <x v="1"/>
    <x v="49"/>
    <n v="18"/>
    <s v="码放"/>
    <x v="91"/>
    <x v="0"/>
    <x v="0"/>
    <m/>
    <m/>
    <n v="-110"/>
  </r>
  <r>
    <x v="1"/>
    <x v="49"/>
    <n v="19"/>
    <s v="配载"/>
    <x v="89"/>
    <x v="0"/>
    <x v="0"/>
    <m/>
    <m/>
    <n v="-108"/>
  </r>
  <r>
    <x v="1"/>
    <x v="49"/>
    <n v="20"/>
    <s v="做费用(对账单日期4号)，放公共盘，填月账单表，发孙丹"/>
    <x v="89"/>
    <x v="0"/>
    <x v="1"/>
    <m/>
    <m/>
    <n v="-108"/>
  </r>
  <r>
    <x v="1"/>
    <x v="49"/>
    <n v="21"/>
    <s v="如有额外费用发邮件"/>
    <x v="89"/>
    <x v="0"/>
    <x v="1"/>
    <m/>
    <m/>
    <n v="-108"/>
  </r>
  <r>
    <x v="1"/>
    <x v="49"/>
    <n v="22"/>
    <s v="船开"/>
    <x v="88"/>
    <x v="0"/>
    <x v="0"/>
    <m/>
    <m/>
    <n v="-107"/>
  </r>
  <r>
    <x v="7"/>
    <x v="49"/>
    <n v="1"/>
    <s v="收到徐小姐托书"/>
    <x v="81"/>
    <x v="0"/>
    <x v="0"/>
    <m/>
    <m/>
    <n v="-112"/>
  </r>
  <r>
    <x v="7"/>
    <x v="49"/>
    <n v="2"/>
    <s v="公共盘表格生成单号，YJC系统复制、生成"/>
    <x v="81"/>
    <x v="0"/>
    <x v="0"/>
    <m/>
    <s v="注意MBL#命名规则"/>
    <n v="-11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12"/>
  </r>
  <r>
    <x v="7"/>
    <x v="49"/>
    <n v="4"/>
    <s v="邮件发确认给国外"/>
    <x v="81"/>
    <x v="0"/>
    <x v="0"/>
    <m/>
    <s v="Delete ayjun@kylogix.co.kr Add hypark@kylogix.co.kr"/>
    <n v="-112"/>
  </r>
  <r>
    <x v="7"/>
    <x v="49"/>
    <n v="5"/>
    <s v="QQ发预配信息给徐小姐（模板），问是否要加拼，发车队江"/>
    <x v="81"/>
    <x v="0"/>
    <x v="0"/>
    <m/>
    <m/>
    <n v="-112"/>
  </r>
  <r>
    <x v="7"/>
    <x v="49"/>
    <n v="6"/>
    <s v="订舱审核通过"/>
    <x v="81"/>
    <x v="0"/>
    <x v="6"/>
    <m/>
    <m/>
    <n v="-112"/>
  </r>
  <r>
    <x v="7"/>
    <x v="49"/>
    <n v="7"/>
    <s v="订舱界面加拼、提交，通知徐小姐加拼单号"/>
    <x v="81"/>
    <x v="1"/>
    <x v="0"/>
    <m/>
    <s v="点“多票加拼”"/>
    <n v="-112"/>
  </r>
  <r>
    <x v="7"/>
    <x v="49"/>
    <n v="8"/>
    <s v="加拼审核通过"/>
    <x v="81"/>
    <x v="1"/>
    <x v="0"/>
    <m/>
    <m/>
    <n v="-112"/>
  </r>
  <r>
    <x v="7"/>
    <x v="49"/>
    <n v="9"/>
    <s v="收到国外确认，公共盘红改黑，加CONFIRM"/>
    <x v="81"/>
    <x v="0"/>
    <x v="6"/>
    <m/>
    <m/>
    <n v="-112"/>
  </r>
  <r>
    <x v="7"/>
    <x v="49"/>
    <n v="10"/>
    <s v="收到车队江发来装箱数据和装箱单"/>
    <x v="64"/>
    <x v="0"/>
    <x v="1"/>
    <m/>
    <s v="周三周一截，周日周五截"/>
    <n v="-109"/>
  </r>
  <r>
    <x v="7"/>
    <x v="49"/>
    <n v="11"/>
    <s v="数据表中加入封号，汇总单票总件毛体"/>
    <x v="64"/>
    <x v="0"/>
    <x v="1"/>
    <m/>
    <m/>
    <n v="-109"/>
  </r>
  <r>
    <x v="7"/>
    <x v="49"/>
    <n v="12"/>
    <s v="YJC 截单"/>
    <x v="64"/>
    <x v="0"/>
    <x v="1"/>
    <m/>
    <s v="船名航次 开航日 件毛体 CC 箱量 箱封号 品名"/>
    <n v="-109"/>
  </r>
  <r>
    <x v="7"/>
    <x v="49"/>
    <n v="13"/>
    <s v="导出HBL，发徐小姐确认"/>
    <x v="64"/>
    <x v="0"/>
    <x v="1"/>
    <m/>
    <m/>
    <n v="-109"/>
  </r>
  <r>
    <x v="7"/>
    <x v="49"/>
    <n v="14"/>
    <s v="徐小姐确认HBL时，振华录入每一关单号的件毛体(注意箱状态)，保存"/>
    <x v="64"/>
    <x v="0"/>
    <x v="1"/>
    <m/>
    <m/>
    <n v="-109"/>
  </r>
  <r>
    <x v="7"/>
    <x v="49"/>
    <n v="15"/>
    <s v="徐小姐确认HBL"/>
    <x v="64"/>
    <x v="0"/>
    <x v="1"/>
    <m/>
    <m/>
    <n v="-109"/>
  </r>
  <r>
    <x v="7"/>
    <x v="49"/>
    <n v="16"/>
    <s v="发舱单"/>
    <x v="64"/>
    <x v="0"/>
    <x v="1"/>
    <m/>
    <s v="一关单一发"/>
    <n v="-109"/>
  </r>
  <r>
    <x v="7"/>
    <x v="49"/>
    <n v="17"/>
    <s v="海关有舱单，核对舱单信息，(如无并单，可直接录VGM)"/>
    <x v="64"/>
    <x v="0"/>
    <x v="3"/>
    <m/>
    <m/>
    <n v="-109"/>
  </r>
  <r>
    <x v="7"/>
    <x v="49"/>
    <n v="18"/>
    <s v="订舱界面并单"/>
    <x v="64"/>
    <x v="1"/>
    <x v="1"/>
    <m/>
    <m/>
    <n v="-109"/>
  </r>
  <r>
    <x v="7"/>
    <x v="49"/>
    <n v="19"/>
    <s v="并单审核通过"/>
    <x v="64"/>
    <x v="1"/>
    <x v="1"/>
    <m/>
    <m/>
    <n v="-109"/>
  </r>
  <r>
    <x v="7"/>
    <x v="49"/>
    <n v="20"/>
    <s v="每票录入所有箱子箱封号和件毛体，保存，录VGM，导入"/>
    <x v="64"/>
    <x v="0"/>
    <x v="1"/>
    <m/>
    <m/>
    <n v="-109"/>
  </r>
  <r>
    <x v="7"/>
    <x v="49"/>
    <n v="21"/>
    <s v="打印MBL"/>
    <x v="64"/>
    <x v="0"/>
    <x v="1"/>
    <m/>
    <m/>
    <n v="-109"/>
  </r>
  <r>
    <x v="7"/>
    <x v="49"/>
    <n v="22"/>
    <s v="做费用，保存到下月3号"/>
    <x v="64"/>
    <x v="0"/>
    <x v="1"/>
    <m/>
    <m/>
    <n v="-109"/>
  </r>
  <r>
    <x v="7"/>
    <x v="49"/>
    <n v="23"/>
    <s v="表格、HBL、MBL、费用一起发邮件给国外"/>
    <x v="64"/>
    <x v="0"/>
    <x v="1"/>
    <m/>
    <s v="Delete ayjun@kylogix.co.kr Add hypark@kylogix.co.kr"/>
    <n v="-109"/>
  </r>
  <r>
    <x v="7"/>
    <x v="49"/>
    <n v="24"/>
    <s v="船开"/>
    <x v="82"/>
    <x v="0"/>
    <x v="0"/>
    <m/>
    <m/>
    <n v="-106"/>
  </r>
  <r>
    <x v="7"/>
    <x v="49"/>
    <n v="25"/>
    <s v="拿到WAYBILL"/>
    <x v="82"/>
    <x v="0"/>
    <x v="4"/>
    <m/>
    <m/>
    <n v="-10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06"/>
  </r>
  <r>
    <x v="6"/>
    <x v="49"/>
    <n v="1"/>
    <s v="收到胡媛媛发来订舱邮件"/>
    <x v="72"/>
    <x v="0"/>
    <x v="0"/>
    <m/>
    <m/>
    <n v="-123"/>
  </r>
  <r>
    <x v="6"/>
    <x v="49"/>
    <n v="2"/>
    <s v="发订舱托书给万恒（翁小姐）"/>
    <x v="72"/>
    <x v="0"/>
    <x v="0"/>
    <m/>
    <m/>
    <n v="-123"/>
  </r>
  <r>
    <x v="6"/>
    <x v="49"/>
    <n v="3"/>
    <s v="收到万恒（翁小姐）预配"/>
    <x v="83"/>
    <x v="0"/>
    <x v="0"/>
    <m/>
    <s v="一般三小时左右"/>
    <n v="-122"/>
  </r>
  <r>
    <x v="6"/>
    <x v="49"/>
    <n v="4"/>
    <s v="通知胡媛媛订舱成功"/>
    <x v="83"/>
    <x v="0"/>
    <x v="0"/>
    <m/>
    <m/>
    <n v="-122"/>
  </r>
  <r>
    <x v="6"/>
    <x v="49"/>
    <n v="5"/>
    <s v="发做箱通知邮件给车队(沈丽)，通知做箱时间"/>
    <x v="83"/>
    <x v="0"/>
    <x v="0"/>
    <m/>
    <m/>
    <n v="-122"/>
  </r>
  <r>
    <x v="6"/>
    <x v="49"/>
    <n v="6"/>
    <s v="通知胡媛媛做箱时间"/>
    <x v="83"/>
    <x v="0"/>
    <x v="0"/>
    <m/>
    <m/>
    <n v="-122"/>
  </r>
  <r>
    <x v="6"/>
    <x v="49"/>
    <n v="7"/>
    <s v="跟客户确认发报关资料、做箱时间"/>
    <x v="56"/>
    <x v="0"/>
    <x v="3"/>
    <m/>
    <s v="截单前三天"/>
    <n v="-116"/>
  </r>
  <r>
    <x v="6"/>
    <x v="49"/>
    <n v="8"/>
    <s v="收到胡媛媛发来报关资料"/>
    <x v="56"/>
    <x v="0"/>
    <x v="0"/>
    <m/>
    <s v="船开前一周？"/>
    <n v="-116"/>
  </r>
  <r>
    <x v="6"/>
    <x v="49"/>
    <n v="9"/>
    <s v="完善报关资料发报关行（黄寅文），要校对稿，做箱数据给沈丽，更新系统件毛体"/>
    <x v="56"/>
    <x v="0"/>
    <x v="0"/>
    <m/>
    <m/>
    <n v="-116"/>
  </r>
  <r>
    <x v="6"/>
    <x v="49"/>
    <n v="10"/>
    <s v="买保险"/>
    <x v="56"/>
    <x v="0"/>
    <x v="0"/>
    <m/>
    <m/>
    <n v="-116"/>
  </r>
  <r>
    <x v="6"/>
    <x v="49"/>
    <n v="11"/>
    <s v="做异地付款保函，发胡媛媛确认盖章回传"/>
    <x v="56"/>
    <x v="0"/>
    <x v="0"/>
    <m/>
    <m/>
    <n v="-116"/>
  </r>
  <r>
    <x v="6"/>
    <x v="49"/>
    <n v="12"/>
    <s v="收到客户（胡媛媛）发来保函扫描件"/>
    <x v="85"/>
    <x v="0"/>
    <x v="3"/>
    <m/>
    <s v="一般马上"/>
    <n v="-114"/>
  </r>
  <r>
    <x v="6"/>
    <x v="49"/>
    <n v="13"/>
    <s v="收到黄寅文校对稿，发客户（胡媛媛）确认"/>
    <x v="85"/>
    <x v="0"/>
    <x v="6"/>
    <m/>
    <s v="一般半天内"/>
    <n v="-114"/>
  </r>
  <r>
    <x v="6"/>
    <x v="49"/>
    <n v="14"/>
    <s v="收到客户（胡媛媛）确认校对稿OK"/>
    <x v="85"/>
    <x v="0"/>
    <x v="0"/>
    <m/>
    <s v="一般马上"/>
    <n v="-114"/>
  </r>
  <r>
    <x v="6"/>
    <x v="49"/>
    <n v="15"/>
    <s v="关注开港时间，跟车队(沈丽)确认做箱时间，如有变动通知胡媛媛"/>
    <x v="85"/>
    <x v="0"/>
    <x v="3"/>
    <m/>
    <s v="截单前一天"/>
    <n v="-114"/>
  </r>
  <r>
    <x v="6"/>
    <x v="49"/>
    <n v="16"/>
    <s v="收到沈丽发来装箱单"/>
    <x v="87"/>
    <x v="0"/>
    <x v="5"/>
    <m/>
    <s v="截单当天"/>
    <n v="-113"/>
  </r>
  <r>
    <x v="6"/>
    <x v="49"/>
    <n v="17"/>
    <s v="完善截单资料发万恒（翁小姐），请求发舱单"/>
    <x v="87"/>
    <x v="0"/>
    <x v="0"/>
    <m/>
    <m/>
    <n v="-113"/>
  </r>
  <r>
    <x v="6"/>
    <x v="49"/>
    <n v="18"/>
    <s v="收到舱单发送通知，核对舱单，装箱单发报关行报关"/>
    <x v="87"/>
    <x v="0"/>
    <x v="0"/>
    <m/>
    <m/>
    <n v="-113"/>
  </r>
  <r>
    <x v="6"/>
    <x v="49"/>
    <n v="19"/>
    <s v="请求万恒（翁小姐）发提单样本"/>
    <x v="81"/>
    <x v="0"/>
    <x v="1"/>
    <m/>
    <m/>
    <n v="-112"/>
  </r>
  <r>
    <x v="6"/>
    <x v="49"/>
    <n v="20"/>
    <s v="收到万恒（翁小姐）发来提单样本，发胡媛媛确认"/>
    <x v="81"/>
    <x v="0"/>
    <x v="6"/>
    <m/>
    <m/>
    <n v="-112"/>
  </r>
  <r>
    <x v="6"/>
    <x v="49"/>
    <n v="21"/>
    <s v="收到胡媛媛提单确认"/>
    <x v="81"/>
    <x v="0"/>
    <x v="6"/>
    <m/>
    <m/>
    <n v="-112"/>
  </r>
  <r>
    <x v="6"/>
    <x v="49"/>
    <n v="22"/>
    <s v="收到报关成功通知，通知车队可进港 "/>
    <x v="87"/>
    <x v="0"/>
    <x v="0"/>
    <m/>
    <m/>
    <n v="-113"/>
  </r>
  <r>
    <x v="6"/>
    <x v="49"/>
    <n v="23"/>
    <s v="进港，核对数据"/>
    <x v="81"/>
    <x v="0"/>
    <x v="0"/>
    <m/>
    <m/>
    <n v="-112"/>
  </r>
  <r>
    <x v="6"/>
    <x v="49"/>
    <n v="24"/>
    <s v="海放"/>
    <x v="81"/>
    <x v="0"/>
    <x v="0"/>
    <m/>
    <m/>
    <n v="-112"/>
  </r>
  <r>
    <x v="6"/>
    <x v="49"/>
    <n v="25"/>
    <s v="码放"/>
    <x v="90"/>
    <x v="0"/>
    <x v="3"/>
    <m/>
    <m/>
    <n v="-111"/>
  </r>
  <r>
    <x v="6"/>
    <x v="49"/>
    <n v="26"/>
    <s v="申请漏装到ETD0730 COPIAPO 930E"/>
    <x v="88"/>
    <x v="0"/>
    <x v="0"/>
    <m/>
    <m/>
    <n v="-107"/>
  </r>
  <r>
    <x v="6"/>
    <x v="49"/>
    <n v="26"/>
    <s v="配载"/>
    <x v="69"/>
    <x v="0"/>
    <x v="4"/>
    <m/>
    <m/>
    <n v="-100"/>
  </r>
  <r>
    <x v="6"/>
    <x v="49"/>
    <n v="27"/>
    <s v="开船"/>
    <x v="97"/>
    <x v="0"/>
    <x v="0"/>
    <m/>
    <m/>
    <n v="-98"/>
  </r>
  <r>
    <x v="6"/>
    <x v="49"/>
    <n v="28"/>
    <s v="收到万恒账单，做费用（别再忘了），发账单给陈吟勇"/>
    <x v="82"/>
    <x v="0"/>
    <x v="5"/>
    <m/>
    <m/>
    <n v="-106"/>
  </r>
  <r>
    <x v="6"/>
    <x v="49"/>
    <n v="29"/>
    <s v="收到万恒（翁小姐）提单，放提单和预录单给胡媛媛"/>
    <x v="97"/>
    <x v="0"/>
    <x v="4"/>
    <m/>
    <m/>
    <n v="-98"/>
  </r>
  <r>
    <x v="6"/>
    <x v="49"/>
    <n v="30"/>
    <s v="走下一个航次是不是不用退关"/>
    <x v="88"/>
    <x v="1"/>
    <x v="1"/>
    <m/>
    <m/>
    <n v="-107"/>
  </r>
  <r>
    <x v="6"/>
    <x v="49"/>
    <n v="31"/>
    <s v="洋山提箱费贵了"/>
    <x v="88"/>
    <x v="0"/>
    <x v="0"/>
    <m/>
    <m/>
    <n v="-107"/>
  </r>
  <r>
    <x v="6"/>
    <x v="49"/>
    <n v="32"/>
    <s v="漏装费付联代"/>
    <x v="82"/>
    <x v="0"/>
    <x v="3"/>
    <m/>
    <m/>
    <n v="-106"/>
  </r>
  <r>
    <x v="6"/>
    <x v="49"/>
    <n v="33"/>
    <s v="确认漏装费和超期用箱费后在系统里做扣费"/>
    <x v="99"/>
    <x v="0"/>
    <x v="0"/>
    <m/>
    <s v="漏装费在下一票里扣"/>
    <n v="-94"/>
  </r>
  <r>
    <x v="6"/>
    <x v="49"/>
    <n v="34"/>
    <s v="催胡媛媛做保函，要快递单号"/>
    <x v="82"/>
    <x v="0"/>
    <x v="1"/>
    <m/>
    <m/>
    <n v="-106"/>
  </r>
  <r>
    <x v="6"/>
    <x v="49"/>
    <n v="35"/>
    <s v="保函快递寄到？"/>
    <x v="80"/>
    <x v="0"/>
    <x v="0"/>
    <m/>
    <m/>
    <n v="-105"/>
  </r>
  <r>
    <x v="6"/>
    <x v="49"/>
    <n v="36"/>
    <s v="船公司下午将漏装信息发到联合船代"/>
    <x v="82"/>
    <x v="0"/>
    <x v="3"/>
    <m/>
    <m/>
    <n v="-106"/>
  </r>
  <r>
    <x v="6"/>
    <x v="49"/>
    <n v="37"/>
    <s v="陆惠通知付款时间、窗口"/>
    <x v="82"/>
    <x v="0"/>
    <x v="3"/>
    <m/>
    <m/>
    <n v="-106"/>
  </r>
  <r>
    <x v="6"/>
    <x v="49"/>
    <n v="38"/>
    <s v="准备600元现金、开票信息给师傅周五一早去付款"/>
    <x v="80"/>
    <x v="0"/>
    <x v="0"/>
    <m/>
    <m/>
    <n v="-105"/>
  </r>
  <r>
    <x v="6"/>
    <x v="49"/>
    <n v="39"/>
    <s v="师傅拿回来发票"/>
    <x v="80"/>
    <x v="0"/>
    <x v="6"/>
    <m/>
    <m/>
    <n v="-105"/>
  </r>
  <r>
    <x v="6"/>
    <x v="49"/>
    <n v="40"/>
    <s v="报销漏装费"/>
    <x v="100"/>
    <x v="0"/>
    <x v="6"/>
    <m/>
    <m/>
    <n v="-86"/>
  </r>
  <r>
    <x v="6"/>
    <x v="49"/>
    <n v="41"/>
    <s v="收到万恒（翁小姐）发来提单样本，发胡媛媛确认"/>
    <x v="80"/>
    <x v="0"/>
    <x v="0"/>
    <m/>
    <m/>
    <n v="-105"/>
  </r>
  <r>
    <x v="6"/>
    <x v="49"/>
    <n v="41"/>
    <s v="收到报销款600元"/>
    <x v="101"/>
    <x v="0"/>
    <x v="0"/>
    <m/>
    <m/>
    <n v="-73"/>
  </r>
  <r>
    <x v="6"/>
    <x v="49"/>
    <n v="42"/>
    <s v="收到胡媛媛提单确认"/>
    <x v="65"/>
    <x v="0"/>
    <x v="3"/>
    <m/>
    <m/>
    <n v="-102"/>
  </r>
  <r>
    <x v="6"/>
    <x v="49"/>
    <m/>
    <s v="问一下船期延迟原因"/>
    <x v="66"/>
    <x v="0"/>
    <x v="6"/>
    <m/>
    <m/>
    <n v="-101"/>
  </r>
  <r>
    <x v="4"/>
    <x v="50"/>
    <n v="1"/>
    <s v="收到客户(陈云娣)订舱预报"/>
    <x v="56"/>
    <x v="0"/>
    <x v="0"/>
    <m/>
    <s v="一般周五发隔周"/>
    <n v="-116"/>
  </r>
  <r>
    <x v="4"/>
    <x v="50"/>
    <n v="2"/>
    <s v="填WORKING PROCESS"/>
    <x v="56"/>
    <x v="0"/>
    <x v="0"/>
    <m/>
    <m/>
    <n v="-116"/>
  </r>
  <r>
    <x v="4"/>
    <x v="50"/>
    <n v="6"/>
    <s v="公共盘生成提单号(QSWB不要搞错)"/>
    <x v="56"/>
    <x v="0"/>
    <x v="0"/>
    <m/>
    <m/>
    <n v="-116"/>
  </r>
  <r>
    <x v="4"/>
    <x v="50"/>
    <n v="7"/>
    <s v="YJC系统生成单子"/>
    <x v="56"/>
    <x v="0"/>
    <x v="0"/>
    <m/>
    <m/>
    <n v="-116"/>
  </r>
  <r>
    <x v="4"/>
    <x v="50"/>
    <n v="8"/>
    <s v="发EDI（CY-CY）"/>
    <x v="56"/>
    <x v="0"/>
    <x v="0"/>
    <m/>
    <m/>
    <n v="-116"/>
  </r>
  <r>
    <x v="4"/>
    <x v="50"/>
    <n v="9"/>
    <s v="邮件申请放舱"/>
    <x v="56"/>
    <x v="0"/>
    <x v="0"/>
    <m/>
    <m/>
    <n v="-116"/>
  </r>
  <r>
    <x v="4"/>
    <x v="50"/>
    <n v="10"/>
    <s v="收到HMM(Abbi) 确认放舱"/>
    <x v="85"/>
    <x v="0"/>
    <x v="6"/>
    <m/>
    <s v="一般半天内"/>
    <n v="-114"/>
  </r>
  <r>
    <x v="4"/>
    <x v="50"/>
    <n v="11"/>
    <s v="HMM网站核对订舱信息"/>
    <x v="85"/>
    <x v="0"/>
    <x v="6"/>
    <m/>
    <m/>
    <n v="-114"/>
  </r>
  <r>
    <x v="4"/>
    <x v="50"/>
    <n v="12"/>
    <s v="收到客户(陈云娣)做箱通知"/>
    <x v="64"/>
    <x v="0"/>
    <x v="1"/>
    <m/>
    <s v="一般做箱头天一早"/>
    <n v="-109"/>
  </r>
  <r>
    <x v="4"/>
    <x v="50"/>
    <n v="13"/>
    <s v="公共盘生成提单号【如需拆单】"/>
    <x v="64"/>
    <x v="1"/>
    <x v="1"/>
    <m/>
    <m/>
    <n v="-109"/>
  </r>
  <r>
    <x v="4"/>
    <x v="50"/>
    <n v="14"/>
    <s v="发做箱通知邮件给车队(沈丽)（航次要加QL？）"/>
    <x v="64"/>
    <x v="0"/>
    <x v="1"/>
    <m/>
    <m/>
    <n v="-109"/>
  </r>
  <r>
    <x v="4"/>
    <x v="50"/>
    <n v="15"/>
    <s v="YJC系统生成单子【如需拆单】（QSWB不要搞错）"/>
    <x v="64"/>
    <x v="1"/>
    <x v="1"/>
    <m/>
    <m/>
    <n v="-109"/>
  </r>
  <r>
    <x v="4"/>
    <x v="50"/>
    <n v="16"/>
    <s v="发EDI【如需拆单】（CY-CY）"/>
    <x v="64"/>
    <x v="1"/>
    <x v="1"/>
    <m/>
    <m/>
    <n v="-109"/>
  </r>
  <r>
    <x v="4"/>
    <x v="50"/>
    <n v="17"/>
    <s v="邮件申请放单【如需拆单】"/>
    <x v="64"/>
    <x v="1"/>
    <x v="1"/>
    <m/>
    <m/>
    <n v="-109"/>
  </r>
  <r>
    <x v="4"/>
    <x v="50"/>
    <n v="18"/>
    <s v="收到HMM(Abbi) 加拼放单确认【如需拆单】"/>
    <x v="64"/>
    <x v="1"/>
    <x v="1"/>
    <m/>
    <m/>
    <n v="-109"/>
  </r>
  <r>
    <x v="4"/>
    <x v="50"/>
    <n v="19"/>
    <s v="HMM网站核对订舱信息【如需拆单】"/>
    <x v="64"/>
    <x v="1"/>
    <x v="1"/>
    <m/>
    <m/>
    <n v="-109"/>
  </r>
  <r>
    <x v="4"/>
    <x v="50"/>
    <n v="20"/>
    <s v="收到客户(陈云娣)发来报关资料"/>
    <x v="89"/>
    <x v="0"/>
    <x v="1"/>
    <m/>
    <s v="一般做箱当天一早"/>
    <n v="-108"/>
  </r>
  <r>
    <x v="4"/>
    <x v="50"/>
    <n v="21"/>
    <s v="按报关(发票)数生成提单号【如发票数超过提单数】"/>
    <x v="89"/>
    <x v="0"/>
    <x v="1"/>
    <m/>
    <m/>
    <n v="-108"/>
  </r>
  <r>
    <x v="4"/>
    <x v="50"/>
    <n v="22"/>
    <s v="做做箱数据，QQ发车队(沈丽)"/>
    <x v="89"/>
    <x v="0"/>
    <x v="1"/>
    <m/>
    <m/>
    <n v="-108"/>
  </r>
  <r>
    <x v="4"/>
    <x v="50"/>
    <n v="23"/>
    <s v="收到车队(沈丽)装箱单，转发客户（陈云娣）"/>
    <x v="89"/>
    <x v="0"/>
    <x v="1"/>
    <m/>
    <s v="一般马上"/>
    <n v="-108"/>
  </r>
  <r>
    <x v="4"/>
    <x v="50"/>
    <n v="24"/>
    <s v="YJC系统截单，发EDI，邮件HMM(He)【截单时间】（CY-CY）"/>
    <x v="89"/>
    <x v="0"/>
    <x v="1"/>
    <m/>
    <s v="注意截单时间"/>
    <n v="-108"/>
  </r>
  <r>
    <x v="4"/>
    <x v="50"/>
    <n v="25"/>
    <s v="发VGM和舱单（亿通，鹏海两次）"/>
    <x v="89"/>
    <x v="0"/>
    <x v="1"/>
    <m/>
    <m/>
    <n v="-108"/>
  </r>
  <r>
    <x v="4"/>
    <x v="50"/>
    <n v="26"/>
    <s v="做报关资料，扫描发报关行(黄寅文)QQ，要校对稿"/>
    <x v="89"/>
    <x v="0"/>
    <x v="1"/>
    <m/>
    <m/>
    <n v="-108"/>
  </r>
  <r>
    <x v="4"/>
    <x v="50"/>
    <n v="27"/>
    <s v="做保函给邹师傅(送给Abbi)"/>
    <x v="89"/>
    <x v="0"/>
    <x v="1"/>
    <m/>
    <m/>
    <n v="-108"/>
  </r>
  <r>
    <x v="4"/>
    <x v="50"/>
    <n v="28"/>
    <s v="做ISF，发国外资料"/>
    <x v="89"/>
    <x v="0"/>
    <x v="1"/>
    <m/>
    <m/>
    <n v="-108"/>
  </r>
  <r>
    <x v="4"/>
    <x v="50"/>
    <n v="29"/>
    <s v="买保险"/>
    <x v="89"/>
    <x v="0"/>
    <x v="1"/>
    <m/>
    <m/>
    <n v="-108"/>
  </r>
  <r>
    <x v="4"/>
    <x v="50"/>
    <n v="31"/>
    <s v="收到HMM(He)生成提单通知"/>
    <x v="89"/>
    <x v="0"/>
    <x v="0"/>
    <m/>
    <s v="一般马上"/>
    <n v="-108"/>
  </r>
  <r>
    <x v="4"/>
    <x v="50"/>
    <n v="32"/>
    <s v="HMM网站核对提单信息"/>
    <x v="89"/>
    <x v="0"/>
    <x v="0"/>
    <m/>
    <m/>
    <n v="-108"/>
  </r>
  <r>
    <x v="4"/>
    <x v="50"/>
    <n v="33"/>
    <s v="盯海关网站舱单"/>
    <x v="89"/>
    <x v="0"/>
    <x v="1"/>
    <m/>
    <s v="一般两小时左右"/>
    <n v="-108"/>
  </r>
  <r>
    <x v="4"/>
    <x v="50"/>
    <n v="34"/>
    <s v="核对舱单信息"/>
    <x v="89"/>
    <x v="0"/>
    <x v="1"/>
    <m/>
    <m/>
    <n v="-108"/>
  </r>
  <r>
    <x v="4"/>
    <x v="50"/>
    <n v="35"/>
    <s v="收到报关行(黄寅文)校对稿，邮件发客户(陈云娣)确认"/>
    <x v="89"/>
    <x v="0"/>
    <x v="0"/>
    <m/>
    <s v="一般半天内"/>
    <n v="-108"/>
  </r>
  <r>
    <x v="4"/>
    <x v="50"/>
    <n v="36"/>
    <s v="收到客户(陈云娣)确认校对稿"/>
    <x v="89"/>
    <x v="0"/>
    <x v="0"/>
    <m/>
    <s v="一般马上"/>
    <n v="-108"/>
  </r>
  <r>
    <x v="4"/>
    <x v="50"/>
    <n v="37"/>
    <s v="通知报关行(黄寅文)报关(开港、舱单、校对)（洋山提供装箱单）"/>
    <x v="89"/>
    <x v="0"/>
    <x v="0"/>
    <m/>
    <m/>
    <n v="-108"/>
  </r>
  <r>
    <x v="4"/>
    <x v="50"/>
    <n v="38"/>
    <s v="收到报关成功通知"/>
    <x v="89"/>
    <x v="0"/>
    <x v="0"/>
    <m/>
    <s v="一般下班前"/>
    <n v="-108"/>
  </r>
  <r>
    <x v="4"/>
    <x v="50"/>
    <n v="39"/>
    <s v="通知车队(沈丽)可进港"/>
    <x v="89"/>
    <x v="0"/>
    <x v="0"/>
    <m/>
    <m/>
    <n v="-108"/>
  </r>
  <r>
    <x v="4"/>
    <x v="50"/>
    <n v="40"/>
    <s v="盯箱子进港，关注开港时间，有落箱费？"/>
    <x v="88"/>
    <x v="0"/>
    <x v="0"/>
    <m/>
    <m/>
    <n v="-107"/>
  </r>
  <r>
    <x v="4"/>
    <x v="50"/>
    <n v="41"/>
    <s v="核对进港数据"/>
    <x v="88"/>
    <x v="0"/>
    <x v="5"/>
    <m/>
    <m/>
    <n v="-107"/>
  </r>
  <r>
    <x v="4"/>
    <x v="50"/>
    <n v="42"/>
    <s v="盯海放"/>
    <x v="88"/>
    <x v="0"/>
    <x v="0"/>
    <m/>
    <m/>
    <n v="-107"/>
  </r>
  <r>
    <x v="4"/>
    <x v="50"/>
    <n v="43"/>
    <s v="盯码放"/>
    <x v="82"/>
    <x v="0"/>
    <x v="0"/>
    <m/>
    <m/>
    <n v="-106"/>
  </r>
  <r>
    <x v="4"/>
    <x v="50"/>
    <n v="44"/>
    <s v="盯配载"/>
    <x v="80"/>
    <x v="0"/>
    <x v="0"/>
    <m/>
    <m/>
    <n v="-105"/>
  </r>
  <r>
    <x v="4"/>
    <x v="50"/>
    <n v="45"/>
    <s v="做费用(月初等汇率)，发账单给陈吟勇"/>
    <x v="88"/>
    <x v="0"/>
    <x v="0"/>
    <m/>
    <m/>
    <n v="-107"/>
  </r>
  <r>
    <x v="4"/>
    <x v="50"/>
    <n v="46"/>
    <s v="船开"/>
    <x v="96"/>
    <x v="0"/>
    <x v="0"/>
    <m/>
    <m/>
    <n v="-104"/>
  </r>
  <r>
    <x v="4"/>
    <x v="50"/>
    <n v="46.1"/>
    <s v="预录单放行单发陈云娣"/>
    <x v="82"/>
    <x v="0"/>
    <x v="5"/>
    <m/>
    <m/>
    <n v="-106"/>
  </r>
  <r>
    <x v="4"/>
    <x v="50"/>
    <n v="47"/>
    <s v="放提单（PHISON、石磊提单、陈云娣三单）"/>
    <x v="66"/>
    <x v="0"/>
    <x v="3"/>
    <m/>
    <s v="一般开船后两三天"/>
    <n v="-101"/>
  </r>
  <r>
    <x v="7"/>
    <x v="51"/>
    <n v="1"/>
    <s v="收到徐小姐托书"/>
    <x v="89"/>
    <x v="0"/>
    <x v="0"/>
    <m/>
    <m/>
    <n v="-108"/>
  </r>
  <r>
    <x v="7"/>
    <x v="51"/>
    <n v="2"/>
    <s v="公共盘表格生成单号，YJC系统复制、生成"/>
    <x v="89"/>
    <x v="0"/>
    <x v="0"/>
    <m/>
    <s v="注意MBL#命名规则"/>
    <n v="-108"/>
  </r>
  <r>
    <x v="7"/>
    <x v="51"/>
    <n v="3"/>
    <s v="(一票一订)振华订舱界面复制订舱、保存、提交"/>
    <x v="89"/>
    <x v="0"/>
    <x v="0"/>
    <m/>
    <s v="客户编号 提单号 船名航次 日期 箱量"/>
    <n v="-108"/>
  </r>
  <r>
    <x v="7"/>
    <x v="51"/>
    <n v="4"/>
    <s v="邮件发确认给国外"/>
    <x v="89"/>
    <x v="0"/>
    <x v="0"/>
    <m/>
    <s v="Delete ayjun@kylogix.co.kr Add hypark@kylogix.co.kr"/>
    <n v="-108"/>
  </r>
  <r>
    <x v="7"/>
    <x v="51"/>
    <n v="5"/>
    <s v="QQ发预配信息给徐小姐（模板），问是否要加拼，发车队江"/>
    <x v="89"/>
    <x v="0"/>
    <x v="0"/>
    <m/>
    <m/>
    <n v="-108"/>
  </r>
  <r>
    <x v="7"/>
    <x v="51"/>
    <n v="6"/>
    <s v="订舱审核通过"/>
    <x v="89"/>
    <x v="0"/>
    <x v="0"/>
    <m/>
    <m/>
    <n v="-108"/>
  </r>
  <r>
    <x v="7"/>
    <x v="51"/>
    <n v="7"/>
    <s v="订舱界面加拼、提交，通知徐小姐加拼单号"/>
    <x v="89"/>
    <x v="1"/>
    <x v="0"/>
    <m/>
    <s v="点“多票加拼”"/>
    <n v="-108"/>
  </r>
  <r>
    <x v="7"/>
    <x v="51"/>
    <n v="8"/>
    <s v="加拼审核通过"/>
    <x v="89"/>
    <x v="1"/>
    <x v="0"/>
    <m/>
    <m/>
    <n v="-108"/>
  </r>
  <r>
    <x v="7"/>
    <x v="51"/>
    <n v="9"/>
    <s v="收到国外确认，公共盘红改黑，加CONFIRM"/>
    <x v="88"/>
    <x v="0"/>
    <x v="1"/>
    <m/>
    <m/>
    <n v="-107"/>
  </r>
  <r>
    <x v="7"/>
    <x v="51"/>
    <n v="10"/>
    <s v="做费用，保存到下月3号"/>
    <x v="88"/>
    <x v="0"/>
    <x v="5"/>
    <m/>
    <m/>
    <n v="-107"/>
  </r>
  <r>
    <x v="7"/>
    <x v="51"/>
    <n v="11"/>
    <s v="收到车队江发来装箱数据和装箱单"/>
    <x v="80"/>
    <x v="0"/>
    <x v="1"/>
    <m/>
    <s v="周三周一截，周日周五截"/>
    <n v="-105"/>
  </r>
  <r>
    <x v="7"/>
    <x v="51"/>
    <n v="12"/>
    <s v="数据表中加入封号，汇总单票总件毛体"/>
    <x v="80"/>
    <x v="0"/>
    <x v="1"/>
    <m/>
    <m/>
    <n v="-105"/>
  </r>
  <r>
    <x v="7"/>
    <x v="51"/>
    <n v="13"/>
    <s v="YJC 截单"/>
    <x v="80"/>
    <x v="0"/>
    <x v="1"/>
    <m/>
    <s v="船名航次 开航日 件毛体 CC 箱量 箱封号 品名"/>
    <n v="-105"/>
  </r>
  <r>
    <x v="7"/>
    <x v="51"/>
    <n v="14"/>
    <s v="导出HBL，发徐小姐确认"/>
    <x v="80"/>
    <x v="0"/>
    <x v="1"/>
    <m/>
    <m/>
    <n v="-105"/>
  </r>
  <r>
    <x v="7"/>
    <x v="51"/>
    <n v="15"/>
    <s v="徐小姐确认HBL时，振华录入每一关单号的件毛体(注意箱状态)，保存"/>
    <x v="80"/>
    <x v="0"/>
    <x v="1"/>
    <m/>
    <m/>
    <n v="-105"/>
  </r>
  <r>
    <x v="7"/>
    <x v="51"/>
    <n v="16"/>
    <s v="徐小姐确认HBL"/>
    <x v="80"/>
    <x v="0"/>
    <x v="1"/>
    <m/>
    <m/>
    <n v="-105"/>
  </r>
  <r>
    <x v="7"/>
    <x v="51"/>
    <n v="17"/>
    <s v="发舱单"/>
    <x v="80"/>
    <x v="0"/>
    <x v="1"/>
    <m/>
    <s v="一关单一发"/>
    <n v="-105"/>
  </r>
  <r>
    <x v="7"/>
    <x v="51"/>
    <n v="18"/>
    <s v="海关有舱单，核对舱单信息，(如无并单，可直接录VGM)"/>
    <x v="80"/>
    <x v="0"/>
    <x v="6"/>
    <m/>
    <m/>
    <n v="-105"/>
  </r>
  <r>
    <x v="7"/>
    <x v="51"/>
    <n v="19"/>
    <s v="订舱界面并单"/>
    <x v="80"/>
    <x v="1"/>
    <x v="1"/>
    <m/>
    <m/>
    <n v="-105"/>
  </r>
  <r>
    <x v="7"/>
    <x v="51"/>
    <n v="20"/>
    <s v="并单审核通过"/>
    <x v="80"/>
    <x v="1"/>
    <x v="1"/>
    <m/>
    <m/>
    <n v="-105"/>
  </r>
  <r>
    <x v="7"/>
    <x v="51"/>
    <n v="21"/>
    <s v="每票录入所有箱子箱封号和件毛体，保存，录VGM，导入"/>
    <x v="80"/>
    <x v="0"/>
    <x v="1"/>
    <m/>
    <m/>
    <n v="-105"/>
  </r>
  <r>
    <x v="7"/>
    <x v="51"/>
    <n v="22"/>
    <s v="打印MBL"/>
    <x v="80"/>
    <x v="0"/>
    <x v="1"/>
    <m/>
    <m/>
    <n v="-105"/>
  </r>
  <r>
    <x v="7"/>
    <x v="51"/>
    <n v="23"/>
    <s v="表格、HBL、MBL、费用一起发邮件给国外"/>
    <x v="80"/>
    <x v="0"/>
    <x v="1"/>
    <m/>
    <s v="Delete ayjun@kylogix.co.kr Add hypark@kylogix.co.kr"/>
    <n v="-105"/>
  </r>
  <r>
    <x v="7"/>
    <x v="51"/>
    <n v="24"/>
    <s v="船开"/>
    <x v="65"/>
    <x v="0"/>
    <x v="0"/>
    <m/>
    <m/>
    <n v="-102"/>
  </r>
  <r>
    <x v="7"/>
    <x v="51"/>
    <n v="25"/>
    <s v="拿到WAYBILL"/>
    <x v="65"/>
    <x v="0"/>
    <x v="4"/>
    <m/>
    <m/>
    <n v="-10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102"/>
  </r>
  <r>
    <x v="3"/>
    <x v="52"/>
    <n v="1"/>
    <s v="PANCON上周日船期提单领取单"/>
    <x v="65"/>
    <x v="0"/>
    <x v="1"/>
    <m/>
    <s v="周一"/>
    <n v="-102"/>
  </r>
  <r>
    <x v="3"/>
    <x v="52"/>
    <n v="2"/>
    <s v="WEEKLY REPORT"/>
    <x v="65"/>
    <x v="0"/>
    <x v="5"/>
    <m/>
    <s v="周一"/>
    <n v="-102"/>
  </r>
  <r>
    <x v="3"/>
    <x v="52"/>
    <n v="3"/>
    <s v="汇总SC JS下周订舱需求，回Abbi邮件，制作每票清单流水"/>
    <x v="65"/>
    <x v="0"/>
    <x v="1"/>
    <m/>
    <s v="周一"/>
    <n v="-102"/>
  </r>
  <r>
    <x v="3"/>
    <x v="52"/>
    <n v="4"/>
    <s v="收到Abbi确认"/>
    <x v="65"/>
    <x v="0"/>
    <x v="0"/>
    <m/>
    <s v="周一"/>
    <n v="-102"/>
  </r>
  <r>
    <x v="3"/>
    <x v="52"/>
    <n v="5"/>
    <s v="拿到PANCON WAYBILL，朱琳的给朱琳"/>
    <x v="65"/>
    <x v="0"/>
    <x v="4"/>
    <m/>
    <s v="周一"/>
    <n v="-102"/>
  </r>
  <r>
    <x v="3"/>
    <x v="52"/>
    <n v="6"/>
    <s v="PANCON周三出运清单"/>
    <x v="65"/>
    <x v="0"/>
    <x v="3"/>
    <m/>
    <s v="周一"/>
    <n v="-102"/>
  </r>
  <r>
    <x v="3"/>
    <x v="52"/>
    <n v="7"/>
    <s v="WORKING PROCESS"/>
    <x v="65"/>
    <x v="0"/>
    <x v="4"/>
    <m/>
    <s v="周一"/>
    <n v="-102"/>
  </r>
  <r>
    <x v="3"/>
    <x v="52"/>
    <n v="8"/>
    <s v="WORKING PROCESS"/>
    <x v="69"/>
    <x v="0"/>
    <x v="3"/>
    <m/>
    <s v="周三"/>
    <n v="-100"/>
  </r>
  <r>
    <x v="3"/>
    <x v="52"/>
    <n v="9"/>
    <s v="PANCON周三船期提单领取单"/>
    <x v="92"/>
    <x v="1"/>
    <x v="0"/>
    <m/>
    <s v="周四"/>
    <n v="-99"/>
  </r>
  <r>
    <x v="3"/>
    <x v="52"/>
    <n v="10"/>
    <s v="拿到PANCON WAYBILL，朱琳的给朱琳"/>
    <x v="92"/>
    <x v="1"/>
    <x v="4"/>
    <m/>
    <s v="周四"/>
    <n v="-99"/>
  </r>
  <r>
    <x v="3"/>
    <x v="52"/>
    <n v="11"/>
    <s v="收到 Abbi 下下周订舱预报邮件"/>
    <x v="97"/>
    <x v="0"/>
    <x v="3"/>
    <m/>
    <s v="周五"/>
    <n v="-98"/>
  </r>
  <r>
    <x v="3"/>
    <x v="52"/>
    <n v="12"/>
    <s v="问JS mobis、SC glovis下下周订舱需求"/>
    <x v="86"/>
    <x v="0"/>
    <x v="1"/>
    <m/>
    <s v="周五"/>
    <n v="-95"/>
  </r>
  <r>
    <x v="3"/>
    <x v="52"/>
    <n v="13"/>
    <s v="WORKING PROCESS"/>
    <x v="97"/>
    <x v="0"/>
    <x v="3"/>
    <m/>
    <s v="周五"/>
    <n v="-98"/>
  </r>
  <r>
    <x v="3"/>
    <x v="52"/>
    <n v="14"/>
    <s v="PANCON周日出运清单，附件贴在邮件中"/>
    <x v="97"/>
    <x v="0"/>
    <x v="3"/>
    <m/>
    <s v="周五"/>
    <n v="-98"/>
  </r>
  <r>
    <x v="3"/>
    <x v="52"/>
    <n v="15"/>
    <s v="制下周 WEEK 流水"/>
    <x v="97"/>
    <x v="0"/>
    <x v="0"/>
    <m/>
    <s v="周五"/>
    <n v="-98"/>
  </r>
  <r>
    <x v="3"/>
    <x v="52"/>
    <m/>
    <s v="OEN19063147 APP，APP后再APP"/>
    <x v="65"/>
    <x v="0"/>
    <x v="5"/>
    <m/>
    <m/>
    <n v="-102"/>
  </r>
  <r>
    <x v="3"/>
    <x v="52"/>
    <m/>
    <s v="越南马来西亚拖车抬头改CNSHAWH"/>
    <x v="65"/>
    <x v="0"/>
    <x v="0"/>
    <m/>
    <m/>
    <n v="-102"/>
  </r>
  <r>
    <x v="3"/>
    <x v="52"/>
    <m/>
    <s v="陈吟勇开票，电子发票未收到"/>
    <x v="66"/>
    <x v="0"/>
    <x v="0"/>
    <m/>
    <m/>
    <n v="-101"/>
  </r>
  <r>
    <x v="3"/>
    <x v="52"/>
    <m/>
    <s v="陈吟勇JS mobis开票"/>
    <x v="66"/>
    <x v="0"/>
    <x v="0"/>
    <m/>
    <m/>
    <n v="-101"/>
  </r>
  <r>
    <x v="3"/>
    <x v="52"/>
    <m/>
    <s v="7月未提交PL"/>
    <x v="66"/>
    <x v="0"/>
    <x v="1"/>
    <m/>
    <m/>
    <n v="-101"/>
  </r>
  <r>
    <x v="3"/>
    <x v="52"/>
    <m/>
    <s v="APP"/>
    <x v="66"/>
    <x v="0"/>
    <x v="6"/>
    <m/>
    <m/>
    <n v="-101"/>
  </r>
  <r>
    <x v="3"/>
    <x v="52"/>
    <m/>
    <s v="越南马来西亚报价明细发孙丹和常楠"/>
    <x v="66"/>
    <x v="0"/>
    <x v="3"/>
    <m/>
    <s v="已转阿康"/>
    <n v="-101"/>
  </r>
  <r>
    <x v="3"/>
    <x v="52"/>
    <m/>
    <s v="KMS报价"/>
    <x v="66"/>
    <x v="1"/>
    <x v="3"/>
    <m/>
    <m/>
    <n v="-101"/>
  </r>
  <r>
    <x v="3"/>
    <x v="52"/>
    <m/>
    <s v="越南马来西亚货运表"/>
    <x v="66"/>
    <x v="0"/>
    <x v="4"/>
    <m/>
    <m/>
    <n v="-101"/>
  </r>
  <r>
    <x v="3"/>
    <x v="52"/>
    <m/>
    <s v="张婷快递，转交财务"/>
    <x v="69"/>
    <x v="0"/>
    <x v="3"/>
    <m/>
    <m/>
    <n v="-100"/>
  </r>
  <r>
    <x v="3"/>
    <x v="52"/>
    <m/>
    <s v="张婷询证函盖好章，寄回"/>
    <x v="69"/>
    <x v="0"/>
    <x v="3"/>
    <m/>
    <m/>
    <n v="-100"/>
  </r>
  <r>
    <x v="3"/>
    <x v="52"/>
    <m/>
    <s v="陈吟勇收到发票 3719172650605"/>
    <x v="69"/>
    <x v="0"/>
    <x v="3"/>
    <m/>
    <m/>
    <n v="-100"/>
  </r>
  <r>
    <x v="3"/>
    <x v="52"/>
    <m/>
    <s v="广州美越收到发票 3719172810618"/>
    <x v="69"/>
    <x v="0"/>
    <x v="3"/>
    <m/>
    <m/>
    <n v="-100"/>
  </r>
  <r>
    <x v="3"/>
    <x v="52"/>
    <m/>
    <s v="张婷询证函收到3719238055389"/>
    <x v="86"/>
    <x v="0"/>
    <x v="3"/>
    <m/>
    <m/>
    <n v="-95"/>
  </r>
  <r>
    <x v="3"/>
    <x v="52"/>
    <m/>
    <s v="ROADSUN根据新流程整理后序单子流水"/>
    <x v="101"/>
    <x v="1"/>
    <x v="0"/>
    <m/>
    <m/>
    <n v="-73"/>
  </r>
  <r>
    <x v="3"/>
    <x v="52"/>
    <m/>
    <s v="3票退回来的PL"/>
    <x v="92"/>
    <x v="0"/>
    <x v="6"/>
    <m/>
    <m/>
    <n v="-99"/>
  </r>
  <r>
    <x v="3"/>
    <x v="52"/>
    <m/>
    <s v="张婷600元发票收到 3719437127061"/>
    <x v="86"/>
    <x v="0"/>
    <x v="4"/>
    <m/>
    <m/>
    <n v="-95"/>
  </r>
  <r>
    <x v="3"/>
    <x v="52"/>
    <m/>
    <s v="ROADSUN 7票确认"/>
    <x v="68"/>
    <x v="1"/>
    <x v="0"/>
    <m/>
    <m/>
    <n v="-87"/>
  </r>
  <r>
    <x v="13"/>
    <x v="53"/>
    <n v="1"/>
    <s v="收到托书"/>
    <x v="83"/>
    <x v="0"/>
    <x v="0"/>
    <m/>
    <m/>
    <n v="-122"/>
  </r>
  <r>
    <x v="13"/>
    <x v="53"/>
    <n v="2"/>
    <s v="订舱"/>
    <x v="60"/>
    <x v="0"/>
    <x v="0"/>
    <m/>
    <m/>
    <n v="-121"/>
  </r>
  <r>
    <x v="13"/>
    <x v="53"/>
    <n v="3"/>
    <s v="收到MSK 订舱确认邮件"/>
    <x v="73"/>
    <x v="0"/>
    <x v="0"/>
    <m/>
    <m/>
    <n v="-120"/>
  </r>
  <r>
    <x v="13"/>
    <x v="53"/>
    <n v="4"/>
    <s v="发订舱确认邮件给客户"/>
    <x v="73"/>
    <x v="0"/>
    <x v="0"/>
    <m/>
    <m/>
    <n v="-120"/>
  </r>
  <r>
    <x v="13"/>
    <x v="53"/>
    <n v="5"/>
    <s v="关注改订舱信息（两个地方）处理进度1907-95071117"/>
    <x v="73"/>
    <x v="0"/>
    <x v="0"/>
    <m/>
    <m/>
    <n v="-120"/>
  </r>
  <r>
    <x v="13"/>
    <x v="53"/>
    <n v="6"/>
    <s v="MSK回复截单时间，通知群里"/>
    <x v="85"/>
    <x v="0"/>
    <x v="6"/>
    <m/>
    <m/>
    <n v="-114"/>
  </r>
  <r>
    <x v="13"/>
    <x v="53"/>
    <n v="7"/>
    <s v="确认提供资料时间"/>
    <x v="64"/>
    <x v="0"/>
    <x v="3"/>
    <m/>
    <m/>
    <n v="-109"/>
  </r>
  <r>
    <x v="13"/>
    <x v="53"/>
    <n v="8"/>
    <s v="做费用，拉账单"/>
    <x v="82"/>
    <x v="0"/>
    <x v="0"/>
    <m/>
    <m/>
    <n v="-106"/>
  </r>
  <r>
    <x v="13"/>
    <x v="53"/>
    <n v="8"/>
    <s v="收到截单资料"/>
    <x v="82"/>
    <x v="0"/>
    <x v="1"/>
    <m/>
    <m/>
    <n v="-106"/>
  </r>
  <r>
    <x v="13"/>
    <x v="53"/>
    <n v="9"/>
    <s v="YJC 截单，HBL和费用发文生然确认"/>
    <x v="82"/>
    <x v="0"/>
    <x v="1"/>
    <m/>
    <m/>
    <n v="-106"/>
  </r>
  <r>
    <x v="13"/>
    <x v="53"/>
    <n v="10"/>
    <s v="文生然确认HBL和费用"/>
    <x v="82"/>
    <x v="0"/>
    <x v="0"/>
    <m/>
    <m/>
    <n v="-106"/>
  </r>
  <r>
    <x v="13"/>
    <x v="53"/>
    <n v="11"/>
    <s v="MSK 录入提单确认内容"/>
    <x v="82"/>
    <x v="0"/>
    <x v="1"/>
    <m/>
    <m/>
    <n v="-106"/>
  </r>
  <r>
    <x v="13"/>
    <x v="53"/>
    <n v="12"/>
    <s v="联合船代发舱单"/>
    <x v="82"/>
    <x v="0"/>
    <x v="0"/>
    <m/>
    <m/>
    <n v="-106"/>
  </r>
  <r>
    <x v="13"/>
    <x v="53"/>
    <n v="13"/>
    <s v="MSK网站下载提单确认件"/>
    <x v="82"/>
    <x v="0"/>
    <x v="0"/>
    <m/>
    <m/>
    <n v="-106"/>
  </r>
  <r>
    <x v="13"/>
    <x v="53"/>
    <n v="14"/>
    <s v="邮件发COPY件、AMS、CREDIT给Wanda"/>
    <x v="82"/>
    <x v="0"/>
    <x v="0"/>
    <m/>
    <m/>
    <n v="-106"/>
  </r>
  <r>
    <x v="13"/>
    <x v="53"/>
    <n v="15"/>
    <s v="有舱单，核对，通知文生然"/>
    <x v="82"/>
    <x v="0"/>
    <x v="0"/>
    <m/>
    <m/>
    <n v="-106"/>
  </r>
  <r>
    <x v="13"/>
    <x v="53"/>
    <n v="16"/>
    <s v="船开"/>
    <x v="66"/>
    <x v="0"/>
    <x v="0"/>
    <m/>
    <m/>
    <n v="-101"/>
  </r>
  <r>
    <x v="13"/>
    <x v="53"/>
    <n v="17"/>
    <s v="邮件发开船通知给Wanda"/>
    <x v="66"/>
    <x v="0"/>
    <x v="0"/>
    <m/>
    <m/>
    <n v="-101"/>
  </r>
  <r>
    <x v="13"/>
    <x v="53"/>
    <n v="18"/>
    <s v="收到Wanda付款通知"/>
    <x v="97"/>
    <x v="0"/>
    <x v="0"/>
    <m/>
    <s v="开船后2-8天"/>
    <n v="-98"/>
  </r>
  <r>
    <x v="13"/>
    <x v="53"/>
    <n v="19"/>
    <s v="发SWB、HBL给Wanda"/>
    <x v="97"/>
    <x v="0"/>
    <x v="0"/>
    <m/>
    <m/>
    <n v="-98"/>
  </r>
  <r>
    <x v="0"/>
    <x v="54"/>
    <n v="1"/>
    <s v="收到客户(孙丹/王珊)发来订舱托书"/>
    <x v="81"/>
    <x v="0"/>
    <x v="0"/>
    <m/>
    <m/>
    <n v="-112"/>
  </r>
  <r>
    <x v="0"/>
    <x v="54"/>
    <n v="2"/>
    <s v="收到CK发来预配(做箱通知，沈丽有收到？)"/>
    <x v="88"/>
    <x v="0"/>
    <x v="3"/>
    <m/>
    <m/>
    <n v="-107"/>
  </r>
  <r>
    <x v="0"/>
    <x v="54"/>
    <n v="3"/>
    <s v="YJC系统生成单子"/>
    <x v="88"/>
    <x v="0"/>
    <x v="3"/>
    <m/>
    <m/>
    <n v="-107"/>
  </r>
  <r>
    <x v="0"/>
    <x v="54"/>
    <n v="4"/>
    <s v="收到包装厂(刘倩梅)发来包装指示书和装箱计划"/>
    <x v="82"/>
    <x v="0"/>
    <x v="4"/>
    <m/>
    <s v="一般周四"/>
    <n v="-106"/>
  </r>
  <r>
    <x v="0"/>
    <x v="54"/>
    <n v="5"/>
    <s v="根据装箱计划汇总包装数据，发各工厂做报关资料"/>
    <x v="82"/>
    <x v="0"/>
    <x v="4"/>
    <m/>
    <m/>
    <n v="-106"/>
  </r>
  <r>
    <x v="0"/>
    <x v="54"/>
    <n v="6"/>
    <s v="做做箱数据，邮件群发(查开港时间，注明做箱时间)"/>
    <x v="80"/>
    <x v="0"/>
    <x v="6"/>
    <m/>
    <m/>
    <n v="-105"/>
  </r>
  <r>
    <x v="0"/>
    <x v="54"/>
    <n v="7"/>
    <s v="HMI确认一下开港时间，看做箱时间要不要变"/>
    <x v="96"/>
    <x v="0"/>
    <x v="3"/>
    <m/>
    <s v="周六"/>
    <n v="-104"/>
  </r>
  <r>
    <x v="0"/>
    <x v="54"/>
    <n v="8"/>
    <s v="收到工厂发来报关资料并完善(差上海三立)"/>
    <x v="65"/>
    <x v="0"/>
    <x v="1"/>
    <m/>
    <s v="当天至隔天"/>
    <n v="-102"/>
  </r>
  <r>
    <x v="0"/>
    <x v="54"/>
    <n v="9"/>
    <s v="报关资料齐了（光成要素划掉XXX），发报关行(黄寅文)"/>
    <x v="65"/>
    <x v="0"/>
    <x v="1"/>
    <m/>
    <m/>
    <n v="-102"/>
  </r>
  <r>
    <x v="0"/>
    <x v="54"/>
    <n v="9.1"/>
    <s v="做箱数据上加上品名给Nikki"/>
    <x v="65"/>
    <x v="0"/>
    <x v="1"/>
    <m/>
    <m/>
    <n v="-102"/>
  </r>
  <r>
    <x v="0"/>
    <x v="54"/>
    <n v="10"/>
    <s v="货运模板/发票/箱单"/>
    <x v="65"/>
    <x v="0"/>
    <x v="1"/>
    <m/>
    <m/>
    <n v="-102"/>
  </r>
  <r>
    <x v="0"/>
    <x v="54"/>
    <n v="11"/>
    <s v="通知进港"/>
    <x v="80"/>
    <x v="1"/>
    <x v="0"/>
    <m/>
    <s v="调整顺序"/>
    <n v="-105"/>
  </r>
  <r>
    <x v="0"/>
    <x v="54"/>
    <n v="12"/>
    <s v="收到车队(沈丽)装箱单和洋山提箱截图(如有)，9点前群发，通知发舱单"/>
    <x v="102"/>
    <x v="0"/>
    <x v="1"/>
    <m/>
    <s v="一般KMM五、HMI日"/>
    <n v="-103"/>
  </r>
  <r>
    <x v="0"/>
    <x v="54"/>
    <n v="12.1"/>
    <s v="通知发舱单"/>
    <x v="65"/>
    <x v="0"/>
    <x v="1"/>
    <m/>
    <m/>
    <n v="-102"/>
  </r>
  <r>
    <x v="0"/>
    <x v="54"/>
    <n v="13"/>
    <s v="进港(核对数据)"/>
    <x v="65"/>
    <x v="0"/>
    <x v="1"/>
    <m/>
    <s v="调整顺序"/>
    <n v="-102"/>
  </r>
  <r>
    <x v="0"/>
    <x v="54"/>
    <n v="14"/>
    <s v="收到舱单发送成功通知，核对舱单信息"/>
    <x v="65"/>
    <x v="0"/>
    <x v="1"/>
    <m/>
    <m/>
    <n v="-102"/>
  </r>
  <r>
    <x v="0"/>
    <x v="54"/>
    <n v="15"/>
    <s v="通知报关（洋山发装箱单）"/>
    <x v="65"/>
    <x v="0"/>
    <x v="1"/>
    <m/>
    <s v="调整顺序"/>
    <n v="-102"/>
  </r>
  <r>
    <x v="0"/>
    <x v="54"/>
    <n v="16"/>
    <s v="报关成功"/>
    <x v="65"/>
    <x v="0"/>
    <x v="1"/>
    <m/>
    <s v="调整顺序"/>
    <n v="-102"/>
  </r>
  <r>
    <x v="0"/>
    <x v="54"/>
    <n v="17"/>
    <s v="海放"/>
    <x v="65"/>
    <x v="0"/>
    <x v="1"/>
    <m/>
    <m/>
    <n v="-102"/>
  </r>
  <r>
    <x v="0"/>
    <x v="54"/>
    <n v="18"/>
    <s v="码放"/>
    <x v="66"/>
    <x v="0"/>
    <x v="3"/>
    <m/>
    <m/>
    <n v="-101"/>
  </r>
  <r>
    <x v="0"/>
    <x v="54"/>
    <n v="19"/>
    <s v="配载"/>
    <x v="69"/>
    <x v="0"/>
    <x v="0"/>
    <m/>
    <m/>
    <n v="-100"/>
  </r>
  <r>
    <x v="0"/>
    <x v="54"/>
    <n v="20"/>
    <s v="做费用(对账单日期4号)，放公共盘，填月账单表，发孙丹"/>
    <x v="66"/>
    <x v="0"/>
    <x v="0"/>
    <m/>
    <m/>
    <n v="-101"/>
  </r>
  <r>
    <x v="0"/>
    <x v="54"/>
    <n v="21"/>
    <s v="如有额外费用发邮件"/>
    <x v="66"/>
    <x v="0"/>
    <x v="0"/>
    <m/>
    <m/>
    <n v="-101"/>
  </r>
  <r>
    <x v="0"/>
    <x v="54"/>
    <n v="22"/>
    <s v="船开"/>
    <x v="69"/>
    <x v="0"/>
    <x v="3"/>
    <m/>
    <m/>
    <n v="-100"/>
  </r>
  <r>
    <x v="0"/>
    <x v="54"/>
    <n v="23"/>
    <s v="三号箱重量不一致，确认后发给维宁尔电子"/>
    <x v="80"/>
    <x v="0"/>
    <x v="0"/>
    <m/>
    <m/>
    <n v="-105"/>
  </r>
  <r>
    <x v="4"/>
    <x v="54"/>
    <n v="1"/>
    <s v="收到客户(陈云娣)订舱预报"/>
    <x v="64"/>
    <x v="0"/>
    <x v="0"/>
    <m/>
    <s v="一般周五发隔周"/>
    <n v="-109"/>
  </r>
  <r>
    <x v="4"/>
    <x v="54"/>
    <n v="2"/>
    <s v="填WORKING PROCESS"/>
    <x v="64"/>
    <x v="0"/>
    <x v="0"/>
    <m/>
    <m/>
    <n v="-109"/>
  </r>
  <r>
    <x v="4"/>
    <x v="54"/>
    <n v="6"/>
    <s v="公共盘生成提单号(QSWB不要搞错)"/>
    <x v="89"/>
    <x v="0"/>
    <x v="0"/>
    <m/>
    <m/>
    <n v="-108"/>
  </r>
  <r>
    <x v="4"/>
    <x v="54"/>
    <n v="7"/>
    <s v="YJC系统生成单子"/>
    <x v="89"/>
    <x v="0"/>
    <x v="0"/>
    <m/>
    <m/>
    <n v="-108"/>
  </r>
  <r>
    <x v="4"/>
    <x v="54"/>
    <n v="8"/>
    <s v="发EDI"/>
    <x v="88"/>
    <x v="0"/>
    <x v="6"/>
    <m/>
    <m/>
    <n v="-107"/>
  </r>
  <r>
    <x v="4"/>
    <x v="54"/>
    <n v="9"/>
    <s v="邮件申请放舱"/>
    <x v="88"/>
    <x v="0"/>
    <x v="6"/>
    <m/>
    <m/>
    <n v="-107"/>
  </r>
  <r>
    <x v="4"/>
    <x v="54"/>
    <n v="10"/>
    <s v="收到HMM(Abbi) 确认放舱"/>
    <x v="88"/>
    <x v="0"/>
    <x v="6"/>
    <m/>
    <s v="一般半天内"/>
    <n v="-107"/>
  </r>
  <r>
    <x v="4"/>
    <x v="54"/>
    <n v="11"/>
    <s v="HMM网站核对订舱信息"/>
    <x v="88"/>
    <x v="0"/>
    <x v="6"/>
    <m/>
    <m/>
    <n v="-107"/>
  </r>
  <r>
    <x v="4"/>
    <x v="54"/>
    <n v="12"/>
    <s v="收到客户(陈云娣)做箱通知"/>
    <x v="82"/>
    <x v="0"/>
    <x v="3"/>
    <m/>
    <s v="一般做箱头天一早"/>
    <n v="-106"/>
  </r>
  <r>
    <x v="4"/>
    <x v="54"/>
    <n v="13"/>
    <s v="【拆单】公共盘生成提单号"/>
    <x v="82"/>
    <x v="0"/>
    <x v="3"/>
    <m/>
    <m/>
    <n v="-106"/>
  </r>
  <r>
    <x v="4"/>
    <x v="54"/>
    <n v="14"/>
    <s v="发做箱通知邮件给车队(沈丽)（航次要加QL？）"/>
    <x v="82"/>
    <x v="0"/>
    <x v="3"/>
    <m/>
    <m/>
    <n v="-106"/>
  </r>
  <r>
    <x v="4"/>
    <x v="54"/>
    <n v="15"/>
    <s v="【拆单】YJC系统生成单子（QSWB不要搞错）"/>
    <x v="82"/>
    <x v="0"/>
    <x v="3"/>
    <m/>
    <m/>
    <n v="-106"/>
  </r>
  <r>
    <x v="4"/>
    <x v="54"/>
    <n v="16"/>
    <s v="【拆单】发EDI"/>
    <x v="82"/>
    <x v="0"/>
    <x v="3"/>
    <m/>
    <m/>
    <n v="-106"/>
  </r>
  <r>
    <x v="4"/>
    <x v="54"/>
    <n v="17"/>
    <s v="【拆单】邮件申请放单"/>
    <x v="82"/>
    <x v="0"/>
    <x v="3"/>
    <m/>
    <m/>
    <n v="-106"/>
  </r>
  <r>
    <x v="4"/>
    <x v="54"/>
    <n v="18"/>
    <s v="【拆单】收到HMM(Abbi) 加拼放单确认"/>
    <x v="82"/>
    <x v="0"/>
    <x v="3"/>
    <m/>
    <m/>
    <n v="-106"/>
  </r>
  <r>
    <x v="4"/>
    <x v="54"/>
    <n v="18.100000000000001"/>
    <s v="【拆单】收到HMM(Abbi) 再加拼一单放单确认"/>
    <x v="80"/>
    <x v="0"/>
    <x v="0"/>
    <m/>
    <m/>
    <n v="-105"/>
  </r>
  <r>
    <x v="4"/>
    <x v="54"/>
    <n v="19"/>
    <s v="【拆单】HMM网站核对订舱信息"/>
    <x v="82"/>
    <x v="0"/>
    <x v="3"/>
    <m/>
    <m/>
    <n v="-106"/>
  </r>
  <r>
    <x v="4"/>
    <x v="54"/>
    <n v="19.100000000000001"/>
    <s v="【拆单】HMM网站核对再加拼一单的订舱信息"/>
    <x v="80"/>
    <x v="0"/>
    <x v="0"/>
    <m/>
    <m/>
    <n v="-105"/>
  </r>
  <r>
    <x v="4"/>
    <x v="54"/>
    <n v="20"/>
    <s v="收到客户(陈云娣)发来报关资料"/>
    <x v="80"/>
    <x v="0"/>
    <x v="6"/>
    <m/>
    <s v="一般做箱当天一早"/>
    <n v="-105"/>
  </r>
  <r>
    <x v="4"/>
    <x v="54"/>
    <n v="21"/>
    <s v="【加拼】按报关(发票)数生成提单号【如发票数超过提单数】"/>
    <x v="80"/>
    <x v="0"/>
    <x v="6"/>
    <m/>
    <m/>
    <n v="-105"/>
  </r>
  <r>
    <x v="4"/>
    <x v="54"/>
    <n v="22"/>
    <s v="做做箱数据，QQ发车队(沈丽)"/>
    <x v="80"/>
    <x v="0"/>
    <x v="6"/>
    <m/>
    <m/>
    <n v="-105"/>
  </r>
  <r>
    <x v="4"/>
    <x v="54"/>
    <n v="23"/>
    <s v="收到车队(沈丽)装箱单，转发客户（陈云娣）"/>
    <x v="80"/>
    <x v="0"/>
    <x v="6"/>
    <m/>
    <s v="一般马上"/>
    <n v="-105"/>
  </r>
  <r>
    <x v="4"/>
    <x v="54"/>
    <n v="24"/>
    <s v="YJC系统截单，发EDI，邮件HMM(He)【截单时间】"/>
    <x v="80"/>
    <x v="0"/>
    <x v="6"/>
    <m/>
    <s v="注意截单时间"/>
    <n v="-105"/>
  </r>
  <r>
    <x v="4"/>
    <x v="54"/>
    <n v="25"/>
    <s v="发VGM和舱单（亿通，鹏海两次）"/>
    <x v="80"/>
    <x v="0"/>
    <x v="6"/>
    <m/>
    <m/>
    <n v="-105"/>
  </r>
  <r>
    <x v="4"/>
    <x v="54"/>
    <n v="26"/>
    <s v="做报关资料，扫描发报关行(黄寅文)QQ，要校对稿"/>
    <x v="80"/>
    <x v="0"/>
    <x v="6"/>
    <m/>
    <m/>
    <n v="-105"/>
  </r>
  <r>
    <x v="4"/>
    <x v="54"/>
    <n v="27"/>
    <s v="做保函给邹师傅(美国线)"/>
    <x v="80"/>
    <x v="0"/>
    <x v="6"/>
    <m/>
    <m/>
    <n v="-105"/>
  </r>
  <r>
    <x v="4"/>
    <x v="54"/>
    <n v="28"/>
    <s v="做ISF，发国外资料"/>
    <x v="80"/>
    <x v="0"/>
    <x v="6"/>
    <m/>
    <m/>
    <n v="-105"/>
  </r>
  <r>
    <x v="4"/>
    <x v="54"/>
    <n v="29"/>
    <s v="买保险"/>
    <x v="80"/>
    <x v="0"/>
    <x v="6"/>
    <m/>
    <m/>
    <n v="-105"/>
  </r>
  <r>
    <x v="4"/>
    <x v="54"/>
    <n v="31"/>
    <s v="收到HMM(He)生成提单通知"/>
    <x v="80"/>
    <x v="0"/>
    <x v="3"/>
    <m/>
    <s v="一般马上"/>
    <n v="-105"/>
  </r>
  <r>
    <x v="4"/>
    <x v="54"/>
    <n v="32"/>
    <s v="HMM网站核对提单信息"/>
    <x v="80"/>
    <x v="0"/>
    <x v="3"/>
    <m/>
    <m/>
    <n v="-105"/>
  </r>
  <r>
    <x v="4"/>
    <x v="54"/>
    <n v="33"/>
    <s v="盯海关网站舱单"/>
    <x v="80"/>
    <x v="0"/>
    <x v="4"/>
    <m/>
    <s v="一般两小时左右"/>
    <n v="-105"/>
  </r>
  <r>
    <x v="4"/>
    <x v="54"/>
    <n v="34"/>
    <s v="核对舱单信息"/>
    <x v="80"/>
    <x v="0"/>
    <x v="4"/>
    <m/>
    <m/>
    <n v="-105"/>
  </r>
  <r>
    <x v="4"/>
    <x v="54"/>
    <n v="35"/>
    <s v="收到报关行(黄寅文)校对稿，邮件发客户(陈云娣)确认"/>
    <x v="96"/>
    <x v="0"/>
    <x v="3"/>
    <m/>
    <s v="一般半天内"/>
    <n v="-104"/>
  </r>
  <r>
    <x v="4"/>
    <x v="54"/>
    <n v="36"/>
    <s v="收到客户(陈云娣)确认校对稿"/>
    <x v="102"/>
    <x v="0"/>
    <x v="3"/>
    <m/>
    <s v="一般马上"/>
    <n v="-103"/>
  </r>
  <r>
    <x v="4"/>
    <x v="54"/>
    <n v="37"/>
    <s v="通知车队(沈丽)可进港"/>
    <x v="80"/>
    <x v="0"/>
    <x v="4"/>
    <m/>
    <m/>
    <n v="-105"/>
  </r>
  <r>
    <x v="4"/>
    <x v="54"/>
    <n v="38"/>
    <s v="盯箱子进港，关注开港时间，有落箱费？"/>
    <x v="102"/>
    <x v="0"/>
    <x v="3"/>
    <m/>
    <m/>
    <n v="-103"/>
  </r>
  <r>
    <x v="4"/>
    <x v="54"/>
    <n v="39"/>
    <s v="核对进港数据"/>
    <x v="102"/>
    <x v="0"/>
    <x v="3"/>
    <m/>
    <m/>
    <n v="-103"/>
  </r>
  <r>
    <x v="4"/>
    <x v="54"/>
    <n v="40"/>
    <s v="通知报关行(黄寅文)报关(开港、舱单、校对)（洋山提供装箱单）"/>
    <x v="102"/>
    <x v="0"/>
    <x v="3"/>
    <m/>
    <m/>
    <n v="-103"/>
  </r>
  <r>
    <x v="4"/>
    <x v="54"/>
    <n v="41"/>
    <s v="收到报关成功通知"/>
    <x v="102"/>
    <x v="0"/>
    <x v="3"/>
    <m/>
    <s v="一般下班前"/>
    <n v="-103"/>
  </r>
  <r>
    <x v="4"/>
    <x v="54"/>
    <n v="42"/>
    <s v="盯海放"/>
    <x v="102"/>
    <x v="0"/>
    <x v="3"/>
    <m/>
    <m/>
    <n v="-103"/>
  </r>
  <r>
    <x v="4"/>
    <x v="54"/>
    <n v="42.1"/>
    <s v="发预录单放行单给陈云娣"/>
    <x v="65"/>
    <x v="0"/>
    <x v="0"/>
    <m/>
    <m/>
    <n v="-102"/>
  </r>
  <r>
    <x v="4"/>
    <x v="54"/>
    <n v="43"/>
    <s v="盯码放"/>
    <x v="66"/>
    <x v="0"/>
    <x v="3"/>
    <m/>
    <m/>
    <n v="-101"/>
  </r>
  <r>
    <x v="4"/>
    <x v="54"/>
    <n v="44"/>
    <s v="盯配载"/>
    <x v="66"/>
    <x v="0"/>
    <x v="4"/>
    <m/>
    <m/>
    <n v="-101"/>
  </r>
  <r>
    <x v="4"/>
    <x v="54"/>
    <n v="45"/>
    <s v="做费用(月初等汇率)，发账单给陈吟勇"/>
    <x v="66"/>
    <x v="0"/>
    <x v="0"/>
    <m/>
    <m/>
    <n v="-101"/>
  </r>
  <r>
    <x v="4"/>
    <x v="54"/>
    <n v="46"/>
    <s v="船开"/>
    <x v="92"/>
    <x v="0"/>
    <x v="3"/>
    <m/>
    <m/>
    <n v="-99"/>
  </r>
  <r>
    <x v="4"/>
    <x v="54"/>
    <n v="47"/>
    <s v="放提单（PHISON、石磊提单、陈云娣三单）"/>
    <x v="92"/>
    <x v="0"/>
    <x v="4"/>
    <m/>
    <s v="一般开船后两三天"/>
    <n v="-99"/>
  </r>
  <r>
    <x v="1"/>
    <x v="54"/>
    <n v="1"/>
    <s v="收到客户(孙丹/王珊)发来订舱托书"/>
    <x v="85"/>
    <x v="0"/>
    <x v="0"/>
    <m/>
    <m/>
    <n v="-114"/>
  </r>
  <r>
    <x v="1"/>
    <x v="54"/>
    <n v="2"/>
    <s v="收到CK发来预配(做箱通知，沈丽有收到？)"/>
    <x v="87"/>
    <x v="0"/>
    <x v="0"/>
    <m/>
    <m/>
    <n v="-113"/>
  </r>
  <r>
    <x v="1"/>
    <x v="54"/>
    <n v="3"/>
    <s v="YJC系统生成单子"/>
    <x v="81"/>
    <x v="0"/>
    <x v="0"/>
    <m/>
    <m/>
    <n v="-112"/>
  </r>
  <r>
    <x v="1"/>
    <x v="54"/>
    <n v="4"/>
    <s v="收到包装厂(刘倩梅)发来包装指示书和装箱计划"/>
    <x v="82"/>
    <x v="0"/>
    <x v="3"/>
    <m/>
    <s v="一般周四"/>
    <n v="-106"/>
  </r>
  <r>
    <x v="1"/>
    <x v="54"/>
    <n v="5"/>
    <s v="根据装箱计划汇总包装数据，发各工厂做报关资料"/>
    <x v="82"/>
    <x v="0"/>
    <x v="3"/>
    <m/>
    <m/>
    <n v="-106"/>
  </r>
  <r>
    <x v="1"/>
    <x v="54"/>
    <n v="6"/>
    <s v="做做箱数据，邮件群发(查开港时间，注明做箱时间)"/>
    <x v="82"/>
    <x v="0"/>
    <x v="3"/>
    <m/>
    <m/>
    <n v="-106"/>
  </r>
  <r>
    <x v="1"/>
    <x v="54"/>
    <n v="7"/>
    <s v="HMI确认一下开港时间，看做箱时间要不要变"/>
    <x v="82"/>
    <x v="1"/>
    <x v="3"/>
    <m/>
    <s v="周六"/>
    <n v="-106"/>
  </r>
  <r>
    <x v="1"/>
    <x v="54"/>
    <n v="8"/>
    <s v="收到工厂发来报关资料并完善(代做报关资料跟客户确认)"/>
    <x v="82"/>
    <x v="0"/>
    <x v="4"/>
    <m/>
    <s v="当天至隔天"/>
    <n v="-106"/>
  </r>
  <r>
    <x v="1"/>
    <x v="54"/>
    <n v="9"/>
    <s v="报关资料齐了（光成要素划掉XXX），发报关行(黄寅文)"/>
    <x v="80"/>
    <x v="0"/>
    <x v="0"/>
    <m/>
    <m/>
    <n v="-105"/>
  </r>
  <r>
    <x v="1"/>
    <x v="54"/>
    <n v="10"/>
    <s v="货运模板/发票/箱单"/>
    <x v="96"/>
    <x v="0"/>
    <x v="6"/>
    <m/>
    <m/>
    <n v="-104"/>
  </r>
  <r>
    <x v="1"/>
    <x v="54"/>
    <n v="11"/>
    <s v="收到车队(沈丽)装箱单和洋山提箱截图(如有)，9点前群发，通知发舱单"/>
    <x v="80"/>
    <x v="0"/>
    <x v="1"/>
    <m/>
    <s v="一般KMM五、HMI日"/>
    <n v="-105"/>
  </r>
  <r>
    <x v="1"/>
    <x v="54"/>
    <n v="12"/>
    <s v="收到舱单发送成功通知，核对舱单信息"/>
    <x v="80"/>
    <x v="0"/>
    <x v="6"/>
    <m/>
    <m/>
    <n v="-105"/>
  </r>
  <r>
    <x v="1"/>
    <x v="54"/>
    <n v="13"/>
    <s v="通知报关（洋山发装箱单）"/>
    <x v="80"/>
    <x v="0"/>
    <x v="6"/>
    <m/>
    <s v="调整顺序"/>
    <n v="-105"/>
  </r>
  <r>
    <x v="1"/>
    <x v="54"/>
    <n v="14"/>
    <s v="报关成功"/>
    <x v="80"/>
    <x v="0"/>
    <x v="4"/>
    <m/>
    <s v="调整顺序"/>
    <n v="-105"/>
  </r>
  <r>
    <x v="1"/>
    <x v="54"/>
    <n v="15"/>
    <s v="通知进港"/>
    <x v="80"/>
    <x v="0"/>
    <x v="4"/>
    <m/>
    <s v="调整顺序"/>
    <n v="-105"/>
  </r>
  <r>
    <x v="1"/>
    <x v="54"/>
    <n v="16"/>
    <s v="进港(核对数据)"/>
    <x v="96"/>
    <x v="0"/>
    <x v="0"/>
    <m/>
    <s v="调整顺序"/>
    <n v="-104"/>
  </r>
  <r>
    <x v="1"/>
    <x v="54"/>
    <n v="17"/>
    <s v="海放"/>
    <x v="96"/>
    <x v="0"/>
    <x v="0"/>
    <m/>
    <m/>
    <n v="-104"/>
  </r>
  <r>
    <x v="1"/>
    <x v="54"/>
    <n v="18"/>
    <s v="码放"/>
    <x v="66"/>
    <x v="0"/>
    <x v="4"/>
    <m/>
    <m/>
    <n v="-101"/>
  </r>
  <r>
    <x v="1"/>
    <x v="54"/>
    <n v="19"/>
    <s v="配载"/>
    <x v="69"/>
    <x v="0"/>
    <x v="4"/>
    <m/>
    <m/>
    <n v="-100"/>
  </r>
  <r>
    <x v="1"/>
    <x v="54"/>
    <n v="20"/>
    <s v="做费用(对账单日期4号)，放公共盘，填月账单表，发孙丹"/>
    <x v="66"/>
    <x v="0"/>
    <x v="0"/>
    <m/>
    <m/>
    <n v="-101"/>
  </r>
  <r>
    <x v="1"/>
    <x v="54"/>
    <n v="21"/>
    <s v="如有额外费用发邮件"/>
    <x v="66"/>
    <x v="0"/>
    <x v="0"/>
    <m/>
    <m/>
    <n v="-101"/>
  </r>
  <r>
    <x v="1"/>
    <x v="54"/>
    <n v="22"/>
    <s v="船开"/>
    <x v="97"/>
    <x v="0"/>
    <x v="0"/>
    <m/>
    <m/>
    <n v="-98"/>
  </r>
  <r>
    <x v="1"/>
    <x v="54"/>
    <n v="23"/>
    <s v="杨红岩、徐琴确认报关单"/>
    <x v="80"/>
    <x v="0"/>
    <x v="6"/>
    <m/>
    <m/>
    <n v="-105"/>
  </r>
  <r>
    <x v="7"/>
    <x v="54"/>
    <n v="1"/>
    <s v="收到徐小姐托书"/>
    <x v="80"/>
    <x v="0"/>
    <x v="0"/>
    <m/>
    <m/>
    <n v="-105"/>
  </r>
  <r>
    <x v="7"/>
    <x v="54"/>
    <n v="2"/>
    <s v="公共盘表格生成单号，YJC系统复制、生成"/>
    <x v="80"/>
    <x v="0"/>
    <x v="0"/>
    <m/>
    <s v="注意MBL#命名规则"/>
    <n v="-105"/>
  </r>
  <r>
    <x v="7"/>
    <x v="54"/>
    <n v="3"/>
    <s v="(一票一订)振华订舱界面复制订舱、保存、提交"/>
    <x v="80"/>
    <x v="0"/>
    <x v="0"/>
    <m/>
    <s v="客户编号 提单号 船名航次 日期 箱量"/>
    <n v="-105"/>
  </r>
  <r>
    <x v="7"/>
    <x v="54"/>
    <n v="4"/>
    <s v="邮件发确认给国外"/>
    <x v="80"/>
    <x v="0"/>
    <x v="0"/>
    <m/>
    <s v="Delete ayjun@kylogix.co.kr Add hypark@kylogix.co.kr"/>
    <n v="-105"/>
  </r>
  <r>
    <x v="7"/>
    <x v="54"/>
    <n v="5"/>
    <s v="QQ发预配信息给徐小姐（模板），问是否要加拼，发车队江"/>
    <x v="80"/>
    <x v="0"/>
    <x v="0"/>
    <m/>
    <m/>
    <n v="-105"/>
  </r>
  <r>
    <x v="7"/>
    <x v="54"/>
    <n v="6"/>
    <s v="订舱审核通过"/>
    <x v="80"/>
    <x v="0"/>
    <x v="3"/>
    <m/>
    <m/>
    <n v="-105"/>
  </r>
  <r>
    <x v="7"/>
    <x v="54"/>
    <n v="7"/>
    <s v="订舱界面加拼、提交，通知徐小姐加拼单号"/>
    <x v="80"/>
    <x v="1"/>
    <x v="3"/>
    <m/>
    <s v="点“多票加拼”"/>
    <n v="-105"/>
  </r>
  <r>
    <x v="7"/>
    <x v="54"/>
    <n v="8"/>
    <s v="加拼审核通过"/>
    <x v="80"/>
    <x v="1"/>
    <x v="3"/>
    <m/>
    <m/>
    <n v="-105"/>
  </r>
  <r>
    <x v="7"/>
    <x v="54"/>
    <n v="9"/>
    <s v="收到国外确认，公共盘红改黑，加CONFIRM"/>
    <x v="96"/>
    <x v="1"/>
    <x v="0"/>
    <m/>
    <m/>
    <n v="-104"/>
  </r>
  <r>
    <x v="7"/>
    <x v="54"/>
    <n v="10"/>
    <s v="做费用，保存到下月3号"/>
    <x v="96"/>
    <x v="1"/>
    <x v="0"/>
    <m/>
    <m/>
    <n v="-104"/>
  </r>
  <r>
    <x v="7"/>
    <x v="54"/>
    <n v="11"/>
    <s v="问装箱时间"/>
    <x v="96"/>
    <x v="1"/>
    <x v="0"/>
    <m/>
    <m/>
    <n v="-104"/>
  </r>
  <r>
    <x v="7"/>
    <x v="54"/>
    <n v="12"/>
    <s v="收到车队吴虹发来装箱数据和装箱单"/>
    <x v="96"/>
    <x v="1"/>
    <x v="0"/>
    <m/>
    <s v="周三周一截，周日周五截"/>
    <n v="-104"/>
  </r>
  <r>
    <x v="7"/>
    <x v="54"/>
    <n v="13"/>
    <s v="数据表中加入封号，汇总单票总件毛体"/>
    <x v="96"/>
    <x v="1"/>
    <x v="0"/>
    <m/>
    <m/>
    <n v="-104"/>
  </r>
  <r>
    <x v="7"/>
    <x v="54"/>
    <n v="14"/>
    <s v="YJC 截单"/>
    <x v="96"/>
    <x v="1"/>
    <x v="0"/>
    <m/>
    <s v="船名航次 开航日 件毛体 CC 箱量 箱封号 品名"/>
    <n v="-104"/>
  </r>
  <r>
    <x v="7"/>
    <x v="54"/>
    <n v="15"/>
    <s v="导出HBL，发徐小姐确认"/>
    <x v="96"/>
    <x v="1"/>
    <x v="0"/>
    <m/>
    <m/>
    <n v="-104"/>
  </r>
  <r>
    <x v="7"/>
    <x v="54"/>
    <n v="16"/>
    <s v="徐小姐确认HBL时，振华录入每一关单号的件毛体(注意箱状态)，保存"/>
    <x v="96"/>
    <x v="1"/>
    <x v="0"/>
    <m/>
    <m/>
    <n v="-104"/>
  </r>
  <r>
    <x v="7"/>
    <x v="54"/>
    <n v="17"/>
    <s v="徐小姐确认HBL"/>
    <x v="96"/>
    <x v="1"/>
    <x v="0"/>
    <m/>
    <m/>
    <n v="-104"/>
  </r>
  <r>
    <x v="7"/>
    <x v="54"/>
    <n v="18"/>
    <s v="发舱单"/>
    <x v="96"/>
    <x v="1"/>
    <x v="0"/>
    <m/>
    <s v="一关单一发"/>
    <n v="-104"/>
  </r>
  <r>
    <x v="7"/>
    <x v="54"/>
    <n v="19"/>
    <s v="海关有舱单，核对舱单信息，(如无并单，可直接录VGM)"/>
    <x v="96"/>
    <x v="1"/>
    <x v="0"/>
    <m/>
    <m/>
    <n v="-104"/>
  </r>
  <r>
    <x v="7"/>
    <x v="54"/>
    <n v="20"/>
    <s v="订舱界面并单"/>
    <x v="96"/>
    <x v="1"/>
    <x v="0"/>
    <m/>
    <m/>
    <n v="-104"/>
  </r>
  <r>
    <x v="7"/>
    <x v="54"/>
    <n v="21"/>
    <s v="并单审核通过"/>
    <x v="96"/>
    <x v="1"/>
    <x v="0"/>
    <m/>
    <m/>
    <n v="-104"/>
  </r>
  <r>
    <x v="7"/>
    <x v="54"/>
    <n v="22"/>
    <s v="每票录入所有箱子箱封号和件毛体，保存，录VGM，导入"/>
    <x v="96"/>
    <x v="1"/>
    <x v="0"/>
    <m/>
    <m/>
    <n v="-104"/>
  </r>
  <r>
    <x v="7"/>
    <x v="54"/>
    <n v="23"/>
    <s v="打印MBL"/>
    <x v="96"/>
    <x v="1"/>
    <x v="0"/>
    <m/>
    <m/>
    <n v="-104"/>
  </r>
  <r>
    <x v="7"/>
    <x v="54"/>
    <n v="24"/>
    <s v="表格、HBL、MBL、费用一起发邮件给国外"/>
    <x v="96"/>
    <x v="1"/>
    <x v="0"/>
    <m/>
    <s v="Delete ayjun@kylogix.co.kr Add hypark@kylogix.co.kr"/>
    <n v="-104"/>
  </r>
  <r>
    <x v="7"/>
    <x v="54"/>
    <n v="25"/>
    <s v="船开"/>
    <x v="96"/>
    <x v="1"/>
    <x v="0"/>
    <m/>
    <m/>
    <n v="-104"/>
  </r>
  <r>
    <x v="7"/>
    <x v="54"/>
    <n v="26"/>
    <s v="拿到WAYBILL"/>
    <x v="96"/>
    <x v="1"/>
    <x v="0"/>
    <m/>
    <m/>
    <n v="-10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104"/>
  </r>
  <r>
    <x v="7"/>
    <x v="54"/>
    <n v="28"/>
    <s v="徐通知取消，通知国外"/>
    <x v="80"/>
    <x v="0"/>
    <x v="0"/>
    <m/>
    <m/>
    <n v="-105"/>
  </r>
  <r>
    <x v="7"/>
    <x v="54"/>
    <n v="29"/>
    <s v="振华退载申请"/>
    <x v="96"/>
    <x v="0"/>
    <x v="0"/>
    <m/>
    <m/>
    <n v="-104"/>
  </r>
  <r>
    <x v="7"/>
    <x v="54"/>
    <n v="30"/>
    <s v="振华退载申请成功"/>
    <x v="65"/>
    <x v="0"/>
    <x v="6"/>
    <m/>
    <m/>
    <n v="-102"/>
  </r>
  <r>
    <x v="11"/>
    <x v="55"/>
    <n v="1"/>
    <s v="收到客户(金杰)发来订舱托书"/>
    <x v="81"/>
    <x v="0"/>
    <x v="0"/>
    <m/>
    <m/>
    <n v="-112"/>
  </r>
  <r>
    <x v="11"/>
    <x v="55"/>
    <n v="2"/>
    <s v="收到ZHL发来预配(做箱通知，沈丽有收到？)"/>
    <x v="88"/>
    <x v="0"/>
    <x v="1"/>
    <m/>
    <m/>
    <n v="-107"/>
  </r>
  <r>
    <x v="11"/>
    <x v="55"/>
    <n v="3"/>
    <s v="YJC系统生成单子"/>
    <x v="88"/>
    <x v="0"/>
    <x v="1"/>
    <m/>
    <m/>
    <n v="-107"/>
  </r>
  <r>
    <x v="11"/>
    <x v="55"/>
    <n v="4"/>
    <s v="收到包装厂(王钰)发来包装指示书和装箱计划"/>
    <x v="88"/>
    <x v="0"/>
    <x v="0"/>
    <m/>
    <m/>
    <n v="-107"/>
  </r>
  <r>
    <x v="11"/>
    <x v="55"/>
    <n v="5"/>
    <s v="根据装箱计划汇总包装数据"/>
    <x v="88"/>
    <x v="0"/>
    <x v="0"/>
    <m/>
    <m/>
    <n v="-107"/>
  </r>
  <r>
    <x v="11"/>
    <x v="55"/>
    <n v="6"/>
    <s v="船公司取消预配，不靠目的港，等新预配再定装箱时间"/>
    <x v="80"/>
    <x v="0"/>
    <x v="0"/>
    <m/>
    <m/>
    <n v="-105"/>
  </r>
  <r>
    <x v="11"/>
    <x v="55"/>
    <n v="7"/>
    <s v="做做箱数据，查开港时间，通知全和及车队做箱时间和做箱数据"/>
    <x v="96"/>
    <x v="0"/>
    <x v="0"/>
    <m/>
    <m/>
    <n v="-104"/>
  </r>
  <r>
    <x v="11"/>
    <x v="55"/>
    <n v="8"/>
    <s v="王钰货已好，问订舱口？关注开港时间，确定周日装箱"/>
    <x v="65"/>
    <x v="1"/>
    <x v="3"/>
    <m/>
    <m/>
    <n v="-102"/>
  </r>
  <r>
    <x v="11"/>
    <x v="55"/>
    <n v="9"/>
    <s v="延到8月8号，收到新预配，制作新流水"/>
    <x v="66"/>
    <x v="0"/>
    <x v="0"/>
    <m/>
    <m/>
    <n v="-101"/>
  </r>
  <r>
    <x v="11"/>
    <x v="55"/>
    <n v="10"/>
    <s v="有开港时间，确定装箱时间，发做箱通知给沈丽，通知全和"/>
    <x v="65"/>
    <x v="1"/>
    <x v="0"/>
    <m/>
    <m/>
    <n v="-102"/>
  </r>
  <r>
    <x v="11"/>
    <x v="55"/>
    <n v="11"/>
    <s v="收到车队(沈丽)装箱单和洋山提箱截图(如有)，转发装箱单给全和"/>
    <x v="65"/>
    <x v="1"/>
    <x v="0"/>
    <m/>
    <m/>
    <n v="-102"/>
  </r>
  <r>
    <x v="11"/>
    <x v="55"/>
    <n v="12"/>
    <s v="装箱单发给王钰一份"/>
    <x v="65"/>
    <x v="1"/>
    <x v="0"/>
    <m/>
    <m/>
    <n v="-102"/>
  </r>
  <r>
    <x v="11"/>
    <x v="55"/>
    <n v="13"/>
    <s v="进港(核对数据)"/>
    <x v="65"/>
    <x v="1"/>
    <x v="0"/>
    <m/>
    <m/>
    <n v="-102"/>
  </r>
  <r>
    <x v="11"/>
    <x v="55"/>
    <n v="14"/>
    <s v="海放（明天就要靠了，还没报关）"/>
    <x v="65"/>
    <x v="1"/>
    <x v="0"/>
    <m/>
    <m/>
    <n v="-102"/>
  </r>
  <r>
    <x v="11"/>
    <x v="55"/>
    <n v="15"/>
    <s v="码放"/>
    <x v="65"/>
    <x v="1"/>
    <x v="0"/>
    <m/>
    <m/>
    <n v="-102"/>
  </r>
  <r>
    <x v="11"/>
    <x v="55"/>
    <n v="16"/>
    <s v="配载"/>
    <x v="69"/>
    <x v="1"/>
    <x v="0"/>
    <m/>
    <m/>
    <n v="-100"/>
  </r>
  <r>
    <x v="11"/>
    <x v="55"/>
    <n v="17"/>
    <s v="如何做费用，开票"/>
    <x v="69"/>
    <x v="1"/>
    <x v="0"/>
    <m/>
    <m/>
    <n v="-100"/>
  </r>
  <r>
    <x v="11"/>
    <x v="55"/>
    <n v="18"/>
    <s v="如有额外费用发邮件"/>
    <x v="69"/>
    <x v="1"/>
    <x v="0"/>
    <m/>
    <m/>
    <n v="-100"/>
  </r>
  <r>
    <x v="11"/>
    <x v="55"/>
    <n v="19"/>
    <s v="船开"/>
    <x v="92"/>
    <x v="1"/>
    <x v="0"/>
    <m/>
    <m/>
    <n v="-99"/>
  </r>
  <r>
    <x v="2"/>
    <x v="55"/>
    <n v="1"/>
    <s v="准备 PANCON 本月所有出运清单（文件名）"/>
    <x v="97"/>
    <x v="0"/>
    <x v="1"/>
    <m/>
    <s v="1号"/>
    <n v="-98"/>
  </r>
  <r>
    <x v="2"/>
    <x v="55"/>
    <n v="2"/>
    <s v="【万盛开票】收到万盛发来上月结算单，核对，开票，发万盛（金娥善）"/>
    <x v="68"/>
    <x v="0"/>
    <x v="1"/>
    <m/>
    <s v="1号"/>
    <n v="-87"/>
  </r>
  <r>
    <x v="2"/>
    <x v="55"/>
    <n v="2"/>
    <s v="【万盛开票】上月的账单全部发给（金娥善）"/>
    <x v="103"/>
    <x v="0"/>
    <x v="3"/>
    <m/>
    <s v="1号"/>
    <n v="-91"/>
  </r>
  <r>
    <x v="2"/>
    <x v="55"/>
    <n v="3"/>
    <s v="【万盛开票】核对，APP，打印，开纸质普票"/>
    <x v="68"/>
    <x v="0"/>
    <x v="1"/>
    <m/>
    <s v="1号"/>
    <n v="-87"/>
  </r>
  <r>
    <x v="2"/>
    <x v="55"/>
    <n v="4"/>
    <s v="【万盛开票】收到发票，和签字结算单一起扫描发金善娥确认"/>
    <x v="68"/>
    <x v="0"/>
    <x v="1"/>
    <m/>
    <s v="1号"/>
    <n v="-87"/>
  </r>
  <r>
    <x v="2"/>
    <x v="55"/>
    <n v="5"/>
    <s v="【万盛开票】寄发票给金善娥"/>
    <x v="68"/>
    <x v="0"/>
    <x v="1"/>
    <m/>
    <s v="1号"/>
    <n v="-87"/>
  </r>
  <r>
    <x v="2"/>
    <x v="55"/>
    <n v="5.0999999999999996"/>
    <s v="【万盛开票】金善娥收到发票3721019564622"/>
    <x v="100"/>
    <x v="0"/>
    <x v="3"/>
    <m/>
    <m/>
    <n v="-86"/>
  </r>
  <r>
    <x v="2"/>
    <x v="55"/>
    <n v="6"/>
    <s v="【太平保险】收到保险公司（常）上月对账单，对账后回复常"/>
    <x v="86"/>
    <x v="0"/>
    <x v="3"/>
    <m/>
    <s v="3号"/>
    <n v="-95"/>
  </r>
  <r>
    <x v="2"/>
    <x v="55"/>
    <n v="7"/>
    <s v="KMM HMI 全部APP"/>
    <x v="104"/>
    <x v="1"/>
    <x v="4"/>
    <m/>
    <s v="24号"/>
    <n v="-77"/>
  </r>
  <r>
    <x v="2"/>
    <x v="55"/>
    <n v="8"/>
    <s v="CK TJ glovis有没有驳货费"/>
    <x v="98"/>
    <x v="1"/>
    <x v="0"/>
    <m/>
    <s v="25号"/>
    <n v="-74"/>
  </r>
  <r>
    <x v="2"/>
    <x v="55"/>
    <n v="9"/>
    <s v="客户对账单，开票"/>
    <x v="101"/>
    <x v="0"/>
    <x v="0"/>
    <m/>
    <s v="26号"/>
    <n v="-73"/>
  </r>
  <r>
    <x v="2"/>
    <x v="55"/>
    <n v="10"/>
    <s v="JS mobis本月车队费用邮件发给汤爱华"/>
    <x v="101"/>
    <x v="0"/>
    <x v="3"/>
    <m/>
    <s v="28号"/>
    <n v="-73"/>
  </r>
  <r>
    <x v="2"/>
    <x v="55"/>
    <n v="10"/>
    <s v="下月 MONTH"/>
    <x v="105"/>
    <x v="0"/>
    <x v="4"/>
    <m/>
    <s v="30号"/>
    <n v="-70"/>
  </r>
  <r>
    <x v="2"/>
    <x v="55"/>
    <n v="11"/>
    <s v="ROADSUN本月账单（批量对账单里导出，删除不必要的内容）发给文生然确认"/>
    <x v="106"/>
    <x v="0"/>
    <x v="1"/>
    <m/>
    <s v="28号"/>
    <n v="-7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72"/>
  </r>
  <r>
    <x v="2"/>
    <x v="55"/>
    <n v="13"/>
    <s v="ROADSUN收到发票，和确认的账单表格一起寄给万晖"/>
    <x v="106"/>
    <x v="0"/>
    <x v="1"/>
    <m/>
    <s v="28号"/>
    <n v="-72"/>
  </r>
  <r>
    <x v="2"/>
    <x v="55"/>
    <n v="13.1"/>
    <s v="万晖收到发票773001315285925"/>
    <x v="105"/>
    <x v="0"/>
    <x v="3"/>
    <m/>
    <m/>
    <n v="-70"/>
  </r>
  <r>
    <x v="2"/>
    <x v="55"/>
    <n v="14"/>
    <s v="SC GLV 本月费用申请APP"/>
    <x v="98"/>
    <x v="1"/>
    <x v="0"/>
    <m/>
    <s v="28号"/>
    <n v="-74"/>
  </r>
  <r>
    <x v="2"/>
    <x v="55"/>
    <n v="15"/>
    <s v="SC GLV 本月费用完成APP"/>
    <x v="98"/>
    <x v="1"/>
    <x v="0"/>
    <m/>
    <s v="28号"/>
    <n v="-74"/>
  </r>
  <r>
    <x v="2"/>
    <x v="55"/>
    <n v="16"/>
    <s v="SC GLV 本月费用申请开票"/>
    <x v="98"/>
    <x v="1"/>
    <x v="0"/>
    <m/>
    <s v="28号"/>
    <n v="-74"/>
  </r>
  <r>
    <x v="2"/>
    <x v="55"/>
    <n v="17"/>
    <s v="SC GLV 收到本月发票"/>
    <x v="98"/>
    <x v="1"/>
    <x v="0"/>
    <m/>
    <s v="28号"/>
    <n v="-74"/>
  </r>
  <r>
    <x v="2"/>
    <x v="55"/>
    <n v="18"/>
    <s v="SC GLV 发票扫描，发张婷确认"/>
    <x v="98"/>
    <x v="1"/>
    <x v="0"/>
    <m/>
    <s v="28号"/>
    <n v="-74"/>
  </r>
  <r>
    <x v="2"/>
    <x v="55"/>
    <n v="19"/>
    <s v="SC GLV 张婷确认发票"/>
    <x v="98"/>
    <x v="1"/>
    <x v="0"/>
    <m/>
    <s v="28号"/>
    <n v="-74"/>
  </r>
  <r>
    <x v="2"/>
    <x v="55"/>
    <n v="20"/>
    <s v="SC GLV 寄出发票和账单"/>
    <x v="98"/>
    <x v="1"/>
    <x v="0"/>
    <m/>
    <s v="28号"/>
    <n v="-74"/>
  </r>
  <r>
    <x v="2"/>
    <x v="55"/>
    <n v="21"/>
    <s v="SC GLV 发票签收"/>
    <x v="98"/>
    <x v="1"/>
    <x v="0"/>
    <m/>
    <s v="28号"/>
    <n v="-74"/>
  </r>
  <r>
    <x v="2"/>
    <x v="55"/>
    <n v="22"/>
    <s v="对青岛世佳7月的账时记得把KMTC的扣除"/>
    <x v="95"/>
    <x v="0"/>
    <x v="0"/>
    <m/>
    <m/>
    <n v="-88"/>
  </r>
  <r>
    <x v="2"/>
    <x v="55"/>
    <n v="23"/>
    <s v="ROADSUN 5月两单费用下旬付"/>
    <x v="107"/>
    <x v="0"/>
    <x v="0"/>
    <m/>
    <m/>
    <n v="-85"/>
  </r>
  <r>
    <x v="2"/>
    <x v="55"/>
    <n v="24"/>
    <s v="本月万盛所有费用整理，发邮件，参考6月份邮件"/>
    <x v="108"/>
    <x v="0"/>
    <x v="1"/>
    <m/>
    <m/>
    <n v="-67"/>
  </r>
  <r>
    <x v="2"/>
    <x v="55"/>
    <m/>
    <s v="【WX MOBIS开票】陈吟勇发来对账单，请求开票"/>
    <x v="106"/>
    <x v="0"/>
    <x v="0"/>
    <m/>
    <m/>
    <n v="-72"/>
  </r>
  <r>
    <x v="2"/>
    <x v="55"/>
    <m/>
    <s v="【WX MOBIS开票】核对，生成批量对账单号，请求开票"/>
    <x v="109"/>
    <x v="0"/>
    <x v="0"/>
    <m/>
    <m/>
    <n v="-71"/>
  </r>
  <r>
    <x v="2"/>
    <x v="55"/>
    <m/>
    <s v="【WX MOBIS开票】收到电子发票，和对账单一起发陈吟勇"/>
    <x v="109"/>
    <x v="0"/>
    <x v="4"/>
    <m/>
    <m/>
    <n v="-71"/>
  </r>
  <r>
    <x v="3"/>
    <x v="55"/>
    <m/>
    <s v="JS mobis 空运（找glovis）"/>
    <x v="95"/>
    <x v="0"/>
    <x v="1"/>
    <m/>
    <m/>
    <n v="-88"/>
  </r>
  <r>
    <x v="4"/>
    <x v="56"/>
    <n v="1"/>
    <s v="收到客户(陈云娣)订舱预报"/>
    <x v="64"/>
    <x v="0"/>
    <x v="0"/>
    <m/>
    <s v="一般周五发隔周"/>
    <n v="-109"/>
  </r>
  <r>
    <x v="4"/>
    <x v="56"/>
    <n v="2"/>
    <s v="填WORKING PROCESS"/>
    <x v="89"/>
    <x v="1"/>
    <x v="0"/>
    <m/>
    <m/>
    <n v="-108"/>
  </r>
  <r>
    <x v="4"/>
    <x v="56"/>
    <n v="6"/>
    <s v="公共盘生成提单号(QSWB不要搞错)"/>
    <x v="89"/>
    <x v="1"/>
    <x v="0"/>
    <m/>
    <m/>
    <n v="-108"/>
  </r>
  <r>
    <x v="4"/>
    <x v="56"/>
    <n v="7"/>
    <s v="YJC系统生成单子"/>
    <x v="89"/>
    <x v="1"/>
    <x v="0"/>
    <m/>
    <m/>
    <n v="-108"/>
  </r>
  <r>
    <x v="4"/>
    <x v="56"/>
    <n v="8"/>
    <s v="发EDI"/>
    <x v="89"/>
    <x v="1"/>
    <x v="0"/>
    <m/>
    <m/>
    <n v="-108"/>
  </r>
  <r>
    <x v="4"/>
    <x v="56"/>
    <n v="9"/>
    <s v="邮件申请放舱"/>
    <x v="89"/>
    <x v="1"/>
    <x v="0"/>
    <m/>
    <m/>
    <n v="-108"/>
  </r>
  <r>
    <x v="4"/>
    <x v="56"/>
    <n v="10"/>
    <s v="收到HMM(Abbi) 确认放舱"/>
    <x v="89"/>
    <x v="1"/>
    <x v="0"/>
    <m/>
    <s v="一般半天内"/>
    <n v="-108"/>
  </r>
  <r>
    <x v="4"/>
    <x v="56"/>
    <n v="11"/>
    <s v="HMM网站核对订舱信息"/>
    <x v="89"/>
    <x v="1"/>
    <x v="0"/>
    <m/>
    <m/>
    <n v="-108"/>
  </r>
  <r>
    <x v="4"/>
    <x v="56"/>
    <n v="12"/>
    <s v="收到客户(陈云娣)做箱通知"/>
    <x v="89"/>
    <x v="1"/>
    <x v="0"/>
    <m/>
    <s v="一般做箱头天一早"/>
    <n v="-108"/>
  </r>
  <r>
    <x v="4"/>
    <x v="56"/>
    <n v="13"/>
    <s v="【拆单】公共盘生成提单号"/>
    <x v="89"/>
    <x v="1"/>
    <x v="0"/>
    <m/>
    <m/>
    <n v="-108"/>
  </r>
  <r>
    <x v="4"/>
    <x v="56"/>
    <n v="14"/>
    <s v="发做箱通知邮件给车队(沈丽)（航次要加QL？）"/>
    <x v="89"/>
    <x v="1"/>
    <x v="0"/>
    <m/>
    <m/>
    <n v="-108"/>
  </r>
  <r>
    <x v="4"/>
    <x v="56"/>
    <n v="15"/>
    <s v="【拆单】YJC系统生成单子（QSWB不要搞错）"/>
    <x v="89"/>
    <x v="1"/>
    <x v="0"/>
    <m/>
    <m/>
    <n v="-108"/>
  </r>
  <r>
    <x v="4"/>
    <x v="56"/>
    <n v="16"/>
    <s v="【拆单】发EDI"/>
    <x v="89"/>
    <x v="1"/>
    <x v="0"/>
    <m/>
    <m/>
    <n v="-108"/>
  </r>
  <r>
    <x v="4"/>
    <x v="56"/>
    <n v="17"/>
    <s v="【拆单】邮件申请放单"/>
    <x v="89"/>
    <x v="1"/>
    <x v="0"/>
    <m/>
    <m/>
    <n v="-108"/>
  </r>
  <r>
    <x v="4"/>
    <x v="56"/>
    <n v="18"/>
    <s v="【拆单】收到HMM(Abbi) 加拼放单确认"/>
    <x v="89"/>
    <x v="1"/>
    <x v="0"/>
    <m/>
    <m/>
    <n v="-108"/>
  </r>
  <r>
    <x v="4"/>
    <x v="56"/>
    <n v="19"/>
    <s v="【拆单】HMM网站核对订舱信息"/>
    <x v="89"/>
    <x v="1"/>
    <x v="0"/>
    <m/>
    <m/>
    <n v="-108"/>
  </r>
  <r>
    <x v="4"/>
    <x v="56"/>
    <n v="20"/>
    <s v="收到客户(陈云娣)发来报关资料"/>
    <x v="89"/>
    <x v="1"/>
    <x v="0"/>
    <m/>
    <s v="一般做箱当天一早"/>
    <n v="-108"/>
  </r>
  <r>
    <x v="4"/>
    <x v="56"/>
    <n v="21"/>
    <s v="【加拼】按报关(发票)数生成提单号【如发票数超过提单数】"/>
    <x v="89"/>
    <x v="1"/>
    <x v="0"/>
    <m/>
    <m/>
    <n v="-108"/>
  </r>
  <r>
    <x v="4"/>
    <x v="56"/>
    <n v="22"/>
    <s v="做做箱数据，QQ发车队(沈丽)"/>
    <x v="89"/>
    <x v="1"/>
    <x v="0"/>
    <m/>
    <m/>
    <n v="-108"/>
  </r>
  <r>
    <x v="4"/>
    <x v="56"/>
    <n v="23"/>
    <s v="收到车队(沈丽)装箱单，转发客户（陈云娣）"/>
    <x v="89"/>
    <x v="1"/>
    <x v="0"/>
    <m/>
    <s v="一般马上"/>
    <n v="-108"/>
  </r>
  <r>
    <x v="4"/>
    <x v="56"/>
    <n v="24"/>
    <s v="YJC系统截单，发EDI，邮件HMM(He)【截单时间】"/>
    <x v="89"/>
    <x v="1"/>
    <x v="0"/>
    <m/>
    <s v="注意截单时间"/>
    <n v="-108"/>
  </r>
  <r>
    <x v="4"/>
    <x v="56"/>
    <n v="25"/>
    <s v="发VGM和舱单（亿通，鹏海两次）"/>
    <x v="89"/>
    <x v="1"/>
    <x v="0"/>
    <m/>
    <m/>
    <n v="-108"/>
  </r>
  <r>
    <x v="4"/>
    <x v="56"/>
    <n v="26"/>
    <s v="做报关资料，扫描发报关行(黄寅文)QQ，要校对稿"/>
    <x v="89"/>
    <x v="1"/>
    <x v="0"/>
    <m/>
    <m/>
    <n v="-108"/>
  </r>
  <r>
    <x v="4"/>
    <x v="56"/>
    <n v="27"/>
    <s v="做保函给邹师傅(送给Abbi)"/>
    <x v="89"/>
    <x v="1"/>
    <x v="0"/>
    <m/>
    <m/>
    <n v="-108"/>
  </r>
  <r>
    <x v="4"/>
    <x v="56"/>
    <n v="28"/>
    <s v="做ISF，发国外资料"/>
    <x v="89"/>
    <x v="1"/>
    <x v="0"/>
    <m/>
    <m/>
    <n v="-108"/>
  </r>
  <r>
    <x v="4"/>
    <x v="56"/>
    <n v="29"/>
    <s v="买保险"/>
    <x v="89"/>
    <x v="1"/>
    <x v="0"/>
    <m/>
    <m/>
    <n v="-108"/>
  </r>
  <r>
    <x v="4"/>
    <x v="56"/>
    <n v="31"/>
    <s v="收到HMM(He)生成提单通知"/>
    <x v="89"/>
    <x v="1"/>
    <x v="0"/>
    <m/>
    <s v="一般马上"/>
    <n v="-108"/>
  </r>
  <r>
    <x v="4"/>
    <x v="56"/>
    <n v="32"/>
    <s v="HMM网站核对提单信息"/>
    <x v="89"/>
    <x v="1"/>
    <x v="0"/>
    <m/>
    <m/>
    <n v="-108"/>
  </r>
  <r>
    <x v="4"/>
    <x v="56"/>
    <n v="33"/>
    <s v="盯海关网站舱单"/>
    <x v="89"/>
    <x v="1"/>
    <x v="0"/>
    <m/>
    <s v="一般两小时左右"/>
    <n v="-108"/>
  </r>
  <r>
    <x v="4"/>
    <x v="56"/>
    <n v="34"/>
    <s v="核对舱单信息"/>
    <x v="89"/>
    <x v="1"/>
    <x v="0"/>
    <m/>
    <m/>
    <n v="-108"/>
  </r>
  <r>
    <x v="4"/>
    <x v="56"/>
    <n v="35"/>
    <s v="收到报关行(黄寅文)校对稿，邮件发客户(陈云娣)确认"/>
    <x v="89"/>
    <x v="1"/>
    <x v="0"/>
    <m/>
    <s v="一般半天内"/>
    <n v="-108"/>
  </r>
  <r>
    <x v="4"/>
    <x v="56"/>
    <n v="36"/>
    <s v="收到客户(陈云娣)确认校对稿"/>
    <x v="89"/>
    <x v="1"/>
    <x v="0"/>
    <m/>
    <s v="一般马上"/>
    <n v="-108"/>
  </r>
  <r>
    <x v="4"/>
    <x v="56"/>
    <n v="37"/>
    <s v="通知报关行(黄寅文)报关(开港、舱单、校对)（洋山提供装箱单）"/>
    <x v="89"/>
    <x v="1"/>
    <x v="0"/>
    <m/>
    <m/>
    <n v="-108"/>
  </r>
  <r>
    <x v="4"/>
    <x v="56"/>
    <n v="37"/>
    <s v="收到报关成功通知"/>
    <x v="89"/>
    <x v="1"/>
    <x v="0"/>
    <m/>
    <s v="一般下班前"/>
    <n v="-108"/>
  </r>
  <r>
    <x v="4"/>
    <x v="56"/>
    <n v="37"/>
    <s v="通知车队(沈丽)可进港"/>
    <x v="89"/>
    <x v="1"/>
    <x v="0"/>
    <m/>
    <m/>
    <n v="-108"/>
  </r>
  <r>
    <x v="4"/>
    <x v="56"/>
    <n v="37"/>
    <s v="盯箱子进港，关注开港时间，有落箱费？"/>
    <x v="89"/>
    <x v="1"/>
    <x v="0"/>
    <m/>
    <m/>
    <n v="-108"/>
  </r>
  <r>
    <x v="4"/>
    <x v="56"/>
    <n v="37"/>
    <s v="核对进港数据"/>
    <x v="89"/>
    <x v="1"/>
    <x v="0"/>
    <m/>
    <m/>
    <n v="-108"/>
  </r>
  <r>
    <x v="4"/>
    <x v="56"/>
    <n v="42"/>
    <s v="盯海放"/>
    <x v="89"/>
    <x v="1"/>
    <x v="0"/>
    <m/>
    <m/>
    <n v="-108"/>
  </r>
  <r>
    <x v="4"/>
    <x v="56"/>
    <n v="43"/>
    <s v="盯码放"/>
    <x v="89"/>
    <x v="1"/>
    <x v="0"/>
    <m/>
    <m/>
    <n v="-108"/>
  </r>
  <r>
    <x v="4"/>
    <x v="56"/>
    <n v="44"/>
    <s v="盯配载"/>
    <x v="89"/>
    <x v="1"/>
    <x v="0"/>
    <m/>
    <m/>
    <n v="-108"/>
  </r>
  <r>
    <x v="4"/>
    <x v="56"/>
    <n v="45"/>
    <s v="做费用(月初等汇率)，发账单给石磊"/>
    <x v="89"/>
    <x v="1"/>
    <x v="0"/>
    <m/>
    <m/>
    <n v="-108"/>
  </r>
  <r>
    <x v="4"/>
    <x v="56"/>
    <n v="46"/>
    <s v="船开"/>
    <x v="89"/>
    <x v="1"/>
    <x v="0"/>
    <m/>
    <m/>
    <n v="-108"/>
  </r>
  <r>
    <x v="4"/>
    <x v="56"/>
    <n v="47"/>
    <s v="放提单、预录单、放行单（PHISON、石磊提单、陈云娣三单）"/>
    <x v="89"/>
    <x v="1"/>
    <x v="0"/>
    <m/>
    <s v="一般开船后两三天"/>
    <n v="-108"/>
  </r>
  <r>
    <x v="13"/>
    <x v="57"/>
    <n v="1"/>
    <s v="收到托书"/>
    <x v="83"/>
    <x v="0"/>
    <x v="0"/>
    <m/>
    <m/>
    <n v="-122"/>
  </r>
  <r>
    <x v="13"/>
    <x v="57"/>
    <n v="2"/>
    <s v="订舱"/>
    <x v="73"/>
    <x v="0"/>
    <x v="0"/>
    <m/>
    <m/>
    <n v="-120"/>
  </r>
  <r>
    <x v="13"/>
    <x v="57"/>
    <n v="3"/>
    <s v="收到MSK 订舱确认邮件"/>
    <x v="73"/>
    <x v="0"/>
    <x v="0"/>
    <m/>
    <m/>
    <n v="-120"/>
  </r>
  <r>
    <x v="13"/>
    <x v="57"/>
    <n v="4"/>
    <s v="发订舱确认邮件给客户"/>
    <x v="73"/>
    <x v="0"/>
    <x v="0"/>
    <m/>
    <m/>
    <n v="-120"/>
  </r>
  <r>
    <x v="13"/>
    <x v="57"/>
    <n v="5"/>
    <s v="确认提供资料时间"/>
    <x v="92"/>
    <x v="1"/>
    <x v="0"/>
    <m/>
    <m/>
    <n v="-99"/>
  </r>
  <r>
    <x v="13"/>
    <x v="57"/>
    <n v="5"/>
    <s v="确认提供资料时间"/>
    <x v="69"/>
    <x v="0"/>
    <x v="0"/>
    <m/>
    <m/>
    <n v="-100"/>
  </r>
  <r>
    <x v="13"/>
    <x v="57"/>
    <n v="6"/>
    <s v="收到截单资料"/>
    <x v="92"/>
    <x v="1"/>
    <x v="0"/>
    <m/>
    <m/>
    <n v="-99"/>
  </r>
  <r>
    <x v="13"/>
    <x v="57"/>
    <n v="6"/>
    <s v="做费用，拉账单"/>
    <x v="69"/>
    <x v="0"/>
    <x v="0"/>
    <m/>
    <m/>
    <n v="-100"/>
  </r>
  <r>
    <x v="13"/>
    <x v="57"/>
    <n v="6.1"/>
    <s v="有汇率，改汇率，生成海外对账单，发CREDIT NOTE给Wanda"/>
    <x v="86"/>
    <x v="0"/>
    <x v="6"/>
    <m/>
    <m/>
    <n v="-95"/>
  </r>
  <r>
    <x v="13"/>
    <x v="57"/>
    <n v="7"/>
    <s v="截单"/>
    <x v="92"/>
    <x v="1"/>
    <x v="0"/>
    <m/>
    <m/>
    <n v="-99"/>
  </r>
  <r>
    <x v="13"/>
    <x v="57"/>
    <n v="7"/>
    <s v="收到截单资料"/>
    <x v="92"/>
    <x v="0"/>
    <x v="1"/>
    <m/>
    <m/>
    <n v="-99"/>
  </r>
  <r>
    <x v="13"/>
    <x v="57"/>
    <n v="8"/>
    <s v="发提单确认"/>
    <x v="92"/>
    <x v="1"/>
    <x v="0"/>
    <m/>
    <m/>
    <n v="-99"/>
  </r>
  <r>
    <x v="13"/>
    <x v="57"/>
    <n v="8"/>
    <s v="YJC 截单，HBL和费用发文生然确认"/>
    <x v="92"/>
    <x v="0"/>
    <x v="1"/>
    <m/>
    <m/>
    <n v="-99"/>
  </r>
  <r>
    <x v="13"/>
    <x v="57"/>
    <n v="9"/>
    <s v="箱量改为4确认"/>
    <x v="88"/>
    <x v="0"/>
    <x v="0"/>
    <m/>
    <m/>
    <n v="-107"/>
  </r>
  <r>
    <x v="13"/>
    <x v="57"/>
    <n v="9"/>
    <s v="文生然确认HBL和费用"/>
    <x v="92"/>
    <x v="0"/>
    <x v="1"/>
    <m/>
    <m/>
    <n v="-99"/>
  </r>
  <r>
    <x v="13"/>
    <x v="57"/>
    <n v="10"/>
    <s v="通知Wanda"/>
    <x v="88"/>
    <x v="0"/>
    <x v="0"/>
    <m/>
    <m/>
    <n v="-107"/>
  </r>
  <r>
    <x v="13"/>
    <x v="57"/>
    <n v="10"/>
    <s v="MSK 录入提单确认内容"/>
    <x v="92"/>
    <x v="0"/>
    <x v="1"/>
    <m/>
    <m/>
    <n v="-99"/>
  </r>
  <r>
    <x v="13"/>
    <x v="57"/>
    <n v="11"/>
    <s v="联合船代发舱单"/>
    <x v="92"/>
    <x v="0"/>
    <x v="1"/>
    <m/>
    <m/>
    <n v="-99"/>
  </r>
  <r>
    <x v="13"/>
    <x v="57"/>
    <n v="12"/>
    <s v="MSK网站下载提单确认件"/>
    <x v="92"/>
    <x v="0"/>
    <x v="4"/>
    <m/>
    <m/>
    <n v="-99"/>
  </r>
  <r>
    <x v="13"/>
    <x v="57"/>
    <n v="13"/>
    <s v="邮件发COPY件、AMS给Wanda"/>
    <x v="92"/>
    <x v="0"/>
    <x v="4"/>
    <m/>
    <m/>
    <n v="-99"/>
  </r>
  <r>
    <x v="13"/>
    <x v="57"/>
    <n v="14"/>
    <s v="有舱单，核对，通知文生然"/>
    <x v="92"/>
    <x v="0"/>
    <x v="6"/>
    <m/>
    <m/>
    <n v="-99"/>
  </r>
  <r>
    <x v="13"/>
    <x v="57"/>
    <n v="15"/>
    <s v="进港，核对数据"/>
    <x v="97"/>
    <x v="0"/>
    <x v="0"/>
    <m/>
    <m/>
    <n v="-98"/>
  </r>
  <r>
    <x v="13"/>
    <x v="57"/>
    <n v="16"/>
    <s v="海放"/>
    <x v="97"/>
    <x v="0"/>
    <x v="0"/>
    <m/>
    <m/>
    <n v="-98"/>
  </r>
  <r>
    <x v="13"/>
    <x v="57"/>
    <n v="17"/>
    <s v="码放"/>
    <x v="110"/>
    <x v="0"/>
    <x v="0"/>
    <m/>
    <m/>
    <n v="-96"/>
  </r>
  <r>
    <x v="13"/>
    <x v="57"/>
    <n v="18"/>
    <s v="配载"/>
    <x v="86"/>
    <x v="0"/>
    <x v="4"/>
    <m/>
    <m/>
    <n v="-95"/>
  </r>
  <r>
    <x v="13"/>
    <x v="57"/>
    <n v="19"/>
    <s v="船开"/>
    <x v="99"/>
    <x v="0"/>
    <x v="4"/>
    <m/>
    <m/>
    <n v="-94"/>
  </r>
  <r>
    <x v="13"/>
    <x v="57"/>
    <n v="20"/>
    <s v="邮件发开船通知给Wanda"/>
    <x v="99"/>
    <x v="0"/>
    <x v="4"/>
    <m/>
    <m/>
    <n v="-94"/>
  </r>
  <r>
    <x v="13"/>
    <x v="57"/>
    <n v="21"/>
    <s v="收到Wanda付款通知"/>
    <x v="68"/>
    <x v="0"/>
    <x v="0"/>
    <m/>
    <m/>
    <n v="-87"/>
  </r>
  <r>
    <x v="13"/>
    <x v="57"/>
    <n v="22"/>
    <s v="发SWB、HBL给Wanda"/>
    <x v="68"/>
    <x v="0"/>
    <x v="0"/>
    <m/>
    <m/>
    <n v="-87"/>
  </r>
  <r>
    <x v="7"/>
    <x v="57"/>
    <n v="1"/>
    <s v="收到徐小姐托书"/>
    <x v="65"/>
    <x v="0"/>
    <x v="0"/>
    <m/>
    <m/>
    <n v="-102"/>
  </r>
  <r>
    <x v="7"/>
    <x v="57"/>
    <n v="2"/>
    <s v="公共盘表格生成单号，YJC系统复制、生成"/>
    <x v="65"/>
    <x v="0"/>
    <x v="0"/>
    <m/>
    <s v="注意MBL#命名规则"/>
    <n v="-102"/>
  </r>
  <r>
    <x v="7"/>
    <x v="57"/>
    <n v="3"/>
    <s v="(一票一订)振华订舱界面复制订舱、保存、提交"/>
    <x v="65"/>
    <x v="0"/>
    <x v="0"/>
    <m/>
    <s v="客户编号 提单号 船名航次 日期 箱量"/>
    <n v="-102"/>
  </r>
  <r>
    <x v="7"/>
    <x v="57"/>
    <n v="4"/>
    <s v="邮件发确认给国外"/>
    <x v="65"/>
    <x v="0"/>
    <x v="0"/>
    <m/>
    <s v="Delete ayjun@kylogix.co.kr Add hypark@kylogix.co.kr"/>
    <n v="-102"/>
  </r>
  <r>
    <x v="7"/>
    <x v="57"/>
    <n v="5"/>
    <s v="QQ发预配信息给徐小姐（模板），问是否要加拼，发车队江"/>
    <x v="65"/>
    <x v="0"/>
    <x v="0"/>
    <m/>
    <m/>
    <n v="-102"/>
  </r>
  <r>
    <x v="7"/>
    <x v="57"/>
    <n v="6"/>
    <s v="订舱审核通过"/>
    <x v="65"/>
    <x v="0"/>
    <x v="0"/>
    <m/>
    <m/>
    <n v="-102"/>
  </r>
  <r>
    <x v="7"/>
    <x v="57"/>
    <n v="7"/>
    <s v="订舱界面加拼、提交，通知徐小姐加拼单号"/>
    <x v="66"/>
    <x v="1"/>
    <x v="0"/>
    <m/>
    <s v="点“多票加拼”"/>
    <n v="-101"/>
  </r>
  <r>
    <x v="7"/>
    <x v="57"/>
    <n v="8"/>
    <s v="加拼审核通过"/>
    <x v="66"/>
    <x v="1"/>
    <x v="0"/>
    <m/>
    <m/>
    <n v="-101"/>
  </r>
  <r>
    <x v="7"/>
    <x v="57"/>
    <n v="9"/>
    <s v="收到国外确认，公共盘红改黑，加CONFIRM"/>
    <x v="66"/>
    <x v="0"/>
    <x v="0"/>
    <m/>
    <m/>
    <n v="-101"/>
  </r>
  <r>
    <x v="7"/>
    <x v="57"/>
    <n v="10"/>
    <s v="做费用，保存到下月3号"/>
    <x v="66"/>
    <x v="0"/>
    <x v="3"/>
    <m/>
    <m/>
    <n v="-101"/>
  </r>
  <r>
    <x v="7"/>
    <x v="57"/>
    <n v="10.1"/>
    <s v="箱量改为1"/>
    <x v="69"/>
    <x v="0"/>
    <x v="0"/>
    <m/>
    <m/>
    <n v="-100"/>
  </r>
  <r>
    <x v="7"/>
    <x v="57"/>
    <n v="10.199999999999999"/>
    <s v="国外确认箱量改为1"/>
    <x v="69"/>
    <x v="0"/>
    <x v="0"/>
    <m/>
    <m/>
    <n v="-100"/>
  </r>
  <r>
    <x v="7"/>
    <x v="57"/>
    <n v="11"/>
    <s v="问装箱时间"/>
    <x v="92"/>
    <x v="0"/>
    <x v="6"/>
    <m/>
    <m/>
    <n v="-99"/>
  </r>
  <r>
    <x v="7"/>
    <x v="57"/>
    <n v="12"/>
    <s v="收到车队江发来装箱数据和装箱单"/>
    <x v="97"/>
    <x v="0"/>
    <x v="1"/>
    <m/>
    <s v="周三周一截，周日周五截"/>
    <n v="-98"/>
  </r>
  <r>
    <x v="7"/>
    <x v="57"/>
    <n v="13"/>
    <s v="数据表中加入封号，汇总单票总件毛体"/>
    <x v="97"/>
    <x v="0"/>
    <x v="1"/>
    <m/>
    <m/>
    <n v="-98"/>
  </r>
  <r>
    <x v="7"/>
    <x v="57"/>
    <n v="14"/>
    <s v="YJC 截单"/>
    <x v="97"/>
    <x v="0"/>
    <x v="1"/>
    <m/>
    <s v="船名航次 开航日 件毛体 CC 箱量 箱封号 品名"/>
    <n v="-98"/>
  </r>
  <r>
    <x v="7"/>
    <x v="57"/>
    <n v="15"/>
    <s v="导出HBL，发徐小姐确认"/>
    <x v="97"/>
    <x v="0"/>
    <x v="1"/>
    <m/>
    <m/>
    <n v="-98"/>
  </r>
  <r>
    <x v="7"/>
    <x v="57"/>
    <n v="16"/>
    <s v="徐小姐确认HBL时，振华录入每一关单号的件毛体(注意箱状态)，保存"/>
    <x v="97"/>
    <x v="0"/>
    <x v="1"/>
    <m/>
    <m/>
    <n v="-98"/>
  </r>
  <r>
    <x v="7"/>
    <x v="57"/>
    <n v="17"/>
    <s v="徐小姐确认HBL"/>
    <x v="97"/>
    <x v="0"/>
    <x v="1"/>
    <m/>
    <m/>
    <n v="-98"/>
  </r>
  <r>
    <x v="7"/>
    <x v="57"/>
    <n v="18"/>
    <s v="发舱单"/>
    <x v="97"/>
    <x v="0"/>
    <x v="1"/>
    <m/>
    <s v="一关单一发"/>
    <n v="-98"/>
  </r>
  <r>
    <x v="7"/>
    <x v="57"/>
    <n v="19"/>
    <s v="海关有舱单，核对舱单信息，(如无并单，可直接录VGM)"/>
    <x v="97"/>
    <x v="0"/>
    <x v="6"/>
    <m/>
    <m/>
    <n v="-98"/>
  </r>
  <r>
    <x v="7"/>
    <x v="57"/>
    <n v="20"/>
    <s v="订舱界面并单"/>
    <x v="97"/>
    <x v="1"/>
    <x v="1"/>
    <m/>
    <m/>
    <n v="-98"/>
  </r>
  <r>
    <x v="7"/>
    <x v="57"/>
    <n v="21"/>
    <s v="并单审核通过"/>
    <x v="97"/>
    <x v="1"/>
    <x v="1"/>
    <m/>
    <m/>
    <n v="-98"/>
  </r>
  <r>
    <x v="7"/>
    <x v="57"/>
    <n v="22"/>
    <s v="每票录入所有箱子箱封号和件毛体，保存，录VGM，导入"/>
    <x v="97"/>
    <x v="0"/>
    <x v="1"/>
    <m/>
    <m/>
    <n v="-98"/>
  </r>
  <r>
    <x v="7"/>
    <x v="57"/>
    <n v="23"/>
    <s v="打印MBL"/>
    <x v="97"/>
    <x v="0"/>
    <x v="1"/>
    <m/>
    <m/>
    <n v="-98"/>
  </r>
  <r>
    <x v="7"/>
    <x v="57"/>
    <n v="24"/>
    <s v="表格、HBL、MBL一起发邮件给国外"/>
    <x v="97"/>
    <x v="0"/>
    <x v="1"/>
    <m/>
    <s v="Delete ayjun@kylogix.co.kr Add hypark@kylogix.co.kr"/>
    <n v="-98"/>
  </r>
  <r>
    <x v="7"/>
    <x v="57"/>
    <n v="24.1"/>
    <s v="有汇率了，拉费用，发国外"/>
    <x v="86"/>
    <x v="0"/>
    <x v="6"/>
    <m/>
    <m/>
    <n v="-95"/>
  </r>
  <r>
    <x v="7"/>
    <x v="57"/>
    <n v="25"/>
    <s v="船开"/>
    <x v="86"/>
    <x v="0"/>
    <x v="0"/>
    <m/>
    <m/>
    <n v="-95"/>
  </r>
  <r>
    <x v="7"/>
    <x v="57"/>
    <n v="26"/>
    <s v="拿到WAYBILL"/>
    <x v="86"/>
    <x v="0"/>
    <x v="4"/>
    <m/>
    <m/>
    <n v="-9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95"/>
  </r>
  <r>
    <x v="3"/>
    <x v="58"/>
    <n v="1"/>
    <s v="PANCON上周日船期提单领取单"/>
    <x v="86"/>
    <x v="0"/>
    <x v="1"/>
    <m/>
    <s v="周一"/>
    <n v="-95"/>
  </r>
  <r>
    <x v="3"/>
    <x v="58"/>
    <n v="2"/>
    <s v="WEEKLY REPORT"/>
    <x v="86"/>
    <x v="0"/>
    <x v="6"/>
    <m/>
    <s v="周一"/>
    <n v="-95"/>
  </r>
  <r>
    <x v="3"/>
    <x v="58"/>
    <n v="3"/>
    <s v="汇总SC JS下周订舱需求，回Abbi邮件，制作每票清单流水"/>
    <x v="86"/>
    <x v="0"/>
    <x v="6"/>
    <m/>
    <s v="周一"/>
    <n v="-95"/>
  </r>
  <r>
    <x v="3"/>
    <x v="58"/>
    <n v="4"/>
    <s v="收到Abbi确认"/>
    <x v="86"/>
    <x v="0"/>
    <x v="3"/>
    <m/>
    <s v="周一"/>
    <n v="-95"/>
  </r>
  <r>
    <x v="3"/>
    <x v="58"/>
    <n v="5"/>
    <s v="拿到PANCON WAYBILL，朱琳的给朱琳"/>
    <x v="86"/>
    <x v="0"/>
    <x v="4"/>
    <m/>
    <s v="周一"/>
    <n v="-95"/>
  </r>
  <r>
    <x v="3"/>
    <x v="58"/>
    <n v="6"/>
    <s v="PANCON周三出运清单"/>
    <x v="86"/>
    <x v="0"/>
    <x v="3"/>
    <m/>
    <s v="周一"/>
    <n v="-95"/>
  </r>
  <r>
    <x v="3"/>
    <x v="58"/>
    <n v="7"/>
    <s v="WORKING PROCESS"/>
    <x v="86"/>
    <x v="0"/>
    <x v="6"/>
    <m/>
    <s v="周一"/>
    <n v="-95"/>
  </r>
  <r>
    <x v="3"/>
    <x v="58"/>
    <n v="8"/>
    <s v="WORKING PROCESS"/>
    <x v="93"/>
    <x v="0"/>
    <x v="0"/>
    <m/>
    <s v="周三"/>
    <n v="-93"/>
  </r>
  <r>
    <x v="3"/>
    <x v="58"/>
    <n v="9"/>
    <s v="PANCON周三船期提单领取单"/>
    <x v="94"/>
    <x v="0"/>
    <x v="1"/>
    <m/>
    <s v="周四"/>
    <n v="-92"/>
  </r>
  <r>
    <x v="3"/>
    <x v="58"/>
    <n v="10"/>
    <s v="拿到PANCON WAYBILL，朱琳的给朱琳"/>
    <x v="94"/>
    <x v="0"/>
    <x v="4"/>
    <m/>
    <s v="周四"/>
    <n v="-92"/>
  </r>
  <r>
    <x v="3"/>
    <x v="58"/>
    <n v="11"/>
    <s v="收到 Abbi 下下周订舱预报邮件"/>
    <x v="103"/>
    <x v="0"/>
    <x v="4"/>
    <m/>
    <s v="周五"/>
    <n v="-91"/>
  </r>
  <r>
    <x v="3"/>
    <x v="58"/>
    <n v="12"/>
    <s v="问JS mobis、SC glovis下下周订舱需求"/>
    <x v="95"/>
    <x v="0"/>
    <x v="5"/>
    <m/>
    <m/>
    <n v="-88"/>
  </r>
  <r>
    <x v="3"/>
    <x v="58"/>
    <n v="13"/>
    <s v="WORKING PROCESS"/>
    <x v="103"/>
    <x v="0"/>
    <x v="3"/>
    <m/>
    <s v="周五"/>
    <n v="-91"/>
  </r>
  <r>
    <x v="3"/>
    <x v="58"/>
    <n v="14"/>
    <s v="PANCON周日出运清单，附件贴邮件中"/>
    <x v="103"/>
    <x v="0"/>
    <x v="3"/>
    <m/>
    <s v="周五"/>
    <n v="-91"/>
  </r>
  <r>
    <x v="3"/>
    <x v="58"/>
    <n v="15"/>
    <s v="制下周 WEEK 流水"/>
    <x v="103"/>
    <x v="0"/>
    <x v="0"/>
    <m/>
    <s v="周五"/>
    <n v="-91"/>
  </r>
  <r>
    <x v="3"/>
    <x v="58"/>
    <n v="16"/>
    <s v="上周APP"/>
    <x v="111"/>
    <x v="1"/>
    <x v="0"/>
    <m/>
    <s v="周五"/>
    <n v="-81"/>
  </r>
  <r>
    <x v="8"/>
    <x v="59"/>
    <n v="0"/>
    <s v="新单子"/>
    <x v="81"/>
    <x v="0"/>
    <x v="1"/>
    <m/>
    <m/>
    <n v="-112"/>
  </r>
  <r>
    <x v="8"/>
    <x v="59"/>
    <n v="1"/>
    <s v="收到CK Vivi发来做箱通知"/>
    <x v="81"/>
    <x v="0"/>
    <x v="0"/>
    <m/>
    <m/>
    <n v="-112"/>
  </r>
  <r>
    <x v="8"/>
    <x v="59"/>
    <n v="2"/>
    <s v="YJC系统生成"/>
    <x v="81"/>
    <x v="0"/>
    <x v="0"/>
    <m/>
    <m/>
    <n v="-112"/>
  </r>
  <r>
    <x v="8"/>
    <x v="59"/>
    <n v="2.1"/>
    <s v="盐城包装厂3号开始放假，最迟周五下班前确认装箱时间，假期安排人"/>
    <x v="92"/>
    <x v="0"/>
    <x v="6"/>
    <m/>
    <m/>
    <n v="-99"/>
  </r>
  <r>
    <x v="8"/>
    <x v="59"/>
    <n v="2.2000000000000002"/>
    <s v="已定2号装箱，上午关注一下开港，"/>
    <x v="92"/>
    <x v="0"/>
    <x v="0"/>
    <m/>
    <m/>
    <n v="-99"/>
  </r>
  <r>
    <x v="8"/>
    <x v="59"/>
    <n v="3"/>
    <s v="2号装5个，3号装2个，没有费用"/>
    <x v="92"/>
    <x v="0"/>
    <x v="3"/>
    <m/>
    <m/>
    <n v="-99"/>
  </r>
  <r>
    <x v="8"/>
    <x v="59"/>
    <n v="3.1"/>
    <s v="2号一早货好出数据，2号装5个，3号装2个"/>
    <x v="112"/>
    <x v="0"/>
    <x v="6"/>
    <m/>
    <m/>
    <n v="-97"/>
  </r>
  <r>
    <x v="8"/>
    <x v="59"/>
    <n v="4"/>
    <s v="一早要装箱数据，转发车队和斗源卞亦琴，要报关资料"/>
    <x v="97"/>
    <x v="0"/>
    <x v="1"/>
    <m/>
    <m/>
    <n v="-98"/>
  </r>
  <r>
    <x v="8"/>
    <x v="59"/>
    <n v="5"/>
    <s v="收到报关资料，完善报关单，发报关行。"/>
    <x v="97"/>
    <x v="0"/>
    <x v="1"/>
    <m/>
    <m/>
    <n v="-98"/>
  </r>
  <r>
    <x v="8"/>
    <x v="59"/>
    <n v="6"/>
    <s v="收到车队(沈丽)装箱单和洋山提箱截图(如有)，发CK Vivi，通知发舱单"/>
    <x v="97"/>
    <x v="0"/>
    <x v="1"/>
    <m/>
    <m/>
    <n v="-98"/>
  </r>
  <r>
    <x v="8"/>
    <x v="59"/>
    <n v="7"/>
    <s v="装箱单发给王钰一份"/>
    <x v="97"/>
    <x v="0"/>
    <x v="1"/>
    <m/>
    <m/>
    <n v="-98"/>
  </r>
  <r>
    <x v="8"/>
    <x v="59"/>
    <n v="8"/>
    <s v="收到舱单发送成功通知，核对舱单信息"/>
    <x v="97"/>
    <x v="0"/>
    <x v="6"/>
    <m/>
    <m/>
    <n v="-98"/>
  </r>
  <r>
    <x v="8"/>
    <x v="59"/>
    <n v="9"/>
    <s v="通知进港"/>
    <x v="97"/>
    <x v="0"/>
    <x v="6"/>
    <m/>
    <m/>
    <n v="-98"/>
  </r>
  <r>
    <x v="8"/>
    <x v="59"/>
    <n v="10"/>
    <s v="下班前统计，如果没有装完，有待时费跟GLV说"/>
    <x v="97"/>
    <x v="1"/>
    <x v="0"/>
    <m/>
    <m/>
    <n v="-98"/>
  </r>
  <r>
    <x v="8"/>
    <x v="59"/>
    <n v="11"/>
    <s v="进港5个(核对数据)，有落箱费？"/>
    <x v="110"/>
    <x v="0"/>
    <x v="0"/>
    <m/>
    <m/>
    <n v="-96"/>
  </r>
  <r>
    <x v="8"/>
    <x v="59"/>
    <n v="11.1"/>
    <s v="进港2个(核对数据)，有落箱费？"/>
    <x v="110"/>
    <x v="0"/>
    <x v="0"/>
    <m/>
    <m/>
    <n v="-96"/>
  </r>
  <r>
    <x v="8"/>
    <x v="59"/>
    <n v="11.2"/>
    <s v="3581改体积58.8-》58.88费用200，包装厂的错"/>
    <x v="110"/>
    <x v="0"/>
    <x v="0"/>
    <m/>
    <m/>
    <n v="-96"/>
  </r>
  <r>
    <x v="8"/>
    <x v="59"/>
    <n v="12"/>
    <s v="通知报关"/>
    <x v="110"/>
    <x v="0"/>
    <x v="0"/>
    <m/>
    <m/>
    <n v="-96"/>
  </r>
  <r>
    <x v="8"/>
    <x v="59"/>
    <n v="12.1"/>
    <s v="一个体积错了，改"/>
    <x v="86"/>
    <x v="0"/>
    <x v="0"/>
    <m/>
    <m/>
    <n v="-95"/>
  </r>
  <r>
    <x v="8"/>
    <x v="59"/>
    <n v="13"/>
    <s v="报关成功"/>
    <x v="110"/>
    <x v="0"/>
    <x v="0"/>
    <m/>
    <m/>
    <n v="-96"/>
  </r>
  <r>
    <x v="8"/>
    <x v="59"/>
    <n v="14"/>
    <s v="海放"/>
    <x v="110"/>
    <x v="0"/>
    <x v="0"/>
    <m/>
    <m/>
    <n v="-96"/>
  </r>
  <r>
    <x v="8"/>
    <x v="59"/>
    <n v="15"/>
    <s v="码放"/>
    <x v="99"/>
    <x v="0"/>
    <x v="3"/>
    <m/>
    <m/>
    <n v="-94"/>
  </r>
  <r>
    <x v="8"/>
    <x v="59"/>
    <n v="16"/>
    <s v="配载"/>
    <x v="99"/>
    <x v="0"/>
    <x v="4"/>
    <m/>
    <m/>
    <n v="-94"/>
  </r>
  <r>
    <x v="8"/>
    <x v="59"/>
    <n v="17"/>
    <s v="做费用，发孙丹"/>
    <x v="93"/>
    <x v="0"/>
    <x v="1"/>
    <m/>
    <m/>
    <n v="-93"/>
  </r>
  <r>
    <x v="8"/>
    <x v="59"/>
    <n v="18"/>
    <s v="船开"/>
    <x v="93"/>
    <x v="0"/>
    <x v="0"/>
    <m/>
    <m/>
    <n v="-93"/>
  </r>
  <r>
    <x v="8"/>
    <x v="59"/>
    <n v="19"/>
    <s v="CODE 建立好了，做费用，APP，开票"/>
    <x v="97"/>
    <x v="0"/>
    <x v="3"/>
    <m/>
    <m/>
    <n v="-98"/>
  </r>
  <r>
    <x v="8"/>
    <x v="59"/>
    <n v="20"/>
    <s v="收到付款水单（250+200改单费）准备450元和Statement给许培"/>
    <x v="113"/>
    <x v="0"/>
    <x v="0"/>
    <m/>
    <s v="8/12下月开"/>
    <n v="-27"/>
  </r>
  <r>
    <x v="8"/>
    <x v="59"/>
    <n v="21"/>
    <s v="进港改体积200，跟王钰确认一下，做费用，开票发王钰"/>
    <x v="95"/>
    <x v="0"/>
    <x v="3"/>
    <m/>
    <m/>
    <n v="-88"/>
  </r>
  <r>
    <x v="8"/>
    <x v="59"/>
    <n v="22"/>
    <s v="收到进港改体积200元发票，寄王钰"/>
    <x v="68"/>
    <x v="0"/>
    <x v="1"/>
    <m/>
    <m/>
    <n v="-87"/>
  </r>
  <r>
    <x v="8"/>
    <x v="59"/>
    <n v="23"/>
    <s v="王钰收到200元改进港数据发票 3720963894305（要求送上门）"/>
    <x v="111"/>
    <x v="0"/>
    <x v="3"/>
    <m/>
    <m/>
    <n v="-81"/>
  </r>
  <r>
    <x v="0"/>
    <x v="60"/>
    <n v="1"/>
    <s v="收到客户(孙丹/王珊)发来订舱托书"/>
    <x v="80"/>
    <x v="0"/>
    <x v="0"/>
    <m/>
    <m/>
    <n v="-105"/>
  </r>
  <r>
    <x v="0"/>
    <x v="60"/>
    <n v="2"/>
    <s v="收到CK发来预配(做箱通知，沈丽有收到？)"/>
    <x v="69"/>
    <x v="0"/>
    <x v="0"/>
    <m/>
    <m/>
    <n v="-100"/>
  </r>
  <r>
    <x v="0"/>
    <x v="60"/>
    <n v="3"/>
    <s v="YJC系统生成单子"/>
    <x v="92"/>
    <x v="0"/>
    <x v="0"/>
    <m/>
    <m/>
    <n v="-99"/>
  </r>
  <r>
    <x v="0"/>
    <x v="60"/>
    <n v="4"/>
    <s v="收到包装厂(刘倩梅)发来包装指示书和装箱计划"/>
    <x v="92"/>
    <x v="0"/>
    <x v="4"/>
    <m/>
    <s v="一般周四"/>
    <n v="-99"/>
  </r>
  <r>
    <x v="0"/>
    <x v="60"/>
    <n v="5"/>
    <s v="根据装箱计划汇总包装数据，发各工厂做报关资料"/>
    <x v="92"/>
    <x v="0"/>
    <x v="4"/>
    <m/>
    <m/>
    <n v="-99"/>
  </r>
  <r>
    <x v="0"/>
    <x v="60"/>
    <n v="6"/>
    <s v="做做箱数据，邮件群发(查开港时间，注明做箱时间)"/>
    <x v="92"/>
    <x v="0"/>
    <x v="4"/>
    <m/>
    <m/>
    <n v="-99"/>
  </r>
  <r>
    <x v="0"/>
    <x v="60"/>
    <n v="7"/>
    <s v="收到工厂发来报关资料并完善(代做报关资料跟客户确认)"/>
    <x v="97"/>
    <x v="0"/>
    <x v="4"/>
    <m/>
    <s v="当天至隔天"/>
    <n v="-98"/>
  </r>
  <r>
    <x v="0"/>
    <x v="60"/>
    <n v="8"/>
    <s v="通知进港"/>
    <x v="97"/>
    <x v="1"/>
    <x v="0"/>
    <m/>
    <s v="调整顺序"/>
    <n v="-98"/>
  </r>
  <r>
    <x v="0"/>
    <x v="60"/>
    <n v="8"/>
    <s v="报关资料齐了（光成要素划掉XXX），发报关行(黄寅文)"/>
    <x v="97"/>
    <x v="0"/>
    <x v="4"/>
    <m/>
    <m/>
    <n v="-98"/>
  </r>
  <r>
    <x v="0"/>
    <x v="60"/>
    <n v="9"/>
    <s v="【HMI】做箱数据上加上品名给Nikki"/>
    <x v="97"/>
    <x v="0"/>
    <x v="4"/>
    <m/>
    <m/>
    <n v="-98"/>
  </r>
  <r>
    <x v="0"/>
    <x v="60"/>
    <n v="10"/>
    <s v="货运模板/发票/箱单"/>
    <x v="97"/>
    <x v="0"/>
    <x v="4"/>
    <m/>
    <m/>
    <n v="-98"/>
  </r>
  <r>
    <x v="0"/>
    <x v="60"/>
    <n v="11"/>
    <s v="【HMI】确认一下开港时间，看做箱时间要不要变"/>
    <x v="112"/>
    <x v="0"/>
    <x v="0"/>
    <m/>
    <s v="周六"/>
    <n v="-97"/>
  </r>
  <r>
    <x v="0"/>
    <x v="60"/>
    <n v="12"/>
    <s v="收到车队(沈丽)装箱单和洋山提箱截图(如有)，9点前群发，通知发舱单"/>
    <x v="110"/>
    <x v="0"/>
    <x v="0"/>
    <m/>
    <s v="一般KMM五、HMI日"/>
    <n v="-96"/>
  </r>
  <r>
    <x v="0"/>
    <x v="60"/>
    <n v="13"/>
    <s v="进港(核对数据)"/>
    <x v="86"/>
    <x v="0"/>
    <x v="0"/>
    <m/>
    <s v="调整顺序"/>
    <n v="-95"/>
  </r>
  <r>
    <x v="0"/>
    <x v="60"/>
    <n v="14"/>
    <s v="收到舱单发送成功通知，核对舱单信息"/>
    <x v="86"/>
    <x v="0"/>
    <x v="6"/>
    <m/>
    <m/>
    <n v="-95"/>
  </r>
  <r>
    <x v="0"/>
    <x v="60"/>
    <n v="15"/>
    <s v="通知报关（洋山发装箱单）"/>
    <x v="86"/>
    <x v="0"/>
    <x v="6"/>
    <m/>
    <s v="调整顺序"/>
    <n v="-95"/>
  </r>
  <r>
    <x v="0"/>
    <x v="60"/>
    <n v="16"/>
    <s v="报关成功"/>
    <x v="86"/>
    <x v="0"/>
    <x v="4"/>
    <m/>
    <s v="调整顺序"/>
    <n v="-95"/>
  </r>
  <r>
    <x v="0"/>
    <x v="60"/>
    <n v="17"/>
    <s v="海放"/>
    <x v="86"/>
    <x v="0"/>
    <x v="4"/>
    <m/>
    <m/>
    <n v="-95"/>
  </r>
  <r>
    <x v="0"/>
    <x v="60"/>
    <n v="18"/>
    <s v="码放"/>
    <x v="99"/>
    <x v="0"/>
    <x v="4"/>
    <m/>
    <m/>
    <n v="-94"/>
  </r>
  <r>
    <x v="0"/>
    <x v="60"/>
    <n v="19"/>
    <s v="配载"/>
    <x v="93"/>
    <x v="0"/>
    <x v="0"/>
    <m/>
    <m/>
    <n v="-93"/>
  </r>
  <r>
    <x v="0"/>
    <x v="60"/>
    <n v="20"/>
    <s v="做费用(对账单日期4号)，放公共盘，填月账单表，发孙丹"/>
    <x v="93"/>
    <x v="0"/>
    <x v="1"/>
    <m/>
    <m/>
    <n v="-93"/>
  </r>
  <r>
    <x v="0"/>
    <x v="60"/>
    <n v="21"/>
    <s v="如有额外费用发邮件"/>
    <x v="99"/>
    <x v="1"/>
    <x v="0"/>
    <m/>
    <m/>
    <n v="-94"/>
  </r>
  <r>
    <x v="0"/>
    <x v="60"/>
    <n v="22"/>
    <s v="船开"/>
    <x v="94"/>
    <x v="0"/>
    <x v="0"/>
    <m/>
    <m/>
    <n v="-92"/>
  </r>
  <r>
    <x v="4"/>
    <x v="60"/>
    <n v="1"/>
    <s v="收到客户(陈云娣)订舱预报"/>
    <x v="65"/>
    <x v="0"/>
    <x v="0"/>
    <m/>
    <s v="一般周五发隔周"/>
    <n v="-102"/>
  </r>
  <r>
    <x v="4"/>
    <x v="60"/>
    <n v="2"/>
    <s v="填WORKING PROCESS"/>
    <x v="65"/>
    <x v="0"/>
    <x v="0"/>
    <m/>
    <m/>
    <n v="-102"/>
  </r>
  <r>
    <x v="4"/>
    <x v="60"/>
    <n v="6"/>
    <s v="公共盘生成提单号(QSWB不要搞错)"/>
    <x v="65"/>
    <x v="0"/>
    <x v="0"/>
    <m/>
    <m/>
    <n v="-102"/>
  </r>
  <r>
    <x v="4"/>
    <x v="60"/>
    <n v="7"/>
    <s v="YJC系统生成单子"/>
    <x v="65"/>
    <x v="0"/>
    <x v="0"/>
    <m/>
    <m/>
    <n v="-102"/>
  </r>
  <r>
    <x v="4"/>
    <x v="60"/>
    <n v="8"/>
    <s v="发EDI"/>
    <x v="65"/>
    <x v="0"/>
    <x v="0"/>
    <m/>
    <m/>
    <n v="-102"/>
  </r>
  <r>
    <x v="4"/>
    <x v="60"/>
    <n v="9"/>
    <s v="邮件申请放舱"/>
    <x v="65"/>
    <x v="0"/>
    <x v="0"/>
    <m/>
    <m/>
    <n v="-102"/>
  </r>
  <r>
    <x v="4"/>
    <x v="60"/>
    <n v="10"/>
    <s v="收到HMM(Abbi) 确认放舱"/>
    <x v="66"/>
    <x v="0"/>
    <x v="0"/>
    <m/>
    <s v="一般半天内"/>
    <n v="-101"/>
  </r>
  <r>
    <x v="4"/>
    <x v="60"/>
    <n v="11"/>
    <s v="HMM网站核对订舱信息"/>
    <x v="66"/>
    <x v="0"/>
    <x v="0"/>
    <m/>
    <m/>
    <n v="-101"/>
  </r>
  <r>
    <x v="4"/>
    <x v="60"/>
    <n v="12"/>
    <s v="收到客户(陈云娣)做箱通知"/>
    <x v="92"/>
    <x v="0"/>
    <x v="6"/>
    <m/>
    <s v="一般做箱头天一早"/>
    <n v="-99"/>
  </r>
  <r>
    <x v="4"/>
    <x v="60"/>
    <n v="13"/>
    <s v="【拆单】公共盘生成提单号"/>
    <x v="92"/>
    <x v="0"/>
    <x v="6"/>
    <m/>
    <m/>
    <n v="-99"/>
  </r>
  <r>
    <x v="4"/>
    <x v="60"/>
    <n v="14"/>
    <s v="发做箱通知邮件给车队(沈丽)（航次要加QL？）"/>
    <x v="92"/>
    <x v="0"/>
    <x v="6"/>
    <m/>
    <m/>
    <n v="-99"/>
  </r>
  <r>
    <x v="4"/>
    <x v="60"/>
    <n v="15"/>
    <s v="【拆单】YJC系统生成单子（QSWB不要搞错）"/>
    <x v="92"/>
    <x v="0"/>
    <x v="6"/>
    <m/>
    <m/>
    <n v="-99"/>
  </r>
  <r>
    <x v="4"/>
    <x v="60"/>
    <n v="16"/>
    <s v="【拆单】发EDI"/>
    <x v="92"/>
    <x v="0"/>
    <x v="6"/>
    <m/>
    <m/>
    <n v="-99"/>
  </r>
  <r>
    <x v="4"/>
    <x v="60"/>
    <n v="17"/>
    <s v="【拆单】邮件申请放单"/>
    <x v="92"/>
    <x v="0"/>
    <x v="6"/>
    <m/>
    <m/>
    <n v="-99"/>
  </r>
  <r>
    <x v="4"/>
    <x v="60"/>
    <n v="18"/>
    <s v="【拆单】收到HMM(Abbi) 加拼放单确认"/>
    <x v="92"/>
    <x v="0"/>
    <x v="6"/>
    <m/>
    <m/>
    <n v="-99"/>
  </r>
  <r>
    <x v="4"/>
    <x v="60"/>
    <n v="19"/>
    <s v="【拆单】HMM网站核对订舱信息"/>
    <x v="92"/>
    <x v="0"/>
    <x v="6"/>
    <m/>
    <m/>
    <n v="-99"/>
  </r>
  <r>
    <x v="4"/>
    <x v="60"/>
    <n v="19.100000000000001"/>
    <s v="缺箱子"/>
    <x v="92"/>
    <x v="0"/>
    <x v="1"/>
    <m/>
    <m/>
    <n v="-99"/>
  </r>
  <r>
    <x v="4"/>
    <x v="60"/>
    <n v="20"/>
    <s v="收到客户(陈云娣)发来报关资料"/>
    <x v="97"/>
    <x v="0"/>
    <x v="1"/>
    <m/>
    <s v="一般做箱当天一早"/>
    <n v="-98"/>
  </r>
  <r>
    <x v="4"/>
    <x v="60"/>
    <n v="21"/>
    <s v="【加拼】按报关(发票)数生成提单号【如发票数超过提单数】"/>
    <x v="97"/>
    <x v="1"/>
    <x v="1"/>
    <m/>
    <m/>
    <n v="-98"/>
  </r>
  <r>
    <x v="4"/>
    <x v="60"/>
    <n v="22"/>
    <s v="做做箱数据，QQ发车队(沈丽)"/>
    <x v="97"/>
    <x v="0"/>
    <x v="1"/>
    <m/>
    <m/>
    <n v="-98"/>
  </r>
  <r>
    <x v="4"/>
    <x v="60"/>
    <n v="23"/>
    <s v="收到车队(沈丽)装箱单，转发客户（陈云娣）"/>
    <x v="97"/>
    <x v="0"/>
    <x v="1"/>
    <m/>
    <s v="一般马上"/>
    <n v="-98"/>
  </r>
  <r>
    <x v="4"/>
    <x v="60"/>
    <n v="24"/>
    <s v="YJC系统截单，发EDI，邮件HMM(He)【截单时间】"/>
    <x v="97"/>
    <x v="0"/>
    <x v="1"/>
    <m/>
    <s v="注意截单时间"/>
    <n v="-98"/>
  </r>
  <r>
    <x v="4"/>
    <x v="60"/>
    <n v="25"/>
    <s v="发VGM和舱单（亿通，鹏海两次）"/>
    <x v="97"/>
    <x v="0"/>
    <x v="1"/>
    <m/>
    <m/>
    <n v="-98"/>
  </r>
  <r>
    <x v="4"/>
    <x v="60"/>
    <n v="26"/>
    <s v="做报关资料，扫描发报关行(黄寅文)QQ，要校对稿"/>
    <x v="97"/>
    <x v="0"/>
    <x v="1"/>
    <m/>
    <m/>
    <n v="-98"/>
  </r>
  <r>
    <x v="4"/>
    <x v="60"/>
    <n v="27"/>
    <s v="做保函给邹师傅(美国线)"/>
    <x v="97"/>
    <x v="0"/>
    <x v="1"/>
    <m/>
    <m/>
    <n v="-98"/>
  </r>
  <r>
    <x v="4"/>
    <x v="60"/>
    <n v="28"/>
    <s v="做ISF，发国外资料"/>
    <x v="97"/>
    <x v="0"/>
    <x v="1"/>
    <m/>
    <m/>
    <n v="-98"/>
  </r>
  <r>
    <x v="4"/>
    <x v="60"/>
    <n v="29"/>
    <s v="买保险"/>
    <x v="97"/>
    <x v="0"/>
    <x v="1"/>
    <m/>
    <m/>
    <n v="-98"/>
  </r>
  <r>
    <x v="4"/>
    <x v="60"/>
    <n v="31"/>
    <s v="收到HMM(He)生成提单通知"/>
    <x v="97"/>
    <x v="0"/>
    <x v="4"/>
    <m/>
    <s v="一般马上"/>
    <n v="-98"/>
  </r>
  <r>
    <x v="4"/>
    <x v="60"/>
    <n v="32"/>
    <s v="HMM网站核对提单信息"/>
    <x v="97"/>
    <x v="0"/>
    <x v="4"/>
    <m/>
    <m/>
    <n v="-98"/>
  </r>
  <r>
    <x v="4"/>
    <x v="60"/>
    <n v="33"/>
    <s v="盯海关网站舱单"/>
    <x v="97"/>
    <x v="0"/>
    <x v="6"/>
    <m/>
    <s v="一般两小时左右"/>
    <n v="-98"/>
  </r>
  <r>
    <x v="4"/>
    <x v="60"/>
    <n v="34"/>
    <s v="核对舱单信息"/>
    <x v="97"/>
    <x v="0"/>
    <x v="6"/>
    <m/>
    <m/>
    <n v="-98"/>
  </r>
  <r>
    <x v="4"/>
    <x v="60"/>
    <n v="35"/>
    <s v="通知车队(沈丽)可进港"/>
    <x v="97"/>
    <x v="1"/>
    <x v="0"/>
    <m/>
    <m/>
    <n v="-98"/>
  </r>
  <r>
    <x v="4"/>
    <x v="60"/>
    <n v="36"/>
    <s v="收到报关行(黄寅文)校对稿，邮件发客户(陈云娣)确认"/>
    <x v="112"/>
    <x v="0"/>
    <x v="4"/>
    <m/>
    <s v="一般半天内"/>
    <n v="-97"/>
  </r>
  <r>
    <x v="4"/>
    <x v="60"/>
    <n v="37"/>
    <s v="收到客户(陈云娣)确认校对稿"/>
    <x v="112"/>
    <x v="0"/>
    <x v="4"/>
    <m/>
    <s v="一般马上"/>
    <n v="-97"/>
  </r>
  <r>
    <x v="4"/>
    <x v="60"/>
    <n v="38"/>
    <s v="盯箱子进港，关注开港时间，有落箱费？"/>
    <x v="112"/>
    <x v="0"/>
    <x v="0"/>
    <m/>
    <m/>
    <n v="-97"/>
  </r>
  <r>
    <x v="4"/>
    <x v="60"/>
    <n v="39"/>
    <s v="核对进港数据"/>
    <x v="112"/>
    <x v="0"/>
    <x v="0"/>
    <m/>
    <m/>
    <n v="-97"/>
  </r>
  <r>
    <x v="4"/>
    <x v="60"/>
    <n v="40"/>
    <s v="通知报关行(黄寅文)报关(开港、舱单、校对)（洋山提供装箱单）"/>
    <x v="112"/>
    <x v="0"/>
    <x v="0"/>
    <m/>
    <m/>
    <n v="-97"/>
  </r>
  <r>
    <x v="4"/>
    <x v="60"/>
    <n v="41"/>
    <s v="收到报关成功通知"/>
    <x v="112"/>
    <x v="0"/>
    <x v="0"/>
    <m/>
    <s v="一般下班前"/>
    <n v="-97"/>
  </r>
  <r>
    <x v="4"/>
    <x v="60"/>
    <n v="42"/>
    <s v="盯海放"/>
    <x v="112"/>
    <x v="0"/>
    <x v="0"/>
    <m/>
    <m/>
    <n v="-97"/>
  </r>
  <r>
    <x v="4"/>
    <x v="60"/>
    <n v="43"/>
    <s v="盯码放"/>
    <x v="99"/>
    <x v="0"/>
    <x v="0"/>
    <m/>
    <m/>
    <n v="-94"/>
  </r>
  <r>
    <x v="4"/>
    <x v="60"/>
    <n v="44"/>
    <s v="盯配载"/>
    <x v="99"/>
    <x v="0"/>
    <x v="4"/>
    <m/>
    <m/>
    <n v="-94"/>
  </r>
  <r>
    <x v="4"/>
    <x v="60"/>
    <n v="45"/>
    <s v="做费用(月初等汇率)，发账单给石磊"/>
    <x v="93"/>
    <x v="0"/>
    <x v="1"/>
    <m/>
    <m/>
    <n v="-93"/>
  </r>
  <r>
    <x v="4"/>
    <x v="60"/>
    <n v="46"/>
    <s v="船开"/>
    <x v="94"/>
    <x v="0"/>
    <x v="0"/>
    <m/>
    <m/>
    <n v="-92"/>
  </r>
  <r>
    <x v="4"/>
    <x v="60"/>
    <n v="47"/>
    <s v="放提单、预录单、放行单（PHISON、石磊提单、陈云娣三单）"/>
    <x v="94"/>
    <x v="0"/>
    <x v="3"/>
    <m/>
    <s v="一般开船后两三天"/>
    <n v="-92"/>
  </r>
  <r>
    <x v="1"/>
    <x v="60"/>
    <n v="1"/>
    <s v="收到客户(孙丹/王珊)发来订舱托书"/>
    <x v="82"/>
    <x v="0"/>
    <x v="0"/>
    <m/>
    <m/>
    <n v="-106"/>
  </r>
  <r>
    <x v="1"/>
    <x v="60"/>
    <n v="2"/>
    <s v="收到CK发来预配(做箱通知，沈丽有收到？)"/>
    <x v="69"/>
    <x v="0"/>
    <x v="1"/>
    <m/>
    <m/>
    <n v="-100"/>
  </r>
  <r>
    <x v="1"/>
    <x v="60"/>
    <n v="3"/>
    <s v="YJC系统生成单子"/>
    <x v="69"/>
    <x v="0"/>
    <x v="0"/>
    <m/>
    <m/>
    <n v="-100"/>
  </r>
  <r>
    <x v="1"/>
    <x v="60"/>
    <n v="4"/>
    <s v="收到包装厂(刘倩梅)发来包装指示书和装箱计划"/>
    <x v="92"/>
    <x v="0"/>
    <x v="3"/>
    <m/>
    <s v="一般周四"/>
    <n v="-99"/>
  </r>
  <r>
    <x v="1"/>
    <x v="60"/>
    <n v="5"/>
    <s v="根据装箱计划汇总包装数据，发各工厂做报关资料"/>
    <x v="92"/>
    <x v="0"/>
    <x v="3"/>
    <m/>
    <m/>
    <n v="-99"/>
  </r>
  <r>
    <x v="1"/>
    <x v="60"/>
    <n v="6"/>
    <s v="做做箱数据，邮件群发(查开港时间，注明做箱时间)"/>
    <x v="92"/>
    <x v="0"/>
    <x v="3"/>
    <m/>
    <m/>
    <n v="-99"/>
  </r>
  <r>
    <x v="1"/>
    <x v="60"/>
    <n v="7"/>
    <s v="【HMI】确认一下开港时间，看做箱时间要不要变"/>
    <x v="92"/>
    <x v="1"/>
    <x v="0"/>
    <m/>
    <s v="周六"/>
    <n v="-99"/>
  </r>
  <r>
    <x v="1"/>
    <x v="60"/>
    <n v="8"/>
    <s v="收到工厂发来报关资料并完善(代做报关资料跟客户确认)"/>
    <x v="92"/>
    <x v="0"/>
    <x v="4"/>
    <m/>
    <s v="当天至隔天"/>
    <n v="-99"/>
  </r>
  <r>
    <x v="1"/>
    <x v="60"/>
    <n v="9"/>
    <s v="报关资料齐了（光成要素划掉XXX），发报关行(黄寅文)"/>
    <x v="92"/>
    <x v="0"/>
    <x v="4"/>
    <m/>
    <m/>
    <n v="-99"/>
  </r>
  <r>
    <x v="1"/>
    <x v="60"/>
    <n v="10"/>
    <s v="【HMI】做箱数据上加上品名给Nikki"/>
    <x v="92"/>
    <x v="1"/>
    <x v="0"/>
    <m/>
    <m/>
    <n v="-99"/>
  </r>
  <r>
    <x v="1"/>
    <x v="60"/>
    <n v="11"/>
    <s v="货运模板/发票/箱单"/>
    <x v="92"/>
    <x v="0"/>
    <x v="4"/>
    <m/>
    <m/>
    <n v="-99"/>
  </r>
  <r>
    <x v="1"/>
    <x v="60"/>
    <n v="12"/>
    <s v="收到车队(沈丽)装箱单和洋山提箱截图(如有)，9点前群发，通知发舱单"/>
    <x v="97"/>
    <x v="0"/>
    <x v="1"/>
    <m/>
    <s v="一般KMM五、HMI日"/>
    <n v="-98"/>
  </r>
  <r>
    <x v="1"/>
    <x v="60"/>
    <n v="13"/>
    <s v="收到舱单发送成功通知，核对舱单信息"/>
    <x v="97"/>
    <x v="0"/>
    <x v="6"/>
    <m/>
    <m/>
    <n v="-98"/>
  </r>
  <r>
    <x v="1"/>
    <x v="60"/>
    <n v="14"/>
    <s v="通知报关（洋山发装箱单）"/>
    <x v="97"/>
    <x v="0"/>
    <x v="6"/>
    <m/>
    <s v="调整顺序"/>
    <n v="-98"/>
  </r>
  <r>
    <x v="1"/>
    <x v="60"/>
    <n v="15"/>
    <s v="报关成功"/>
    <x v="97"/>
    <x v="0"/>
    <x v="3"/>
    <m/>
    <s v="调整顺序"/>
    <n v="-98"/>
  </r>
  <r>
    <x v="1"/>
    <x v="60"/>
    <n v="16"/>
    <s v="通知进港"/>
    <x v="97"/>
    <x v="0"/>
    <x v="4"/>
    <m/>
    <s v="调整顺序"/>
    <n v="-98"/>
  </r>
  <r>
    <x v="1"/>
    <x v="60"/>
    <n v="17"/>
    <s v="进港(核对数据)"/>
    <x v="112"/>
    <x v="0"/>
    <x v="0"/>
    <m/>
    <s v="调整顺序"/>
    <n v="-97"/>
  </r>
  <r>
    <x v="1"/>
    <x v="60"/>
    <n v="18"/>
    <s v="海放"/>
    <x v="112"/>
    <x v="0"/>
    <x v="0"/>
    <m/>
    <m/>
    <n v="-97"/>
  </r>
  <r>
    <x v="1"/>
    <x v="60"/>
    <n v="19"/>
    <s v="码放"/>
    <x v="86"/>
    <x v="0"/>
    <x v="3"/>
    <m/>
    <m/>
    <n v="-95"/>
  </r>
  <r>
    <x v="1"/>
    <x v="60"/>
    <n v="20"/>
    <s v="配载"/>
    <x v="94"/>
    <x v="0"/>
    <x v="4"/>
    <m/>
    <m/>
    <n v="-92"/>
  </r>
  <r>
    <x v="1"/>
    <x v="60"/>
    <n v="21"/>
    <s v="做费用(对账单日期4号)，放公共盘，填月账单表，发孙丹"/>
    <x v="103"/>
    <x v="0"/>
    <x v="6"/>
    <m/>
    <m/>
    <n v="-91"/>
  </r>
  <r>
    <x v="1"/>
    <x v="60"/>
    <n v="22"/>
    <s v="如有额外费用发邮件"/>
    <x v="94"/>
    <x v="0"/>
    <x v="4"/>
    <m/>
    <m/>
    <n v="-92"/>
  </r>
  <r>
    <x v="1"/>
    <x v="60"/>
    <n v="23"/>
    <s v="船开"/>
    <x v="68"/>
    <x v="0"/>
    <x v="0"/>
    <m/>
    <m/>
    <n v="-87"/>
  </r>
  <r>
    <x v="7"/>
    <x v="60"/>
    <n v="1"/>
    <s v="收到徐小姐托书"/>
    <x v="65"/>
    <x v="0"/>
    <x v="0"/>
    <m/>
    <m/>
    <n v="-102"/>
  </r>
  <r>
    <x v="7"/>
    <x v="60"/>
    <n v="2"/>
    <s v="公共盘表格生成单号，YJC系统复制、生成"/>
    <x v="65"/>
    <x v="0"/>
    <x v="0"/>
    <m/>
    <s v="注意MBL#命名规则"/>
    <n v="-102"/>
  </r>
  <r>
    <x v="7"/>
    <x v="60"/>
    <n v="3"/>
    <s v="(一票一订)振华订舱界面复制订舱、保存、提交"/>
    <x v="65"/>
    <x v="0"/>
    <x v="0"/>
    <m/>
    <s v="客户编号 提单号 船名航次 日期 箱量"/>
    <n v="-102"/>
  </r>
  <r>
    <x v="7"/>
    <x v="60"/>
    <n v="4"/>
    <s v="邮件发确认给国外"/>
    <x v="65"/>
    <x v="0"/>
    <x v="0"/>
    <m/>
    <s v="Delete ayjun@kylogix.co.kr Add hypark@kylogix.co.kr"/>
    <n v="-102"/>
  </r>
  <r>
    <x v="7"/>
    <x v="60"/>
    <n v="5"/>
    <s v="QQ发预配信息给徐小姐（模板），问是否要加拼，发车队江"/>
    <x v="65"/>
    <x v="0"/>
    <x v="0"/>
    <m/>
    <m/>
    <n v="-102"/>
  </r>
  <r>
    <x v="7"/>
    <x v="60"/>
    <n v="5.0999999999999996"/>
    <s v="做费用，保存到下月3号"/>
    <x v="66"/>
    <x v="0"/>
    <x v="3"/>
    <m/>
    <m/>
    <n v="-101"/>
  </r>
  <r>
    <x v="7"/>
    <x v="60"/>
    <n v="5.2"/>
    <s v="振华订舱主单号搞错了"/>
    <x v="66"/>
    <x v="0"/>
    <x v="6"/>
    <m/>
    <m/>
    <n v="-101"/>
  </r>
  <r>
    <x v="7"/>
    <x v="60"/>
    <n v="6"/>
    <s v="订舱审核通过"/>
    <x v="66"/>
    <x v="1"/>
    <x v="0"/>
    <m/>
    <m/>
    <n v="-101"/>
  </r>
  <r>
    <x v="7"/>
    <x v="60"/>
    <n v="7"/>
    <s v="订舱界面加拼、提交，通知徐小姐加拼单号"/>
    <x v="66"/>
    <x v="1"/>
    <x v="0"/>
    <m/>
    <s v="点“多票加拼”"/>
    <n v="-101"/>
  </r>
  <r>
    <x v="7"/>
    <x v="60"/>
    <n v="8"/>
    <s v="加拼审核通过"/>
    <x v="66"/>
    <x v="1"/>
    <x v="0"/>
    <m/>
    <m/>
    <n v="-101"/>
  </r>
  <r>
    <x v="7"/>
    <x v="60"/>
    <n v="9"/>
    <s v="收到国外确认，公共盘红改黑，加CONFIRM"/>
    <x v="66"/>
    <x v="0"/>
    <x v="0"/>
    <m/>
    <m/>
    <n v="-101"/>
  </r>
  <r>
    <x v="7"/>
    <x v="60"/>
    <n v="11"/>
    <s v="问装箱时间"/>
    <x v="97"/>
    <x v="1"/>
    <x v="0"/>
    <m/>
    <m/>
    <n v="-98"/>
  </r>
  <r>
    <x v="7"/>
    <x v="60"/>
    <n v="12"/>
    <s v="收到车队江发来装箱数据和装箱单"/>
    <x v="86"/>
    <x v="0"/>
    <x v="3"/>
    <m/>
    <s v="周三周一截，周日周五截"/>
    <n v="-95"/>
  </r>
  <r>
    <x v="7"/>
    <x v="60"/>
    <n v="13"/>
    <s v="数据表中加入封号，汇总单票总件毛体"/>
    <x v="86"/>
    <x v="0"/>
    <x v="3"/>
    <m/>
    <m/>
    <n v="-95"/>
  </r>
  <r>
    <x v="7"/>
    <x v="60"/>
    <n v="14"/>
    <s v="YJC 截单"/>
    <x v="86"/>
    <x v="0"/>
    <x v="3"/>
    <m/>
    <s v="船名航次 开航日 件毛体 CC 箱量 箱封号 品名"/>
    <n v="-95"/>
  </r>
  <r>
    <x v="7"/>
    <x v="60"/>
    <n v="15"/>
    <s v="导出HBL，发徐小姐确认"/>
    <x v="86"/>
    <x v="0"/>
    <x v="3"/>
    <m/>
    <m/>
    <n v="-95"/>
  </r>
  <r>
    <x v="7"/>
    <x v="60"/>
    <n v="16"/>
    <s v="徐小姐确认HBL时，振华录入每一关单号的件毛体(注意箱状态)，保存"/>
    <x v="86"/>
    <x v="0"/>
    <x v="3"/>
    <m/>
    <m/>
    <n v="-95"/>
  </r>
  <r>
    <x v="7"/>
    <x v="60"/>
    <n v="17"/>
    <s v="徐小姐确认HBL"/>
    <x v="86"/>
    <x v="0"/>
    <x v="3"/>
    <m/>
    <m/>
    <n v="-95"/>
  </r>
  <r>
    <x v="7"/>
    <x v="60"/>
    <n v="18"/>
    <s v="发舱单"/>
    <x v="86"/>
    <x v="0"/>
    <x v="3"/>
    <m/>
    <s v="一关单一发"/>
    <n v="-95"/>
  </r>
  <r>
    <x v="7"/>
    <x v="60"/>
    <n v="19"/>
    <s v="海关有舱单，核对舱单信息，(如无并单，可直接录VGM)"/>
    <x v="86"/>
    <x v="0"/>
    <x v="3"/>
    <m/>
    <m/>
    <n v="-95"/>
  </r>
  <r>
    <x v="7"/>
    <x v="60"/>
    <n v="20"/>
    <s v="订舱界面并单"/>
    <x v="86"/>
    <x v="1"/>
    <x v="3"/>
    <m/>
    <m/>
    <n v="-95"/>
  </r>
  <r>
    <x v="7"/>
    <x v="60"/>
    <n v="21"/>
    <s v="并单审核通过"/>
    <x v="86"/>
    <x v="1"/>
    <x v="3"/>
    <m/>
    <m/>
    <n v="-95"/>
  </r>
  <r>
    <x v="7"/>
    <x v="60"/>
    <n v="22"/>
    <s v="每票录入所有箱子箱封号和件毛体，保存，录VGM，导入"/>
    <x v="86"/>
    <x v="0"/>
    <x v="3"/>
    <m/>
    <m/>
    <n v="-95"/>
  </r>
  <r>
    <x v="7"/>
    <x v="60"/>
    <n v="23"/>
    <s v="打印MBL"/>
    <x v="86"/>
    <x v="0"/>
    <x v="3"/>
    <m/>
    <m/>
    <n v="-9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95"/>
  </r>
  <r>
    <x v="7"/>
    <x v="60"/>
    <n v="25"/>
    <s v="船开"/>
    <x v="94"/>
    <x v="0"/>
    <x v="0"/>
    <m/>
    <m/>
    <n v="-92"/>
  </r>
  <r>
    <x v="7"/>
    <x v="60"/>
    <n v="26"/>
    <s v="拿到WAYBILL"/>
    <x v="94"/>
    <x v="0"/>
    <x v="4"/>
    <m/>
    <m/>
    <n v="-9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92"/>
  </r>
  <r>
    <x v="11"/>
    <x v="61"/>
    <n v="1"/>
    <s v="王钰8月3号开始放假，确定装箱时间，跟glovis确认"/>
    <x v="69"/>
    <x v="0"/>
    <x v="0"/>
    <m/>
    <m/>
    <n v="-100"/>
  </r>
  <r>
    <x v="11"/>
    <x v="61"/>
    <n v="2"/>
    <s v="ACC0801 船公司改配到0808"/>
    <x v="80"/>
    <x v="0"/>
    <x v="0"/>
    <m/>
    <m/>
    <n v="-105"/>
  </r>
  <r>
    <x v="11"/>
    <x v="61"/>
    <n v="3"/>
    <s v="找世钟李先生要报关资料"/>
    <x v="66"/>
    <x v="0"/>
    <x v="0"/>
    <m/>
    <m/>
    <n v="-101"/>
  </r>
  <r>
    <x v="11"/>
    <x v="61"/>
    <n v="4"/>
    <s v="收到报关资料"/>
    <x v="66"/>
    <x v="0"/>
    <x v="0"/>
    <m/>
    <m/>
    <n v="-101"/>
  </r>
  <r>
    <x v="11"/>
    <x v="61"/>
    <n v="4"/>
    <s v="收到ZHL发来新预配(做箱通知，沈丽有收到？)"/>
    <x v="92"/>
    <x v="0"/>
    <x v="3"/>
    <m/>
    <m/>
    <n v="-99"/>
  </r>
  <r>
    <x v="11"/>
    <x v="61"/>
    <n v="5"/>
    <s v="YJC系统改正内容"/>
    <x v="92"/>
    <x v="0"/>
    <x v="3"/>
    <m/>
    <m/>
    <n v="-99"/>
  </r>
  <r>
    <x v="11"/>
    <x v="61"/>
    <n v="6"/>
    <s v="做报关资料，发报关行（黄寅文）"/>
    <x v="92"/>
    <x v="0"/>
    <x v="3"/>
    <m/>
    <m/>
    <n v="-99"/>
  </r>
  <r>
    <x v="11"/>
    <x v="61"/>
    <n v="6.1"/>
    <s v="包装厂3-11放假，周五下班前确定做箱时间，假期安排人"/>
    <x v="92"/>
    <x v="0"/>
    <x v="0"/>
    <m/>
    <m/>
    <n v="-99"/>
  </r>
  <r>
    <x v="11"/>
    <x v="61"/>
    <n v="7"/>
    <s v="有开港时间，跟车队、王钰确定装箱时间，通知全和孙丹"/>
    <x v="92"/>
    <x v="0"/>
    <x v="0"/>
    <m/>
    <m/>
    <n v="-99"/>
  </r>
  <r>
    <x v="11"/>
    <x v="61"/>
    <n v="7.1"/>
    <s v="3号装大箱，4号早8点装小箱"/>
    <x v="110"/>
    <x v="0"/>
    <x v="0"/>
    <m/>
    <m/>
    <n v="-96"/>
  </r>
  <r>
    <x v="11"/>
    <x v="61"/>
    <n v="8"/>
    <s v="收到车队(沈丽)装箱单和洋山提箱截图(如有)，转发装箱单给全和"/>
    <x v="86"/>
    <x v="0"/>
    <x v="6"/>
    <m/>
    <m/>
    <n v="-95"/>
  </r>
  <r>
    <x v="11"/>
    <x v="61"/>
    <n v="9"/>
    <s v="装箱单发给王钰一份"/>
    <x v="86"/>
    <x v="0"/>
    <x v="6"/>
    <m/>
    <m/>
    <n v="-95"/>
  </r>
  <r>
    <x v="11"/>
    <x v="61"/>
    <n v="10"/>
    <s v="进港(核对数据)"/>
    <x v="86"/>
    <x v="0"/>
    <x v="0"/>
    <m/>
    <m/>
    <n v="-95"/>
  </r>
  <r>
    <x v="11"/>
    <x v="61"/>
    <n v="10"/>
    <s v="毛重都不对，下午两三点提供正确的"/>
    <x v="86"/>
    <x v="0"/>
    <x v="6"/>
    <m/>
    <m/>
    <n v="-95"/>
  </r>
  <r>
    <x v="11"/>
    <x v="61"/>
    <n v="11"/>
    <s v="通知全和发舱单"/>
    <x v="86"/>
    <x v="0"/>
    <x v="6"/>
    <m/>
    <m/>
    <n v="-95"/>
  </r>
  <r>
    <x v="11"/>
    <x v="61"/>
    <n v="12"/>
    <s v="有舱单，核对，通知黄寅文报关"/>
    <x v="99"/>
    <x v="0"/>
    <x v="1"/>
    <m/>
    <m/>
    <n v="-94"/>
  </r>
  <r>
    <x v="11"/>
    <x v="61"/>
    <n v="13"/>
    <s v="报关成功"/>
    <x v="99"/>
    <x v="0"/>
    <x v="6"/>
    <m/>
    <m/>
    <n v="-94"/>
  </r>
  <r>
    <x v="11"/>
    <x v="61"/>
    <n v="14"/>
    <s v="海放"/>
    <x v="99"/>
    <x v="0"/>
    <x v="6"/>
    <m/>
    <m/>
    <n v="-94"/>
  </r>
  <r>
    <x v="11"/>
    <x v="61"/>
    <n v="15"/>
    <s v="码放"/>
    <x v="93"/>
    <x v="0"/>
    <x v="4"/>
    <m/>
    <m/>
    <n v="-93"/>
  </r>
  <r>
    <x v="11"/>
    <x v="61"/>
    <n v="16"/>
    <s v="配载"/>
    <x v="93"/>
    <x v="0"/>
    <x v="0"/>
    <m/>
    <m/>
    <n v="-93"/>
  </r>
  <r>
    <x v="11"/>
    <x v="61"/>
    <n v="17"/>
    <s v="收到ZHL账单，及时确认，及时向财务通知付款。做费用"/>
    <x v="100"/>
    <x v="0"/>
    <x v="1"/>
    <m/>
    <m/>
    <n v="-86"/>
  </r>
  <r>
    <x v="11"/>
    <x v="61"/>
    <n v="18"/>
    <s v="如有额外费用发邮件"/>
    <x v="100"/>
    <x v="1"/>
    <x v="1"/>
    <m/>
    <m/>
    <n v="-86"/>
  </r>
  <r>
    <x v="11"/>
    <x v="61"/>
    <n v="19"/>
    <s v="船开"/>
    <x v="94"/>
    <x v="0"/>
    <x v="3"/>
    <m/>
    <m/>
    <n v="-92"/>
  </r>
  <r>
    <x v="11"/>
    <x v="61"/>
    <n v="20"/>
    <s v="买单申请付款"/>
    <x v="100"/>
    <x v="0"/>
    <x v="0"/>
    <m/>
    <m/>
    <n v="-86"/>
  </r>
  <r>
    <x v="11"/>
    <x v="61"/>
    <n v="21"/>
    <s v="下午收到全和送来发票，转交财务许培"/>
    <x v="100"/>
    <x v="0"/>
    <x v="4"/>
    <m/>
    <m/>
    <n v="-86"/>
  </r>
  <r>
    <x v="11"/>
    <x v="61"/>
    <n v="22"/>
    <s v="财务说周四付，收到许培付款水单，转告肖凡，周四没付好，周五再看"/>
    <x v="114"/>
    <x v="0"/>
    <x v="0"/>
    <m/>
    <m/>
    <n v="-84"/>
  </r>
  <r>
    <x v="13"/>
    <x v="62"/>
    <n v="1"/>
    <s v="收到托书"/>
    <x v="83"/>
    <x v="0"/>
    <x v="0"/>
    <m/>
    <m/>
    <n v="-122"/>
  </r>
  <r>
    <x v="13"/>
    <x v="62"/>
    <n v="2"/>
    <s v="订舱"/>
    <x v="73"/>
    <x v="0"/>
    <x v="0"/>
    <m/>
    <m/>
    <n v="-120"/>
  </r>
  <r>
    <x v="13"/>
    <x v="62"/>
    <n v="3"/>
    <s v="收到MSK 订舱确认邮件"/>
    <x v="73"/>
    <x v="0"/>
    <x v="0"/>
    <m/>
    <m/>
    <n v="-120"/>
  </r>
  <r>
    <x v="13"/>
    <x v="62"/>
    <n v="4"/>
    <s v="发订舱确认邮件给客户"/>
    <x v="73"/>
    <x v="0"/>
    <x v="0"/>
    <m/>
    <m/>
    <n v="-120"/>
  </r>
  <r>
    <x v="13"/>
    <x v="62"/>
    <n v="5"/>
    <s v="确认提供资料时间"/>
    <x v="86"/>
    <x v="1"/>
    <x v="0"/>
    <m/>
    <m/>
    <n v="-95"/>
  </r>
  <r>
    <x v="13"/>
    <x v="62"/>
    <n v="5"/>
    <s v="确认提供资料时间"/>
    <x v="93"/>
    <x v="0"/>
    <x v="1"/>
    <m/>
    <m/>
    <n v="-93"/>
  </r>
  <r>
    <x v="13"/>
    <x v="62"/>
    <n v="6"/>
    <s v="收到截单资料"/>
    <x v="86"/>
    <x v="1"/>
    <x v="0"/>
    <m/>
    <m/>
    <n v="-95"/>
  </r>
  <r>
    <x v="13"/>
    <x v="62"/>
    <n v="6"/>
    <s v="做费用，拉账单"/>
    <x v="94"/>
    <x v="0"/>
    <x v="1"/>
    <m/>
    <m/>
    <n v="-92"/>
  </r>
  <r>
    <x v="13"/>
    <x v="62"/>
    <n v="7"/>
    <s v="截单"/>
    <x v="86"/>
    <x v="1"/>
    <x v="0"/>
    <m/>
    <m/>
    <n v="-95"/>
  </r>
  <r>
    <x v="13"/>
    <x v="62"/>
    <n v="7"/>
    <s v="收到截单资料"/>
    <x v="94"/>
    <x v="0"/>
    <x v="1"/>
    <m/>
    <m/>
    <n v="-92"/>
  </r>
  <r>
    <x v="13"/>
    <x v="62"/>
    <n v="8"/>
    <s v="发提单确认"/>
    <x v="86"/>
    <x v="1"/>
    <x v="0"/>
    <m/>
    <m/>
    <n v="-95"/>
  </r>
  <r>
    <x v="13"/>
    <x v="62"/>
    <n v="8"/>
    <s v="YJC 截单，HBL和INV发文生然确认"/>
    <x v="94"/>
    <x v="0"/>
    <x v="1"/>
    <m/>
    <m/>
    <n v="-92"/>
  </r>
  <r>
    <x v="13"/>
    <x v="62"/>
    <n v="9"/>
    <s v="文生然确认HBL和费用"/>
    <x v="94"/>
    <x v="0"/>
    <x v="1"/>
    <m/>
    <m/>
    <n v="-92"/>
  </r>
  <r>
    <x v="13"/>
    <x v="62"/>
    <n v="10"/>
    <s v="MSK 录入提单确认内容"/>
    <x v="94"/>
    <x v="0"/>
    <x v="1"/>
    <m/>
    <m/>
    <n v="-92"/>
  </r>
  <r>
    <x v="13"/>
    <x v="62"/>
    <n v="11"/>
    <s v="联合船代发舱单"/>
    <x v="94"/>
    <x v="0"/>
    <x v="1"/>
    <m/>
    <m/>
    <n v="-92"/>
  </r>
  <r>
    <x v="13"/>
    <x v="62"/>
    <n v="11.1"/>
    <s v="漏装到下一航次MAERSK SYDNEY 933E，关注开港、解锁、码放和配载时间"/>
    <x v="115"/>
    <x v="0"/>
    <x v="4"/>
    <m/>
    <m/>
    <n v="-80"/>
  </r>
  <r>
    <x v="13"/>
    <x v="62"/>
    <n v="11.1"/>
    <s v="MAERSK SYDNEY 取消靠SHA，由DALI 928W带到KRBUS上MAERSK SYDNEY，关注开港，码放、配载时间"/>
    <x v="115"/>
    <x v="0"/>
    <x v="0"/>
    <m/>
    <m/>
    <n v="-80"/>
  </r>
  <r>
    <x v="13"/>
    <x v="62"/>
    <n v="12"/>
    <s v="MSK网站下载提单确认件"/>
    <x v="94"/>
    <x v="0"/>
    <x v="3"/>
    <m/>
    <m/>
    <n v="-92"/>
  </r>
  <r>
    <x v="13"/>
    <x v="62"/>
    <n v="13"/>
    <s v="邮件发COPY件、AMS、CREDIT给Wanda"/>
    <x v="94"/>
    <x v="0"/>
    <x v="3"/>
    <m/>
    <m/>
    <n v="-92"/>
  </r>
  <r>
    <x v="13"/>
    <x v="62"/>
    <n v="14"/>
    <s v="有舱单，核对，通知文生然"/>
    <x v="94"/>
    <x v="0"/>
    <x v="6"/>
    <m/>
    <m/>
    <n v="-92"/>
  </r>
  <r>
    <x v="13"/>
    <x v="62"/>
    <n v="15"/>
    <s v="进港，核对数据"/>
    <x v="103"/>
    <x v="0"/>
    <x v="0"/>
    <m/>
    <m/>
    <n v="-91"/>
  </r>
  <r>
    <x v="13"/>
    <x v="62"/>
    <n v="16"/>
    <s v="海放"/>
    <x v="103"/>
    <x v="0"/>
    <x v="0"/>
    <m/>
    <m/>
    <n v="-91"/>
  </r>
  <r>
    <x v="13"/>
    <x v="62"/>
    <n v="17"/>
    <s v="码放"/>
    <x v="115"/>
    <x v="0"/>
    <x v="0"/>
    <m/>
    <m/>
    <n v="-80"/>
  </r>
  <r>
    <x v="13"/>
    <x v="62"/>
    <n v="18"/>
    <s v="配载"/>
    <x v="115"/>
    <x v="0"/>
    <x v="0"/>
    <m/>
    <m/>
    <n v="-80"/>
  </r>
  <r>
    <x v="13"/>
    <x v="62"/>
    <n v="19"/>
    <s v="船开DALI 928W"/>
    <x v="116"/>
    <x v="0"/>
    <x v="6"/>
    <m/>
    <m/>
    <n v="-78"/>
  </r>
  <r>
    <x v="13"/>
    <x v="62"/>
    <n v="20"/>
    <s v="邮件发开船通知给Wanda"/>
    <x v="116"/>
    <x v="0"/>
    <x v="6"/>
    <m/>
    <m/>
    <n v="-78"/>
  </r>
  <r>
    <x v="13"/>
    <x v="62"/>
    <n v="21"/>
    <s v="收到Wanda付款通知"/>
    <x v="101"/>
    <x v="0"/>
    <x v="0"/>
    <m/>
    <m/>
    <n v="-73"/>
  </r>
  <r>
    <x v="13"/>
    <x v="62"/>
    <n v="22"/>
    <s v="发SWB、HBL给Wanda"/>
    <x v="101"/>
    <x v="0"/>
    <x v="0"/>
    <m/>
    <m/>
    <n v="-73"/>
  </r>
  <r>
    <x v="13"/>
    <x v="62"/>
    <n v="23"/>
    <s v="看MSK网站是否改过来，发送更改的提单确认件给Wanda"/>
    <x v="107"/>
    <x v="0"/>
    <x v="0"/>
    <m/>
    <m/>
    <n v="-85"/>
  </r>
  <r>
    <x v="7"/>
    <x v="62"/>
    <n v="1"/>
    <s v="收到徐小姐托书"/>
    <x v="65"/>
    <x v="0"/>
    <x v="0"/>
    <m/>
    <m/>
    <n v="-102"/>
  </r>
  <r>
    <x v="7"/>
    <x v="62"/>
    <n v="2"/>
    <s v="公共盘表格生成单号，YJC系统复制、生成"/>
    <x v="65"/>
    <x v="0"/>
    <x v="0"/>
    <m/>
    <s v="注意MBL#命名规则"/>
    <n v="-102"/>
  </r>
  <r>
    <x v="7"/>
    <x v="62"/>
    <n v="3"/>
    <s v="(一票一订)振华订舱界面复制订舱、保存、提交"/>
    <x v="65"/>
    <x v="0"/>
    <x v="0"/>
    <m/>
    <s v="客户编号 提单号 船名航次 日期 箱量"/>
    <n v="-102"/>
  </r>
  <r>
    <x v="7"/>
    <x v="62"/>
    <n v="4"/>
    <s v="邮件发确认给国外"/>
    <x v="65"/>
    <x v="0"/>
    <x v="0"/>
    <m/>
    <s v="Delete ayjun@kylogix.co.kr Add hypark@kylogix.co.kr"/>
    <n v="-102"/>
  </r>
  <r>
    <x v="7"/>
    <x v="62"/>
    <n v="5"/>
    <s v="QQ发预配信息给徐小姐（模板），问是否要加拼，发车队江"/>
    <x v="65"/>
    <x v="0"/>
    <x v="0"/>
    <m/>
    <m/>
    <n v="-102"/>
  </r>
  <r>
    <x v="7"/>
    <x v="62"/>
    <n v="6"/>
    <s v="订舱审核通过"/>
    <x v="66"/>
    <x v="1"/>
    <x v="0"/>
    <m/>
    <m/>
    <n v="-101"/>
  </r>
  <r>
    <x v="7"/>
    <x v="62"/>
    <n v="7"/>
    <s v="订舱界面加拼、提交，通知徐小姐加拼单号"/>
    <x v="66"/>
    <x v="1"/>
    <x v="0"/>
    <m/>
    <s v="点“多票加拼”"/>
    <n v="-101"/>
  </r>
  <r>
    <x v="7"/>
    <x v="62"/>
    <n v="8"/>
    <s v="加拼审核通过"/>
    <x v="66"/>
    <x v="1"/>
    <x v="0"/>
    <m/>
    <m/>
    <n v="-101"/>
  </r>
  <r>
    <x v="7"/>
    <x v="62"/>
    <n v="9"/>
    <s v="收到国外确认，公共盘红改黑，加CONFIRM"/>
    <x v="66"/>
    <x v="0"/>
    <x v="0"/>
    <m/>
    <m/>
    <n v="-101"/>
  </r>
  <r>
    <x v="7"/>
    <x v="62"/>
    <n v="10"/>
    <s v="做费用，保存到下月3号"/>
    <x v="66"/>
    <x v="0"/>
    <x v="3"/>
    <m/>
    <m/>
    <n v="-101"/>
  </r>
  <r>
    <x v="7"/>
    <x v="62"/>
    <n v="10.1"/>
    <s v="振华订舱好像搞错了"/>
    <x v="66"/>
    <x v="0"/>
    <x v="6"/>
    <m/>
    <m/>
    <n v="-101"/>
  </r>
  <r>
    <x v="7"/>
    <x v="62"/>
    <n v="11"/>
    <s v="问装箱时间"/>
    <x v="94"/>
    <x v="1"/>
    <x v="3"/>
    <m/>
    <m/>
    <n v="-92"/>
  </r>
  <r>
    <x v="7"/>
    <x v="62"/>
    <n v="12"/>
    <s v="收到车队江发来装箱数据和装箱单"/>
    <x v="103"/>
    <x v="0"/>
    <x v="1"/>
    <m/>
    <s v="周三周一截，周日周五截"/>
    <n v="-91"/>
  </r>
  <r>
    <x v="7"/>
    <x v="62"/>
    <n v="13"/>
    <s v="数据表中加入封号，汇总单票总件毛体"/>
    <x v="103"/>
    <x v="0"/>
    <x v="1"/>
    <m/>
    <m/>
    <n v="-91"/>
  </r>
  <r>
    <x v="7"/>
    <x v="62"/>
    <n v="14"/>
    <s v="YJC 截单"/>
    <x v="103"/>
    <x v="0"/>
    <x v="1"/>
    <m/>
    <s v="船名航次 开航日 件毛体 CC 箱量 箱封号 品名"/>
    <n v="-91"/>
  </r>
  <r>
    <x v="7"/>
    <x v="62"/>
    <n v="15"/>
    <s v="导出HBL，发徐小姐确认"/>
    <x v="103"/>
    <x v="0"/>
    <x v="1"/>
    <m/>
    <m/>
    <n v="-91"/>
  </r>
  <r>
    <x v="7"/>
    <x v="62"/>
    <n v="16"/>
    <s v="徐小姐确认HBL时，振华录入每一关单号的件毛体(注意箱状态)，保存"/>
    <x v="103"/>
    <x v="0"/>
    <x v="1"/>
    <m/>
    <m/>
    <n v="-91"/>
  </r>
  <r>
    <x v="7"/>
    <x v="62"/>
    <n v="17"/>
    <s v="徐小姐确认HBL"/>
    <x v="103"/>
    <x v="0"/>
    <x v="1"/>
    <m/>
    <m/>
    <n v="-91"/>
  </r>
  <r>
    <x v="7"/>
    <x v="62"/>
    <n v="18"/>
    <s v="发舱单"/>
    <x v="103"/>
    <x v="0"/>
    <x v="1"/>
    <m/>
    <s v="一关单一发"/>
    <n v="-91"/>
  </r>
  <r>
    <x v="7"/>
    <x v="62"/>
    <n v="19"/>
    <s v="海关有舱单，核对舱单信息，(如无并单，可直接录VGM)"/>
    <x v="103"/>
    <x v="0"/>
    <x v="1"/>
    <m/>
    <m/>
    <n v="-91"/>
  </r>
  <r>
    <x v="7"/>
    <x v="62"/>
    <n v="20"/>
    <s v="订舱界面并单"/>
    <x v="103"/>
    <x v="1"/>
    <x v="1"/>
    <m/>
    <m/>
    <n v="-91"/>
  </r>
  <r>
    <x v="7"/>
    <x v="62"/>
    <n v="21"/>
    <s v="并单审核通过"/>
    <x v="103"/>
    <x v="1"/>
    <x v="1"/>
    <m/>
    <m/>
    <n v="-91"/>
  </r>
  <r>
    <x v="7"/>
    <x v="62"/>
    <n v="22"/>
    <s v="每票录入所有箱子箱封号和件毛体，保存，录VGM，导入"/>
    <x v="103"/>
    <x v="0"/>
    <x v="1"/>
    <m/>
    <m/>
    <n v="-91"/>
  </r>
  <r>
    <x v="7"/>
    <x v="62"/>
    <n v="23"/>
    <s v="打印MBL"/>
    <x v="103"/>
    <x v="0"/>
    <x v="1"/>
    <m/>
    <m/>
    <n v="-9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91"/>
  </r>
  <r>
    <x v="7"/>
    <x v="62"/>
    <n v="25"/>
    <s v="船开"/>
    <x v="107"/>
    <x v="0"/>
    <x v="3"/>
    <m/>
    <m/>
    <n v="-85"/>
  </r>
  <r>
    <x v="7"/>
    <x v="62"/>
    <n v="26"/>
    <s v="拿到WAYBILL"/>
    <x v="107"/>
    <x v="0"/>
    <x v="4"/>
    <m/>
    <m/>
    <n v="-8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85"/>
  </r>
  <r>
    <x v="3"/>
    <x v="63"/>
    <n v="1"/>
    <s v="PANCON上周日船期提单领取单 8-11 CHATTANOOGA 1932E"/>
    <x v="107"/>
    <x v="0"/>
    <x v="6"/>
    <m/>
    <s v="周一"/>
    <n v="-85"/>
  </r>
  <r>
    <x v="3"/>
    <x v="63"/>
    <n v="2"/>
    <s v="WEEKLY REPORT"/>
    <x v="95"/>
    <x v="0"/>
    <x v="3"/>
    <m/>
    <s v="周一"/>
    <n v="-88"/>
  </r>
  <r>
    <x v="3"/>
    <x v="63"/>
    <n v="3"/>
    <s v="汇总SC JS下周订舱需求，回Abbi邮件，制作每票清单流水"/>
    <x v="95"/>
    <x v="0"/>
    <x v="6"/>
    <m/>
    <s v="周一"/>
    <n v="-88"/>
  </r>
  <r>
    <x v="3"/>
    <x v="63"/>
    <n v="4"/>
    <s v="收到Abbi确认"/>
    <x v="95"/>
    <x v="0"/>
    <x v="2"/>
    <m/>
    <s v="周一"/>
    <n v="-88"/>
  </r>
  <r>
    <x v="3"/>
    <x v="63"/>
    <n v="5"/>
    <s v="拿到PANCON WAYBILL，朱琳的给朱琳"/>
    <x v="107"/>
    <x v="0"/>
    <x v="4"/>
    <m/>
    <s v="周一"/>
    <n v="-85"/>
  </r>
  <r>
    <x v="3"/>
    <x v="63"/>
    <n v="6"/>
    <s v="PANCON周三出运清单，附件贴邮件中"/>
    <x v="95"/>
    <x v="0"/>
    <x v="4"/>
    <m/>
    <s v="周一"/>
    <n v="-88"/>
  </r>
  <r>
    <x v="3"/>
    <x v="63"/>
    <n v="7"/>
    <s v="WORKING PROCESS"/>
    <x v="95"/>
    <x v="0"/>
    <x v="3"/>
    <m/>
    <s v="周一"/>
    <n v="-88"/>
  </r>
  <r>
    <x v="3"/>
    <x v="63"/>
    <n v="8"/>
    <s v="WORKING PROCESS"/>
    <x v="100"/>
    <x v="0"/>
    <x v="3"/>
    <m/>
    <s v="周三"/>
    <n v="-86"/>
  </r>
  <r>
    <x v="3"/>
    <x v="63"/>
    <n v="9"/>
    <s v="PANCON周三船期提单领取单"/>
    <x v="111"/>
    <x v="0"/>
    <x v="6"/>
    <m/>
    <s v="周四"/>
    <n v="-81"/>
  </r>
  <r>
    <x v="3"/>
    <x v="63"/>
    <n v="10"/>
    <s v="拿到PANCON WAYBILL，朱琳的给朱琳"/>
    <x v="111"/>
    <x v="1"/>
    <x v="4"/>
    <m/>
    <s v="周四"/>
    <n v="-81"/>
  </r>
  <r>
    <x v="3"/>
    <x v="63"/>
    <n v="11"/>
    <s v="收到 Abbi 下下周订舱预报邮件"/>
    <x v="114"/>
    <x v="0"/>
    <x v="2"/>
    <m/>
    <s v="周五"/>
    <n v="-84"/>
  </r>
  <r>
    <x v="3"/>
    <x v="63"/>
    <n v="12"/>
    <s v="问JS mobis、SC glovis下下周订舱需求"/>
    <x v="114"/>
    <x v="0"/>
    <x v="0"/>
    <m/>
    <s v="周五"/>
    <n v="-84"/>
  </r>
  <r>
    <x v="3"/>
    <x v="63"/>
    <n v="13"/>
    <s v="WORKING PROCESS"/>
    <x v="114"/>
    <x v="0"/>
    <x v="4"/>
    <m/>
    <s v="周五"/>
    <n v="-84"/>
  </r>
  <r>
    <x v="3"/>
    <x v="63"/>
    <n v="14"/>
    <s v="PANCON8月18日出运清单，附件贴邮件中"/>
    <x v="111"/>
    <x v="0"/>
    <x v="1"/>
    <m/>
    <s v="周五"/>
    <n v="-81"/>
  </r>
  <r>
    <x v="3"/>
    <x v="63"/>
    <n v="15"/>
    <s v="制下周 WEEK 流水"/>
    <x v="114"/>
    <x v="0"/>
    <x v="0"/>
    <m/>
    <s v="周五"/>
    <n v="-84"/>
  </r>
  <r>
    <x v="3"/>
    <x v="63"/>
    <n v="16"/>
    <s v="本周APP"/>
    <x v="117"/>
    <x v="1"/>
    <x v="0"/>
    <m/>
    <s v="周五"/>
    <n v="-79"/>
  </r>
  <r>
    <x v="3"/>
    <x v="63"/>
    <n v="23"/>
    <s v="能跟全和签月结？（不能，单量太少了）"/>
    <x v="100"/>
    <x v="0"/>
    <x v="4"/>
    <m/>
    <m/>
    <n v="-86"/>
  </r>
  <r>
    <x v="3"/>
    <x v="63"/>
    <n v="24"/>
    <s v="运费险10元到了？"/>
    <x v="118"/>
    <x v="0"/>
    <x v="0"/>
    <m/>
    <m/>
    <n v="-83"/>
  </r>
  <r>
    <x v="3"/>
    <x v="63"/>
    <n v="25"/>
    <s v="48小时内退的31元到了？"/>
    <x v="114"/>
    <x v="0"/>
    <x v="3"/>
    <m/>
    <m/>
    <n v="-84"/>
  </r>
  <r>
    <x v="3"/>
    <x v="63"/>
    <m/>
    <s v="8-28舱位没了，万盛最多订三个高箱"/>
    <x v="98"/>
    <x v="0"/>
    <x v="3"/>
    <m/>
    <m/>
    <n v="-74"/>
  </r>
  <r>
    <x v="3"/>
    <x v="63"/>
    <m/>
    <s v="环发对账"/>
    <x v="107"/>
    <x v="0"/>
    <x v="4"/>
    <m/>
    <m/>
    <n v="-85"/>
  </r>
  <r>
    <x v="7"/>
    <x v="64"/>
    <n v="1"/>
    <s v="收到徐小姐托书"/>
    <x v="93"/>
    <x v="0"/>
    <x v="0"/>
    <m/>
    <m/>
    <n v="-9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93"/>
  </r>
  <r>
    <x v="7"/>
    <x v="64"/>
    <n v="3"/>
    <s v="收到环发进仓通知，确认截单截货时间"/>
    <x v="93"/>
    <x v="0"/>
    <x v="0"/>
    <m/>
    <s v="一般很快就能有"/>
    <n v="-93"/>
  </r>
  <r>
    <x v="7"/>
    <x v="64"/>
    <n v="4"/>
    <s v="进仓通知里有关环发的信息都删掉，转发徐小姐"/>
    <x v="93"/>
    <x v="0"/>
    <x v="0"/>
    <m/>
    <m/>
    <n v="-93"/>
  </r>
  <r>
    <x v="7"/>
    <x v="64"/>
    <n v="5"/>
    <s v="收到国外确认，公共盘表格红改黑"/>
    <x v="93"/>
    <x v="0"/>
    <x v="0"/>
    <m/>
    <m/>
    <n v="-93"/>
  </r>
  <r>
    <x v="7"/>
    <x v="64"/>
    <n v="6"/>
    <s v="收到报关资料，转环发"/>
    <x v="94"/>
    <x v="0"/>
    <x v="0"/>
    <m/>
    <m/>
    <n v="-92"/>
  </r>
  <r>
    <x v="7"/>
    <x v="64"/>
    <n v="7"/>
    <s v="完善YJC系统数据"/>
    <x v="94"/>
    <x v="0"/>
    <x v="3"/>
    <m/>
    <m/>
    <n v="-92"/>
  </r>
  <r>
    <x v="7"/>
    <x v="64"/>
    <n v="8"/>
    <s v="发HBL COPY 给徐小姐确认"/>
    <x v="94"/>
    <x v="0"/>
    <x v="3"/>
    <m/>
    <m/>
    <n v="-92"/>
  </r>
  <r>
    <x v="7"/>
    <x v="64"/>
    <n v="9"/>
    <s v="收到徐小姐确认HBL"/>
    <x v="94"/>
    <x v="0"/>
    <x v="3"/>
    <m/>
    <m/>
    <n v="-92"/>
  </r>
  <r>
    <x v="7"/>
    <x v="64"/>
    <n v="10"/>
    <s v="收到提单确认件，"/>
    <x v="103"/>
    <x v="0"/>
    <x v="0"/>
    <m/>
    <m/>
    <n v="-91"/>
  </r>
  <r>
    <x v="7"/>
    <x v="64"/>
    <n v="10.199999999999999"/>
    <s v="回复确认提单"/>
    <x v="103"/>
    <x v="0"/>
    <x v="0"/>
    <m/>
    <m/>
    <n v="-91"/>
  </r>
  <r>
    <x v="7"/>
    <x v="64"/>
    <n v="10.9"/>
    <s v="发HBL COPY 和表格给国外"/>
    <x v="107"/>
    <x v="0"/>
    <x v="0"/>
    <m/>
    <s v="Delete ayjun@kylogix.co.kr Add hypark@kylogix.co.kr"/>
    <n v="-85"/>
  </r>
  <r>
    <x v="7"/>
    <x v="64"/>
    <n v="11"/>
    <s v="做账单给徐小姐确认（不足一方按一方算）"/>
    <x v="107"/>
    <x v="0"/>
    <x v="0"/>
    <m/>
    <m/>
    <n v="-85"/>
  </r>
  <r>
    <x v="7"/>
    <x v="64"/>
    <n v="12"/>
    <s v="收到船公司发来提单确认件"/>
    <x v="107"/>
    <x v="0"/>
    <x v="0"/>
    <m/>
    <m/>
    <n v="-85"/>
  </r>
  <r>
    <x v="7"/>
    <x v="64"/>
    <n v="14"/>
    <s v="船开"/>
    <x v="107"/>
    <x v="0"/>
    <x v="0"/>
    <m/>
    <m/>
    <n v="-85"/>
  </r>
  <r>
    <x v="7"/>
    <x v="64"/>
    <n v="15"/>
    <s v="收到徐小姐确认账单"/>
    <x v="107"/>
    <x v="0"/>
    <x v="0"/>
    <m/>
    <m/>
    <n v="-85"/>
  </r>
  <r>
    <x v="7"/>
    <x v="64"/>
    <n v="16"/>
    <s v="APP"/>
    <x v="107"/>
    <x v="0"/>
    <x v="0"/>
    <m/>
    <m/>
    <n v="-85"/>
  </r>
  <r>
    <x v="7"/>
    <x v="64"/>
    <n v="17"/>
    <s v="申请开票（能不能开电子发票？万盛开纸质票）"/>
    <x v="107"/>
    <x v="0"/>
    <x v="0"/>
    <m/>
    <m/>
    <n v="-85"/>
  </r>
  <r>
    <x v="7"/>
    <x v="64"/>
    <n v="18"/>
    <s v="收到发票，扫描发徐小姐确认"/>
    <x v="107"/>
    <x v="0"/>
    <x v="0"/>
    <m/>
    <m/>
    <n v="-85"/>
  </r>
  <r>
    <x v="7"/>
    <x v="64"/>
    <n v="19"/>
    <s v="寄徐小姐"/>
    <x v="107"/>
    <x v="0"/>
    <x v="0"/>
    <m/>
    <m/>
    <n v="-85"/>
  </r>
  <r>
    <x v="7"/>
    <x v="64"/>
    <n v="20"/>
    <s v="收到付款水单"/>
    <x v="107"/>
    <x v="0"/>
    <x v="0"/>
    <m/>
    <m/>
    <n v="-85"/>
  </r>
  <r>
    <x v="7"/>
    <x v="64"/>
    <n v="21"/>
    <s v="放MBL 和 HBL给客户"/>
    <x v="107"/>
    <x v="0"/>
    <x v="0"/>
    <m/>
    <m/>
    <n v="-85"/>
  </r>
  <r>
    <x v="7"/>
    <x v="64"/>
    <n v="22"/>
    <s v="收到环发发来账单"/>
    <x v="107"/>
    <x v="0"/>
    <x v="0"/>
    <m/>
    <m/>
    <n v="-85"/>
  </r>
  <r>
    <x v="7"/>
    <x v="64"/>
    <n v="23"/>
    <s v="录入系统"/>
    <x v="107"/>
    <x v="0"/>
    <x v="0"/>
    <m/>
    <m/>
    <n v="-85"/>
  </r>
  <r>
    <x v="7"/>
    <x v="64"/>
    <n v="24"/>
    <s v="APP"/>
    <x v="107"/>
    <x v="0"/>
    <x v="0"/>
    <m/>
    <m/>
    <n v="-85"/>
  </r>
  <r>
    <x v="7"/>
    <x v="64"/>
    <n v="25"/>
    <s v="收到发票，发徐小姐"/>
    <x v="104"/>
    <x v="0"/>
    <x v="6"/>
    <m/>
    <m/>
    <n v="-77"/>
  </r>
  <r>
    <x v="7"/>
    <x v="64"/>
    <n v="26"/>
    <s v="徐小姐收到发票773000525190770"/>
    <x v="101"/>
    <x v="0"/>
    <x v="3"/>
    <m/>
    <m/>
    <n v="-73"/>
  </r>
  <r>
    <x v="7"/>
    <x v="64"/>
    <n v="27"/>
    <s v="收到徐小姐水单"/>
    <x v="101"/>
    <x v="0"/>
    <x v="0"/>
    <m/>
    <m/>
    <n v="-73"/>
  </r>
  <r>
    <x v="7"/>
    <x v="64"/>
    <m/>
    <s v="1010应付发票，1010Statement，水单不知道什么时候已经付了"/>
    <x v="119"/>
    <x v="0"/>
    <x v="0"/>
    <s v="徐小姐"/>
    <m/>
    <n v="-7"/>
  </r>
  <r>
    <x v="6"/>
    <x v="64"/>
    <n v="1"/>
    <s v="收到胡媛媛发来订舱邮件"/>
    <x v="82"/>
    <x v="0"/>
    <x v="0"/>
    <m/>
    <m/>
    <n v="-106"/>
  </r>
  <r>
    <x v="6"/>
    <x v="64"/>
    <n v="2"/>
    <s v="发订舱托书给万恒（翁小姐）"/>
    <x v="82"/>
    <x v="0"/>
    <x v="0"/>
    <m/>
    <m/>
    <n v="-106"/>
  </r>
  <r>
    <x v="6"/>
    <x v="64"/>
    <n v="3"/>
    <s v="收到万恒（翁小姐）预配"/>
    <x v="80"/>
    <x v="0"/>
    <x v="3"/>
    <m/>
    <s v="一般三小时左右"/>
    <n v="-105"/>
  </r>
  <r>
    <x v="6"/>
    <x v="64"/>
    <n v="5"/>
    <s v="发做箱通知邮件给车队(沈丽)，通知做箱时间"/>
    <x v="80"/>
    <x v="0"/>
    <x v="3"/>
    <m/>
    <m/>
    <n v="-105"/>
  </r>
  <r>
    <x v="6"/>
    <x v="64"/>
    <n v="6"/>
    <s v="通知胡媛媛订舱成功和做箱时间"/>
    <x v="80"/>
    <x v="0"/>
    <x v="3"/>
    <m/>
    <m/>
    <n v="-105"/>
  </r>
  <r>
    <x v="6"/>
    <x v="64"/>
    <n v="7"/>
    <s v="跟客户确认发报关资料和做箱时间"/>
    <x v="86"/>
    <x v="0"/>
    <x v="6"/>
    <m/>
    <s v="截单前三天"/>
    <n v="-95"/>
  </r>
  <r>
    <x v="6"/>
    <x v="64"/>
    <n v="8"/>
    <s v="收到胡媛媛发来报关资料"/>
    <x v="99"/>
    <x v="0"/>
    <x v="4"/>
    <m/>
    <s v="8-1下周二三给资料"/>
    <n v="-94"/>
  </r>
  <r>
    <x v="6"/>
    <x v="64"/>
    <n v="9"/>
    <s v="完善报关资料发报关行（黄寅文），要校对稿，做箱数据给沈丽，更新系统件毛体"/>
    <x v="99"/>
    <x v="0"/>
    <x v="4"/>
    <m/>
    <m/>
    <n v="-94"/>
  </r>
  <r>
    <x v="6"/>
    <x v="64"/>
    <n v="10"/>
    <s v="买保险"/>
    <x v="99"/>
    <x v="0"/>
    <x v="4"/>
    <m/>
    <m/>
    <n v="-94"/>
  </r>
  <r>
    <x v="6"/>
    <x v="64"/>
    <n v="11"/>
    <s v="做异地付款保函，发胡媛媛确认盖章回传"/>
    <x v="99"/>
    <x v="0"/>
    <x v="4"/>
    <m/>
    <m/>
    <n v="-94"/>
  </r>
  <r>
    <x v="6"/>
    <x v="64"/>
    <n v="12"/>
    <s v="收到客户（胡媛媛）发来保函扫描件"/>
    <x v="99"/>
    <x v="0"/>
    <x v="4"/>
    <m/>
    <s v="一般马上"/>
    <n v="-94"/>
  </r>
  <r>
    <x v="6"/>
    <x v="64"/>
    <n v="13"/>
    <s v="收到黄寅文校对稿，发客户（胡媛媛）确认"/>
    <x v="93"/>
    <x v="0"/>
    <x v="3"/>
    <m/>
    <s v="一般半天内"/>
    <n v="-93"/>
  </r>
  <r>
    <x v="6"/>
    <x v="64"/>
    <n v="14"/>
    <s v="收到客户（胡媛媛）确认校对稿OK"/>
    <x v="93"/>
    <x v="0"/>
    <x v="3"/>
    <m/>
    <s v="一般马上"/>
    <n v="-93"/>
  </r>
  <r>
    <x v="6"/>
    <x v="64"/>
    <n v="15"/>
    <s v="关注开港时间，跟车队(沈丽)确认做箱时间，如有变动通知胡媛媛"/>
    <x v="94"/>
    <x v="0"/>
    <x v="3"/>
    <m/>
    <s v="截单前一天"/>
    <n v="-92"/>
  </r>
  <r>
    <x v="6"/>
    <x v="64"/>
    <n v="16"/>
    <s v="收到沈丽发来装箱单"/>
    <x v="103"/>
    <x v="0"/>
    <x v="1"/>
    <m/>
    <s v="截单当天"/>
    <n v="-91"/>
  </r>
  <r>
    <x v="6"/>
    <x v="64"/>
    <n v="17"/>
    <s v="完善截单资料发万恒（翁小姐），请求发舱单"/>
    <x v="103"/>
    <x v="0"/>
    <x v="1"/>
    <m/>
    <m/>
    <n v="-91"/>
  </r>
  <r>
    <x v="6"/>
    <x v="64"/>
    <n v="18"/>
    <s v="收到舱单发送通知，核对舱单，装箱单发报关行"/>
    <x v="120"/>
    <x v="0"/>
    <x v="6"/>
    <m/>
    <m/>
    <n v="-90"/>
  </r>
  <r>
    <x v="6"/>
    <x v="64"/>
    <n v="18.100000000000001"/>
    <s v="大桥解封，通知报关"/>
    <x v="121"/>
    <x v="0"/>
    <x v="0"/>
    <m/>
    <m/>
    <n v="-89"/>
  </r>
  <r>
    <x v="6"/>
    <x v="64"/>
    <n v="20"/>
    <s v="收到万恒（翁小姐）发来提单样本，发胡媛媛确认"/>
    <x v="95"/>
    <x v="0"/>
    <x v="0"/>
    <m/>
    <m/>
    <n v="-88"/>
  </r>
  <r>
    <x v="6"/>
    <x v="64"/>
    <n v="21"/>
    <s v="收到胡媛媛提单确认"/>
    <x v="95"/>
    <x v="0"/>
    <x v="0"/>
    <m/>
    <m/>
    <n v="-88"/>
  </r>
  <r>
    <x v="6"/>
    <x v="64"/>
    <n v="22"/>
    <s v="收到报关成功通知，通知车队可进港 "/>
    <x v="95"/>
    <x v="0"/>
    <x v="0"/>
    <m/>
    <m/>
    <n v="-88"/>
  </r>
  <r>
    <x v="6"/>
    <x v="64"/>
    <n v="23"/>
    <s v="进港，核对数据，确定落箱费和二次进港费，发胡媛媛确认"/>
    <x v="95"/>
    <x v="0"/>
    <x v="0"/>
    <m/>
    <m/>
    <n v="-88"/>
  </r>
  <r>
    <x v="6"/>
    <x v="64"/>
    <n v="24"/>
    <s v="海放"/>
    <x v="95"/>
    <x v="0"/>
    <x v="0"/>
    <m/>
    <m/>
    <n v="-88"/>
  </r>
  <r>
    <x v="6"/>
    <x v="64"/>
    <n v="25"/>
    <s v="码放"/>
    <x v="68"/>
    <x v="0"/>
    <x v="0"/>
    <m/>
    <m/>
    <n v="-87"/>
  </r>
  <r>
    <x v="6"/>
    <x v="64"/>
    <n v="25"/>
    <s v="胡媛媛邮件确认落箱费和二次进港费"/>
    <x v="95"/>
    <x v="0"/>
    <x v="0"/>
    <m/>
    <m/>
    <n v="-88"/>
  </r>
  <r>
    <x v="6"/>
    <x v="64"/>
    <n v="26"/>
    <s v="配载"/>
    <x v="100"/>
    <x v="0"/>
    <x v="0"/>
    <m/>
    <m/>
    <n v="-86"/>
  </r>
  <r>
    <x v="6"/>
    <x v="64"/>
    <n v="26"/>
    <s v="8/12 11:00 预计 2019-8-14  22:00开船，如果再延迟通知胡媛媛"/>
    <x v="100"/>
    <x v="0"/>
    <x v="4"/>
    <m/>
    <m/>
    <n v="-86"/>
  </r>
  <r>
    <x v="6"/>
    <x v="64"/>
    <n v="27"/>
    <s v="开船"/>
    <x v="107"/>
    <x v="0"/>
    <x v="0"/>
    <m/>
    <m/>
    <n v="-85"/>
  </r>
  <r>
    <x v="6"/>
    <x v="64"/>
    <n v="28"/>
    <s v="收到万恒账单，做费用（扣除300！参照陆惠聊天记录），发账单给陈吟勇"/>
    <x v="114"/>
    <x v="0"/>
    <x v="1"/>
    <m/>
    <s v="2019-8-6  10:11:15"/>
    <n v="-84"/>
  </r>
  <r>
    <x v="6"/>
    <x v="64"/>
    <n v="29"/>
    <s v="收到万恒（翁小姐）提单，放提单和预录单给胡媛媛"/>
    <x v="107"/>
    <x v="0"/>
    <x v="0"/>
    <m/>
    <m/>
    <n v="-85"/>
  </r>
  <r>
    <x v="0"/>
    <x v="65"/>
    <n v="1"/>
    <s v="收到客户(孙丹/王珊)发来订舱托书"/>
    <x v="97"/>
    <x v="0"/>
    <x v="0"/>
    <m/>
    <m/>
    <n v="-98"/>
  </r>
  <r>
    <x v="0"/>
    <x v="65"/>
    <n v="2"/>
    <s v="收到CK发来预配(做箱通知，沈丽有收到？)"/>
    <x v="94"/>
    <x v="0"/>
    <x v="1"/>
    <m/>
    <m/>
    <n v="-92"/>
  </r>
  <r>
    <x v="0"/>
    <x v="65"/>
    <n v="3"/>
    <s v="YJC系统生成单子"/>
    <x v="94"/>
    <x v="0"/>
    <x v="1"/>
    <m/>
    <m/>
    <n v="-92"/>
  </r>
  <r>
    <x v="0"/>
    <x v="65"/>
    <n v="4"/>
    <s v="收到包装厂(刘倩梅)发来包装指示书和装箱计划"/>
    <x v="94"/>
    <x v="0"/>
    <x v="4"/>
    <m/>
    <s v="一般周四"/>
    <n v="-92"/>
  </r>
  <r>
    <x v="0"/>
    <x v="65"/>
    <n v="5"/>
    <s v="根据装箱计划汇总包装数据，发各工厂做报关资料"/>
    <x v="94"/>
    <x v="0"/>
    <x v="4"/>
    <m/>
    <m/>
    <n v="-92"/>
  </r>
  <r>
    <x v="0"/>
    <x v="65"/>
    <n v="6"/>
    <s v="做做箱数据，邮件群发(查开港时间，注明做箱时间)"/>
    <x v="94"/>
    <x v="0"/>
    <x v="4"/>
    <m/>
    <m/>
    <n v="-92"/>
  </r>
  <r>
    <x v="0"/>
    <x v="65"/>
    <n v="7"/>
    <s v="【HMI】确认一下开港时间，看做箱时间要不要变（8/13做箱）"/>
    <x v="95"/>
    <x v="0"/>
    <x v="4"/>
    <m/>
    <s v="8/13做箱"/>
    <n v="-88"/>
  </r>
  <r>
    <x v="0"/>
    <x v="65"/>
    <n v="8"/>
    <s v="收到工厂发来报关资料并完善(代做报关资料跟客户确认)"/>
    <x v="103"/>
    <x v="0"/>
    <x v="4"/>
    <m/>
    <s v="当天至隔天"/>
    <n v="-91"/>
  </r>
  <r>
    <x v="0"/>
    <x v="65"/>
    <n v="9"/>
    <s v="报关资料齐了（光成要素划掉XXX），发报关行(黄寅文)"/>
    <x v="103"/>
    <x v="0"/>
    <x v="4"/>
    <m/>
    <m/>
    <n v="-91"/>
  </r>
  <r>
    <x v="0"/>
    <x v="65"/>
    <n v="10"/>
    <s v="货运模板/发票/箱单"/>
    <x v="103"/>
    <x v="0"/>
    <x v="3"/>
    <m/>
    <m/>
    <n v="-91"/>
  </r>
  <r>
    <x v="0"/>
    <x v="65"/>
    <n v="11"/>
    <s v="通知进港"/>
    <x v="120"/>
    <x v="1"/>
    <x v="3"/>
    <m/>
    <s v="调整顺序"/>
    <n v="-90"/>
  </r>
  <r>
    <x v="0"/>
    <x v="65"/>
    <n v="12"/>
    <s v="收到车队(沈丽)装箱单和洋山提箱截图(如有)，9点前群发，通知发舱单"/>
    <x v="68"/>
    <x v="0"/>
    <x v="1"/>
    <m/>
    <s v="一般KMM五、HMI日"/>
    <n v="-87"/>
  </r>
  <r>
    <x v="0"/>
    <x v="65"/>
    <n v="13"/>
    <s v="收到舱单发送成功通知，核对舱单信息"/>
    <x v="68"/>
    <x v="0"/>
    <x v="6"/>
    <m/>
    <m/>
    <n v="-87"/>
  </r>
  <r>
    <x v="0"/>
    <x v="65"/>
    <n v="14"/>
    <s v="进港(核对数据)"/>
    <x v="100"/>
    <x v="0"/>
    <x v="4"/>
    <m/>
    <s v="调整顺序"/>
    <n v="-86"/>
  </r>
  <r>
    <x v="0"/>
    <x v="65"/>
    <n v="15"/>
    <s v="通知报关（洋山发装箱单）"/>
    <x v="100"/>
    <x v="0"/>
    <x v="6"/>
    <m/>
    <s v="调整顺序"/>
    <n v="-86"/>
  </r>
  <r>
    <x v="0"/>
    <x v="65"/>
    <n v="16"/>
    <s v="报关成功"/>
    <x v="100"/>
    <x v="0"/>
    <x v="3"/>
    <m/>
    <s v="调整顺序"/>
    <n v="-86"/>
  </r>
  <r>
    <x v="0"/>
    <x v="65"/>
    <n v="17"/>
    <s v="海放"/>
    <x v="100"/>
    <x v="0"/>
    <x v="3"/>
    <m/>
    <m/>
    <n v="-86"/>
  </r>
  <r>
    <x v="0"/>
    <x v="65"/>
    <n v="18"/>
    <s v="码放"/>
    <x v="100"/>
    <x v="0"/>
    <x v="4"/>
    <m/>
    <m/>
    <n v="-86"/>
  </r>
  <r>
    <x v="0"/>
    <x v="65"/>
    <n v="19"/>
    <s v="配载"/>
    <x v="107"/>
    <x v="0"/>
    <x v="0"/>
    <m/>
    <m/>
    <n v="-85"/>
  </r>
  <r>
    <x v="0"/>
    <x v="65"/>
    <n v="20"/>
    <s v="做费用(对账单日期4号)，放公共盘，填月账单表，发孙丹"/>
    <x v="114"/>
    <x v="0"/>
    <x v="6"/>
    <m/>
    <m/>
    <n v="-84"/>
  </r>
  <r>
    <x v="0"/>
    <x v="65"/>
    <n v="21"/>
    <s v="如有额外费用发邮件"/>
    <x v="114"/>
    <x v="0"/>
    <x v="6"/>
    <m/>
    <m/>
    <n v="-84"/>
  </r>
  <r>
    <x v="0"/>
    <x v="65"/>
    <n v="22"/>
    <s v="船开"/>
    <x v="107"/>
    <x v="0"/>
    <x v="2"/>
    <m/>
    <m/>
    <n v="-85"/>
  </r>
  <r>
    <x v="0"/>
    <x v="65"/>
    <m/>
    <s v="看港区通知，什么时候做箱？跟进孙丹邮件"/>
    <x v="120"/>
    <x v="1"/>
    <x v="0"/>
    <m/>
    <m/>
    <n v="-90"/>
  </r>
  <r>
    <x v="0"/>
    <x v="65"/>
    <m/>
    <s v="暂定明天做箱，下班前再刷开港时间，看看要不要再延迟。"/>
    <x v="95"/>
    <x v="0"/>
    <x v="4"/>
    <m/>
    <m/>
    <n v="-88"/>
  </r>
  <r>
    <x v="1"/>
    <x v="65"/>
    <n v="1"/>
    <s v="收到客户(孙丹/王珊)发来订舱托书"/>
    <x v="69"/>
    <x v="0"/>
    <x v="0"/>
    <m/>
    <m/>
    <n v="-100"/>
  </r>
  <r>
    <x v="1"/>
    <x v="65"/>
    <n v="2"/>
    <s v="收到CK发来预配(做箱通知，沈丽有收到？)"/>
    <x v="92"/>
    <x v="0"/>
    <x v="0"/>
    <m/>
    <m/>
    <n v="-99"/>
  </r>
  <r>
    <x v="1"/>
    <x v="65"/>
    <n v="3"/>
    <s v="YJC系统生成单子"/>
    <x v="92"/>
    <x v="0"/>
    <x v="4"/>
    <m/>
    <m/>
    <n v="-99"/>
  </r>
  <r>
    <x v="1"/>
    <x v="65"/>
    <n v="3.1"/>
    <s v="这周盐城大有徐琴放高温假，只有周三在公司，催一下数据周三给"/>
    <x v="93"/>
    <x v="0"/>
    <x v="4"/>
    <m/>
    <m/>
    <n v="-93"/>
  </r>
  <r>
    <x v="1"/>
    <x v="65"/>
    <n v="4"/>
    <s v="收到包装厂(刘倩梅)发来包装指示书和装箱计划"/>
    <x v="93"/>
    <x v="0"/>
    <x v="0"/>
    <m/>
    <s v="一般周四"/>
    <n v="-93"/>
  </r>
  <r>
    <x v="1"/>
    <x v="65"/>
    <n v="5"/>
    <s v="根据装箱计划汇总包装数据，发各工厂做报关资料"/>
    <x v="93"/>
    <x v="0"/>
    <x v="0"/>
    <m/>
    <m/>
    <n v="-93"/>
  </r>
  <r>
    <x v="1"/>
    <x v="65"/>
    <n v="6"/>
    <s v="做做箱数据，邮件群发(查开港时间，注明做箱时间)"/>
    <x v="93"/>
    <x v="0"/>
    <x v="0"/>
    <m/>
    <m/>
    <n v="-93"/>
  </r>
  <r>
    <x v="1"/>
    <x v="65"/>
    <n v="7"/>
    <s v="【HMI】确认一下开港时间，看做箱时间要不要变"/>
    <x v="93"/>
    <x v="1"/>
    <x v="0"/>
    <m/>
    <s v="周六"/>
    <n v="-93"/>
  </r>
  <r>
    <x v="1"/>
    <x v="65"/>
    <n v="8"/>
    <s v="收到工厂发来报关资料并完善(代做报关资料跟客户确认)"/>
    <x v="93"/>
    <x v="0"/>
    <x v="0"/>
    <m/>
    <s v="当天至隔天"/>
    <n v="-93"/>
  </r>
  <r>
    <x v="1"/>
    <x v="65"/>
    <n v="9"/>
    <s v="报关资料齐了（光成要素划掉XXX），发报关行(黄寅文)"/>
    <x v="93"/>
    <x v="0"/>
    <x v="0"/>
    <m/>
    <m/>
    <n v="-93"/>
  </r>
  <r>
    <x v="1"/>
    <x v="65"/>
    <n v="10"/>
    <s v="【HMI】做箱数据上加上品名给Nikki"/>
    <x v="93"/>
    <x v="1"/>
    <x v="0"/>
    <m/>
    <m/>
    <n v="-93"/>
  </r>
  <r>
    <x v="1"/>
    <x v="65"/>
    <n v="11"/>
    <s v="货运模板/发票/箱单"/>
    <x v="93"/>
    <x v="0"/>
    <x v="0"/>
    <m/>
    <m/>
    <n v="-93"/>
  </r>
  <r>
    <x v="1"/>
    <x v="65"/>
    <n v="11.1"/>
    <s v="关注开港时间，确定是否调整做箱时间"/>
    <x v="94"/>
    <x v="0"/>
    <x v="3"/>
    <m/>
    <m/>
    <n v="-92"/>
  </r>
  <r>
    <x v="1"/>
    <x v="65"/>
    <n v="12"/>
    <s v="收到车队(沈丽)装箱单和洋山提箱截图(如有)，9点前群发，通知发舱单"/>
    <x v="103"/>
    <x v="0"/>
    <x v="1"/>
    <m/>
    <s v="一般KMM五、HMI日"/>
    <n v="-91"/>
  </r>
  <r>
    <x v="1"/>
    <x v="65"/>
    <n v="13"/>
    <s v="收到舱单发送成功通知，核对舱单信息"/>
    <x v="103"/>
    <x v="0"/>
    <x v="6"/>
    <m/>
    <m/>
    <n v="-91"/>
  </r>
  <r>
    <x v="1"/>
    <x v="65"/>
    <n v="14"/>
    <s v="通知报关（洋山发装箱单）"/>
    <x v="103"/>
    <x v="0"/>
    <x v="6"/>
    <m/>
    <s v="调整顺序"/>
    <n v="-91"/>
  </r>
  <r>
    <x v="1"/>
    <x v="65"/>
    <n v="15"/>
    <s v="报关成功"/>
    <x v="103"/>
    <x v="0"/>
    <x v="4"/>
    <m/>
    <s v="调整顺序"/>
    <n v="-91"/>
  </r>
  <r>
    <x v="1"/>
    <x v="65"/>
    <n v="16"/>
    <s v="通知进港"/>
    <x v="103"/>
    <x v="0"/>
    <x v="4"/>
    <m/>
    <s v="调整顺序"/>
    <n v="-91"/>
  </r>
  <r>
    <x v="1"/>
    <x v="65"/>
    <n v="17"/>
    <s v="进港(核对数据)，台风影响，车子被堵在路上了"/>
    <x v="121"/>
    <x v="0"/>
    <x v="0"/>
    <m/>
    <s v="调整顺序"/>
    <n v="-89"/>
  </r>
  <r>
    <x v="1"/>
    <x v="65"/>
    <n v="18"/>
    <s v="海放"/>
    <x v="121"/>
    <x v="0"/>
    <x v="0"/>
    <m/>
    <m/>
    <n v="-89"/>
  </r>
  <r>
    <x v="1"/>
    <x v="65"/>
    <n v="19"/>
    <s v="码放"/>
    <x v="68"/>
    <x v="0"/>
    <x v="0"/>
    <m/>
    <m/>
    <n v="-87"/>
  </r>
  <r>
    <x v="1"/>
    <x v="65"/>
    <n v="20"/>
    <s v="配载"/>
    <x v="100"/>
    <x v="0"/>
    <x v="0"/>
    <m/>
    <m/>
    <n v="-86"/>
  </r>
  <r>
    <x v="1"/>
    <x v="65"/>
    <n v="21"/>
    <s v="做费用(对账单日期4号)，放公共盘，填月账单表，发孙丹"/>
    <x v="100"/>
    <x v="0"/>
    <x v="3"/>
    <m/>
    <m/>
    <n v="-86"/>
  </r>
  <r>
    <x v="1"/>
    <x v="65"/>
    <n v="22"/>
    <s v="如有额外费用发邮件"/>
    <x v="100"/>
    <x v="0"/>
    <x v="3"/>
    <m/>
    <m/>
    <n v="-86"/>
  </r>
  <r>
    <x v="1"/>
    <x v="65"/>
    <n v="23"/>
    <s v="船开"/>
    <x v="107"/>
    <x v="0"/>
    <x v="0"/>
    <m/>
    <m/>
    <n v="-85"/>
  </r>
  <r>
    <x v="7"/>
    <x v="65"/>
    <n v="1"/>
    <s v="收到徐小姐托书"/>
    <x v="99"/>
    <x v="0"/>
    <x v="0"/>
    <m/>
    <m/>
    <n v="-94"/>
  </r>
  <r>
    <x v="7"/>
    <x v="65"/>
    <n v="2"/>
    <s v="公共盘表格生成单号，YJC系统复制、生成"/>
    <x v="99"/>
    <x v="0"/>
    <x v="0"/>
    <m/>
    <s v="注意MBL#命名规则"/>
    <n v="-94"/>
  </r>
  <r>
    <x v="7"/>
    <x v="65"/>
    <n v="3"/>
    <s v="(一票一订)振华订舱界面复制订舱、保存、提交"/>
    <x v="99"/>
    <x v="0"/>
    <x v="0"/>
    <m/>
    <s v="客户编号 提单号 船名航次 日期 箱量"/>
    <n v="-94"/>
  </r>
  <r>
    <x v="7"/>
    <x v="65"/>
    <n v="4"/>
    <s v="邮件发确认给国外"/>
    <x v="99"/>
    <x v="0"/>
    <x v="0"/>
    <m/>
    <s v="Delete ayjun@kylogix.co.kr Add hypark@kylogix.co.kr"/>
    <n v="-94"/>
  </r>
  <r>
    <x v="7"/>
    <x v="65"/>
    <n v="5"/>
    <s v="QQ发预配信息给徐小姐（模板），问是否要加拼，发车队江"/>
    <x v="99"/>
    <x v="0"/>
    <x v="0"/>
    <m/>
    <m/>
    <n v="-94"/>
  </r>
  <r>
    <x v="7"/>
    <x v="65"/>
    <n v="6"/>
    <s v="订舱审核通过"/>
    <x v="99"/>
    <x v="0"/>
    <x v="0"/>
    <m/>
    <m/>
    <n v="-94"/>
  </r>
  <r>
    <x v="7"/>
    <x v="65"/>
    <n v="7"/>
    <s v="订舱界面加拼、提交，通知徐小姐加拼单号"/>
    <x v="99"/>
    <x v="1"/>
    <x v="0"/>
    <m/>
    <s v="点“多票加拼”"/>
    <n v="-94"/>
  </r>
  <r>
    <x v="7"/>
    <x v="65"/>
    <n v="8"/>
    <s v="加拼审核通过"/>
    <x v="99"/>
    <x v="1"/>
    <x v="0"/>
    <m/>
    <m/>
    <n v="-94"/>
  </r>
  <r>
    <x v="7"/>
    <x v="65"/>
    <n v="9"/>
    <s v="收到国外确认，公共盘红改黑，加CONFIRM"/>
    <x v="99"/>
    <x v="0"/>
    <x v="0"/>
    <m/>
    <m/>
    <n v="-94"/>
  </r>
  <r>
    <x v="7"/>
    <x v="65"/>
    <n v="10"/>
    <s v="做费用"/>
    <x v="93"/>
    <x v="0"/>
    <x v="1"/>
    <m/>
    <m/>
    <n v="-93"/>
  </r>
  <r>
    <x v="7"/>
    <x v="65"/>
    <n v="11"/>
    <s v="问装箱时间"/>
    <x v="94"/>
    <x v="1"/>
    <x v="3"/>
    <m/>
    <m/>
    <n v="-92"/>
  </r>
  <r>
    <x v="7"/>
    <x v="65"/>
    <n v="12"/>
    <s v="收到车队江发来装箱数据和装箱单"/>
    <x v="95"/>
    <x v="0"/>
    <x v="1"/>
    <m/>
    <s v="周三周一截，周日周五截"/>
    <n v="-88"/>
  </r>
  <r>
    <x v="7"/>
    <x v="65"/>
    <n v="13"/>
    <s v="数据表中加入封号，汇总单票总件毛体"/>
    <x v="95"/>
    <x v="0"/>
    <x v="1"/>
    <m/>
    <m/>
    <n v="-88"/>
  </r>
  <r>
    <x v="7"/>
    <x v="65"/>
    <n v="14"/>
    <s v="YJC 截单"/>
    <x v="95"/>
    <x v="0"/>
    <x v="1"/>
    <m/>
    <s v="船名航次 开航日 件毛体 CC 箱量 箱封号 品名"/>
    <n v="-88"/>
  </r>
  <r>
    <x v="7"/>
    <x v="65"/>
    <n v="15"/>
    <s v="导出HBL，发徐小姐确认"/>
    <x v="95"/>
    <x v="0"/>
    <x v="1"/>
    <m/>
    <m/>
    <n v="-88"/>
  </r>
  <r>
    <x v="7"/>
    <x v="65"/>
    <n v="16"/>
    <s v="徐小姐确认HBL时，振华录入每一关单号的件毛体(注意箱状态)，保存"/>
    <x v="95"/>
    <x v="0"/>
    <x v="1"/>
    <m/>
    <m/>
    <n v="-88"/>
  </r>
  <r>
    <x v="7"/>
    <x v="65"/>
    <n v="17"/>
    <s v="徐小姐确认HBL"/>
    <x v="95"/>
    <x v="0"/>
    <x v="1"/>
    <m/>
    <m/>
    <n v="-88"/>
  </r>
  <r>
    <x v="7"/>
    <x v="65"/>
    <n v="18"/>
    <s v="发舱单"/>
    <x v="95"/>
    <x v="0"/>
    <x v="1"/>
    <m/>
    <s v="一关单一发"/>
    <n v="-88"/>
  </r>
  <r>
    <x v="7"/>
    <x v="65"/>
    <n v="19"/>
    <s v="海关有舱单，核对舱单信息，(如无并单，可直接录VGM)"/>
    <x v="95"/>
    <x v="0"/>
    <x v="1"/>
    <m/>
    <m/>
    <n v="-88"/>
  </r>
  <r>
    <x v="7"/>
    <x v="65"/>
    <n v="20"/>
    <s v="订舱界面并单"/>
    <x v="95"/>
    <x v="1"/>
    <x v="1"/>
    <m/>
    <m/>
    <n v="-88"/>
  </r>
  <r>
    <x v="7"/>
    <x v="65"/>
    <n v="21"/>
    <s v="并单审核通过"/>
    <x v="95"/>
    <x v="1"/>
    <x v="1"/>
    <m/>
    <m/>
    <n v="-88"/>
  </r>
  <r>
    <x v="7"/>
    <x v="65"/>
    <n v="22"/>
    <s v="每票录入所有箱子箱封号和件毛体，保存，录VGM，导入"/>
    <x v="95"/>
    <x v="1"/>
    <x v="1"/>
    <m/>
    <m/>
    <n v="-88"/>
  </r>
  <r>
    <x v="7"/>
    <x v="65"/>
    <n v="23"/>
    <s v="打印MBL"/>
    <x v="95"/>
    <x v="0"/>
    <x v="1"/>
    <m/>
    <m/>
    <n v="-88"/>
  </r>
  <r>
    <x v="7"/>
    <x v="65"/>
    <n v="24"/>
    <s v="表格、HBL、MBL、费用一起发邮件给国外"/>
    <x v="95"/>
    <x v="0"/>
    <x v="1"/>
    <m/>
    <s v="Delete ayjun@kylogix.co.kr Add hypark@kylogix.co.kr"/>
    <n v="-88"/>
  </r>
  <r>
    <x v="7"/>
    <x v="65"/>
    <n v="25"/>
    <s v="船开"/>
    <x v="114"/>
    <x v="0"/>
    <x v="0"/>
    <m/>
    <m/>
    <n v="-84"/>
  </r>
  <r>
    <x v="7"/>
    <x v="65"/>
    <n v="26"/>
    <s v="拿到WAYBILL"/>
    <x v="111"/>
    <x v="0"/>
    <x v="4"/>
    <m/>
    <m/>
    <n v="-8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81"/>
  </r>
  <r>
    <x v="4"/>
    <x v="66"/>
    <n v="1"/>
    <s v="收到客户(陈云娣)订舱预报"/>
    <x v="97"/>
    <x v="0"/>
    <x v="0"/>
    <m/>
    <s v="一般周五发隔周"/>
    <n v="-98"/>
  </r>
  <r>
    <x v="4"/>
    <x v="66"/>
    <n v="2"/>
    <s v="填WORKING PROCESS"/>
    <x v="97"/>
    <x v="0"/>
    <x v="0"/>
    <m/>
    <m/>
    <n v="-98"/>
  </r>
  <r>
    <x v="4"/>
    <x v="66"/>
    <n v="6"/>
    <s v="公共盘生成提单号(QSWB不要搞错)"/>
    <x v="97"/>
    <x v="0"/>
    <x v="0"/>
    <m/>
    <m/>
    <n v="-98"/>
  </r>
  <r>
    <x v="4"/>
    <x v="66"/>
    <n v="7"/>
    <s v="YJC系统生成单子"/>
    <x v="97"/>
    <x v="0"/>
    <x v="0"/>
    <m/>
    <m/>
    <n v="-98"/>
  </r>
  <r>
    <x v="4"/>
    <x v="66"/>
    <n v="8"/>
    <s v="发EDI"/>
    <x v="99"/>
    <x v="0"/>
    <x v="1"/>
    <m/>
    <m/>
    <n v="-94"/>
  </r>
  <r>
    <x v="4"/>
    <x v="66"/>
    <n v="9"/>
    <s v="邮件申请放舱"/>
    <x v="99"/>
    <x v="0"/>
    <x v="1"/>
    <m/>
    <m/>
    <n v="-94"/>
  </r>
  <r>
    <x v="4"/>
    <x v="66"/>
    <n v="10"/>
    <s v="收到HMM(Abbi) 确认放舱"/>
    <x v="99"/>
    <x v="0"/>
    <x v="6"/>
    <m/>
    <s v="一般半天内"/>
    <n v="-94"/>
  </r>
  <r>
    <x v="4"/>
    <x v="66"/>
    <n v="11"/>
    <s v="HMM网站核对订舱信息"/>
    <x v="99"/>
    <x v="0"/>
    <x v="6"/>
    <m/>
    <m/>
    <n v="-94"/>
  </r>
  <r>
    <x v="4"/>
    <x v="66"/>
    <n v="12"/>
    <s v="收到客户(陈云娣)做箱通知"/>
    <x v="95"/>
    <x v="0"/>
    <x v="1"/>
    <m/>
    <s v="一般做箱头天一早"/>
    <n v="-88"/>
  </r>
  <r>
    <x v="4"/>
    <x v="66"/>
    <n v="13"/>
    <s v="【拆单】公共盘生成提单号"/>
    <x v="95"/>
    <x v="0"/>
    <x v="1"/>
    <m/>
    <m/>
    <n v="-88"/>
  </r>
  <r>
    <x v="4"/>
    <x v="66"/>
    <n v="14"/>
    <s v="发做箱通知邮件给车队(沈丽)（航次要加QL？）"/>
    <x v="95"/>
    <x v="0"/>
    <x v="1"/>
    <m/>
    <m/>
    <n v="-88"/>
  </r>
  <r>
    <x v="4"/>
    <x v="66"/>
    <n v="15"/>
    <s v="【拆单】YJC系统生成单子（QSWB不要搞错）"/>
    <x v="95"/>
    <x v="0"/>
    <x v="1"/>
    <m/>
    <m/>
    <n v="-88"/>
  </r>
  <r>
    <x v="4"/>
    <x v="66"/>
    <n v="16"/>
    <s v="【拆单】发EDI"/>
    <x v="95"/>
    <x v="0"/>
    <x v="1"/>
    <m/>
    <m/>
    <n v="-88"/>
  </r>
  <r>
    <x v="4"/>
    <x v="66"/>
    <n v="17"/>
    <s v="【拆单】邮件申请放单"/>
    <x v="95"/>
    <x v="0"/>
    <x v="1"/>
    <m/>
    <m/>
    <n v="-88"/>
  </r>
  <r>
    <x v="4"/>
    <x v="66"/>
    <n v="18"/>
    <s v="【拆单】收到HMM(Abbi) 加拼放单确认"/>
    <x v="68"/>
    <x v="0"/>
    <x v="1"/>
    <m/>
    <m/>
    <n v="-87"/>
  </r>
  <r>
    <x v="4"/>
    <x v="66"/>
    <n v="19"/>
    <s v="【拆单】HMM网站核对订舱信息"/>
    <x v="68"/>
    <x v="0"/>
    <x v="1"/>
    <m/>
    <m/>
    <n v="-87"/>
  </r>
  <r>
    <x v="4"/>
    <x v="66"/>
    <n v="20"/>
    <s v="收到客户(陈云娣)发来报关资料"/>
    <x v="68"/>
    <x v="0"/>
    <x v="1"/>
    <m/>
    <s v="一般做箱当天一早"/>
    <n v="-87"/>
  </r>
  <r>
    <x v="4"/>
    <x v="66"/>
    <n v="21"/>
    <s v="【加拼】按报关(发票)数生成提单号【如发票数超过提单数】"/>
    <x v="68"/>
    <x v="0"/>
    <x v="1"/>
    <m/>
    <m/>
    <n v="-87"/>
  </r>
  <r>
    <x v="4"/>
    <x v="66"/>
    <n v="22"/>
    <s v="做做箱数据，QQ发车队(沈丽)"/>
    <x v="68"/>
    <x v="0"/>
    <x v="1"/>
    <m/>
    <m/>
    <n v="-87"/>
  </r>
  <r>
    <x v="4"/>
    <x v="66"/>
    <n v="23"/>
    <s v="收到车队(沈丽)装箱单，转发客户（陈云娣）"/>
    <x v="68"/>
    <x v="0"/>
    <x v="1"/>
    <m/>
    <s v="一般马上"/>
    <n v="-87"/>
  </r>
  <r>
    <x v="4"/>
    <x v="66"/>
    <n v="24"/>
    <s v="YJC系统截单，发EDI，邮件HMM(He)【截单时间】"/>
    <x v="68"/>
    <x v="0"/>
    <x v="1"/>
    <m/>
    <s v="注意截单时间"/>
    <n v="-87"/>
  </r>
  <r>
    <x v="4"/>
    <x v="66"/>
    <n v="25"/>
    <s v="发VGM和舱单（亿通，鹏海两次）"/>
    <x v="68"/>
    <x v="0"/>
    <x v="1"/>
    <m/>
    <m/>
    <n v="-87"/>
  </r>
  <r>
    <x v="4"/>
    <x v="66"/>
    <n v="26"/>
    <s v="做报关资料，扫描发报关行(黄寅文)QQ，要校对稿"/>
    <x v="68"/>
    <x v="0"/>
    <x v="1"/>
    <m/>
    <m/>
    <n v="-87"/>
  </r>
  <r>
    <x v="4"/>
    <x v="66"/>
    <n v="27"/>
    <s v="做保函给邹师傅(美国线)"/>
    <x v="68"/>
    <x v="0"/>
    <x v="1"/>
    <m/>
    <m/>
    <n v="-87"/>
  </r>
  <r>
    <x v="4"/>
    <x v="66"/>
    <n v="28"/>
    <s v="做ISF，发国外资料"/>
    <x v="68"/>
    <x v="0"/>
    <x v="1"/>
    <m/>
    <m/>
    <n v="-87"/>
  </r>
  <r>
    <x v="4"/>
    <x v="66"/>
    <n v="29"/>
    <s v="买保险"/>
    <x v="68"/>
    <x v="0"/>
    <x v="1"/>
    <m/>
    <m/>
    <n v="-87"/>
  </r>
  <r>
    <x v="4"/>
    <x v="66"/>
    <n v="31"/>
    <s v="收到HMM(He)生成提单通知"/>
    <x v="68"/>
    <x v="0"/>
    <x v="6"/>
    <m/>
    <s v="一般马上"/>
    <n v="-87"/>
  </r>
  <r>
    <x v="4"/>
    <x v="66"/>
    <n v="32"/>
    <s v="HMM网站核对提单信息"/>
    <x v="68"/>
    <x v="0"/>
    <x v="6"/>
    <m/>
    <m/>
    <n v="-87"/>
  </r>
  <r>
    <x v="4"/>
    <x v="66"/>
    <n v="33"/>
    <s v="盯海关网站舱单"/>
    <x v="68"/>
    <x v="0"/>
    <x v="6"/>
    <m/>
    <s v="一般两小时左右"/>
    <n v="-87"/>
  </r>
  <r>
    <x v="4"/>
    <x v="66"/>
    <n v="34"/>
    <s v="核对舱单信息"/>
    <x v="68"/>
    <x v="0"/>
    <x v="6"/>
    <m/>
    <m/>
    <n v="-87"/>
  </r>
  <r>
    <x v="4"/>
    <x v="66"/>
    <n v="35"/>
    <s v="收到报关行(黄寅文)校对稿，邮件发客户(陈云娣)确认"/>
    <x v="68"/>
    <x v="0"/>
    <x v="0"/>
    <m/>
    <s v="一般半天内"/>
    <n v="-87"/>
  </r>
  <r>
    <x v="4"/>
    <x v="66"/>
    <n v="36"/>
    <s v="收到客户(陈云娣)确认校对稿"/>
    <x v="68"/>
    <x v="0"/>
    <x v="0"/>
    <m/>
    <s v="一般马上"/>
    <n v="-87"/>
  </r>
  <r>
    <x v="4"/>
    <x v="66"/>
    <n v="37"/>
    <s v="通知报关行(黄寅文)报关(开港、舱单、校对)（洋山提供装箱单）"/>
    <x v="68"/>
    <x v="0"/>
    <x v="0"/>
    <m/>
    <m/>
    <n v="-87"/>
  </r>
  <r>
    <x v="4"/>
    <x v="66"/>
    <n v="38"/>
    <s v="收到报关成功通知"/>
    <x v="68"/>
    <x v="0"/>
    <x v="4"/>
    <m/>
    <s v="一般下班前"/>
    <n v="-87"/>
  </r>
  <r>
    <x v="4"/>
    <x v="66"/>
    <n v="39"/>
    <s v="通知车队(沈丽)可进港"/>
    <x v="68"/>
    <x v="0"/>
    <x v="4"/>
    <m/>
    <m/>
    <n v="-87"/>
  </r>
  <r>
    <x v="4"/>
    <x v="66"/>
    <n v="40"/>
    <s v="盯箱子进港，关注开港时间，有落箱费？"/>
    <x v="100"/>
    <x v="0"/>
    <x v="3"/>
    <m/>
    <m/>
    <n v="-86"/>
  </r>
  <r>
    <x v="4"/>
    <x v="66"/>
    <n v="41"/>
    <s v="核对进港数据"/>
    <x v="100"/>
    <x v="0"/>
    <x v="3"/>
    <m/>
    <m/>
    <n v="-86"/>
  </r>
  <r>
    <x v="4"/>
    <x v="66"/>
    <n v="42"/>
    <s v="盯海放"/>
    <x v="100"/>
    <x v="0"/>
    <x v="3"/>
    <m/>
    <m/>
    <n v="-86"/>
  </r>
  <r>
    <x v="4"/>
    <x v="66"/>
    <n v="43"/>
    <s v="盯码放"/>
    <x v="114"/>
    <x v="0"/>
    <x v="0"/>
    <m/>
    <m/>
    <n v="-84"/>
  </r>
  <r>
    <x v="4"/>
    <x v="66"/>
    <n v="44"/>
    <s v="盯配载"/>
    <x v="114"/>
    <x v="0"/>
    <x v="0"/>
    <m/>
    <m/>
    <n v="-84"/>
  </r>
  <r>
    <x v="4"/>
    <x v="66"/>
    <n v="45"/>
    <s v="做费用(月初等汇率)，发账单给陈吟勇"/>
    <x v="114"/>
    <x v="0"/>
    <x v="3"/>
    <m/>
    <m/>
    <n v="-84"/>
  </r>
  <r>
    <x v="4"/>
    <x v="66"/>
    <n v="46"/>
    <s v="船开"/>
    <x v="118"/>
    <x v="0"/>
    <x v="0"/>
    <m/>
    <m/>
    <n v="-83"/>
  </r>
  <r>
    <x v="4"/>
    <x v="66"/>
    <n v="47"/>
    <s v="放提单（PHISON、石磊提单、陈云娣）"/>
    <x v="111"/>
    <x v="0"/>
    <x v="4"/>
    <m/>
    <s v="一般开船后两三天"/>
    <n v="-81"/>
  </r>
  <r>
    <x v="13"/>
    <x v="67"/>
    <n v="1"/>
    <s v="收到托书"/>
    <x v="83"/>
    <x v="0"/>
    <x v="0"/>
    <m/>
    <m/>
    <n v="-122"/>
  </r>
  <r>
    <x v="13"/>
    <x v="67"/>
    <n v="2"/>
    <s v="订舱"/>
    <x v="73"/>
    <x v="0"/>
    <x v="0"/>
    <m/>
    <m/>
    <n v="-120"/>
  </r>
  <r>
    <x v="13"/>
    <x v="67"/>
    <n v="3"/>
    <s v="收到MSK 订舱确认邮件"/>
    <x v="73"/>
    <x v="0"/>
    <x v="0"/>
    <m/>
    <m/>
    <n v="-120"/>
  </r>
  <r>
    <x v="13"/>
    <x v="67"/>
    <n v="4"/>
    <s v="发订舱确认邮件给客户"/>
    <x v="73"/>
    <x v="0"/>
    <x v="0"/>
    <m/>
    <m/>
    <n v="-120"/>
  </r>
  <r>
    <x v="13"/>
    <x v="67"/>
    <n v="5"/>
    <s v="0820的订舱是要改成1×40HQ么？"/>
    <x v="57"/>
    <x v="0"/>
    <x v="0"/>
    <m/>
    <s v="新的订单"/>
    <n v="-119"/>
  </r>
  <r>
    <x v="13"/>
    <x v="67"/>
    <n v="5"/>
    <s v="确认提供资料时间"/>
    <x v="95"/>
    <x v="1"/>
    <x v="0"/>
    <m/>
    <m/>
    <n v="-88"/>
  </r>
  <r>
    <x v="13"/>
    <x v="67"/>
    <n v="5"/>
    <s v="确认提供资料时间"/>
    <x v="68"/>
    <x v="0"/>
    <x v="1"/>
    <m/>
    <m/>
    <n v="-87"/>
  </r>
  <r>
    <x v="13"/>
    <x v="67"/>
    <n v="6"/>
    <s v="收到截单资料"/>
    <x v="95"/>
    <x v="1"/>
    <x v="0"/>
    <m/>
    <m/>
    <n v="-88"/>
  </r>
  <r>
    <x v="13"/>
    <x v="67"/>
    <n v="6"/>
    <s v="做费用，拉账单"/>
    <x v="107"/>
    <x v="0"/>
    <x v="1"/>
    <m/>
    <m/>
    <n v="-85"/>
  </r>
  <r>
    <x v="13"/>
    <x v="67"/>
    <n v="7"/>
    <s v="截单"/>
    <x v="95"/>
    <x v="1"/>
    <x v="0"/>
    <m/>
    <m/>
    <n v="-88"/>
  </r>
  <r>
    <x v="13"/>
    <x v="67"/>
    <n v="7"/>
    <s v="收到截单资料"/>
    <x v="107"/>
    <x v="0"/>
    <x v="1"/>
    <m/>
    <m/>
    <n v="-85"/>
  </r>
  <r>
    <x v="13"/>
    <x v="67"/>
    <n v="8"/>
    <s v="发提单确认"/>
    <x v="95"/>
    <x v="1"/>
    <x v="0"/>
    <m/>
    <m/>
    <n v="-88"/>
  </r>
  <r>
    <x v="13"/>
    <x v="67"/>
    <n v="8"/>
    <s v="YJC 截单，HBL和INV发文生然确认"/>
    <x v="107"/>
    <x v="0"/>
    <x v="1"/>
    <m/>
    <m/>
    <n v="-85"/>
  </r>
  <r>
    <x v="13"/>
    <x v="67"/>
    <n v="9"/>
    <s v="文生然确认HBL和费用"/>
    <x v="107"/>
    <x v="0"/>
    <x v="1"/>
    <m/>
    <m/>
    <n v="-85"/>
  </r>
  <r>
    <x v="13"/>
    <x v="67"/>
    <n v="10"/>
    <s v="MSK 录入提单确认内容"/>
    <x v="107"/>
    <x v="0"/>
    <x v="1"/>
    <m/>
    <m/>
    <n v="-85"/>
  </r>
  <r>
    <x v="13"/>
    <x v="67"/>
    <n v="11"/>
    <s v="联合船代发舱单"/>
    <x v="107"/>
    <x v="0"/>
    <x v="1"/>
    <m/>
    <m/>
    <n v="-85"/>
  </r>
  <r>
    <x v="13"/>
    <x v="67"/>
    <n v="12"/>
    <s v="MSK网站下载提单确认件"/>
    <x v="107"/>
    <x v="0"/>
    <x v="3"/>
    <m/>
    <m/>
    <n v="-85"/>
  </r>
  <r>
    <x v="13"/>
    <x v="67"/>
    <n v="13"/>
    <s v="邮件发COPY件、AMS、CREDIT给Wanda"/>
    <x v="107"/>
    <x v="0"/>
    <x v="3"/>
    <m/>
    <m/>
    <n v="-85"/>
  </r>
  <r>
    <x v="13"/>
    <x v="67"/>
    <n v="14"/>
    <s v="有舱单，核对，通知文生然"/>
    <x v="107"/>
    <x v="0"/>
    <x v="6"/>
    <m/>
    <m/>
    <n v="-85"/>
  </r>
  <r>
    <x v="13"/>
    <x v="67"/>
    <n v="15"/>
    <s v="进港，核对数据"/>
    <x v="114"/>
    <x v="0"/>
    <x v="0"/>
    <m/>
    <m/>
    <n v="-84"/>
  </r>
  <r>
    <x v="13"/>
    <x v="67"/>
    <n v="16"/>
    <s v="海放"/>
    <x v="114"/>
    <x v="0"/>
    <x v="0"/>
    <m/>
    <m/>
    <n v="-84"/>
  </r>
  <r>
    <x v="13"/>
    <x v="67"/>
    <n v="16.100000000000001"/>
    <s v="原船MAERSK SYDNEY取消靠SH，由DALI 928W带到KRBUS上MAERSK SYDNEY"/>
    <x v="115"/>
    <x v="0"/>
    <x v="0"/>
    <m/>
    <m/>
    <n v="-80"/>
  </r>
  <r>
    <x v="13"/>
    <x v="67"/>
    <n v="17"/>
    <s v="码放"/>
    <x v="115"/>
    <x v="0"/>
    <x v="0"/>
    <m/>
    <m/>
    <n v="-80"/>
  </r>
  <r>
    <x v="13"/>
    <x v="67"/>
    <n v="18"/>
    <s v="配载"/>
    <x v="115"/>
    <x v="0"/>
    <x v="0"/>
    <m/>
    <m/>
    <n v="-80"/>
  </r>
  <r>
    <x v="13"/>
    <x v="67"/>
    <n v="19"/>
    <s v="船开DALI 928W"/>
    <x v="116"/>
    <x v="0"/>
    <x v="0"/>
    <m/>
    <m/>
    <n v="-78"/>
  </r>
  <r>
    <x v="13"/>
    <x v="67"/>
    <n v="20"/>
    <s v="邮件发开船通知给Wanda"/>
    <x v="116"/>
    <x v="0"/>
    <x v="6"/>
    <m/>
    <m/>
    <n v="-78"/>
  </r>
  <r>
    <x v="13"/>
    <x v="67"/>
    <n v="21"/>
    <s v="收到Wanda付款通知"/>
    <x v="101"/>
    <x v="0"/>
    <x v="0"/>
    <m/>
    <m/>
    <n v="-73"/>
  </r>
  <r>
    <x v="13"/>
    <x v="67"/>
    <n v="22"/>
    <s v="发SWB、HBL给Wanda"/>
    <x v="101"/>
    <x v="0"/>
    <x v="0"/>
    <m/>
    <m/>
    <n v="-73"/>
  </r>
  <r>
    <x v="13"/>
    <x v="67"/>
    <n v="99"/>
    <s v="后续"/>
    <x v="85"/>
    <x v="1"/>
    <x v="3"/>
    <m/>
    <m/>
    <n v="-114"/>
  </r>
  <r>
    <x v="9"/>
    <x v="67"/>
    <n v="1"/>
    <s v="收到托书"/>
    <x v="73"/>
    <x v="0"/>
    <x v="0"/>
    <m/>
    <m/>
    <n v="-120"/>
  </r>
  <r>
    <x v="9"/>
    <x v="67"/>
    <n v="2"/>
    <s v="MAERSK网站订舱"/>
    <x v="78"/>
    <x v="0"/>
    <x v="0"/>
    <m/>
    <m/>
    <n v="-118"/>
  </r>
  <r>
    <x v="9"/>
    <x v="67"/>
    <n v="3"/>
    <s v="收到MAERSK booking confirmation"/>
    <x v="78"/>
    <x v="0"/>
    <x v="0"/>
    <m/>
    <m/>
    <n v="-118"/>
  </r>
  <r>
    <x v="9"/>
    <x v="67"/>
    <n v="4"/>
    <s v="发订舱确认给Wanda"/>
    <x v="85"/>
    <x v="0"/>
    <x v="0"/>
    <m/>
    <m/>
    <n v="-114"/>
  </r>
  <r>
    <x v="9"/>
    <x v="67"/>
    <n v="5"/>
    <s v="收到Wanda确认订舱信息"/>
    <x v="85"/>
    <x v="0"/>
    <x v="0"/>
    <m/>
    <m/>
    <n v="-114"/>
  </r>
  <r>
    <x v="9"/>
    <x v="67"/>
    <n v="6"/>
    <s v="问朱琳提箱日期选择要怎么考虑"/>
    <x v="85"/>
    <x v="0"/>
    <x v="0"/>
    <m/>
    <m/>
    <n v="-114"/>
  </r>
  <r>
    <x v="9"/>
    <x v="67"/>
    <n v="7"/>
    <s v="从8月20号开始CNEE notify更改为新的，订舱更改已提交"/>
    <x v="82"/>
    <x v="0"/>
    <x v="0"/>
    <m/>
    <m/>
    <n v="-106"/>
  </r>
  <r>
    <x v="9"/>
    <x v="67"/>
    <n v="8"/>
    <s v="收到订舱更改确认，看看后续还能做什么"/>
    <x v="82"/>
    <x v="0"/>
    <x v="0"/>
    <m/>
    <m/>
    <n v="-106"/>
  </r>
  <r>
    <x v="9"/>
    <x v="67"/>
    <n v="9"/>
    <s v="发做箱通知给沈丽，通知客户做箱时间"/>
    <x v="92"/>
    <x v="0"/>
    <x v="0"/>
    <m/>
    <m/>
    <n v="-99"/>
  </r>
  <r>
    <x v="9"/>
    <x v="67"/>
    <n v="10"/>
    <s v="收报关资料（13号说下午给）"/>
    <x v="68"/>
    <x v="0"/>
    <x v="0"/>
    <m/>
    <m/>
    <n v="-87"/>
  </r>
  <r>
    <x v="9"/>
    <x v="67"/>
    <n v="11"/>
    <s v="做做箱数据，发车队"/>
    <x v="68"/>
    <x v="0"/>
    <x v="0"/>
    <m/>
    <m/>
    <n v="-87"/>
  </r>
  <r>
    <x v="9"/>
    <x v="67"/>
    <n v="12"/>
    <s v="发报关资料给报关行"/>
    <x v="100"/>
    <x v="0"/>
    <x v="0"/>
    <m/>
    <m/>
    <n v="-86"/>
  </r>
  <r>
    <x v="9"/>
    <x v="67"/>
    <n v="13"/>
    <s v="跟客户确认资料好的时间，做费用"/>
    <x v="107"/>
    <x v="0"/>
    <x v="1"/>
    <m/>
    <m/>
    <n v="-85"/>
  </r>
  <r>
    <x v="9"/>
    <x v="67"/>
    <n v="14"/>
    <s v="收装箱单"/>
    <x v="107"/>
    <x v="0"/>
    <x v="1"/>
    <m/>
    <m/>
    <n v="-85"/>
  </r>
  <r>
    <x v="9"/>
    <x v="67"/>
    <n v="15"/>
    <s v="提单确认，发客户确认"/>
    <x v="107"/>
    <x v="0"/>
    <x v="1"/>
    <m/>
    <m/>
    <n v="-85"/>
  </r>
  <r>
    <x v="9"/>
    <x v="67"/>
    <n v="16"/>
    <s v="确认提单"/>
    <x v="107"/>
    <x v="0"/>
    <x v="1"/>
    <m/>
    <m/>
    <n v="-85"/>
  </r>
  <r>
    <x v="9"/>
    <x v="67"/>
    <n v="17"/>
    <s v="发舱单，发VGM"/>
    <x v="107"/>
    <x v="0"/>
    <x v="1"/>
    <m/>
    <m/>
    <n v="-85"/>
  </r>
  <r>
    <x v="9"/>
    <x v="67"/>
    <n v="18"/>
    <s v="核对舱单"/>
    <x v="107"/>
    <x v="0"/>
    <x v="6"/>
    <m/>
    <m/>
    <n v="-85"/>
  </r>
  <r>
    <x v="9"/>
    <x v="67"/>
    <n v="19"/>
    <s v="通知报关"/>
    <x v="107"/>
    <x v="0"/>
    <x v="6"/>
    <m/>
    <m/>
    <n v="-85"/>
  </r>
  <r>
    <x v="9"/>
    <x v="67"/>
    <n v="20"/>
    <s v="进港"/>
    <x v="107"/>
    <x v="0"/>
    <x v="0"/>
    <m/>
    <m/>
    <n v="-85"/>
  </r>
  <r>
    <x v="9"/>
    <x v="67"/>
    <n v="21"/>
    <s v="海放"/>
    <x v="107"/>
    <x v="0"/>
    <x v="0"/>
    <m/>
    <m/>
    <n v="-85"/>
  </r>
  <r>
    <x v="9"/>
    <x v="67"/>
    <n v="22"/>
    <s v="截单（收货人通知人使用新的，COPY让康跟国外确认）"/>
    <x v="114"/>
    <x v="0"/>
    <x v="0"/>
    <m/>
    <s v="邮件2019-07-25 (周四) 16:46"/>
    <n v="-84"/>
  </r>
  <r>
    <x v="9"/>
    <x v="67"/>
    <n v="23"/>
    <s v="核对进港数据"/>
    <x v="114"/>
    <x v="0"/>
    <x v="0"/>
    <m/>
    <m/>
    <n v="-84"/>
  </r>
  <r>
    <x v="9"/>
    <x v="67"/>
    <n v="24"/>
    <s v="原船MAERSK SYDNEY取消靠SH，由DALI 928W带到KRBUS上MAERSK SYDNEY"/>
    <x v="115"/>
    <x v="0"/>
    <x v="0"/>
    <m/>
    <m/>
    <n v="-80"/>
  </r>
  <r>
    <x v="9"/>
    <x v="67"/>
    <n v="25"/>
    <s v="码放"/>
    <x v="115"/>
    <x v="0"/>
    <x v="0"/>
    <m/>
    <m/>
    <n v="-80"/>
  </r>
  <r>
    <x v="9"/>
    <x v="67"/>
    <n v="26"/>
    <s v="配载"/>
    <x v="115"/>
    <x v="0"/>
    <x v="0"/>
    <m/>
    <m/>
    <n v="-80"/>
  </r>
  <r>
    <x v="9"/>
    <x v="67"/>
    <n v="27"/>
    <s v="做费用，发客户"/>
    <x v="117"/>
    <x v="0"/>
    <x v="3"/>
    <m/>
    <m/>
    <n v="-79"/>
  </r>
  <r>
    <x v="9"/>
    <x v="67"/>
    <n v="28"/>
    <s v="开船DALI 928W"/>
    <x v="116"/>
    <x v="0"/>
    <x v="0"/>
    <m/>
    <m/>
    <n v="-78"/>
  </r>
  <r>
    <x v="9"/>
    <x v="67"/>
    <n v="28.1"/>
    <s v="发开船通知给Wanda"/>
    <x v="116"/>
    <x v="0"/>
    <x v="6"/>
    <m/>
    <m/>
    <n v="-78"/>
  </r>
  <r>
    <x v="9"/>
    <x v="67"/>
    <n v="29"/>
    <s v="收到国外付款通知，放提单、预录单、放行单，开发票给第一橡胶"/>
    <x v="106"/>
    <x v="0"/>
    <x v="4"/>
    <m/>
    <m/>
    <n v="-72"/>
  </r>
  <r>
    <x v="9"/>
    <x v="67"/>
    <n v="30"/>
    <s v="APP完开票寄陈强英"/>
    <x v="101"/>
    <x v="0"/>
    <x v="4"/>
    <m/>
    <m/>
    <n v="-73"/>
  </r>
  <r>
    <x v="9"/>
    <x v="67"/>
    <n v="31"/>
    <s v="陈强英收到发票773001157777600"/>
    <x v="106"/>
    <x v="0"/>
    <x v="4"/>
    <m/>
    <m/>
    <n v="-72"/>
  </r>
  <r>
    <x v="9"/>
    <x v="67"/>
    <n v="32"/>
    <s v="收到水单"/>
    <x v="109"/>
    <x v="0"/>
    <x v="4"/>
    <m/>
    <m/>
    <n v="-71"/>
  </r>
  <r>
    <x v="7"/>
    <x v="67"/>
    <n v="1"/>
    <s v="收到徐小姐托书"/>
    <x v="68"/>
    <x v="0"/>
    <x v="0"/>
    <m/>
    <m/>
    <n v="-87"/>
  </r>
  <r>
    <x v="7"/>
    <x v="67"/>
    <n v="2"/>
    <s v="公共盘表格生成单号，YJC系统复制、生成"/>
    <x v="68"/>
    <x v="0"/>
    <x v="0"/>
    <m/>
    <s v="注意MBL#命名规则"/>
    <n v="-87"/>
  </r>
  <r>
    <x v="7"/>
    <x v="67"/>
    <n v="3"/>
    <s v="(一票一订)振华订舱界面复制订舱、保存、提交"/>
    <x v="68"/>
    <x v="0"/>
    <x v="0"/>
    <m/>
    <s v="客户编号 提单号 船名航次 日期 箱量"/>
    <n v="-87"/>
  </r>
  <r>
    <x v="7"/>
    <x v="67"/>
    <n v="4"/>
    <s v="邮件发确认给国外"/>
    <x v="68"/>
    <x v="0"/>
    <x v="0"/>
    <m/>
    <s v="Delete ayjun@kylogix.co.kr Add hypark@kylogix.co.kr"/>
    <n v="-87"/>
  </r>
  <r>
    <x v="7"/>
    <x v="67"/>
    <n v="5"/>
    <s v="QQ发预配信息给徐小姐（模板），问是否要加拼，发车队江"/>
    <x v="68"/>
    <x v="0"/>
    <x v="0"/>
    <m/>
    <m/>
    <n v="-87"/>
  </r>
  <r>
    <x v="7"/>
    <x v="67"/>
    <n v="6"/>
    <s v="订舱审核通过"/>
    <x v="68"/>
    <x v="0"/>
    <x v="4"/>
    <m/>
    <m/>
    <n v="-87"/>
  </r>
  <r>
    <x v="7"/>
    <x v="67"/>
    <n v="7"/>
    <s v="订舱界面加拼、提交，通知徐小姐加拼单号"/>
    <x v="68"/>
    <x v="1"/>
    <x v="0"/>
    <m/>
    <s v="点“多票加拼”"/>
    <n v="-87"/>
  </r>
  <r>
    <x v="7"/>
    <x v="67"/>
    <n v="8"/>
    <s v="加拼审核通过"/>
    <x v="68"/>
    <x v="1"/>
    <x v="0"/>
    <m/>
    <m/>
    <n v="-87"/>
  </r>
  <r>
    <x v="7"/>
    <x v="67"/>
    <n v="9"/>
    <s v="收到国外确认，公共盘红改黑，加CONFIRM"/>
    <x v="100"/>
    <x v="0"/>
    <x v="0"/>
    <m/>
    <m/>
    <n v="-86"/>
  </r>
  <r>
    <x v="7"/>
    <x v="67"/>
    <n v="9.1"/>
    <s v="PCLU1933HN4302改一个箱子，振华审核"/>
    <x v="107"/>
    <x v="0"/>
    <x v="4"/>
    <m/>
    <m/>
    <n v="-85"/>
  </r>
  <r>
    <x v="7"/>
    <x v="67"/>
    <n v="10"/>
    <s v="做费用"/>
    <x v="111"/>
    <x v="0"/>
    <x v="1"/>
    <m/>
    <m/>
    <n v="-81"/>
  </r>
  <r>
    <x v="7"/>
    <x v="67"/>
    <n v="11"/>
    <s v="问装箱时间（17号开港，确认17号做箱）"/>
    <x v="114"/>
    <x v="0"/>
    <x v="1"/>
    <m/>
    <m/>
    <n v="-84"/>
  </r>
  <r>
    <x v="7"/>
    <x v="67"/>
    <n v="12"/>
    <s v="收到车队江发来装箱数据和装箱单"/>
    <x v="122"/>
    <x v="0"/>
    <x v="0"/>
    <m/>
    <s v="周三周一截，周日周五截"/>
    <n v="-82"/>
  </r>
  <r>
    <x v="7"/>
    <x v="67"/>
    <n v="13"/>
    <s v="数据表中加入封号，汇总单票总件毛体"/>
    <x v="122"/>
    <x v="0"/>
    <x v="0"/>
    <m/>
    <m/>
    <n v="-82"/>
  </r>
  <r>
    <x v="7"/>
    <x v="67"/>
    <n v="14"/>
    <s v="YJC 截单"/>
    <x v="122"/>
    <x v="0"/>
    <x v="0"/>
    <m/>
    <s v="船名航次 开航日 件毛体 CC 箱量 箱封号 品名"/>
    <n v="-82"/>
  </r>
  <r>
    <x v="7"/>
    <x v="67"/>
    <n v="15"/>
    <s v="导出HBL，发徐小姐确认"/>
    <x v="111"/>
    <x v="0"/>
    <x v="0"/>
    <m/>
    <m/>
    <n v="-81"/>
  </r>
  <r>
    <x v="7"/>
    <x v="67"/>
    <n v="16"/>
    <s v="徐小姐确认HBL时，振华录入每一关单号的件毛体(注意箱状态)，保存"/>
    <x v="122"/>
    <x v="0"/>
    <x v="0"/>
    <m/>
    <m/>
    <n v="-82"/>
  </r>
  <r>
    <x v="7"/>
    <x v="67"/>
    <n v="17"/>
    <s v="徐小姐确认HBL"/>
    <x v="111"/>
    <x v="0"/>
    <x v="1"/>
    <m/>
    <m/>
    <n v="-81"/>
  </r>
  <r>
    <x v="7"/>
    <x v="67"/>
    <n v="18"/>
    <s v="发舱单"/>
    <x v="111"/>
    <x v="0"/>
    <x v="1"/>
    <m/>
    <s v="一关单一发"/>
    <n v="-81"/>
  </r>
  <r>
    <x v="7"/>
    <x v="67"/>
    <n v="19"/>
    <s v="海关有舱单，核对舱单信息，(如无并单，可直接录VGM)"/>
    <x v="111"/>
    <x v="0"/>
    <x v="6"/>
    <m/>
    <m/>
    <n v="-81"/>
  </r>
  <r>
    <x v="7"/>
    <x v="67"/>
    <n v="20"/>
    <s v="订舱界面并单"/>
    <x v="122"/>
    <x v="1"/>
    <x v="0"/>
    <m/>
    <m/>
    <n v="-82"/>
  </r>
  <r>
    <x v="7"/>
    <x v="67"/>
    <n v="21"/>
    <s v="并单审核通过"/>
    <x v="122"/>
    <x v="1"/>
    <x v="0"/>
    <m/>
    <m/>
    <n v="-82"/>
  </r>
  <r>
    <x v="7"/>
    <x v="67"/>
    <n v="22"/>
    <s v="每票录入所有箱子箱封号和件毛体，保存，录VGM，导入"/>
    <x v="111"/>
    <x v="0"/>
    <x v="6"/>
    <m/>
    <m/>
    <n v="-81"/>
  </r>
  <r>
    <x v="7"/>
    <x v="67"/>
    <n v="23"/>
    <s v="打印MBL"/>
    <x v="111"/>
    <x v="0"/>
    <x v="6"/>
    <m/>
    <m/>
    <n v="-81"/>
  </r>
  <r>
    <x v="7"/>
    <x v="67"/>
    <n v="24"/>
    <s v="表格、HBL、MBL、费用一起发邮件给国外"/>
    <x v="111"/>
    <x v="0"/>
    <x v="6"/>
    <m/>
    <s v="Delete ayjun@kylogix.co.kr Add hypark@kylogix.co.kr"/>
    <n v="-81"/>
  </r>
  <r>
    <x v="7"/>
    <x v="67"/>
    <n v="25"/>
    <s v="船开"/>
    <x v="116"/>
    <x v="0"/>
    <x v="0"/>
    <m/>
    <m/>
    <n v="-78"/>
  </r>
  <r>
    <x v="7"/>
    <x v="67"/>
    <n v="26"/>
    <s v="拿到WAYBILL"/>
    <x v="116"/>
    <x v="0"/>
    <x v="4"/>
    <m/>
    <m/>
    <n v="-78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78"/>
  </r>
  <r>
    <x v="3"/>
    <x v="68"/>
    <n v="1"/>
    <s v="PANCON上周日船期提单领取单 CHATTANOOGA 1933E（3点半开，叶静再确认）"/>
    <x v="116"/>
    <x v="0"/>
    <x v="5"/>
    <m/>
    <s v="周一"/>
    <n v="-78"/>
  </r>
  <r>
    <x v="3"/>
    <x v="68"/>
    <n v="2"/>
    <s v="WEEKLY REPORT"/>
    <x v="111"/>
    <x v="0"/>
    <x v="3"/>
    <m/>
    <s v="周一"/>
    <n v="-81"/>
  </r>
  <r>
    <x v="3"/>
    <x v="68"/>
    <n v="3"/>
    <s v="汇总SC JS下周订舱需求，回Abbi邮件，制作每票清单流水"/>
    <x v="111"/>
    <x v="0"/>
    <x v="1"/>
    <m/>
    <s v="周一"/>
    <n v="-81"/>
  </r>
  <r>
    <x v="3"/>
    <x v="68"/>
    <n v="4"/>
    <s v="收到Abbi确认"/>
    <x v="111"/>
    <x v="0"/>
    <x v="4"/>
    <m/>
    <s v="周一"/>
    <n v="-81"/>
  </r>
  <r>
    <x v="3"/>
    <x v="68"/>
    <n v="5"/>
    <s v="拿到上周日PANCON SWB，朱琳的给朱琳 "/>
    <x v="116"/>
    <x v="0"/>
    <x v="4"/>
    <m/>
    <s v="周一"/>
    <n v="-78"/>
  </r>
  <r>
    <x v="3"/>
    <x v="68"/>
    <n v="6"/>
    <s v="PANCON周三出运清单，附件贴邮件中 PEGASUS TERA 1788E周二发"/>
    <x v="115"/>
    <x v="0"/>
    <x v="1"/>
    <m/>
    <s v="周一"/>
    <n v="-80"/>
  </r>
  <r>
    <x v="3"/>
    <x v="68"/>
    <n v="7"/>
    <s v="WORKING PROCESS"/>
    <x v="111"/>
    <x v="0"/>
    <x v="4"/>
    <m/>
    <s v="周一"/>
    <n v="-81"/>
  </r>
  <r>
    <x v="3"/>
    <x v="68"/>
    <n v="8"/>
    <s v="WORKING PROCESS"/>
    <x v="117"/>
    <x v="0"/>
    <x v="3"/>
    <m/>
    <s v="周三"/>
    <n v="-79"/>
  </r>
  <r>
    <x v="3"/>
    <x v="68"/>
    <n v="9"/>
    <s v="PANCON周三船期提单领取单"/>
    <x v="116"/>
    <x v="0"/>
    <x v="5"/>
    <m/>
    <s v="周四"/>
    <n v="-78"/>
  </r>
  <r>
    <x v="3"/>
    <x v="68"/>
    <n v="10"/>
    <s v="拿到PANCON WAYBILL，朱琳的给朱琳"/>
    <x v="116"/>
    <x v="0"/>
    <x v="4"/>
    <m/>
    <s v="周四"/>
    <n v="-78"/>
  </r>
  <r>
    <x v="3"/>
    <x v="68"/>
    <n v="11"/>
    <s v="收到 Abbi 下下周订舱预报邮件"/>
    <x v="104"/>
    <x v="0"/>
    <x v="3"/>
    <m/>
    <s v="周五"/>
    <n v="-77"/>
  </r>
  <r>
    <x v="3"/>
    <x v="68"/>
    <n v="12"/>
    <s v="问JS mobis、SC glovis下下周订舱需求"/>
    <x v="98"/>
    <x v="0"/>
    <x v="6"/>
    <m/>
    <s v="周五"/>
    <n v="-74"/>
  </r>
  <r>
    <x v="3"/>
    <x v="68"/>
    <n v="13"/>
    <s v="WORKING PROCESS"/>
    <x v="104"/>
    <x v="0"/>
    <x v="3"/>
    <m/>
    <s v="周五"/>
    <n v="-77"/>
  </r>
  <r>
    <x v="3"/>
    <x v="68"/>
    <n v="14"/>
    <s v="PANCON周日出运清单，附件贴邮件中"/>
    <x v="104"/>
    <x v="0"/>
    <x v="3"/>
    <m/>
    <s v="周五"/>
    <n v="-77"/>
  </r>
  <r>
    <x v="3"/>
    <x v="68"/>
    <n v="15"/>
    <s v="制下周 WEEK 流水"/>
    <x v="104"/>
    <x v="0"/>
    <x v="0"/>
    <m/>
    <s v="周五"/>
    <n v="-77"/>
  </r>
  <r>
    <x v="3"/>
    <x v="68"/>
    <n v="16"/>
    <s v="本周APP"/>
    <x v="104"/>
    <x v="1"/>
    <x v="0"/>
    <m/>
    <s v="周五"/>
    <n v="-77"/>
  </r>
  <r>
    <x v="3"/>
    <x v="68"/>
    <m/>
    <s v="沈丽本周1-3不在办公室"/>
    <x v="117"/>
    <x v="0"/>
    <x v="0"/>
    <m/>
    <m/>
    <n v="-79"/>
  </r>
  <r>
    <x v="1"/>
    <x v="69"/>
    <n v="1"/>
    <s v="收到客户(孙丹/王珊)发来订舱托书"/>
    <x v="93"/>
    <x v="0"/>
    <x v="0"/>
    <m/>
    <m/>
    <n v="-93"/>
  </r>
  <r>
    <x v="1"/>
    <x v="69"/>
    <n v="2"/>
    <s v="收到CK发来预配(做箱通知，沈丽有收到？)"/>
    <x v="93"/>
    <x v="0"/>
    <x v="0"/>
    <m/>
    <m/>
    <n v="-93"/>
  </r>
  <r>
    <x v="1"/>
    <x v="69"/>
    <n v="3"/>
    <s v="YJC系统生成单子"/>
    <x v="68"/>
    <x v="0"/>
    <x v="1"/>
    <m/>
    <m/>
    <n v="-87"/>
  </r>
  <r>
    <x v="1"/>
    <x v="69"/>
    <n v="4"/>
    <s v="收到包装厂(刘倩梅)发来包装指示书和装箱计划"/>
    <x v="107"/>
    <x v="0"/>
    <x v="4"/>
    <m/>
    <s v="一般周四"/>
    <n v="-85"/>
  </r>
  <r>
    <x v="1"/>
    <x v="69"/>
    <n v="5"/>
    <s v="根据装箱计划汇总包装数据，发各工厂做报关资料"/>
    <x v="107"/>
    <x v="0"/>
    <x v="4"/>
    <m/>
    <m/>
    <n v="-85"/>
  </r>
  <r>
    <x v="1"/>
    <x v="69"/>
    <n v="6"/>
    <s v="做做箱数据，邮件群发(查开港时间，注明做箱时间)"/>
    <x v="107"/>
    <x v="0"/>
    <x v="4"/>
    <m/>
    <m/>
    <n v="-85"/>
  </r>
  <r>
    <x v="1"/>
    <x v="69"/>
    <n v="7"/>
    <s v="【HMI】确认一下开港时间，看做箱时间要不要变"/>
    <x v="107"/>
    <x v="1"/>
    <x v="0"/>
    <m/>
    <s v="周六"/>
    <n v="-85"/>
  </r>
  <r>
    <x v="1"/>
    <x v="69"/>
    <n v="8"/>
    <s v="收到工厂发来报关资料并完善(代做报关资料跟客户确认)"/>
    <x v="107"/>
    <x v="0"/>
    <x v="0"/>
    <m/>
    <s v="当天至隔天"/>
    <n v="-85"/>
  </r>
  <r>
    <x v="1"/>
    <x v="69"/>
    <n v="9"/>
    <s v="报关资料齐了（光成要素划掉XXX），发报关行(黄寅文)"/>
    <x v="114"/>
    <x v="0"/>
    <x v="0"/>
    <m/>
    <m/>
    <n v="-84"/>
  </r>
  <r>
    <x v="1"/>
    <x v="69"/>
    <n v="10"/>
    <s v="货运模板/发票/箱单"/>
    <x v="114"/>
    <x v="0"/>
    <x v="3"/>
    <m/>
    <m/>
    <n v="-84"/>
  </r>
  <r>
    <x v="1"/>
    <x v="69"/>
    <n v="11"/>
    <s v="收到车队(沈丽)装箱单和洋山提箱截图(如有)，9点前群发，通知发舱单"/>
    <x v="114"/>
    <x v="0"/>
    <x v="1"/>
    <m/>
    <s v="一般KMM五、HMI日"/>
    <n v="-84"/>
  </r>
  <r>
    <x v="1"/>
    <x v="69"/>
    <n v="12"/>
    <s v="收到舱单发送成功通知，核对舱单信息"/>
    <x v="114"/>
    <x v="0"/>
    <x v="6"/>
    <m/>
    <m/>
    <n v="-84"/>
  </r>
  <r>
    <x v="1"/>
    <x v="69"/>
    <n v="13"/>
    <s v="通知报关（洋山发装箱单）"/>
    <x v="114"/>
    <x v="0"/>
    <x v="6"/>
    <m/>
    <s v="调整顺序"/>
    <n v="-84"/>
  </r>
  <r>
    <x v="1"/>
    <x v="69"/>
    <n v="14"/>
    <s v="报关成功"/>
    <x v="114"/>
    <x v="0"/>
    <x v="0"/>
    <m/>
    <s v="调整顺序"/>
    <n v="-84"/>
  </r>
  <r>
    <x v="1"/>
    <x v="69"/>
    <n v="15"/>
    <s v="通知进港"/>
    <x v="114"/>
    <x v="0"/>
    <x v="0"/>
    <m/>
    <s v="调整顺序"/>
    <n v="-84"/>
  </r>
  <r>
    <x v="1"/>
    <x v="69"/>
    <n v="16"/>
    <s v="进港(核对数据)"/>
    <x v="118"/>
    <x v="0"/>
    <x v="0"/>
    <m/>
    <s v="调整顺序"/>
    <n v="-83"/>
  </r>
  <r>
    <x v="1"/>
    <x v="69"/>
    <n v="16.100000000000001"/>
    <s v="预进港费用确认了发邮件"/>
    <x v="111"/>
    <x v="0"/>
    <x v="1"/>
    <m/>
    <m/>
    <n v="-81"/>
  </r>
  <r>
    <x v="1"/>
    <x v="69"/>
    <n v="16.2"/>
    <s v="开港时间之后进港的算预进港？"/>
    <x v="111"/>
    <x v="0"/>
    <x v="1"/>
    <m/>
    <m/>
    <n v="-81"/>
  </r>
  <r>
    <x v="1"/>
    <x v="69"/>
    <n v="17"/>
    <s v="海放"/>
    <x v="118"/>
    <x v="0"/>
    <x v="0"/>
    <m/>
    <m/>
    <n v="-83"/>
  </r>
  <r>
    <x v="1"/>
    <x v="69"/>
    <n v="18"/>
    <s v="码放"/>
    <x v="115"/>
    <x v="0"/>
    <x v="0"/>
    <m/>
    <m/>
    <n v="-80"/>
  </r>
  <r>
    <x v="1"/>
    <x v="69"/>
    <n v="19"/>
    <s v="配载"/>
    <x v="115"/>
    <x v="0"/>
    <x v="0"/>
    <m/>
    <m/>
    <n v="-80"/>
  </r>
  <r>
    <x v="1"/>
    <x v="69"/>
    <n v="20"/>
    <s v="做费用(对账单日期4号)，放公共盘，填月账单表，发孙丹"/>
    <x v="117"/>
    <x v="0"/>
    <x v="1"/>
    <m/>
    <m/>
    <n v="-79"/>
  </r>
  <r>
    <x v="1"/>
    <x v="69"/>
    <n v="21"/>
    <s v="如有额外费用发邮件"/>
    <x v="117"/>
    <x v="0"/>
    <x v="1"/>
    <m/>
    <m/>
    <n v="-79"/>
  </r>
  <r>
    <x v="1"/>
    <x v="69"/>
    <n v="22"/>
    <s v="船开"/>
    <x v="117"/>
    <x v="0"/>
    <x v="3"/>
    <m/>
    <m/>
    <n v="-79"/>
  </r>
  <r>
    <x v="0"/>
    <x v="70"/>
    <n v="1"/>
    <s v="收到客户(孙丹/王珊)发来订舱托书"/>
    <x v="103"/>
    <x v="0"/>
    <x v="0"/>
    <m/>
    <m/>
    <n v="-91"/>
  </r>
  <r>
    <x v="0"/>
    <x v="70"/>
    <n v="2"/>
    <s v="收到CK发来预配(做箱通知，沈丽有收到？)"/>
    <x v="107"/>
    <x v="0"/>
    <x v="1"/>
    <m/>
    <m/>
    <n v="-85"/>
  </r>
  <r>
    <x v="0"/>
    <x v="70"/>
    <n v="3"/>
    <s v="YJC系统生成单子"/>
    <x v="107"/>
    <x v="0"/>
    <x v="1"/>
    <m/>
    <m/>
    <n v="-85"/>
  </r>
  <r>
    <x v="0"/>
    <x v="70"/>
    <n v="4"/>
    <s v="收到包装厂(刘倩梅)发来包装指示书和装箱计划"/>
    <x v="114"/>
    <x v="0"/>
    <x v="1"/>
    <m/>
    <s v="一般周四"/>
    <n v="-84"/>
  </r>
  <r>
    <x v="0"/>
    <x v="70"/>
    <n v="5"/>
    <s v="根据装箱计划汇总包装数据，发各工厂做报关资料"/>
    <x v="114"/>
    <x v="0"/>
    <x v="1"/>
    <m/>
    <m/>
    <n v="-84"/>
  </r>
  <r>
    <x v="0"/>
    <x v="70"/>
    <n v="6"/>
    <s v="做做箱数据，邮件群发(查开港时间，注明做箱时间)"/>
    <x v="114"/>
    <x v="0"/>
    <x v="1"/>
    <m/>
    <m/>
    <n v="-84"/>
  </r>
  <r>
    <x v="0"/>
    <x v="70"/>
    <n v="7"/>
    <s v="【HMI】确认一下开港时间，看做箱时间要不要变（周日做）"/>
    <x v="118"/>
    <x v="0"/>
    <x v="0"/>
    <m/>
    <s v="周六"/>
    <n v="-83"/>
  </r>
  <r>
    <x v="0"/>
    <x v="70"/>
    <n v="8"/>
    <s v="收到工厂发来报关资料并完善(代做报关资料跟客户确认)"/>
    <x v="114"/>
    <x v="0"/>
    <x v="4"/>
    <m/>
    <s v="当天至隔天"/>
    <n v="-84"/>
  </r>
  <r>
    <x v="0"/>
    <x v="70"/>
    <n v="9"/>
    <s v="报关资料齐了（光成要素划掉XXX），发报关行(黄寅文)，差三立"/>
    <x v="122"/>
    <x v="0"/>
    <x v="0"/>
    <m/>
    <m/>
    <n v="-82"/>
  </r>
  <r>
    <x v="0"/>
    <x v="70"/>
    <n v="9.1"/>
    <s v="三立报关资料发黄寅文"/>
    <x v="111"/>
    <x v="0"/>
    <x v="0"/>
    <m/>
    <m/>
    <n v="-81"/>
  </r>
  <r>
    <x v="0"/>
    <x v="70"/>
    <n v="10"/>
    <s v="货运模板/发票/箱单"/>
    <x v="111"/>
    <x v="0"/>
    <x v="6"/>
    <m/>
    <m/>
    <n v="-81"/>
  </r>
  <r>
    <x v="0"/>
    <x v="70"/>
    <n v="11"/>
    <s v="收到车队(沈丽)装箱单和洋山提箱截图(如有)，9点前群发，通知发舱单"/>
    <x v="122"/>
    <x v="0"/>
    <x v="0"/>
    <m/>
    <s v="一般KMM五、HMI日"/>
    <n v="-82"/>
  </r>
  <r>
    <x v="0"/>
    <x v="70"/>
    <n v="11.1"/>
    <s v="舱单模板加一下箱封号发Nikki"/>
    <x v="111"/>
    <x v="0"/>
    <x v="0"/>
    <m/>
    <m/>
    <n v="-81"/>
  </r>
  <r>
    <x v="0"/>
    <x v="70"/>
    <n v="12"/>
    <s v="通知进港"/>
    <x v="122"/>
    <x v="0"/>
    <x v="0"/>
    <m/>
    <s v="调整顺序"/>
    <n v="-82"/>
  </r>
  <r>
    <x v="0"/>
    <x v="70"/>
    <n v="13"/>
    <s v="进港(核对数据)，预进港费？"/>
    <x v="115"/>
    <x v="0"/>
    <x v="0"/>
    <m/>
    <s v="调整顺序"/>
    <n v="-80"/>
  </r>
  <r>
    <x v="0"/>
    <x v="70"/>
    <n v="14"/>
    <s v="收到舱单发送成功通知，核对舱单信息"/>
    <x v="111"/>
    <x v="0"/>
    <x v="6"/>
    <m/>
    <m/>
    <n v="-81"/>
  </r>
  <r>
    <x v="0"/>
    <x v="70"/>
    <n v="15"/>
    <s v="通知报关（洋山发装箱单）"/>
    <x v="115"/>
    <x v="0"/>
    <x v="6"/>
    <m/>
    <s v="调整顺序"/>
    <n v="-80"/>
  </r>
  <r>
    <x v="0"/>
    <x v="70"/>
    <n v="16"/>
    <s v="报关成功"/>
    <x v="115"/>
    <x v="0"/>
    <x v="6"/>
    <m/>
    <s v="调整顺序"/>
    <n v="-80"/>
  </r>
  <r>
    <x v="0"/>
    <x v="70"/>
    <n v="17"/>
    <s v="海放"/>
    <x v="115"/>
    <x v="0"/>
    <x v="6"/>
    <m/>
    <m/>
    <n v="-80"/>
  </r>
  <r>
    <x v="0"/>
    <x v="70"/>
    <n v="18"/>
    <s v="码放"/>
    <x v="116"/>
    <x v="0"/>
    <x v="0"/>
    <m/>
    <m/>
    <n v="-78"/>
  </r>
  <r>
    <x v="0"/>
    <x v="70"/>
    <n v="19"/>
    <s v="配载"/>
    <x v="116"/>
    <x v="0"/>
    <x v="4"/>
    <m/>
    <m/>
    <n v="-78"/>
  </r>
  <r>
    <x v="0"/>
    <x v="70"/>
    <n v="20"/>
    <s v="做费用(对账单日期4号)，放公共盘，填月账单表，发孙丹，减去8-8ACC多收入的150元操作费"/>
    <x v="104"/>
    <x v="0"/>
    <x v="1"/>
    <m/>
    <m/>
    <n v="-77"/>
  </r>
  <r>
    <x v="0"/>
    <x v="70"/>
    <n v="21"/>
    <s v="如有额外费用发邮件"/>
    <x v="104"/>
    <x v="0"/>
    <x v="1"/>
    <m/>
    <m/>
    <n v="-77"/>
  </r>
  <r>
    <x v="0"/>
    <x v="70"/>
    <n v="22"/>
    <s v="船开"/>
    <x v="104"/>
    <x v="0"/>
    <x v="0"/>
    <m/>
    <m/>
    <n v="-77"/>
  </r>
  <r>
    <x v="4"/>
    <x v="70"/>
    <n v="1"/>
    <s v="收到客户(陈云娣)订舱预报"/>
    <x v="95"/>
    <x v="0"/>
    <x v="0"/>
    <m/>
    <s v="一般周五发隔周"/>
    <n v="-88"/>
  </r>
  <r>
    <x v="4"/>
    <x v="70"/>
    <n v="2"/>
    <s v="填WORKING PROCESS"/>
    <x v="95"/>
    <x v="0"/>
    <x v="0"/>
    <m/>
    <m/>
    <n v="-88"/>
  </r>
  <r>
    <x v="4"/>
    <x v="70"/>
    <n v="6"/>
    <s v="公共盘生成提单号(QSWB不要搞错)"/>
    <x v="95"/>
    <x v="0"/>
    <x v="0"/>
    <m/>
    <m/>
    <n v="-88"/>
  </r>
  <r>
    <x v="4"/>
    <x v="70"/>
    <n v="7"/>
    <s v="YJC系统生成单子"/>
    <x v="95"/>
    <x v="0"/>
    <x v="0"/>
    <m/>
    <m/>
    <n v="-88"/>
  </r>
  <r>
    <x v="4"/>
    <x v="70"/>
    <n v="8"/>
    <s v="发EDI"/>
    <x v="95"/>
    <x v="0"/>
    <x v="0"/>
    <m/>
    <m/>
    <n v="-88"/>
  </r>
  <r>
    <x v="4"/>
    <x v="70"/>
    <n v="9"/>
    <s v="邮件申请放舱"/>
    <x v="95"/>
    <x v="0"/>
    <x v="0"/>
    <m/>
    <m/>
    <n v="-88"/>
  </r>
  <r>
    <x v="4"/>
    <x v="70"/>
    <n v="10"/>
    <s v="收到HMM(Abbi) 确认放舱"/>
    <x v="68"/>
    <x v="0"/>
    <x v="3"/>
    <m/>
    <s v="一般半天内"/>
    <n v="-87"/>
  </r>
  <r>
    <x v="4"/>
    <x v="70"/>
    <n v="11"/>
    <s v="HMM网站核对订舱信息"/>
    <x v="68"/>
    <x v="0"/>
    <x v="3"/>
    <m/>
    <m/>
    <n v="-87"/>
  </r>
  <r>
    <x v="4"/>
    <x v="70"/>
    <n v="12"/>
    <s v="收到客户(陈云娣)做箱通知"/>
    <x v="107"/>
    <x v="1"/>
    <x v="6"/>
    <m/>
    <s v="一般做箱头天一早"/>
    <n v="-85"/>
  </r>
  <r>
    <x v="4"/>
    <x v="70"/>
    <n v="13"/>
    <s v="【拆单】公共盘生成提单号"/>
    <x v="107"/>
    <x v="0"/>
    <x v="6"/>
    <m/>
    <m/>
    <n v="-85"/>
  </r>
  <r>
    <x v="4"/>
    <x v="70"/>
    <n v="14"/>
    <s v="发做箱通知邮件给车队(沈丽)（航次要加QL？）"/>
    <x v="107"/>
    <x v="0"/>
    <x v="6"/>
    <m/>
    <m/>
    <n v="-85"/>
  </r>
  <r>
    <x v="4"/>
    <x v="70"/>
    <n v="15"/>
    <s v="【拆单】YJC系统生成单子（QSWB不要搞错）"/>
    <x v="107"/>
    <x v="0"/>
    <x v="6"/>
    <m/>
    <m/>
    <n v="-85"/>
  </r>
  <r>
    <x v="4"/>
    <x v="70"/>
    <n v="16"/>
    <s v="【拆单】发EDI"/>
    <x v="107"/>
    <x v="0"/>
    <x v="6"/>
    <m/>
    <m/>
    <n v="-85"/>
  </r>
  <r>
    <x v="4"/>
    <x v="70"/>
    <n v="17"/>
    <s v="【拆单】邮件申请放单"/>
    <x v="107"/>
    <x v="0"/>
    <x v="6"/>
    <m/>
    <m/>
    <n v="-85"/>
  </r>
  <r>
    <x v="4"/>
    <x v="70"/>
    <n v="18"/>
    <s v="【拆单】收到HMM(Abbi) 加拼放单确认"/>
    <x v="107"/>
    <x v="0"/>
    <x v="3"/>
    <m/>
    <m/>
    <n v="-85"/>
  </r>
  <r>
    <x v="4"/>
    <x v="70"/>
    <n v="19"/>
    <s v="【拆单】HMM网站核对订舱信息"/>
    <x v="107"/>
    <x v="0"/>
    <x v="3"/>
    <m/>
    <m/>
    <n v="-85"/>
  </r>
  <r>
    <x v="4"/>
    <x v="70"/>
    <n v="19.100000000000001"/>
    <s v="邮件通知Abbi取消"/>
    <x v="107"/>
    <x v="0"/>
    <x v="0"/>
    <m/>
    <m/>
    <n v="-85"/>
  </r>
  <r>
    <x v="4"/>
    <x v="70"/>
    <n v="19.2"/>
    <s v="Abbi确认取消"/>
    <x v="107"/>
    <x v="0"/>
    <x v="4"/>
    <m/>
    <m/>
    <n v="-85"/>
  </r>
  <r>
    <x v="4"/>
    <x v="70"/>
    <n v="20"/>
    <s v="收到客户(陈云娣)发来报关资料"/>
    <x v="114"/>
    <x v="1"/>
    <x v="0"/>
    <m/>
    <s v="一般做箱当天一早"/>
    <n v="-84"/>
  </r>
  <r>
    <x v="4"/>
    <x v="70"/>
    <n v="21"/>
    <s v="【加拼】按报关(发票)数生成提单号【如发票数超过提单数】"/>
    <x v="114"/>
    <x v="1"/>
    <x v="0"/>
    <m/>
    <m/>
    <n v="-84"/>
  </r>
  <r>
    <x v="4"/>
    <x v="70"/>
    <n v="22"/>
    <s v="做做箱数据，QQ发车队(沈丽)"/>
    <x v="114"/>
    <x v="1"/>
    <x v="0"/>
    <m/>
    <m/>
    <n v="-84"/>
  </r>
  <r>
    <x v="4"/>
    <x v="70"/>
    <n v="23"/>
    <s v="收到车队(沈丽)装箱单，转发客户（陈云娣）"/>
    <x v="114"/>
    <x v="1"/>
    <x v="0"/>
    <m/>
    <s v="一般马上"/>
    <n v="-84"/>
  </r>
  <r>
    <x v="4"/>
    <x v="70"/>
    <n v="24"/>
    <s v="YJC系统截单，发EDI，邮件HMM(He)【截单时间】"/>
    <x v="114"/>
    <x v="1"/>
    <x v="0"/>
    <m/>
    <s v="注意截单时间"/>
    <n v="-84"/>
  </r>
  <r>
    <x v="4"/>
    <x v="70"/>
    <n v="25"/>
    <s v="发VGM和舱单（亿通，鹏海两次）"/>
    <x v="114"/>
    <x v="1"/>
    <x v="0"/>
    <m/>
    <m/>
    <n v="-84"/>
  </r>
  <r>
    <x v="4"/>
    <x v="70"/>
    <n v="26"/>
    <s v="做报关资料，扫描发报关行(黄寅文)QQ，要校对稿"/>
    <x v="114"/>
    <x v="1"/>
    <x v="0"/>
    <m/>
    <m/>
    <n v="-84"/>
  </r>
  <r>
    <x v="4"/>
    <x v="70"/>
    <n v="27"/>
    <s v="做保函给邹师傅(美国线)"/>
    <x v="114"/>
    <x v="1"/>
    <x v="0"/>
    <m/>
    <m/>
    <n v="-84"/>
  </r>
  <r>
    <x v="4"/>
    <x v="70"/>
    <n v="28"/>
    <s v="做ISF，发国外资料"/>
    <x v="114"/>
    <x v="1"/>
    <x v="0"/>
    <m/>
    <m/>
    <n v="-84"/>
  </r>
  <r>
    <x v="4"/>
    <x v="70"/>
    <n v="29"/>
    <s v="买保险"/>
    <x v="114"/>
    <x v="1"/>
    <x v="0"/>
    <m/>
    <m/>
    <n v="-84"/>
  </r>
  <r>
    <x v="4"/>
    <x v="70"/>
    <n v="31"/>
    <s v="收到HMM(He)生成提单通知"/>
    <x v="114"/>
    <x v="1"/>
    <x v="0"/>
    <m/>
    <s v="一般马上"/>
    <n v="-84"/>
  </r>
  <r>
    <x v="4"/>
    <x v="70"/>
    <n v="32"/>
    <s v="HMM网站核对提单信息"/>
    <x v="114"/>
    <x v="1"/>
    <x v="0"/>
    <m/>
    <m/>
    <n v="-84"/>
  </r>
  <r>
    <x v="4"/>
    <x v="70"/>
    <n v="33"/>
    <s v="盯海关网站舱单"/>
    <x v="114"/>
    <x v="1"/>
    <x v="0"/>
    <m/>
    <s v="一般两小时左右"/>
    <n v="-84"/>
  </r>
  <r>
    <x v="4"/>
    <x v="70"/>
    <n v="34"/>
    <s v="核对舱单信息"/>
    <x v="114"/>
    <x v="1"/>
    <x v="0"/>
    <m/>
    <m/>
    <n v="-84"/>
  </r>
  <r>
    <x v="4"/>
    <x v="70"/>
    <n v="35"/>
    <s v="收到报关行(黄寅文)校对稿，邮件发客户(陈云娣)确认"/>
    <x v="114"/>
    <x v="1"/>
    <x v="0"/>
    <m/>
    <s v="一般半天内"/>
    <n v="-84"/>
  </r>
  <r>
    <x v="4"/>
    <x v="70"/>
    <n v="36"/>
    <s v="收到客户(陈云娣)确认校对稿"/>
    <x v="114"/>
    <x v="1"/>
    <x v="0"/>
    <m/>
    <s v="一般马上"/>
    <n v="-84"/>
  </r>
  <r>
    <x v="4"/>
    <x v="70"/>
    <n v="37"/>
    <s v="通知报关行(黄寅文)报关(开港、舱单、校对)（洋山提供装箱单）"/>
    <x v="114"/>
    <x v="1"/>
    <x v="0"/>
    <m/>
    <m/>
    <n v="-84"/>
  </r>
  <r>
    <x v="4"/>
    <x v="70"/>
    <n v="37"/>
    <s v="收到报关成功通知"/>
    <x v="114"/>
    <x v="1"/>
    <x v="0"/>
    <m/>
    <s v="一般下班前"/>
    <n v="-84"/>
  </r>
  <r>
    <x v="4"/>
    <x v="70"/>
    <n v="37"/>
    <s v="通知车队(沈丽)可进港"/>
    <x v="114"/>
    <x v="1"/>
    <x v="0"/>
    <m/>
    <m/>
    <n v="-84"/>
  </r>
  <r>
    <x v="4"/>
    <x v="70"/>
    <n v="37"/>
    <s v="盯箱子进港，关注开港时间，有落箱费？"/>
    <x v="118"/>
    <x v="1"/>
    <x v="0"/>
    <m/>
    <m/>
    <n v="-83"/>
  </r>
  <r>
    <x v="4"/>
    <x v="70"/>
    <n v="37"/>
    <s v="核对进港数据"/>
    <x v="118"/>
    <x v="1"/>
    <x v="0"/>
    <m/>
    <m/>
    <n v="-83"/>
  </r>
  <r>
    <x v="4"/>
    <x v="70"/>
    <n v="42"/>
    <s v="盯海放"/>
    <x v="118"/>
    <x v="1"/>
    <x v="0"/>
    <m/>
    <m/>
    <n v="-83"/>
  </r>
  <r>
    <x v="4"/>
    <x v="70"/>
    <n v="43"/>
    <s v="盯码放"/>
    <x v="115"/>
    <x v="1"/>
    <x v="0"/>
    <m/>
    <m/>
    <n v="-80"/>
  </r>
  <r>
    <x v="4"/>
    <x v="70"/>
    <n v="44"/>
    <s v="盯配载"/>
    <x v="115"/>
    <x v="1"/>
    <x v="0"/>
    <m/>
    <m/>
    <n v="-80"/>
  </r>
  <r>
    <x v="4"/>
    <x v="70"/>
    <n v="45"/>
    <s v="做费用(月初等汇率)，发账单给石磊"/>
    <x v="115"/>
    <x v="1"/>
    <x v="0"/>
    <m/>
    <m/>
    <n v="-80"/>
  </r>
  <r>
    <x v="4"/>
    <x v="70"/>
    <n v="46"/>
    <s v="船开"/>
    <x v="117"/>
    <x v="1"/>
    <x v="0"/>
    <m/>
    <m/>
    <n v="-79"/>
  </r>
  <r>
    <x v="4"/>
    <x v="70"/>
    <n v="47"/>
    <s v="放提单、预录单、放行单（PHISON、石磊提单、陈云娣三单）"/>
    <x v="117"/>
    <x v="1"/>
    <x v="0"/>
    <m/>
    <s v="一般开船后两三天"/>
    <n v="-79"/>
  </r>
  <r>
    <x v="7"/>
    <x v="70"/>
    <n v="1"/>
    <s v="收到徐小姐托书"/>
    <x v="107"/>
    <x v="0"/>
    <x v="0"/>
    <m/>
    <m/>
    <n v="-85"/>
  </r>
  <r>
    <x v="7"/>
    <x v="70"/>
    <n v="2"/>
    <s v="公共盘表格生成单号，YJC系统复制、生成"/>
    <x v="107"/>
    <x v="0"/>
    <x v="0"/>
    <m/>
    <s v="注意MBL#命名规则"/>
    <n v="-85"/>
  </r>
  <r>
    <x v="7"/>
    <x v="70"/>
    <n v="3"/>
    <s v="(一票一订)振华订舱界面复制订舱、保存、提交"/>
    <x v="107"/>
    <x v="0"/>
    <x v="0"/>
    <m/>
    <s v="客户编号 提单号 船名航次 日期 箱量"/>
    <n v="-85"/>
  </r>
  <r>
    <x v="7"/>
    <x v="70"/>
    <n v="4"/>
    <s v="邮件发确认给国外"/>
    <x v="107"/>
    <x v="0"/>
    <x v="0"/>
    <m/>
    <s v="Delete ayjun@kylogix.co.kr Add hypark@kylogix.co.kr"/>
    <n v="-85"/>
  </r>
  <r>
    <x v="7"/>
    <x v="70"/>
    <n v="5"/>
    <s v="QQ发预配信息给徐小姐（模板），问是否要加拼，发车队江"/>
    <x v="107"/>
    <x v="0"/>
    <x v="0"/>
    <m/>
    <m/>
    <n v="-85"/>
  </r>
  <r>
    <x v="7"/>
    <x v="70"/>
    <n v="6"/>
    <s v="订舱审核通过"/>
    <x v="107"/>
    <x v="0"/>
    <x v="4"/>
    <m/>
    <m/>
    <n v="-85"/>
  </r>
  <r>
    <x v="7"/>
    <x v="70"/>
    <n v="7"/>
    <s v="订舱界面加拼、提交，通知徐小姐加拼单号"/>
    <x v="107"/>
    <x v="1"/>
    <x v="0"/>
    <m/>
    <s v="点“多票加拼”"/>
    <n v="-85"/>
  </r>
  <r>
    <x v="7"/>
    <x v="70"/>
    <n v="8"/>
    <s v="加拼审核通过"/>
    <x v="107"/>
    <x v="1"/>
    <x v="0"/>
    <m/>
    <m/>
    <n v="-85"/>
  </r>
  <r>
    <x v="7"/>
    <x v="70"/>
    <n v="9"/>
    <s v="收到国外确认，公共盘红改黑，加CONFIRM"/>
    <x v="114"/>
    <x v="0"/>
    <x v="2"/>
    <m/>
    <m/>
    <n v="-84"/>
  </r>
  <r>
    <x v="7"/>
    <x v="70"/>
    <n v="10"/>
    <s v="做费用"/>
    <x v="111"/>
    <x v="0"/>
    <x v="2"/>
    <m/>
    <m/>
    <n v="-81"/>
  </r>
  <r>
    <x v="7"/>
    <x v="70"/>
    <n v="11"/>
    <s v="问装箱时间"/>
    <x v="111"/>
    <x v="1"/>
    <x v="0"/>
    <m/>
    <m/>
    <n v="-81"/>
  </r>
  <r>
    <x v="7"/>
    <x v="70"/>
    <n v="12"/>
    <s v="收到车队江发来装箱数据和装箱单"/>
    <x v="111"/>
    <x v="0"/>
    <x v="1"/>
    <m/>
    <s v="周三周一截，周日周五截"/>
    <n v="-81"/>
  </r>
  <r>
    <x v="7"/>
    <x v="70"/>
    <n v="13"/>
    <s v="数据表中加入封号，汇总单票总件毛体"/>
    <x v="111"/>
    <x v="0"/>
    <x v="1"/>
    <m/>
    <m/>
    <n v="-81"/>
  </r>
  <r>
    <x v="7"/>
    <x v="70"/>
    <n v="14"/>
    <s v="YJC 截单"/>
    <x v="111"/>
    <x v="0"/>
    <x v="1"/>
    <m/>
    <s v="船名航次 开航日 件毛体 CC 箱量 箱封号 品名"/>
    <n v="-81"/>
  </r>
  <r>
    <x v="7"/>
    <x v="70"/>
    <n v="15"/>
    <s v="导出HBL，发徐小姐确认"/>
    <x v="111"/>
    <x v="0"/>
    <x v="1"/>
    <m/>
    <m/>
    <n v="-81"/>
  </r>
  <r>
    <x v="7"/>
    <x v="70"/>
    <n v="16"/>
    <s v="徐小姐确认HBL时，振华录入每一关单号的件毛体(注意箱状态)，保存"/>
    <x v="111"/>
    <x v="0"/>
    <x v="1"/>
    <m/>
    <m/>
    <n v="-81"/>
  </r>
  <r>
    <x v="7"/>
    <x v="70"/>
    <n v="17"/>
    <s v="徐小姐确认HBL"/>
    <x v="111"/>
    <x v="0"/>
    <x v="1"/>
    <m/>
    <m/>
    <n v="-81"/>
  </r>
  <r>
    <x v="7"/>
    <x v="70"/>
    <n v="18"/>
    <s v="发舱单"/>
    <x v="111"/>
    <x v="0"/>
    <x v="1"/>
    <m/>
    <s v="一关单一发"/>
    <n v="-81"/>
  </r>
  <r>
    <x v="7"/>
    <x v="70"/>
    <n v="19"/>
    <s v="海关有舱单，核对舱单信息，(如无并单，可直接录VGM)"/>
    <x v="111"/>
    <x v="0"/>
    <x v="1"/>
    <m/>
    <m/>
    <n v="-81"/>
  </r>
  <r>
    <x v="7"/>
    <x v="70"/>
    <n v="20"/>
    <s v="订舱界面并单"/>
    <x v="111"/>
    <x v="1"/>
    <x v="1"/>
    <m/>
    <m/>
    <n v="-81"/>
  </r>
  <r>
    <x v="7"/>
    <x v="70"/>
    <n v="21"/>
    <s v="并单审核通过"/>
    <x v="111"/>
    <x v="1"/>
    <x v="1"/>
    <m/>
    <m/>
    <n v="-81"/>
  </r>
  <r>
    <x v="7"/>
    <x v="70"/>
    <n v="22"/>
    <s v="每票录入所有箱子箱封号和件毛体，保存，录VGM，导入"/>
    <x v="111"/>
    <x v="0"/>
    <x v="1"/>
    <m/>
    <m/>
    <n v="-81"/>
  </r>
  <r>
    <x v="7"/>
    <x v="70"/>
    <n v="23"/>
    <s v="打印MBL"/>
    <x v="111"/>
    <x v="0"/>
    <x v="1"/>
    <m/>
    <m/>
    <n v="-81"/>
  </r>
  <r>
    <x v="7"/>
    <x v="70"/>
    <n v="24"/>
    <s v="表格、HBL、MBL、费用一起发邮件给国外"/>
    <x v="111"/>
    <x v="0"/>
    <x v="1"/>
    <m/>
    <s v="Delete ayjun@kylogix.co.kr Add hypark@kylogix.co.kr"/>
    <n v="-81"/>
  </r>
  <r>
    <x v="7"/>
    <x v="70"/>
    <n v="25"/>
    <s v="船开"/>
    <x v="116"/>
    <x v="0"/>
    <x v="0"/>
    <m/>
    <m/>
    <n v="-78"/>
  </r>
  <r>
    <x v="7"/>
    <x v="70"/>
    <n v="26"/>
    <s v="拿到WAYBILL"/>
    <x v="116"/>
    <x v="0"/>
    <x v="4"/>
    <m/>
    <m/>
    <n v="-78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78"/>
  </r>
  <r>
    <x v="4"/>
    <x v="71"/>
    <n v="1"/>
    <s v="收到客户(陈云娣)订舱预报"/>
    <x v="95"/>
    <x v="0"/>
    <x v="0"/>
    <m/>
    <s v="一般周五发隔周"/>
    <n v="-88"/>
  </r>
  <r>
    <x v="4"/>
    <x v="71"/>
    <n v="2"/>
    <s v="填WORKING PROCESS"/>
    <x v="95"/>
    <x v="0"/>
    <x v="0"/>
    <m/>
    <m/>
    <n v="-88"/>
  </r>
  <r>
    <x v="4"/>
    <x v="71"/>
    <n v="6"/>
    <s v="公共盘生成提单号(QSWB不要搞错)"/>
    <x v="95"/>
    <x v="0"/>
    <x v="0"/>
    <m/>
    <m/>
    <n v="-88"/>
  </r>
  <r>
    <x v="4"/>
    <x v="71"/>
    <n v="7"/>
    <s v="YJC系统生成单子"/>
    <x v="95"/>
    <x v="0"/>
    <x v="0"/>
    <m/>
    <m/>
    <n v="-88"/>
  </r>
  <r>
    <x v="4"/>
    <x v="71"/>
    <n v="8"/>
    <s v="发EDI"/>
    <x v="95"/>
    <x v="0"/>
    <x v="0"/>
    <m/>
    <m/>
    <n v="-88"/>
  </r>
  <r>
    <x v="4"/>
    <x v="71"/>
    <n v="9"/>
    <s v="邮件申请放舱"/>
    <x v="95"/>
    <x v="0"/>
    <x v="0"/>
    <m/>
    <m/>
    <n v="-88"/>
  </r>
  <r>
    <x v="4"/>
    <x v="71"/>
    <n v="10"/>
    <s v="收到HMM(Abbi) 确认放舱"/>
    <x v="68"/>
    <x v="0"/>
    <x v="3"/>
    <m/>
    <s v="一般半天内"/>
    <n v="-87"/>
  </r>
  <r>
    <x v="4"/>
    <x v="71"/>
    <n v="11"/>
    <s v="HMM网站核对订舱信息"/>
    <x v="68"/>
    <x v="0"/>
    <x v="3"/>
    <m/>
    <m/>
    <n v="-87"/>
  </r>
  <r>
    <x v="4"/>
    <x v="71"/>
    <n v="12"/>
    <s v="收到客户(陈云娣)做箱通知（周五未发，说周一补）"/>
    <x v="111"/>
    <x v="0"/>
    <x v="0"/>
    <m/>
    <s v="一般做箱头天一早"/>
    <n v="-81"/>
  </r>
  <r>
    <x v="4"/>
    <x v="71"/>
    <n v="13"/>
    <s v="【拆单】公共盘生成提单号"/>
    <x v="114"/>
    <x v="0"/>
    <x v="6"/>
    <m/>
    <m/>
    <n v="-84"/>
  </r>
  <r>
    <x v="4"/>
    <x v="71"/>
    <n v="14"/>
    <s v="发做箱通知邮件给车队(沈丽)（航次要加QL？）"/>
    <x v="114"/>
    <x v="0"/>
    <x v="6"/>
    <m/>
    <m/>
    <n v="-84"/>
  </r>
  <r>
    <x v="4"/>
    <x v="71"/>
    <n v="15"/>
    <s v="【拆单】YJC系统生成单子（QSWB不要搞错）"/>
    <x v="114"/>
    <x v="0"/>
    <x v="6"/>
    <m/>
    <m/>
    <n v="-84"/>
  </r>
  <r>
    <x v="4"/>
    <x v="71"/>
    <n v="16"/>
    <s v="【拆单】发EDI"/>
    <x v="114"/>
    <x v="0"/>
    <x v="6"/>
    <m/>
    <m/>
    <n v="-84"/>
  </r>
  <r>
    <x v="4"/>
    <x v="71"/>
    <n v="17"/>
    <s v="【拆单】邮件申请放单"/>
    <x v="114"/>
    <x v="0"/>
    <x v="6"/>
    <m/>
    <m/>
    <n v="-84"/>
  </r>
  <r>
    <x v="4"/>
    <x v="71"/>
    <n v="18"/>
    <s v="【拆单】收到HMM(Abbi) 加拼放单确认"/>
    <x v="114"/>
    <x v="0"/>
    <x v="4"/>
    <m/>
    <m/>
    <n v="-84"/>
  </r>
  <r>
    <x v="4"/>
    <x v="71"/>
    <n v="19"/>
    <s v="【拆单】HMM网站核对订舱信息"/>
    <x v="114"/>
    <x v="0"/>
    <x v="4"/>
    <m/>
    <m/>
    <n v="-84"/>
  </r>
  <r>
    <x v="4"/>
    <x v="71"/>
    <n v="20"/>
    <s v="收到客户(陈云娣)发来报关资料"/>
    <x v="111"/>
    <x v="0"/>
    <x v="1"/>
    <m/>
    <s v="一般做箱当天一早"/>
    <n v="-81"/>
  </r>
  <r>
    <x v="4"/>
    <x v="71"/>
    <n v="21"/>
    <s v="【加拼】按报关(发票)数生成提单号【如发票数超过提单数】"/>
    <x v="111"/>
    <x v="0"/>
    <x v="1"/>
    <m/>
    <m/>
    <n v="-81"/>
  </r>
  <r>
    <x v="4"/>
    <x v="71"/>
    <n v="22"/>
    <s v="做做箱数据，QQ发车队(沈丽)"/>
    <x v="111"/>
    <x v="0"/>
    <x v="1"/>
    <m/>
    <m/>
    <n v="-81"/>
  </r>
  <r>
    <x v="4"/>
    <x v="71"/>
    <n v="23"/>
    <s v="收到车队(沈丽)装箱单，转发客户（陈云娣）"/>
    <x v="111"/>
    <x v="0"/>
    <x v="1"/>
    <m/>
    <s v="一般马上"/>
    <n v="-81"/>
  </r>
  <r>
    <x v="4"/>
    <x v="71"/>
    <n v="24"/>
    <s v="YJC系统截单，发EDI，邮件HMM(He)【截单时间】"/>
    <x v="111"/>
    <x v="0"/>
    <x v="1"/>
    <m/>
    <s v="注意截单时间"/>
    <n v="-81"/>
  </r>
  <r>
    <x v="4"/>
    <x v="71"/>
    <n v="25"/>
    <s v="发VGM和舱单（亿通，鹏海两次）"/>
    <x v="111"/>
    <x v="0"/>
    <x v="1"/>
    <m/>
    <m/>
    <n v="-81"/>
  </r>
  <r>
    <x v="4"/>
    <x v="71"/>
    <n v="26"/>
    <s v="做报关资料，扫描发报关行(黄寅文)QQ，要校对稿"/>
    <x v="111"/>
    <x v="0"/>
    <x v="1"/>
    <m/>
    <m/>
    <n v="-81"/>
  </r>
  <r>
    <x v="4"/>
    <x v="71"/>
    <n v="27"/>
    <s v="做保函给邹师傅(美国线)"/>
    <x v="111"/>
    <x v="0"/>
    <x v="1"/>
    <m/>
    <m/>
    <n v="-81"/>
  </r>
  <r>
    <x v="4"/>
    <x v="71"/>
    <n v="28"/>
    <s v="做ISF，发国外资料"/>
    <x v="111"/>
    <x v="0"/>
    <x v="1"/>
    <m/>
    <m/>
    <n v="-81"/>
  </r>
  <r>
    <x v="4"/>
    <x v="71"/>
    <n v="29"/>
    <s v="买保险"/>
    <x v="111"/>
    <x v="0"/>
    <x v="1"/>
    <m/>
    <m/>
    <n v="-81"/>
  </r>
  <r>
    <x v="4"/>
    <x v="71"/>
    <n v="31"/>
    <s v="收到HMM(He)生成提单通知"/>
    <x v="111"/>
    <x v="0"/>
    <x v="4"/>
    <m/>
    <s v="一般马上"/>
    <n v="-81"/>
  </r>
  <r>
    <x v="4"/>
    <x v="71"/>
    <n v="32"/>
    <s v="HMM网站核对提单信息"/>
    <x v="111"/>
    <x v="0"/>
    <x v="4"/>
    <m/>
    <m/>
    <n v="-81"/>
  </r>
  <r>
    <x v="4"/>
    <x v="71"/>
    <n v="33"/>
    <s v="盯海关网站舱单"/>
    <x v="111"/>
    <x v="0"/>
    <x v="4"/>
    <m/>
    <s v="一般两小时左右"/>
    <n v="-81"/>
  </r>
  <r>
    <x v="4"/>
    <x v="71"/>
    <n v="34"/>
    <s v="核对舱单信息"/>
    <x v="111"/>
    <x v="0"/>
    <x v="4"/>
    <m/>
    <m/>
    <n v="-81"/>
  </r>
  <r>
    <x v="4"/>
    <x v="71"/>
    <n v="35"/>
    <s v="收到报关行(黄寅文)校对稿，邮件发客户(陈云娣)确认"/>
    <x v="111"/>
    <x v="0"/>
    <x v="4"/>
    <m/>
    <s v="一般半天内"/>
    <n v="-81"/>
  </r>
  <r>
    <x v="4"/>
    <x v="71"/>
    <n v="36"/>
    <s v="收到客户(陈云娣)确认校对稿"/>
    <x v="111"/>
    <x v="0"/>
    <x v="4"/>
    <m/>
    <s v="一般马上"/>
    <n v="-81"/>
  </r>
  <r>
    <x v="4"/>
    <x v="71"/>
    <n v="37"/>
    <s v="通知报关行(黄寅文)报关(开港、舱单、校对)（洋山提供装箱单）"/>
    <x v="111"/>
    <x v="0"/>
    <x v="4"/>
    <m/>
    <m/>
    <n v="-81"/>
  </r>
  <r>
    <x v="4"/>
    <x v="71"/>
    <n v="37"/>
    <s v="收到报关成功通知"/>
    <x v="111"/>
    <x v="0"/>
    <x v="0"/>
    <m/>
    <s v="一般下班前"/>
    <n v="-81"/>
  </r>
  <r>
    <x v="4"/>
    <x v="71"/>
    <n v="37"/>
    <s v="通知车队(沈丽)可进港"/>
    <x v="111"/>
    <x v="0"/>
    <x v="0"/>
    <m/>
    <m/>
    <n v="-81"/>
  </r>
  <r>
    <x v="4"/>
    <x v="71"/>
    <n v="37"/>
    <s v="盯箱子进港，关注开港时间，有落箱费？"/>
    <x v="115"/>
    <x v="0"/>
    <x v="6"/>
    <m/>
    <m/>
    <n v="-80"/>
  </r>
  <r>
    <x v="4"/>
    <x v="71"/>
    <n v="37"/>
    <s v="核对进港数据"/>
    <x v="115"/>
    <x v="0"/>
    <x v="6"/>
    <m/>
    <m/>
    <n v="-80"/>
  </r>
  <r>
    <x v="4"/>
    <x v="71"/>
    <n v="42"/>
    <s v="盯海放"/>
    <x v="115"/>
    <x v="0"/>
    <x v="6"/>
    <m/>
    <m/>
    <n v="-80"/>
  </r>
  <r>
    <x v="4"/>
    <x v="71"/>
    <n v="43"/>
    <s v="盯码放"/>
    <x v="116"/>
    <x v="0"/>
    <x v="0"/>
    <m/>
    <m/>
    <n v="-78"/>
  </r>
  <r>
    <x v="4"/>
    <x v="71"/>
    <n v="44"/>
    <s v="盯配载"/>
    <x v="98"/>
    <x v="0"/>
    <x v="0"/>
    <m/>
    <m/>
    <n v="-74"/>
  </r>
  <r>
    <x v="4"/>
    <x v="71"/>
    <n v="45"/>
    <s v="做费用(月初等汇率)，发账单给石磊"/>
    <x v="101"/>
    <x v="0"/>
    <x v="3"/>
    <m/>
    <m/>
    <n v="-73"/>
  </r>
  <r>
    <x v="4"/>
    <x v="71"/>
    <n v="46"/>
    <s v="船开"/>
    <x v="98"/>
    <x v="0"/>
    <x v="0"/>
    <m/>
    <m/>
    <n v="-74"/>
  </r>
  <r>
    <x v="4"/>
    <x v="71"/>
    <n v="47"/>
    <s v="放提单、预录单、放行单（PHISON、石磊提单、陈云娣三单）"/>
    <x v="106"/>
    <x v="0"/>
    <x v="4"/>
    <m/>
    <s v="一般开船后两三天"/>
    <n v="-72"/>
  </r>
  <r>
    <x v="13"/>
    <x v="72"/>
    <n v="1"/>
    <s v="收到托书"/>
    <x v="88"/>
    <x v="0"/>
    <x v="0"/>
    <m/>
    <m/>
    <n v="-107"/>
  </r>
  <r>
    <x v="13"/>
    <x v="72"/>
    <n v="2"/>
    <s v="订舱"/>
    <x v="88"/>
    <x v="0"/>
    <x v="0"/>
    <m/>
    <m/>
    <n v="-107"/>
  </r>
  <r>
    <x v="13"/>
    <x v="72"/>
    <n v="3"/>
    <s v="收到MSK 订舱确认邮件"/>
    <x v="88"/>
    <x v="0"/>
    <x v="0"/>
    <m/>
    <m/>
    <n v="-107"/>
  </r>
  <r>
    <x v="13"/>
    <x v="72"/>
    <n v="4"/>
    <s v="发订舱确认邮件给客户"/>
    <x v="88"/>
    <x v="0"/>
    <x v="0"/>
    <m/>
    <m/>
    <n v="-107"/>
  </r>
  <r>
    <x v="13"/>
    <x v="72"/>
    <n v="5"/>
    <s v="确认提供资料时间"/>
    <x v="117"/>
    <x v="0"/>
    <x v="0"/>
    <m/>
    <m/>
    <n v="-79"/>
  </r>
  <r>
    <x v="13"/>
    <x v="72"/>
    <n v="6"/>
    <s v="做费用，拉账单"/>
    <x v="116"/>
    <x v="0"/>
    <x v="1"/>
    <m/>
    <m/>
    <n v="-78"/>
  </r>
  <r>
    <x v="13"/>
    <x v="72"/>
    <n v="7"/>
    <s v="确认提供资料时间"/>
    <x v="115"/>
    <x v="1"/>
    <x v="0"/>
    <m/>
    <m/>
    <n v="-80"/>
  </r>
  <r>
    <x v="13"/>
    <x v="72"/>
    <n v="7"/>
    <s v="收到截单资料"/>
    <x v="116"/>
    <x v="0"/>
    <x v="1"/>
    <m/>
    <m/>
    <n v="-78"/>
  </r>
  <r>
    <x v="13"/>
    <x v="72"/>
    <n v="8"/>
    <s v="收到截单资料"/>
    <x v="117"/>
    <x v="1"/>
    <x v="0"/>
    <m/>
    <m/>
    <n v="-79"/>
  </r>
  <r>
    <x v="13"/>
    <x v="72"/>
    <n v="8"/>
    <s v="YJC 截单，HBL和费用发文生然确认"/>
    <x v="116"/>
    <x v="0"/>
    <x v="1"/>
    <m/>
    <m/>
    <n v="-78"/>
  </r>
  <r>
    <x v="13"/>
    <x v="72"/>
    <n v="9"/>
    <s v="截单"/>
    <x v="117"/>
    <x v="1"/>
    <x v="0"/>
    <m/>
    <m/>
    <n v="-79"/>
  </r>
  <r>
    <x v="13"/>
    <x v="72"/>
    <n v="9"/>
    <s v="文生然确认HBL和费用"/>
    <x v="116"/>
    <x v="0"/>
    <x v="1"/>
    <m/>
    <m/>
    <n v="-78"/>
  </r>
  <r>
    <x v="13"/>
    <x v="72"/>
    <n v="10"/>
    <s v="发提单确认"/>
    <x v="117"/>
    <x v="1"/>
    <x v="0"/>
    <m/>
    <m/>
    <n v="-79"/>
  </r>
  <r>
    <x v="13"/>
    <x v="72"/>
    <n v="10"/>
    <s v="MSK 录入提单确认内容"/>
    <x v="116"/>
    <x v="0"/>
    <x v="1"/>
    <m/>
    <m/>
    <n v="-78"/>
  </r>
  <r>
    <x v="13"/>
    <x v="72"/>
    <n v="11"/>
    <s v="联合船代发舱单"/>
    <x v="116"/>
    <x v="0"/>
    <x v="1"/>
    <m/>
    <m/>
    <n v="-78"/>
  </r>
  <r>
    <x v="13"/>
    <x v="72"/>
    <n v="12"/>
    <s v="MSK网站下载提单确认件"/>
    <x v="116"/>
    <x v="0"/>
    <x v="1"/>
    <m/>
    <m/>
    <n v="-78"/>
  </r>
  <r>
    <x v="13"/>
    <x v="72"/>
    <n v="13"/>
    <s v="邮件发COPY件、AMS、CREDIT给Wanda"/>
    <x v="116"/>
    <x v="0"/>
    <x v="1"/>
    <m/>
    <m/>
    <n v="-78"/>
  </r>
  <r>
    <x v="13"/>
    <x v="72"/>
    <n v="14"/>
    <s v="有舱单，核对，通知文生然"/>
    <x v="116"/>
    <x v="0"/>
    <x v="1"/>
    <m/>
    <m/>
    <n v="-78"/>
  </r>
  <r>
    <x v="13"/>
    <x v="72"/>
    <n v="15"/>
    <s v="进港，核对数据"/>
    <x v="104"/>
    <x v="0"/>
    <x v="0"/>
    <m/>
    <m/>
    <n v="-77"/>
  </r>
  <r>
    <x v="13"/>
    <x v="72"/>
    <n v="16"/>
    <s v="海放"/>
    <x v="104"/>
    <x v="0"/>
    <x v="0"/>
    <m/>
    <m/>
    <n v="-77"/>
  </r>
  <r>
    <x v="13"/>
    <x v="72"/>
    <n v="17"/>
    <s v="码放"/>
    <x v="98"/>
    <x v="0"/>
    <x v="0"/>
    <m/>
    <m/>
    <n v="-74"/>
  </r>
  <r>
    <x v="13"/>
    <x v="72"/>
    <n v="18"/>
    <s v="配载"/>
    <x v="101"/>
    <x v="0"/>
    <x v="4"/>
    <m/>
    <m/>
    <n v="-73"/>
  </r>
  <r>
    <x v="13"/>
    <x v="72"/>
    <n v="18.100000000000001"/>
    <s v="发延期通知"/>
    <x v="98"/>
    <x v="0"/>
    <x v="1"/>
    <m/>
    <m/>
    <n v="-74"/>
  </r>
  <r>
    <x v="13"/>
    <x v="72"/>
    <n v="19"/>
    <s v="船开"/>
    <x v="106"/>
    <x v="0"/>
    <x v="0"/>
    <m/>
    <m/>
    <n v="-72"/>
  </r>
  <r>
    <x v="13"/>
    <x v="72"/>
    <n v="20"/>
    <s v="邮件发开船通知给Wanda"/>
    <x v="106"/>
    <x v="0"/>
    <x v="0"/>
    <m/>
    <m/>
    <n v="-72"/>
  </r>
  <r>
    <x v="13"/>
    <x v="72"/>
    <n v="21"/>
    <s v="收到Wanda付款通知"/>
    <x v="123"/>
    <x v="0"/>
    <x v="3"/>
    <m/>
    <m/>
    <n v="-66"/>
  </r>
  <r>
    <x v="13"/>
    <x v="72"/>
    <n v="22"/>
    <s v="发SWB、HBL给Wanda"/>
    <x v="124"/>
    <x v="0"/>
    <x v="4"/>
    <m/>
    <m/>
    <n v="-62"/>
  </r>
  <r>
    <x v="13"/>
    <x v="72"/>
    <n v="22.1"/>
    <s v="还不能下载？"/>
    <x v="124"/>
    <x v="0"/>
    <x v="2"/>
    <m/>
    <m/>
    <n v="-62"/>
  </r>
  <r>
    <x v="13"/>
    <x v="72"/>
    <n v="23"/>
    <s v="到付改预付"/>
    <x v="109"/>
    <x v="0"/>
    <x v="0"/>
    <m/>
    <m/>
    <n v="-71"/>
  </r>
  <r>
    <x v="13"/>
    <x v="72"/>
    <n v="24"/>
    <s v="收到更改确认，发提单样本给Wanda"/>
    <x v="105"/>
    <x v="0"/>
    <x v="0"/>
    <m/>
    <m/>
    <n v="-70"/>
  </r>
  <r>
    <x v="7"/>
    <x v="72"/>
    <n v="1"/>
    <s v="收到徐小姐托书"/>
    <x v="114"/>
    <x v="0"/>
    <x v="0"/>
    <m/>
    <m/>
    <n v="-84"/>
  </r>
  <r>
    <x v="7"/>
    <x v="72"/>
    <n v="2"/>
    <s v="公共盘表格生成单号，YJC系统复制、生成"/>
    <x v="114"/>
    <x v="0"/>
    <x v="0"/>
    <m/>
    <s v="注意MBL#命名规则"/>
    <n v="-84"/>
  </r>
  <r>
    <x v="7"/>
    <x v="72"/>
    <n v="3"/>
    <s v="(一票一订)振华订舱界面复制订舱、保存、提交"/>
    <x v="114"/>
    <x v="0"/>
    <x v="0"/>
    <m/>
    <s v="客户编号 提单号 船名航次 日期 箱量"/>
    <n v="-84"/>
  </r>
  <r>
    <x v="7"/>
    <x v="72"/>
    <n v="4"/>
    <s v="邮件发确认给国外"/>
    <x v="114"/>
    <x v="0"/>
    <x v="0"/>
    <m/>
    <s v="Delete ayjun@kylogix.co.kr Add hypark@kylogix.co.kr"/>
    <n v="-84"/>
  </r>
  <r>
    <x v="7"/>
    <x v="72"/>
    <n v="5"/>
    <s v="QQ发预配信息给徐小姐（模板），问是否要加拼，发车队江"/>
    <x v="114"/>
    <x v="0"/>
    <x v="0"/>
    <m/>
    <m/>
    <n v="-84"/>
  </r>
  <r>
    <x v="7"/>
    <x v="72"/>
    <n v="6"/>
    <s v="订舱审核通过"/>
    <x v="114"/>
    <x v="0"/>
    <x v="4"/>
    <m/>
    <m/>
    <n v="-84"/>
  </r>
  <r>
    <x v="7"/>
    <x v="72"/>
    <n v="7"/>
    <s v="订舱界面加拼、提交，通知徐小姐加拼单号"/>
    <x v="114"/>
    <x v="1"/>
    <x v="0"/>
    <m/>
    <s v="点“多票加拼”"/>
    <n v="-84"/>
  </r>
  <r>
    <x v="7"/>
    <x v="72"/>
    <n v="8"/>
    <s v="加拼审核通过"/>
    <x v="114"/>
    <x v="1"/>
    <x v="0"/>
    <m/>
    <m/>
    <n v="-84"/>
  </r>
  <r>
    <x v="7"/>
    <x v="72"/>
    <n v="9"/>
    <s v="收到国外确认，公共盘红改黑，加CONFIRM"/>
    <x v="114"/>
    <x v="0"/>
    <x v="2"/>
    <m/>
    <m/>
    <n v="-84"/>
  </r>
  <r>
    <x v="7"/>
    <x v="72"/>
    <n v="10"/>
    <s v="做费用"/>
    <x v="117"/>
    <x v="0"/>
    <x v="1"/>
    <m/>
    <m/>
    <n v="-79"/>
  </r>
  <r>
    <x v="7"/>
    <x v="72"/>
    <n v="11"/>
    <s v="问装箱时间(周五装）"/>
    <x v="116"/>
    <x v="0"/>
    <x v="6"/>
    <m/>
    <m/>
    <n v="-78"/>
  </r>
  <r>
    <x v="7"/>
    <x v="72"/>
    <n v="12"/>
    <s v="收到车队江发来装箱数据和装箱单"/>
    <x v="104"/>
    <x v="0"/>
    <x v="1"/>
    <m/>
    <s v="周三周一截，周日周五截"/>
    <n v="-77"/>
  </r>
  <r>
    <x v="7"/>
    <x v="72"/>
    <n v="13"/>
    <s v="数据表中加入封号，汇总单票总件毛体"/>
    <x v="104"/>
    <x v="0"/>
    <x v="1"/>
    <m/>
    <m/>
    <n v="-77"/>
  </r>
  <r>
    <x v="7"/>
    <x v="72"/>
    <n v="14"/>
    <s v="YJC 截单"/>
    <x v="104"/>
    <x v="0"/>
    <x v="1"/>
    <m/>
    <s v="船名航次 开航日 件毛体 CC 箱量 箱封号 品名"/>
    <n v="-77"/>
  </r>
  <r>
    <x v="7"/>
    <x v="72"/>
    <n v="15"/>
    <s v="导出HBL，发徐小姐确认"/>
    <x v="104"/>
    <x v="0"/>
    <x v="1"/>
    <m/>
    <m/>
    <n v="-77"/>
  </r>
  <r>
    <x v="7"/>
    <x v="72"/>
    <n v="16"/>
    <s v="徐小姐确认HBL时，振华录入每一关单号的件毛体(注意箱状态)，保存"/>
    <x v="104"/>
    <x v="0"/>
    <x v="1"/>
    <m/>
    <m/>
    <n v="-77"/>
  </r>
  <r>
    <x v="7"/>
    <x v="72"/>
    <n v="17"/>
    <s v="徐小姐确认HBL"/>
    <x v="104"/>
    <x v="0"/>
    <x v="1"/>
    <m/>
    <m/>
    <n v="-77"/>
  </r>
  <r>
    <x v="7"/>
    <x v="72"/>
    <n v="18"/>
    <s v="发舱单"/>
    <x v="104"/>
    <x v="0"/>
    <x v="1"/>
    <m/>
    <s v="一关单一发"/>
    <n v="-77"/>
  </r>
  <r>
    <x v="7"/>
    <x v="72"/>
    <n v="19"/>
    <s v="海关有舱单，核对舱单信息，(如无并单，可直接录VGM)"/>
    <x v="104"/>
    <x v="0"/>
    <x v="1"/>
    <m/>
    <m/>
    <n v="-77"/>
  </r>
  <r>
    <x v="7"/>
    <x v="72"/>
    <n v="20"/>
    <s v="订舱界面并单"/>
    <x v="104"/>
    <x v="1"/>
    <x v="1"/>
    <m/>
    <m/>
    <n v="-77"/>
  </r>
  <r>
    <x v="7"/>
    <x v="72"/>
    <n v="21"/>
    <s v="并单审核通过"/>
    <x v="104"/>
    <x v="1"/>
    <x v="1"/>
    <m/>
    <m/>
    <n v="-77"/>
  </r>
  <r>
    <x v="7"/>
    <x v="72"/>
    <n v="22"/>
    <s v="每票录入所有箱子箱封号和件毛体，保存，录VGM，导入"/>
    <x v="104"/>
    <x v="0"/>
    <x v="1"/>
    <m/>
    <m/>
    <n v="-77"/>
  </r>
  <r>
    <x v="7"/>
    <x v="72"/>
    <n v="23"/>
    <s v="打印MBL"/>
    <x v="104"/>
    <x v="0"/>
    <x v="1"/>
    <m/>
    <m/>
    <n v="-77"/>
  </r>
  <r>
    <x v="7"/>
    <x v="72"/>
    <n v="24"/>
    <s v="表格、HBL、MBL、费用一起发邮件给国外"/>
    <x v="104"/>
    <x v="0"/>
    <x v="1"/>
    <m/>
    <s v="Delete ayjun@kylogix.co.kr Add hypark@kylogix.co.kr"/>
    <n v="-77"/>
  </r>
  <r>
    <x v="7"/>
    <x v="72"/>
    <n v="25"/>
    <s v="船开"/>
    <x v="98"/>
    <x v="0"/>
    <x v="0"/>
    <m/>
    <m/>
    <n v="-74"/>
  </r>
  <r>
    <x v="7"/>
    <x v="72"/>
    <n v="26"/>
    <s v="拿到WAYBILL"/>
    <x v="98"/>
    <x v="0"/>
    <x v="4"/>
    <m/>
    <m/>
    <n v="-7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74"/>
  </r>
  <r>
    <x v="13"/>
    <x v="73"/>
    <n v="1"/>
    <s v="收到托书"/>
    <x v="80"/>
    <x v="0"/>
    <x v="0"/>
    <m/>
    <m/>
    <n v="-105"/>
  </r>
  <r>
    <x v="13"/>
    <x v="73"/>
    <n v="2"/>
    <s v="订舱"/>
    <x v="69"/>
    <x v="0"/>
    <x v="0"/>
    <m/>
    <m/>
    <n v="-100"/>
  </r>
  <r>
    <x v="13"/>
    <x v="73"/>
    <n v="3"/>
    <s v="收到MSK 订舱确认邮件"/>
    <x v="69"/>
    <x v="0"/>
    <x v="0"/>
    <m/>
    <m/>
    <n v="-100"/>
  </r>
  <r>
    <x v="13"/>
    <x v="73"/>
    <n v="4"/>
    <s v="发订舱确认邮件给客户"/>
    <x v="69"/>
    <x v="0"/>
    <x v="0"/>
    <m/>
    <m/>
    <n v="-100"/>
  </r>
  <r>
    <x v="13"/>
    <x v="73"/>
    <n v="4.0999999999999996"/>
    <s v="收到客户确认订舱信息"/>
    <x v="69"/>
    <x v="0"/>
    <x v="0"/>
    <m/>
    <m/>
    <n v="-100"/>
  </r>
  <r>
    <x v="13"/>
    <x v="73"/>
    <n v="5"/>
    <s v="确认提供资料时间"/>
    <x v="117"/>
    <x v="0"/>
    <x v="0"/>
    <m/>
    <m/>
    <n v="-79"/>
  </r>
  <r>
    <x v="13"/>
    <x v="73"/>
    <n v="6"/>
    <s v="做费用，拉账单"/>
    <x v="116"/>
    <x v="0"/>
    <x v="1"/>
    <m/>
    <m/>
    <n v="-78"/>
  </r>
  <r>
    <x v="13"/>
    <x v="73"/>
    <n v="7"/>
    <s v="收到截单资料"/>
    <x v="116"/>
    <x v="0"/>
    <x v="1"/>
    <m/>
    <m/>
    <n v="-78"/>
  </r>
  <r>
    <x v="13"/>
    <x v="73"/>
    <n v="8"/>
    <s v="YJC 截单，HBL和费用发文生然确认"/>
    <x v="116"/>
    <x v="0"/>
    <x v="1"/>
    <m/>
    <m/>
    <n v="-78"/>
  </r>
  <r>
    <x v="13"/>
    <x v="73"/>
    <n v="9"/>
    <s v="文生然确认HBL和费用"/>
    <x v="116"/>
    <x v="0"/>
    <x v="1"/>
    <m/>
    <m/>
    <n v="-78"/>
  </r>
  <r>
    <x v="13"/>
    <x v="73"/>
    <n v="10"/>
    <s v="MSK 录入提单确认内容"/>
    <x v="116"/>
    <x v="0"/>
    <x v="1"/>
    <m/>
    <m/>
    <n v="-78"/>
  </r>
  <r>
    <x v="13"/>
    <x v="73"/>
    <n v="11"/>
    <s v="联合船代发舱单"/>
    <x v="116"/>
    <x v="0"/>
    <x v="1"/>
    <m/>
    <m/>
    <n v="-78"/>
  </r>
  <r>
    <x v="13"/>
    <x v="73"/>
    <n v="12"/>
    <s v="MSK网站下载提单确认件"/>
    <x v="116"/>
    <x v="0"/>
    <x v="1"/>
    <m/>
    <m/>
    <n v="-78"/>
  </r>
  <r>
    <x v="13"/>
    <x v="73"/>
    <n v="13"/>
    <s v="邮件发COPY件、AMS、CREDIT给Wanda"/>
    <x v="116"/>
    <x v="0"/>
    <x v="1"/>
    <m/>
    <m/>
    <n v="-78"/>
  </r>
  <r>
    <x v="13"/>
    <x v="73"/>
    <n v="14"/>
    <s v="有舱单，核对，通知文生然"/>
    <x v="116"/>
    <x v="0"/>
    <x v="1"/>
    <m/>
    <m/>
    <n v="-78"/>
  </r>
  <r>
    <x v="13"/>
    <x v="73"/>
    <n v="15"/>
    <s v="进港，核对数据"/>
    <x v="104"/>
    <x v="0"/>
    <x v="0"/>
    <m/>
    <m/>
    <n v="-77"/>
  </r>
  <r>
    <x v="13"/>
    <x v="73"/>
    <n v="16"/>
    <s v="海放"/>
    <x v="104"/>
    <x v="0"/>
    <x v="0"/>
    <m/>
    <m/>
    <n v="-77"/>
  </r>
  <r>
    <x v="13"/>
    <x v="73"/>
    <n v="17"/>
    <s v="码放"/>
    <x v="98"/>
    <x v="0"/>
    <x v="0"/>
    <m/>
    <m/>
    <n v="-74"/>
  </r>
  <r>
    <x v="13"/>
    <x v="73"/>
    <n v="18"/>
    <s v="配载"/>
    <x v="101"/>
    <x v="0"/>
    <x v="4"/>
    <m/>
    <m/>
    <n v="-73"/>
  </r>
  <r>
    <x v="13"/>
    <x v="73"/>
    <n v="18.100000000000001"/>
    <s v="发延期通知"/>
    <x v="98"/>
    <x v="0"/>
    <x v="1"/>
    <m/>
    <m/>
    <n v="-74"/>
  </r>
  <r>
    <x v="13"/>
    <x v="73"/>
    <n v="19"/>
    <s v="船开"/>
    <x v="106"/>
    <x v="0"/>
    <x v="0"/>
    <m/>
    <m/>
    <n v="-72"/>
  </r>
  <r>
    <x v="13"/>
    <x v="73"/>
    <n v="20"/>
    <s v="邮件发开船通知给Wanda"/>
    <x v="106"/>
    <x v="0"/>
    <x v="0"/>
    <m/>
    <m/>
    <n v="-72"/>
  </r>
  <r>
    <x v="13"/>
    <x v="73"/>
    <n v="21"/>
    <s v="收到Wanda付款通知"/>
    <x v="123"/>
    <x v="0"/>
    <x v="3"/>
    <m/>
    <m/>
    <n v="-66"/>
  </r>
  <r>
    <x v="13"/>
    <x v="73"/>
    <n v="22"/>
    <s v="发SWB、HBL给Wanda"/>
    <x v="124"/>
    <x v="0"/>
    <x v="4"/>
    <m/>
    <m/>
    <n v="-62"/>
  </r>
  <r>
    <x v="8"/>
    <x v="74"/>
    <n v="1"/>
    <s v="收到孙丹发来托书"/>
    <x v="92"/>
    <x v="0"/>
    <x v="0"/>
    <m/>
    <m/>
    <n v="-99"/>
  </r>
  <r>
    <x v="8"/>
    <x v="74"/>
    <n v="2"/>
    <s v="收到CK发来预配，做做箱通知给沈丽"/>
    <x v="99"/>
    <x v="0"/>
    <x v="0"/>
    <m/>
    <m/>
    <n v="-94"/>
  </r>
  <r>
    <x v="8"/>
    <x v="74"/>
    <n v="3"/>
    <s v="生成YJC系统数据"/>
    <x v="68"/>
    <x v="0"/>
    <x v="1"/>
    <m/>
    <m/>
    <n v="-87"/>
  </r>
  <r>
    <x v="8"/>
    <x v="74"/>
    <n v="3.1"/>
    <s v="取消"/>
    <x v="114"/>
    <x v="0"/>
    <x v="0"/>
    <m/>
    <m/>
    <n v="-84"/>
  </r>
  <r>
    <x v="8"/>
    <x v="74"/>
    <n v="4"/>
    <s v="关注开港时间，确定货好时间和做箱时间，通知车队"/>
    <x v="114"/>
    <x v="1"/>
    <x v="1"/>
    <m/>
    <m/>
    <n v="-84"/>
  </r>
  <r>
    <x v="8"/>
    <x v="74"/>
    <n v="5"/>
    <s v="要装箱数据，收到装箱数据，转发车队和斗源卞亦琴，要报关资料"/>
    <x v="111"/>
    <x v="1"/>
    <x v="0"/>
    <m/>
    <m/>
    <n v="-81"/>
  </r>
  <r>
    <x v="8"/>
    <x v="74"/>
    <n v="6"/>
    <s v="收到报关资料，完善报关单，发报关行。"/>
    <x v="111"/>
    <x v="1"/>
    <x v="0"/>
    <m/>
    <m/>
    <n v="-81"/>
  </r>
  <r>
    <x v="8"/>
    <x v="74"/>
    <n v="7"/>
    <s v="收到车队(沈丽)装箱单和洋山提箱截图(如有)，9点前群发，通知发舱单"/>
    <x v="111"/>
    <x v="1"/>
    <x v="0"/>
    <m/>
    <m/>
    <n v="-81"/>
  </r>
  <r>
    <x v="8"/>
    <x v="74"/>
    <n v="8"/>
    <s v="收到舱单发送成功通知，核对舱单信息"/>
    <x v="111"/>
    <x v="1"/>
    <x v="0"/>
    <m/>
    <m/>
    <n v="-81"/>
  </r>
  <r>
    <x v="8"/>
    <x v="74"/>
    <n v="9"/>
    <s v="通知进港"/>
    <x v="111"/>
    <x v="1"/>
    <x v="0"/>
    <m/>
    <m/>
    <n v="-81"/>
  </r>
  <r>
    <x v="8"/>
    <x v="74"/>
    <n v="10"/>
    <s v="进港(核对数据)，有落箱费？"/>
    <x v="111"/>
    <x v="1"/>
    <x v="0"/>
    <m/>
    <m/>
    <n v="-81"/>
  </r>
  <r>
    <x v="8"/>
    <x v="74"/>
    <n v="11"/>
    <s v="通知报关"/>
    <x v="111"/>
    <x v="1"/>
    <x v="0"/>
    <m/>
    <m/>
    <n v="-81"/>
  </r>
  <r>
    <x v="8"/>
    <x v="74"/>
    <n v="12"/>
    <s v="报关成功"/>
    <x v="111"/>
    <x v="1"/>
    <x v="0"/>
    <m/>
    <m/>
    <n v="-81"/>
  </r>
  <r>
    <x v="8"/>
    <x v="74"/>
    <n v="13"/>
    <s v="海放"/>
    <x v="111"/>
    <x v="1"/>
    <x v="0"/>
    <m/>
    <m/>
    <n v="-81"/>
  </r>
  <r>
    <x v="8"/>
    <x v="74"/>
    <n v="14"/>
    <s v="码放"/>
    <x v="111"/>
    <x v="1"/>
    <x v="0"/>
    <m/>
    <m/>
    <n v="-81"/>
  </r>
  <r>
    <x v="8"/>
    <x v="74"/>
    <n v="15"/>
    <s v="配载"/>
    <x v="125"/>
    <x v="1"/>
    <x v="0"/>
    <m/>
    <m/>
    <n v="-75"/>
  </r>
  <r>
    <x v="8"/>
    <x v="74"/>
    <n v="16"/>
    <s v="做费用，发孙丹"/>
    <x v="125"/>
    <x v="1"/>
    <x v="0"/>
    <m/>
    <m/>
    <n v="-75"/>
  </r>
  <r>
    <x v="8"/>
    <x v="74"/>
    <n v="17"/>
    <s v="船开"/>
    <x v="98"/>
    <x v="1"/>
    <x v="0"/>
    <m/>
    <m/>
    <n v="-74"/>
  </r>
  <r>
    <x v="3"/>
    <x v="74"/>
    <n v="1"/>
    <s v="PANCON上周日船期提单领取单"/>
    <x v="98"/>
    <x v="0"/>
    <x v="1"/>
    <m/>
    <s v="周一"/>
    <n v="-74"/>
  </r>
  <r>
    <x v="3"/>
    <x v="74"/>
    <n v="2"/>
    <s v="WEEKLY REPORT"/>
    <x v="98"/>
    <x v="0"/>
    <x v="3"/>
    <m/>
    <s v="周一"/>
    <n v="-74"/>
  </r>
  <r>
    <x v="3"/>
    <x v="74"/>
    <n v="3"/>
    <s v="汇总SC JS下周订舱需求，回Abbi邮件，制作每票清单流水"/>
    <x v="98"/>
    <x v="0"/>
    <x v="6"/>
    <m/>
    <s v="周一"/>
    <n v="-74"/>
  </r>
  <r>
    <x v="3"/>
    <x v="74"/>
    <n v="4"/>
    <s v="收到Abbi确认"/>
    <x v="101"/>
    <x v="0"/>
    <x v="3"/>
    <m/>
    <s v="周一"/>
    <n v="-73"/>
  </r>
  <r>
    <x v="3"/>
    <x v="74"/>
    <n v="5"/>
    <s v="拿到PANCON WAYBILL，朱琳的给朱琳"/>
    <x v="98"/>
    <x v="0"/>
    <x v="4"/>
    <m/>
    <s v="周一"/>
    <n v="-74"/>
  </r>
  <r>
    <x v="3"/>
    <x v="74"/>
    <n v="6"/>
    <s v="PANCON周三出运清单，附件贴邮件中"/>
    <x v="98"/>
    <x v="0"/>
    <x v="3"/>
    <m/>
    <s v="周一"/>
    <n v="-74"/>
  </r>
  <r>
    <x v="3"/>
    <x v="74"/>
    <n v="7"/>
    <s v="WORKING PROCESS"/>
    <x v="98"/>
    <x v="0"/>
    <x v="3"/>
    <m/>
    <s v="周一"/>
    <n v="-74"/>
  </r>
  <r>
    <x v="3"/>
    <x v="74"/>
    <n v="8"/>
    <s v="WORKING PROCESS"/>
    <x v="106"/>
    <x v="0"/>
    <x v="4"/>
    <m/>
    <s v="周三"/>
    <n v="-72"/>
  </r>
  <r>
    <x v="3"/>
    <x v="74"/>
    <n v="9"/>
    <s v="PANCON周三船期提单领取单"/>
    <x v="109"/>
    <x v="0"/>
    <x v="1"/>
    <m/>
    <s v="周四"/>
    <n v="-71"/>
  </r>
  <r>
    <x v="3"/>
    <x v="74"/>
    <n v="10"/>
    <s v="拿到PANCON WAYBILL，朱琳的给朱琳"/>
    <x v="109"/>
    <x v="0"/>
    <x v="4"/>
    <m/>
    <s v="周四"/>
    <n v="-71"/>
  </r>
  <r>
    <x v="3"/>
    <x v="74"/>
    <n v="11"/>
    <s v="收到 Abbi 下下周订舱预报邮件"/>
    <x v="105"/>
    <x v="0"/>
    <x v="4"/>
    <m/>
    <s v="周五"/>
    <n v="-70"/>
  </r>
  <r>
    <x v="3"/>
    <x v="74"/>
    <n v="12"/>
    <s v="问JS mobis、SC glovis下下周订舱需求"/>
    <x v="108"/>
    <x v="0"/>
    <x v="1"/>
    <m/>
    <s v="周五"/>
    <n v="-67"/>
  </r>
  <r>
    <x v="3"/>
    <x v="74"/>
    <n v="13"/>
    <s v="WORKING PROCESS"/>
    <x v="105"/>
    <x v="0"/>
    <x v="4"/>
    <m/>
    <s v="周五"/>
    <n v="-70"/>
  </r>
  <r>
    <x v="3"/>
    <x v="74"/>
    <n v="14"/>
    <s v="PANCON周日出运清单，附件贴邮件中"/>
    <x v="105"/>
    <x v="0"/>
    <x v="3"/>
    <m/>
    <s v="周五"/>
    <n v="-70"/>
  </r>
  <r>
    <x v="3"/>
    <x v="74"/>
    <n v="15"/>
    <s v="制下周 WEEK 流水"/>
    <x v="105"/>
    <x v="0"/>
    <x v="4"/>
    <m/>
    <s v="周五"/>
    <n v="-70"/>
  </r>
  <r>
    <x v="3"/>
    <x v="74"/>
    <n v="16"/>
    <s v="本周APP"/>
    <x v="105"/>
    <x v="1"/>
    <x v="0"/>
    <m/>
    <s v="周五"/>
    <n v="-70"/>
  </r>
  <r>
    <x v="3"/>
    <x v="74"/>
    <m/>
    <s v="PL"/>
    <x v="98"/>
    <x v="0"/>
    <x v="3"/>
    <m/>
    <m/>
    <n v="-74"/>
  </r>
  <r>
    <x v="3"/>
    <x v="74"/>
    <m/>
    <s v="NINGBO又在问新报价"/>
    <x v="105"/>
    <x v="1"/>
    <x v="0"/>
    <m/>
    <m/>
    <n v="-70"/>
  </r>
  <r>
    <x v="0"/>
    <x v="75"/>
    <n v="1"/>
    <s v="收到客户(孙丹/王珊)发来订舱托书"/>
    <x v="114"/>
    <x v="0"/>
    <x v="0"/>
    <m/>
    <m/>
    <n v="-84"/>
  </r>
  <r>
    <x v="0"/>
    <x v="75"/>
    <n v="2"/>
    <s v="收到CK发来预配(做箱通知，沈丽有收到？)"/>
    <x v="116"/>
    <x v="0"/>
    <x v="3"/>
    <m/>
    <m/>
    <n v="-78"/>
  </r>
  <r>
    <x v="0"/>
    <x v="75"/>
    <n v="3"/>
    <s v="YJC系统生成单子"/>
    <x v="116"/>
    <x v="0"/>
    <x v="3"/>
    <m/>
    <m/>
    <n v="-78"/>
  </r>
  <r>
    <x v="0"/>
    <x v="75"/>
    <n v="4"/>
    <s v="收到包装厂(刘倩梅)发来包装指示书和装箱计划"/>
    <x v="116"/>
    <x v="0"/>
    <x v="3"/>
    <m/>
    <s v="一般周四"/>
    <n v="-78"/>
  </r>
  <r>
    <x v="0"/>
    <x v="75"/>
    <n v="5"/>
    <s v="做做箱数据，邮件群发(查开港时间，注明做箱时间)"/>
    <x v="116"/>
    <x v="0"/>
    <x v="3"/>
    <m/>
    <m/>
    <n v="-78"/>
  </r>
  <r>
    <x v="0"/>
    <x v="75"/>
    <n v="6"/>
    <s v="根据装箱计划汇总包装数据，发各工厂做报关资料"/>
    <x v="116"/>
    <x v="0"/>
    <x v="3"/>
    <m/>
    <m/>
    <n v="-78"/>
  </r>
  <r>
    <x v="0"/>
    <x v="75"/>
    <n v="7"/>
    <s v="收到工厂发来报关资料并完善(代做报关资料跟客户确认)"/>
    <x v="104"/>
    <x v="0"/>
    <x v="3"/>
    <m/>
    <s v="当天至隔天"/>
    <n v="-77"/>
  </r>
  <r>
    <x v="0"/>
    <x v="75"/>
    <n v="8"/>
    <s v="报关资料齐了（光成要素划掉XXX），发报关行(黄寅文)"/>
    <x v="104"/>
    <x v="0"/>
    <x v="3"/>
    <m/>
    <m/>
    <n v="-77"/>
  </r>
  <r>
    <x v="0"/>
    <x v="75"/>
    <n v="8.1"/>
    <s v="收到三立报关资料，发报关行"/>
    <x v="98"/>
    <x v="0"/>
    <x v="0"/>
    <m/>
    <m/>
    <n v="-74"/>
  </r>
  <r>
    <x v="0"/>
    <x v="75"/>
    <n v="9"/>
    <s v="货运模板/发票/箱单"/>
    <x v="98"/>
    <x v="0"/>
    <x v="3"/>
    <m/>
    <m/>
    <n v="-74"/>
  </r>
  <r>
    <x v="0"/>
    <x v="75"/>
    <n v="10"/>
    <s v="通知进港"/>
    <x v="104"/>
    <x v="1"/>
    <x v="0"/>
    <m/>
    <s v="调整顺序"/>
    <n v="-77"/>
  </r>
  <r>
    <x v="0"/>
    <x v="75"/>
    <n v="11"/>
    <s v="【HMI】确认一下开港时间，看做箱时间要不要变"/>
    <x v="98"/>
    <x v="0"/>
    <x v="0"/>
    <m/>
    <s v="周六"/>
    <n v="-74"/>
  </r>
  <r>
    <x v="0"/>
    <x v="75"/>
    <n v="12"/>
    <s v="收到车队(沈丽)装箱单和洋山提箱截图(如有)，9点前群发，通知发舱单"/>
    <x v="98"/>
    <x v="0"/>
    <x v="1"/>
    <m/>
    <s v="一般KMM五、HMI日"/>
    <n v="-74"/>
  </r>
  <r>
    <x v="0"/>
    <x v="75"/>
    <n v="13"/>
    <s v="进港(核对数据)"/>
    <x v="98"/>
    <x v="0"/>
    <x v="1"/>
    <m/>
    <s v="调整顺序"/>
    <n v="-74"/>
  </r>
  <r>
    <x v="0"/>
    <x v="75"/>
    <n v="14"/>
    <s v="收到舱单发送成功通知，核对舱单信息"/>
    <x v="98"/>
    <x v="0"/>
    <x v="6"/>
    <m/>
    <m/>
    <n v="-74"/>
  </r>
  <r>
    <x v="0"/>
    <x v="75"/>
    <n v="15"/>
    <s v="通知报关（洋山发装箱单）"/>
    <x v="98"/>
    <x v="0"/>
    <x v="6"/>
    <m/>
    <s v="调整顺序"/>
    <n v="-74"/>
  </r>
  <r>
    <x v="0"/>
    <x v="75"/>
    <n v="16"/>
    <s v="报关成功"/>
    <x v="98"/>
    <x v="0"/>
    <x v="6"/>
    <m/>
    <s v="调整顺序"/>
    <n v="-74"/>
  </r>
  <r>
    <x v="0"/>
    <x v="75"/>
    <n v="17"/>
    <s v="海放"/>
    <x v="98"/>
    <x v="0"/>
    <x v="3"/>
    <m/>
    <m/>
    <n v="-74"/>
  </r>
  <r>
    <x v="0"/>
    <x v="75"/>
    <n v="18"/>
    <s v="码放"/>
    <x v="101"/>
    <x v="0"/>
    <x v="4"/>
    <m/>
    <m/>
    <n v="-73"/>
  </r>
  <r>
    <x v="0"/>
    <x v="75"/>
    <n v="19"/>
    <s v="配载"/>
    <x v="106"/>
    <x v="0"/>
    <x v="6"/>
    <m/>
    <m/>
    <n v="-72"/>
  </r>
  <r>
    <x v="0"/>
    <x v="75"/>
    <n v="20"/>
    <s v="做费用(对账单日期4号)，放公共盘，填月账单表，发孙丹"/>
    <x v="101"/>
    <x v="0"/>
    <x v="6"/>
    <m/>
    <m/>
    <n v="-73"/>
  </r>
  <r>
    <x v="0"/>
    <x v="75"/>
    <n v="21"/>
    <s v="如有额外费用发邮件"/>
    <x v="101"/>
    <x v="0"/>
    <x v="6"/>
    <m/>
    <m/>
    <n v="-73"/>
  </r>
  <r>
    <x v="0"/>
    <x v="75"/>
    <n v="22"/>
    <s v="船开"/>
    <x v="109"/>
    <x v="0"/>
    <x v="0"/>
    <m/>
    <m/>
    <n v="-71"/>
  </r>
  <r>
    <x v="4"/>
    <x v="75"/>
    <n v="1"/>
    <s v="收到客户(陈云娣)订舱预报"/>
    <x v="114"/>
    <x v="0"/>
    <x v="0"/>
    <m/>
    <s v="一般周五发隔周"/>
    <n v="-84"/>
  </r>
  <r>
    <x v="4"/>
    <x v="75"/>
    <n v="2"/>
    <s v="填WORKING PROCESS"/>
    <x v="114"/>
    <x v="0"/>
    <x v="0"/>
    <m/>
    <m/>
    <n v="-84"/>
  </r>
  <r>
    <x v="4"/>
    <x v="75"/>
    <n v="6"/>
    <s v="公共盘生成提单号(QSWB不要搞错)"/>
    <x v="117"/>
    <x v="0"/>
    <x v="0"/>
    <m/>
    <m/>
    <n v="-79"/>
  </r>
  <r>
    <x v="4"/>
    <x v="75"/>
    <n v="7"/>
    <s v="YJC系统生成单子"/>
    <x v="117"/>
    <x v="0"/>
    <x v="0"/>
    <m/>
    <m/>
    <n v="-79"/>
  </r>
  <r>
    <x v="4"/>
    <x v="75"/>
    <n v="8"/>
    <s v="发EDI"/>
    <x v="117"/>
    <x v="0"/>
    <x v="0"/>
    <m/>
    <m/>
    <n v="-79"/>
  </r>
  <r>
    <x v="4"/>
    <x v="75"/>
    <n v="9"/>
    <s v="邮件申请放舱"/>
    <x v="117"/>
    <x v="0"/>
    <x v="0"/>
    <m/>
    <m/>
    <n v="-79"/>
  </r>
  <r>
    <x v="4"/>
    <x v="75"/>
    <n v="10"/>
    <s v="收到HMM(Abbi) 确认放舱"/>
    <x v="117"/>
    <x v="0"/>
    <x v="0"/>
    <m/>
    <s v="一般半天内"/>
    <n v="-79"/>
  </r>
  <r>
    <x v="4"/>
    <x v="75"/>
    <n v="11"/>
    <s v="HMM网站核对订舱信息"/>
    <x v="117"/>
    <x v="0"/>
    <x v="0"/>
    <m/>
    <m/>
    <n v="-79"/>
  </r>
  <r>
    <x v="4"/>
    <x v="75"/>
    <n v="11.1"/>
    <s v="取消，走空运"/>
    <x v="104"/>
    <x v="0"/>
    <x v="0"/>
    <m/>
    <m/>
    <n v="-77"/>
  </r>
  <r>
    <x v="4"/>
    <x v="75"/>
    <n v="12"/>
    <s v="收到客户(陈云娣)做箱通知"/>
    <x v="104"/>
    <x v="1"/>
    <x v="0"/>
    <m/>
    <s v="一般做箱头天一早"/>
    <n v="-77"/>
  </r>
  <r>
    <x v="4"/>
    <x v="75"/>
    <n v="13"/>
    <s v="【拆单】公共盘生成提单号"/>
    <x v="104"/>
    <x v="1"/>
    <x v="0"/>
    <m/>
    <m/>
    <n v="-77"/>
  </r>
  <r>
    <x v="4"/>
    <x v="75"/>
    <n v="14"/>
    <s v="发做箱通知邮件给车队(沈丽)（航次要加QL？）"/>
    <x v="104"/>
    <x v="1"/>
    <x v="0"/>
    <m/>
    <m/>
    <n v="-77"/>
  </r>
  <r>
    <x v="4"/>
    <x v="75"/>
    <n v="15"/>
    <s v="【拆单】YJC系统生成单子（QSWB不要搞错）"/>
    <x v="104"/>
    <x v="1"/>
    <x v="0"/>
    <m/>
    <m/>
    <n v="-77"/>
  </r>
  <r>
    <x v="4"/>
    <x v="75"/>
    <n v="16"/>
    <s v="【拆单】发EDI"/>
    <x v="104"/>
    <x v="1"/>
    <x v="0"/>
    <m/>
    <m/>
    <n v="-77"/>
  </r>
  <r>
    <x v="4"/>
    <x v="75"/>
    <n v="17"/>
    <s v="【拆单】邮件申请放单"/>
    <x v="104"/>
    <x v="1"/>
    <x v="0"/>
    <m/>
    <m/>
    <n v="-77"/>
  </r>
  <r>
    <x v="4"/>
    <x v="75"/>
    <n v="18"/>
    <s v="【拆单】收到HMM(Abbi) 加拼放单确认"/>
    <x v="104"/>
    <x v="1"/>
    <x v="0"/>
    <m/>
    <m/>
    <n v="-77"/>
  </r>
  <r>
    <x v="4"/>
    <x v="75"/>
    <n v="19"/>
    <s v="【拆单】HMM网站核对订舱信息"/>
    <x v="104"/>
    <x v="1"/>
    <x v="0"/>
    <m/>
    <m/>
    <n v="-77"/>
  </r>
  <r>
    <x v="4"/>
    <x v="75"/>
    <n v="20"/>
    <s v="收到客户(陈云娣)发来报关资料"/>
    <x v="98"/>
    <x v="1"/>
    <x v="0"/>
    <m/>
    <s v="一般做箱当天一早"/>
    <n v="-74"/>
  </r>
  <r>
    <x v="4"/>
    <x v="75"/>
    <n v="21"/>
    <s v="【加拼】按报关(发票)数生成提单号【如发票数超过提单数】"/>
    <x v="98"/>
    <x v="1"/>
    <x v="0"/>
    <m/>
    <m/>
    <n v="-74"/>
  </r>
  <r>
    <x v="4"/>
    <x v="75"/>
    <n v="22"/>
    <s v="做做箱数据，QQ发车队(沈丽)"/>
    <x v="98"/>
    <x v="1"/>
    <x v="0"/>
    <m/>
    <m/>
    <n v="-74"/>
  </r>
  <r>
    <x v="4"/>
    <x v="75"/>
    <n v="23"/>
    <s v="收到车队(沈丽)装箱单，转发客户（陈云娣）"/>
    <x v="98"/>
    <x v="1"/>
    <x v="0"/>
    <m/>
    <s v="一般马上"/>
    <n v="-74"/>
  </r>
  <r>
    <x v="4"/>
    <x v="75"/>
    <n v="24"/>
    <s v="YJC系统截单，发EDI，邮件HMM(He)【截单时间】"/>
    <x v="98"/>
    <x v="1"/>
    <x v="0"/>
    <m/>
    <s v="注意截单时间"/>
    <n v="-74"/>
  </r>
  <r>
    <x v="4"/>
    <x v="75"/>
    <n v="25"/>
    <s v="发VGM和舱单（亿通，鹏海两次）"/>
    <x v="98"/>
    <x v="1"/>
    <x v="0"/>
    <m/>
    <m/>
    <n v="-74"/>
  </r>
  <r>
    <x v="4"/>
    <x v="75"/>
    <n v="26"/>
    <s v="做报关资料，扫描发报关行(黄寅文)QQ，要校对稿"/>
    <x v="98"/>
    <x v="1"/>
    <x v="0"/>
    <m/>
    <m/>
    <n v="-74"/>
  </r>
  <r>
    <x v="4"/>
    <x v="75"/>
    <n v="27"/>
    <s v="做保函给邹师傅(美国线)"/>
    <x v="98"/>
    <x v="1"/>
    <x v="0"/>
    <m/>
    <m/>
    <n v="-74"/>
  </r>
  <r>
    <x v="4"/>
    <x v="75"/>
    <n v="28"/>
    <s v="做ISF，发国外资料"/>
    <x v="98"/>
    <x v="1"/>
    <x v="0"/>
    <m/>
    <m/>
    <n v="-74"/>
  </r>
  <r>
    <x v="4"/>
    <x v="75"/>
    <n v="29"/>
    <s v="买保险"/>
    <x v="98"/>
    <x v="1"/>
    <x v="0"/>
    <m/>
    <m/>
    <n v="-74"/>
  </r>
  <r>
    <x v="4"/>
    <x v="75"/>
    <n v="31"/>
    <s v="收到HMM(He)生成提单通知"/>
    <x v="98"/>
    <x v="1"/>
    <x v="0"/>
    <m/>
    <s v="一般马上"/>
    <n v="-74"/>
  </r>
  <r>
    <x v="4"/>
    <x v="75"/>
    <n v="32"/>
    <s v="HMM网站核对提单信息"/>
    <x v="98"/>
    <x v="1"/>
    <x v="0"/>
    <m/>
    <m/>
    <n v="-74"/>
  </r>
  <r>
    <x v="4"/>
    <x v="75"/>
    <n v="33"/>
    <s v="盯海关网站舱单"/>
    <x v="98"/>
    <x v="1"/>
    <x v="0"/>
    <m/>
    <s v="一般两小时左右"/>
    <n v="-74"/>
  </r>
  <r>
    <x v="4"/>
    <x v="75"/>
    <n v="34"/>
    <s v="核对舱单信息"/>
    <x v="98"/>
    <x v="1"/>
    <x v="0"/>
    <m/>
    <m/>
    <n v="-74"/>
  </r>
  <r>
    <x v="4"/>
    <x v="75"/>
    <n v="35"/>
    <s v="收到报关行(黄寅文)校对稿，邮件发客户(陈云娣)确认"/>
    <x v="98"/>
    <x v="1"/>
    <x v="0"/>
    <m/>
    <s v="一般半天内"/>
    <n v="-74"/>
  </r>
  <r>
    <x v="4"/>
    <x v="75"/>
    <n v="36"/>
    <s v="收到客户(陈云娣)确认校对稿"/>
    <x v="98"/>
    <x v="1"/>
    <x v="0"/>
    <m/>
    <s v="一般马上"/>
    <n v="-74"/>
  </r>
  <r>
    <x v="4"/>
    <x v="75"/>
    <n v="37"/>
    <s v="通知车队(沈丽)可进港"/>
    <x v="98"/>
    <x v="1"/>
    <x v="0"/>
    <m/>
    <m/>
    <n v="-74"/>
  </r>
  <r>
    <x v="4"/>
    <x v="75"/>
    <n v="38"/>
    <s v="盯箱子进港，关注开港时间，有落箱费？"/>
    <x v="126"/>
    <x v="1"/>
    <x v="0"/>
    <m/>
    <m/>
    <n v="-76"/>
  </r>
  <r>
    <x v="4"/>
    <x v="75"/>
    <n v="39"/>
    <s v="核对进港数据"/>
    <x v="126"/>
    <x v="1"/>
    <x v="0"/>
    <m/>
    <m/>
    <n v="-76"/>
  </r>
  <r>
    <x v="4"/>
    <x v="75"/>
    <n v="40"/>
    <s v="通知报关行(黄寅文)报关(开港、舱单、校对)（洋山提供装箱单）"/>
    <x v="126"/>
    <x v="1"/>
    <x v="0"/>
    <m/>
    <m/>
    <n v="-76"/>
  </r>
  <r>
    <x v="4"/>
    <x v="75"/>
    <n v="41"/>
    <s v="收到报关成功通知"/>
    <x v="126"/>
    <x v="1"/>
    <x v="0"/>
    <m/>
    <s v="一般下班前"/>
    <n v="-76"/>
  </r>
  <r>
    <x v="4"/>
    <x v="75"/>
    <n v="42"/>
    <s v="盯海放"/>
    <x v="126"/>
    <x v="1"/>
    <x v="0"/>
    <m/>
    <m/>
    <n v="-76"/>
  </r>
  <r>
    <x v="4"/>
    <x v="75"/>
    <n v="43"/>
    <s v="盯码放"/>
    <x v="101"/>
    <x v="1"/>
    <x v="0"/>
    <m/>
    <m/>
    <n v="-73"/>
  </r>
  <r>
    <x v="4"/>
    <x v="75"/>
    <n v="44"/>
    <s v="盯配载"/>
    <x v="101"/>
    <x v="1"/>
    <x v="0"/>
    <m/>
    <m/>
    <n v="-73"/>
  </r>
  <r>
    <x v="4"/>
    <x v="75"/>
    <n v="45"/>
    <s v="做费用(月初等汇率)，发账单给陈吟勇"/>
    <x v="101"/>
    <x v="1"/>
    <x v="0"/>
    <m/>
    <m/>
    <n v="-73"/>
  </r>
  <r>
    <x v="4"/>
    <x v="75"/>
    <n v="46"/>
    <s v="船开"/>
    <x v="106"/>
    <x v="1"/>
    <x v="0"/>
    <m/>
    <m/>
    <n v="-72"/>
  </r>
  <r>
    <x v="4"/>
    <x v="75"/>
    <n v="47"/>
    <s v="放提单、预录单、放行单（PHISON、陈吟勇提单、陈云娣三单）"/>
    <x v="109"/>
    <x v="1"/>
    <x v="0"/>
    <m/>
    <s v="一般开船后两三天"/>
    <n v="-71"/>
  </r>
  <r>
    <x v="1"/>
    <x v="75"/>
    <n v="1"/>
    <s v="收到客户(孙丹/王珊)发来订舱托书"/>
    <x v="114"/>
    <x v="0"/>
    <x v="0"/>
    <m/>
    <m/>
    <n v="-84"/>
  </r>
  <r>
    <x v="1"/>
    <x v="75"/>
    <n v="2"/>
    <s v="收到CK发来预配(做箱通知，沈丽有收到？)"/>
    <x v="114"/>
    <x v="0"/>
    <x v="0"/>
    <m/>
    <m/>
    <n v="-84"/>
  </r>
  <r>
    <x v="1"/>
    <x v="75"/>
    <n v="3"/>
    <s v="YJC系统生成单子"/>
    <x v="111"/>
    <x v="0"/>
    <x v="3"/>
    <m/>
    <m/>
    <n v="-81"/>
  </r>
  <r>
    <x v="1"/>
    <x v="75"/>
    <n v="4"/>
    <s v="收到包装厂(刘倩梅)发来包装指示书和装箱计划"/>
    <x v="116"/>
    <x v="0"/>
    <x v="0"/>
    <m/>
    <s v="一般周四"/>
    <n v="-78"/>
  </r>
  <r>
    <x v="1"/>
    <x v="75"/>
    <n v="5"/>
    <s v="根据装箱计划汇总包装数据，发各工厂做报关资料"/>
    <x v="116"/>
    <x v="0"/>
    <x v="1"/>
    <m/>
    <m/>
    <n v="-78"/>
  </r>
  <r>
    <x v="1"/>
    <x v="75"/>
    <n v="6"/>
    <s v="做做箱数据，邮件群发(查开港时间，注明做箱时间)"/>
    <x v="116"/>
    <x v="0"/>
    <x v="1"/>
    <m/>
    <m/>
    <n v="-78"/>
  </r>
  <r>
    <x v="1"/>
    <x v="75"/>
    <n v="7"/>
    <s v="【HMI】确认一下开港时间，看做箱时间要不要变"/>
    <x v="98"/>
    <x v="1"/>
    <x v="0"/>
    <m/>
    <s v="周六"/>
    <n v="-74"/>
  </r>
  <r>
    <x v="1"/>
    <x v="75"/>
    <n v="8"/>
    <s v="收到工厂发来报关资料并完善(代做报关资料跟客户确认)"/>
    <x v="116"/>
    <x v="0"/>
    <x v="6"/>
    <m/>
    <s v="当天至隔天"/>
    <n v="-78"/>
  </r>
  <r>
    <x v="1"/>
    <x v="75"/>
    <n v="9"/>
    <s v="报关资料齐了（光成要素划掉XXX），发报关行(黄寅文)"/>
    <x v="116"/>
    <x v="0"/>
    <x v="6"/>
    <m/>
    <m/>
    <n v="-78"/>
  </r>
  <r>
    <x v="1"/>
    <x v="75"/>
    <n v="10"/>
    <s v="货运模板/发票/箱单"/>
    <x v="98"/>
    <x v="0"/>
    <x v="3"/>
    <m/>
    <m/>
    <n v="-74"/>
  </r>
  <r>
    <x v="1"/>
    <x v="75"/>
    <n v="11"/>
    <s v="收到车队(沈丽)装箱单和洋山提箱截图(如有)，9点前群发，通知发舱单"/>
    <x v="104"/>
    <x v="0"/>
    <x v="1"/>
    <m/>
    <s v="一般KMM五、HMI日"/>
    <n v="-77"/>
  </r>
  <r>
    <x v="1"/>
    <x v="75"/>
    <n v="12"/>
    <s v="收到舱单发送成功通知，核对舱单信息"/>
    <x v="104"/>
    <x v="0"/>
    <x v="4"/>
    <m/>
    <m/>
    <n v="-77"/>
  </r>
  <r>
    <x v="1"/>
    <x v="75"/>
    <n v="13"/>
    <s v="通知报关（洋山发装箱单）"/>
    <x v="104"/>
    <x v="0"/>
    <x v="4"/>
    <m/>
    <s v="调整顺序"/>
    <n v="-77"/>
  </r>
  <r>
    <x v="1"/>
    <x v="75"/>
    <n v="14"/>
    <s v="报关成功"/>
    <x v="104"/>
    <x v="0"/>
    <x v="4"/>
    <m/>
    <s v="调整顺序"/>
    <n v="-77"/>
  </r>
  <r>
    <x v="1"/>
    <x v="75"/>
    <n v="15"/>
    <s v="通知进港"/>
    <x v="98"/>
    <x v="0"/>
    <x v="0"/>
    <m/>
    <s v="调整顺序"/>
    <n v="-74"/>
  </r>
  <r>
    <x v="1"/>
    <x v="75"/>
    <n v="16"/>
    <s v="进港(核对数据)"/>
    <x v="98"/>
    <x v="0"/>
    <x v="1"/>
    <m/>
    <s v="调整顺序"/>
    <n v="-74"/>
  </r>
  <r>
    <x v="1"/>
    <x v="75"/>
    <n v="17"/>
    <s v="海放"/>
    <x v="98"/>
    <x v="0"/>
    <x v="0"/>
    <m/>
    <m/>
    <n v="-74"/>
  </r>
  <r>
    <x v="1"/>
    <x v="75"/>
    <n v="18"/>
    <s v="码放"/>
    <x v="101"/>
    <x v="0"/>
    <x v="0"/>
    <m/>
    <m/>
    <n v="-73"/>
  </r>
  <r>
    <x v="1"/>
    <x v="75"/>
    <n v="19"/>
    <s v="配载"/>
    <x v="106"/>
    <x v="0"/>
    <x v="4"/>
    <m/>
    <m/>
    <n v="-72"/>
  </r>
  <r>
    <x v="1"/>
    <x v="75"/>
    <n v="20"/>
    <s v="做费用(对账单日期4号)，放公共盘，填月账单表，发孙丹"/>
    <x v="101"/>
    <x v="0"/>
    <x v="6"/>
    <m/>
    <m/>
    <n v="-73"/>
  </r>
  <r>
    <x v="1"/>
    <x v="75"/>
    <n v="21"/>
    <s v="如有额外费用发邮件"/>
    <x v="101"/>
    <x v="0"/>
    <x v="6"/>
    <m/>
    <m/>
    <n v="-73"/>
  </r>
  <r>
    <x v="1"/>
    <x v="75"/>
    <n v="22"/>
    <s v="船开"/>
    <x v="109"/>
    <x v="0"/>
    <x v="0"/>
    <m/>
    <m/>
    <n v="-71"/>
  </r>
  <r>
    <x v="7"/>
    <x v="75"/>
    <n v="1"/>
    <s v="收到徐小姐托书"/>
    <x v="114"/>
    <x v="0"/>
    <x v="0"/>
    <m/>
    <m/>
    <n v="-84"/>
  </r>
  <r>
    <x v="7"/>
    <x v="75"/>
    <n v="2"/>
    <s v="公共盘表格生成单号，YJC系统复制、生成"/>
    <x v="114"/>
    <x v="0"/>
    <x v="0"/>
    <m/>
    <s v="注意MBL#命名规则"/>
    <n v="-84"/>
  </r>
  <r>
    <x v="7"/>
    <x v="75"/>
    <n v="3"/>
    <s v="(一票一订)振华订舱界面复制订舱、保存、提交"/>
    <x v="114"/>
    <x v="0"/>
    <x v="0"/>
    <m/>
    <s v="客户编号 提单号 船名航次 日期 箱量"/>
    <n v="-84"/>
  </r>
  <r>
    <x v="7"/>
    <x v="75"/>
    <n v="4"/>
    <s v="邮件发确认给国外"/>
    <x v="114"/>
    <x v="0"/>
    <x v="0"/>
    <m/>
    <s v="Delete ayjun@kylogix.co.kr Add hypark@kylogix.co.kr"/>
    <n v="-84"/>
  </r>
  <r>
    <x v="7"/>
    <x v="75"/>
    <n v="5"/>
    <s v="QQ发预配信息给徐小姐（模板），问是否要加拼，发车队江"/>
    <x v="114"/>
    <x v="0"/>
    <x v="0"/>
    <m/>
    <m/>
    <n v="-84"/>
  </r>
  <r>
    <x v="7"/>
    <x v="75"/>
    <n v="6"/>
    <s v="订舱审核通过"/>
    <x v="111"/>
    <x v="0"/>
    <x v="6"/>
    <m/>
    <m/>
    <n v="-81"/>
  </r>
  <r>
    <x v="7"/>
    <x v="75"/>
    <n v="7"/>
    <s v="订舱界面加拼、提交，通知徐小姐加拼单号"/>
    <x v="114"/>
    <x v="1"/>
    <x v="0"/>
    <m/>
    <s v="点“多票加拼”"/>
    <n v="-84"/>
  </r>
  <r>
    <x v="7"/>
    <x v="75"/>
    <n v="8"/>
    <s v="加拼审核通过"/>
    <x v="114"/>
    <x v="1"/>
    <x v="0"/>
    <m/>
    <m/>
    <n v="-84"/>
  </r>
  <r>
    <x v="7"/>
    <x v="75"/>
    <n v="9"/>
    <s v="收到国外确认，公共盘红改黑，加CONFIRM"/>
    <x v="114"/>
    <x v="0"/>
    <x v="2"/>
    <m/>
    <m/>
    <n v="-84"/>
  </r>
  <r>
    <x v="7"/>
    <x v="75"/>
    <n v="10"/>
    <s v="做费用,YJCSHAN1913596 减988"/>
    <x v="101"/>
    <x v="0"/>
    <x v="1"/>
    <m/>
    <m/>
    <n v="-73"/>
  </r>
  <r>
    <x v="7"/>
    <x v="75"/>
    <n v="11"/>
    <s v="问装箱时间"/>
    <x v="104"/>
    <x v="1"/>
    <x v="0"/>
    <m/>
    <m/>
    <n v="-77"/>
  </r>
  <r>
    <x v="7"/>
    <x v="75"/>
    <n v="12"/>
    <s v="收到车队江发来装箱数据和装箱单"/>
    <x v="101"/>
    <x v="0"/>
    <x v="1"/>
    <m/>
    <s v="周三周一截，周日周五截"/>
    <n v="-73"/>
  </r>
  <r>
    <x v="7"/>
    <x v="75"/>
    <n v="13"/>
    <s v="数据表中加入封号，汇总单票总件毛体"/>
    <x v="101"/>
    <x v="0"/>
    <x v="1"/>
    <m/>
    <m/>
    <n v="-73"/>
  </r>
  <r>
    <x v="7"/>
    <x v="75"/>
    <n v="14"/>
    <s v="YJC 截单"/>
    <x v="101"/>
    <x v="0"/>
    <x v="1"/>
    <m/>
    <s v="船名航次 开航日 件毛体 CC 箱量 箱封号 品名"/>
    <n v="-73"/>
  </r>
  <r>
    <x v="7"/>
    <x v="75"/>
    <n v="15"/>
    <s v="导出HBL，发徐小姐确认"/>
    <x v="101"/>
    <x v="0"/>
    <x v="1"/>
    <m/>
    <m/>
    <n v="-73"/>
  </r>
  <r>
    <x v="7"/>
    <x v="75"/>
    <n v="16"/>
    <s v="徐小姐确认HBL时，振华录入每一关单号的件毛体(注意箱状态)，保存"/>
    <x v="101"/>
    <x v="0"/>
    <x v="1"/>
    <m/>
    <m/>
    <n v="-73"/>
  </r>
  <r>
    <x v="7"/>
    <x v="75"/>
    <n v="17"/>
    <s v="徐小姐确认HBL"/>
    <x v="101"/>
    <x v="0"/>
    <x v="1"/>
    <m/>
    <m/>
    <n v="-73"/>
  </r>
  <r>
    <x v="7"/>
    <x v="75"/>
    <n v="18"/>
    <s v="发舱单"/>
    <x v="101"/>
    <x v="0"/>
    <x v="1"/>
    <m/>
    <s v="一关单一发"/>
    <n v="-73"/>
  </r>
  <r>
    <x v="7"/>
    <x v="75"/>
    <n v="19"/>
    <s v="海关有舱单，核对舱单信息，(如无并单，可直接录VGM)"/>
    <x v="101"/>
    <x v="0"/>
    <x v="1"/>
    <m/>
    <m/>
    <n v="-73"/>
  </r>
  <r>
    <x v="7"/>
    <x v="75"/>
    <n v="20"/>
    <s v="订舱界面并单"/>
    <x v="101"/>
    <x v="1"/>
    <x v="1"/>
    <m/>
    <m/>
    <n v="-73"/>
  </r>
  <r>
    <x v="7"/>
    <x v="75"/>
    <n v="21"/>
    <s v="并单审核通过"/>
    <x v="101"/>
    <x v="1"/>
    <x v="1"/>
    <m/>
    <m/>
    <n v="-73"/>
  </r>
  <r>
    <x v="7"/>
    <x v="75"/>
    <n v="22"/>
    <s v="每票录入所有箱子箱封号和件毛体，保存，录VGM，导入"/>
    <x v="101"/>
    <x v="0"/>
    <x v="1"/>
    <m/>
    <m/>
    <n v="-73"/>
  </r>
  <r>
    <x v="7"/>
    <x v="75"/>
    <n v="23"/>
    <s v="打印MBL"/>
    <x v="101"/>
    <x v="0"/>
    <x v="1"/>
    <m/>
    <m/>
    <n v="-73"/>
  </r>
  <r>
    <x v="7"/>
    <x v="75"/>
    <n v="24"/>
    <s v="表格、HBL、MBL、费用一起发邮件给国外"/>
    <x v="101"/>
    <x v="0"/>
    <x v="3"/>
    <m/>
    <s v="Delete ayjun@kylogix.co.kr Add hypark@kylogix.co.kr"/>
    <n v="-73"/>
  </r>
  <r>
    <x v="7"/>
    <x v="75"/>
    <n v="25"/>
    <s v="船开"/>
    <x v="109"/>
    <x v="0"/>
    <x v="0"/>
    <m/>
    <m/>
    <n v="-71"/>
  </r>
  <r>
    <x v="7"/>
    <x v="75"/>
    <n v="26"/>
    <s v="拿到WAYBILL"/>
    <x v="109"/>
    <x v="0"/>
    <x v="4"/>
    <m/>
    <m/>
    <n v="-7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71"/>
  </r>
  <r>
    <x v="4"/>
    <x v="76"/>
    <n v="1"/>
    <s v="收到客户(陈云娣)订舱预报"/>
    <x v="114"/>
    <x v="0"/>
    <x v="0"/>
    <m/>
    <s v="一般周五发隔周"/>
    <n v="-84"/>
  </r>
  <r>
    <x v="4"/>
    <x v="76"/>
    <n v="2"/>
    <s v="填WORKING PROCESS"/>
    <x v="114"/>
    <x v="0"/>
    <x v="0"/>
    <m/>
    <m/>
    <n v="-84"/>
  </r>
  <r>
    <x v="4"/>
    <x v="76"/>
    <n v="6"/>
    <s v="公共盘生成提单号(QSWB不要搞错)"/>
    <x v="117"/>
    <x v="0"/>
    <x v="0"/>
    <m/>
    <m/>
    <n v="-79"/>
  </r>
  <r>
    <x v="4"/>
    <x v="76"/>
    <n v="7"/>
    <s v="YJC系统生成单子"/>
    <x v="117"/>
    <x v="0"/>
    <x v="0"/>
    <m/>
    <m/>
    <n v="-79"/>
  </r>
  <r>
    <x v="4"/>
    <x v="76"/>
    <n v="8"/>
    <s v="发EDI"/>
    <x v="117"/>
    <x v="0"/>
    <x v="0"/>
    <m/>
    <m/>
    <n v="-79"/>
  </r>
  <r>
    <x v="4"/>
    <x v="76"/>
    <n v="9"/>
    <s v="邮件申请放舱"/>
    <x v="117"/>
    <x v="0"/>
    <x v="0"/>
    <m/>
    <m/>
    <n v="-79"/>
  </r>
  <r>
    <x v="4"/>
    <x v="76"/>
    <n v="10"/>
    <s v="收到HMM(Abbi) 确认放舱"/>
    <x v="117"/>
    <x v="0"/>
    <x v="0"/>
    <m/>
    <s v="一般半天内"/>
    <n v="-79"/>
  </r>
  <r>
    <x v="4"/>
    <x v="76"/>
    <n v="11"/>
    <s v="HMM网站核对订舱信息"/>
    <x v="117"/>
    <x v="0"/>
    <x v="0"/>
    <m/>
    <m/>
    <n v="-79"/>
  </r>
  <r>
    <x v="4"/>
    <x v="76"/>
    <n v="12"/>
    <s v="收到客户(陈云娣)做箱通知"/>
    <x v="98"/>
    <x v="0"/>
    <x v="3"/>
    <m/>
    <s v="一般做箱头天一早"/>
    <n v="-74"/>
  </r>
  <r>
    <x v="4"/>
    <x v="76"/>
    <n v="13"/>
    <s v="【拆单】公共盘生成提单号"/>
    <x v="98"/>
    <x v="0"/>
    <x v="3"/>
    <m/>
    <m/>
    <n v="-74"/>
  </r>
  <r>
    <x v="4"/>
    <x v="76"/>
    <n v="14"/>
    <s v="发做箱通知邮件给车队(沈丽)（航次要加QL？）"/>
    <x v="98"/>
    <x v="0"/>
    <x v="3"/>
    <m/>
    <m/>
    <n v="-74"/>
  </r>
  <r>
    <x v="4"/>
    <x v="76"/>
    <n v="15"/>
    <s v="【拆单】YJC系统生成单子（QSWB不要搞错）"/>
    <x v="98"/>
    <x v="0"/>
    <x v="3"/>
    <m/>
    <m/>
    <n v="-74"/>
  </r>
  <r>
    <x v="4"/>
    <x v="76"/>
    <n v="16"/>
    <s v="【拆单】发EDI"/>
    <x v="98"/>
    <x v="0"/>
    <x v="3"/>
    <m/>
    <m/>
    <n v="-74"/>
  </r>
  <r>
    <x v="4"/>
    <x v="76"/>
    <n v="17"/>
    <s v="【拆单】邮件申请放单"/>
    <x v="98"/>
    <x v="0"/>
    <x v="3"/>
    <m/>
    <m/>
    <n v="-74"/>
  </r>
  <r>
    <x v="4"/>
    <x v="76"/>
    <n v="18"/>
    <s v="【拆单】收到HMM(Abbi) 加拼放单确认"/>
    <x v="101"/>
    <x v="0"/>
    <x v="1"/>
    <m/>
    <m/>
    <n v="-73"/>
  </r>
  <r>
    <x v="4"/>
    <x v="76"/>
    <n v="19"/>
    <s v="【拆单】HMM网站核对订舱信息"/>
    <x v="101"/>
    <x v="0"/>
    <x v="1"/>
    <m/>
    <m/>
    <n v="-73"/>
  </r>
  <r>
    <x v="4"/>
    <x v="76"/>
    <n v="20"/>
    <s v="收到客户(陈云娣)发来报关资料"/>
    <x v="101"/>
    <x v="0"/>
    <x v="1"/>
    <m/>
    <s v="一般做箱当天一早"/>
    <n v="-73"/>
  </r>
  <r>
    <x v="4"/>
    <x v="76"/>
    <n v="21"/>
    <s v="【加拼】按报关(发票)数生成提单号【如发票数超过提单数】"/>
    <x v="101"/>
    <x v="0"/>
    <x v="1"/>
    <m/>
    <m/>
    <n v="-73"/>
  </r>
  <r>
    <x v="4"/>
    <x v="76"/>
    <n v="22"/>
    <s v="做做箱数据，QQ发车队(沈丽)"/>
    <x v="101"/>
    <x v="0"/>
    <x v="1"/>
    <m/>
    <m/>
    <n v="-73"/>
  </r>
  <r>
    <x v="4"/>
    <x v="76"/>
    <n v="23"/>
    <s v="收到车队(沈丽)装箱单，转发客户（陈云娣）"/>
    <x v="101"/>
    <x v="0"/>
    <x v="1"/>
    <m/>
    <s v="一般马上"/>
    <n v="-73"/>
  </r>
  <r>
    <x v="4"/>
    <x v="76"/>
    <n v="24"/>
    <s v="YJC系统截单，发EDI，邮件HMM(He)【截单时间】"/>
    <x v="101"/>
    <x v="0"/>
    <x v="1"/>
    <m/>
    <s v="注意截单时间"/>
    <n v="-73"/>
  </r>
  <r>
    <x v="4"/>
    <x v="76"/>
    <n v="25"/>
    <s v="发VGM和舱单（亿通，鹏海两次）"/>
    <x v="101"/>
    <x v="0"/>
    <x v="1"/>
    <m/>
    <m/>
    <n v="-73"/>
  </r>
  <r>
    <x v="4"/>
    <x v="76"/>
    <n v="26"/>
    <s v="做报关资料，扫描发报关行(黄寅文)QQ，要校对稿"/>
    <x v="101"/>
    <x v="0"/>
    <x v="1"/>
    <m/>
    <m/>
    <n v="-73"/>
  </r>
  <r>
    <x v="4"/>
    <x v="76"/>
    <n v="27"/>
    <s v="做保函给邹师傅(美国线)"/>
    <x v="101"/>
    <x v="0"/>
    <x v="1"/>
    <m/>
    <m/>
    <n v="-73"/>
  </r>
  <r>
    <x v="4"/>
    <x v="76"/>
    <n v="28"/>
    <s v="做ISF，发国外资料"/>
    <x v="101"/>
    <x v="0"/>
    <x v="1"/>
    <m/>
    <m/>
    <n v="-73"/>
  </r>
  <r>
    <x v="4"/>
    <x v="76"/>
    <n v="29"/>
    <s v="买保险"/>
    <x v="101"/>
    <x v="0"/>
    <x v="1"/>
    <m/>
    <m/>
    <n v="-73"/>
  </r>
  <r>
    <x v="4"/>
    <x v="76"/>
    <n v="31"/>
    <s v="收到HMM(He)生成提单通知"/>
    <x v="101"/>
    <x v="0"/>
    <x v="0"/>
    <m/>
    <s v="一般马上"/>
    <n v="-73"/>
  </r>
  <r>
    <x v="4"/>
    <x v="76"/>
    <n v="32"/>
    <s v="HMM网站核对提单信息"/>
    <x v="106"/>
    <x v="0"/>
    <x v="2"/>
    <m/>
    <m/>
    <n v="-72"/>
  </r>
  <r>
    <x v="4"/>
    <x v="76"/>
    <n v="33"/>
    <s v="盯海关网站舱单"/>
    <x v="101"/>
    <x v="0"/>
    <x v="6"/>
    <m/>
    <s v="一般两小时左右"/>
    <n v="-73"/>
  </r>
  <r>
    <x v="4"/>
    <x v="76"/>
    <n v="34"/>
    <s v="核对舱单信息"/>
    <x v="101"/>
    <x v="0"/>
    <x v="6"/>
    <m/>
    <m/>
    <n v="-73"/>
  </r>
  <r>
    <x v="4"/>
    <x v="76"/>
    <n v="35"/>
    <s v="收到报关行(黄寅文)校对稿，邮件发客户(陈云娣)确认"/>
    <x v="101"/>
    <x v="0"/>
    <x v="4"/>
    <m/>
    <s v="一般半天内"/>
    <n v="-73"/>
  </r>
  <r>
    <x v="4"/>
    <x v="76"/>
    <n v="36"/>
    <s v="收到客户(陈云娣)确认校对稿"/>
    <x v="101"/>
    <x v="0"/>
    <x v="4"/>
    <m/>
    <s v="一般马上"/>
    <n v="-73"/>
  </r>
  <r>
    <x v="4"/>
    <x v="76"/>
    <n v="37"/>
    <s v="通知报关行(黄寅文)报关(开港、舱单、校对)（洋山提供装箱单）"/>
    <x v="101"/>
    <x v="0"/>
    <x v="4"/>
    <m/>
    <m/>
    <n v="-73"/>
  </r>
  <r>
    <x v="4"/>
    <x v="76"/>
    <n v="38"/>
    <s v="收到报关成功通知"/>
    <x v="101"/>
    <x v="0"/>
    <x v="4"/>
    <m/>
    <s v="一般下班前"/>
    <n v="-73"/>
  </r>
  <r>
    <x v="4"/>
    <x v="76"/>
    <n v="39"/>
    <s v="通知车队(沈丽)可进港"/>
    <x v="101"/>
    <x v="0"/>
    <x v="4"/>
    <m/>
    <m/>
    <n v="-73"/>
  </r>
  <r>
    <x v="4"/>
    <x v="76"/>
    <n v="40"/>
    <s v="盯箱子进港，关注开港时间，有落箱费？"/>
    <x v="106"/>
    <x v="0"/>
    <x v="0"/>
    <m/>
    <m/>
    <n v="-72"/>
  </r>
  <r>
    <x v="4"/>
    <x v="76"/>
    <n v="41"/>
    <s v="核对进港数据"/>
    <x v="106"/>
    <x v="0"/>
    <x v="0"/>
    <m/>
    <m/>
    <n v="-72"/>
  </r>
  <r>
    <x v="4"/>
    <x v="76"/>
    <n v="42"/>
    <s v="盯海放"/>
    <x v="106"/>
    <x v="0"/>
    <x v="6"/>
    <m/>
    <m/>
    <n v="-72"/>
  </r>
  <r>
    <x v="4"/>
    <x v="76"/>
    <n v="43"/>
    <s v="盯码放"/>
    <x v="109"/>
    <x v="0"/>
    <x v="0"/>
    <m/>
    <m/>
    <n v="-71"/>
  </r>
  <r>
    <x v="4"/>
    <x v="76"/>
    <n v="44"/>
    <s v="盯配载"/>
    <x v="109"/>
    <x v="0"/>
    <x v="4"/>
    <m/>
    <m/>
    <n v="-71"/>
  </r>
  <r>
    <x v="4"/>
    <x v="76"/>
    <n v="45"/>
    <s v="做费用(月初等汇率)，发账单给陈吟勇"/>
    <x v="101"/>
    <x v="0"/>
    <x v="0"/>
    <m/>
    <m/>
    <n v="-73"/>
  </r>
  <r>
    <x v="4"/>
    <x v="76"/>
    <n v="46"/>
    <s v="船开"/>
    <x v="127"/>
    <x v="0"/>
    <x v="0"/>
    <m/>
    <m/>
    <n v="-69"/>
  </r>
  <r>
    <x v="4"/>
    <x v="76"/>
    <n v="47"/>
    <s v="放提单、预录单、放行单（PHISON、陈吟勇提单、陈云娣三单）"/>
    <x v="123"/>
    <x v="0"/>
    <x v="0"/>
    <m/>
    <s v="一般开船后两三天"/>
    <n v="-66"/>
  </r>
  <r>
    <x v="2"/>
    <x v="77"/>
    <n v="1"/>
    <s v="准备 PANCON 本月所有出运清单（文件名）"/>
    <x v="108"/>
    <x v="0"/>
    <x v="1"/>
    <m/>
    <s v="1号"/>
    <n v="-67"/>
  </r>
  <r>
    <x v="2"/>
    <x v="77"/>
    <n v="2"/>
    <s v="【万盛开票】上月的账单全部发给（金娥善）"/>
    <x v="108"/>
    <x v="0"/>
    <x v="1"/>
    <m/>
    <s v="1号"/>
    <n v="-67"/>
  </r>
  <r>
    <x v="2"/>
    <x v="77"/>
    <n v="3"/>
    <s v="【万盛开票】收到万盛发来上月结算单，核对，开票，发万盛（金娥善）"/>
    <x v="128"/>
    <x v="0"/>
    <x v="0"/>
    <m/>
    <s v="10号"/>
    <n v="-65"/>
  </r>
  <r>
    <x v="2"/>
    <x v="77"/>
    <n v="4"/>
    <s v="【万盛开票】核对，APP，打印，开纸质普票"/>
    <x v="128"/>
    <x v="0"/>
    <x v="0"/>
    <m/>
    <s v="10号"/>
    <n v="-65"/>
  </r>
  <r>
    <x v="2"/>
    <x v="77"/>
    <n v="5"/>
    <s v="【万盛开票】收到发票，和签字结算单一起扫描发金善娥确认"/>
    <x v="128"/>
    <x v="0"/>
    <x v="0"/>
    <m/>
    <s v="10号"/>
    <n v="-65"/>
  </r>
  <r>
    <x v="2"/>
    <x v="77"/>
    <n v="6"/>
    <s v="【万盛开票】寄发票给金善娥"/>
    <x v="128"/>
    <x v="0"/>
    <x v="0"/>
    <m/>
    <s v="10号"/>
    <n v="-65"/>
  </r>
  <r>
    <x v="2"/>
    <x v="77"/>
    <n v="7"/>
    <s v="【太平保险】收到保险公司（常）上月对账单，对账后回复常"/>
    <x v="123"/>
    <x v="0"/>
    <x v="0"/>
    <m/>
    <s v="3号"/>
    <n v="-66"/>
  </r>
  <r>
    <x v="2"/>
    <x v="77"/>
    <n v="8"/>
    <s v="KMM HMI 全部APP"/>
    <x v="129"/>
    <x v="0"/>
    <x v="0"/>
    <m/>
    <s v="24号"/>
    <n v="-42"/>
  </r>
  <r>
    <x v="2"/>
    <x v="77"/>
    <n v="9"/>
    <s v="CK TJ glovis有没有驳货费"/>
    <x v="130"/>
    <x v="1"/>
    <x v="0"/>
    <m/>
    <s v="25号"/>
    <n v="-44"/>
  </r>
  <r>
    <x v="2"/>
    <x v="77"/>
    <n v="10"/>
    <s v="客户对账单，开票"/>
    <x v="131"/>
    <x v="0"/>
    <x v="0"/>
    <m/>
    <s v="26号"/>
    <n v="-43"/>
  </r>
  <r>
    <x v="2"/>
    <x v="77"/>
    <n v="11"/>
    <s v="JS mobis本月车队费用邮件发给汤爱华"/>
    <x v="132"/>
    <x v="0"/>
    <x v="0"/>
    <m/>
    <s v="28号"/>
    <n v="-41"/>
  </r>
  <r>
    <x v="2"/>
    <x v="77"/>
    <n v="12"/>
    <s v="下月 MONTH"/>
    <x v="133"/>
    <x v="0"/>
    <x v="0"/>
    <m/>
    <s v="30号"/>
    <n v="-39"/>
  </r>
  <r>
    <x v="2"/>
    <x v="77"/>
    <n v="13"/>
    <s v="【ROADSUN】本月账单（批量对账单里导出，删除不必要的内容）发给文生然确认"/>
    <x v="132"/>
    <x v="0"/>
    <x v="0"/>
    <m/>
    <s v="28号"/>
    <n v="-4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40"/>
  </r>
  <r>
    <x v="2"/>
    <x v="77"/>
    <n v="15"/>
    <s v="【ROADSUN】收到发票，和确认的账单表格一起寄给万晖1009 773006434711540"/>
    <x v="134"/>
    <x v="0"/>
    <x v="0"/>
    <m/>
    <s v="28号"/>
    <n v="-29"/>
  </r>
  <r>
    <x v="2"/>
    <x v="77"/>
    <n v="24"/>
    <s v="本月万盛所有费用整理发上海GLV，参考之前的邮件"/>
    <x v="132"/>
    <x v="0"/>
    <x v="0"/>
    <m/>
    <s v="月底最后一个工作日"/>
    <n v="-41"/>
  </r>
  <r>
    <x v="2"/>
    <x v="77"/>
    <m/>
    <s v="SHGLV结8月9月操作费"/>
    <x v="129"/>
    <x v="0"/>
    <x v="0"/>
    <m/>
    <m/>
    <n v="-42"/>
  </r>
  <r>
    <x v="13"/>
    <x v="77"/>
    <n v="1"/>
    <s v="收到托书"/>
    <x v="80"/>
    <x v="0"/>
    <x v="0"/>
    <m/>
    <m/>
    <n v="-105"/>
  </r>
  <r>
    <x v="13"/>
    <x v="77"/>
    <n v="2"/>
    <s v="订舱"/>
    <x v="69"/>
    <x v="0"/>
    <x v="0"/>
    <m/>
    <m/>
    <n v="-100"/>
  </r>
  <r>
    <x v="13"/>
    <x v="77"/>
    <n v="3"/>
    <s v="收到MSK 订舱确认邮件"/>
    <x v="69"/>
    <x v="0"/>
    <x v="0"/>
    <m/>
    <m/>
    <n v="-100"/>
  </r>
  <r>
    <x v="13"/>
    <x v="77"/>
    <n v="4"/>
    <s v="发订舱确认邮件给客户"/>
    <x v="69"/>
    <x v="0"/>
    <x v="0"/>
    <m/>
    <m/>
    <n v="-100"/>
  </r>
  <r>
    <x v="13"/>
    <x v="77"/>
    <n v="4.0999999999999996"/>
    <s v="收到客户确认订舱信息"/>
    <x v="69"/>
    <x v="0"/>
    <x v="0"/>
    <m/>
    <m/>
    <n v="-100"/>
  </r>
  <r>
    <x v="13"/>
    <x v="77"/>
    <n v="5"/>
    <s v="关注开港时间"/>
    <x v="101"/>
    <x v="0"/>
    <x v="0"/>
    <m/>
    <m/>
    <n v="-73"/>
  </r>
  <r>
    <x v="13"/>
    <x v="77"/>
    <n v="6"/>
    <s v="确认提供资料时间"/>
    <x v="101"/>
    <x v="0"/>
    <x v="4"/>
    <m/>
    <m/>
    <n v="-73"/>
  </r>
  <r>
    <x v="13"/>
    <x v="77"/>
    <n v="7"/>
    <s v="做费用，拉账单"/>
    <x v="109"/>
    <x v="0"/>
    <x v="1"/>
    <m/>
    <m/>
    <n v="-71"/>
  </r>
  <r>
    <x v="13"/>
    <x v="77"/>
    <n v="8"/>
    <s v="收到截单资料"/>
    <x v="109"/>
    <x v="0"/>
    <x v="1"/>
    <m/>
    <m/>
    <n v="-71"/>
  </r>
  <r>
    <x v="13"/>
    <x v="77"/>
    <n v="9"/>
    <s v="YJC 截单，HBL和费用发文生然确认"/>
    <x v="109"/>
    <x v="0"/>
    <x v="1"/>
    <m/>
    <m/>
    <n v="-71"/>
  </r>
  <r>
    <x v="13"/>
    <x v="77"/>
    <n v="10"/>
    <s v="文生然确认HBL和费用"/>
    <x v="109"/>
    <x v="0"/>
    <x v="1"/>
    <m/>
    <m/>
    <n v="-71"/>
  </r>
  <r>
    <x v="13"/>
    <x v="77"/>
    <n v="11"/>
    <s v="MSK 录入提单确认内容"/>
    <x v="109"/>
    <x v="0"/>
    <x v="1"/>
    <m/>
    <m/>
    <n v="-71"/>
  </r>
  <r>
    <x v="13"/>
    <x v="77"/>
    <n v="12"/>
    <s v="联合船代发舱单"/>
    <x v="109"/>
    <x v="0"/>
    <x v="1"/>
    <m/>
    <m/>
    <n v="-71"/>
  </r>
  <r>
    <x v="13"/>
    <x v="77"/>
    <n v="13"/>
    <s v="MSK网站下载提单确认件"/>
    <x v="109"/>
    <x v="0"/>
    <x v="1"/>
    <m/>
    <m/>
    <n v="-71"/>
  </r>
  <r>
    <x v="13"/>
    <x v="77"/>
    <n v="14"/>
    <s v="邮件发COPY件、AMS给Wanda"/>
    <x v="109"/>
    <x v="0"/>
    <x v="1"/>
    <m/>
    <m/>
    <n v="-71"/>
  </r>
  <r>
    <x v="13"/>
    <x v="77"/>
    <n v="15"/>
    <s v="有舱单，核对，通知文生然"/>
    <x v="109"/>
    <x v="0"/>
    <x v="1"/>
    <m/>
    <m/>
    <n v="-71"/>
  </r>
  <r>
    <x v="13"/>
    <x v="77"/>
    <n v="16"/>
    <s v="进港，核对数据"/>
    <x v="105"/>
    <x v="0"/>
    <x v="1"/>
    <m/>
    <m/>
    <n v="-70"/>
  </r>
  <r>
    <x v="13"/>
    <x v="77"/>
    <n v="17"/>
    <s v="海放"/>
    <x v="105"/>
    <x v="0"/>
    <x v="1"/>
    <m/>
    <m/>
    <n v="-70"/>
  </r>
  <r>
    <x v="13"/>
    <x v="77"/>
    <n v="18"/>
    <s v="码放"/>
    <x v="108"/>
    <x v="0"/>
    <x v="0"/>
    <m/>
    <m/>
    <n v="-67"/>
  </r>
  <r>
    <x v="13"/>
    <x v="77"/>
    <n v="19"/>
    <s v="配载"/>
    <x v="123"/>
    <x v="0"/>
    <x v="4"/>
    <m/>
    <m/>
    <n v="-66"/>
  </r>
  <r>
    <x v="13"/>
    <x v="77"/>
    <n v="20"/>
    <s v="船开"/>
    <x v="128"/>
    <x v="0"/>
    <x v="0"/>
    <m/>
    <m/>
    <n v="-65"/>
  </r>
  <r>
    <x v="13"/>
    <x v="77"/>
    <n v="21"/>
    <s v="邮件发开船通知给Wanda"/>
    <x v="128"/>
    <x v="0"/>
    <x v="0"/>
    <m/>
    <m/>
    <n v="-65"/>
  </r>
  <r>
    <x v="13"/>
    <x v="77"/>
    <n v="22"/>
    <s v="收到Wanda付款通知"/>
    <x v="135"/>
    <x v="0"/>
    <x v="0"/>
    <m/>
    <m/>
    <n v="-60"/>
  </r>
  <r>
    <x v="13"/>
    <x v="77"/>
    <n v="23"/>
    <s v="发SWB、HBL给Wanda"/>
    <x v="136"/>
    <x v="0"/>
    <x v="4"/>
    <m/>
    <m/>
    <n v="-58"/>
  </r>
  <r>
    <x v="13"/>
    <x v="77"/>
    <m/>
    <s v="9月汇率出来，改系统，拉CREDIT，发邮件"/>
    <x v="108"/>
    <x v="0"/>
    <x v="3"/>
    <m/>
    <m/>
    <n v="-67"/>
  </r>
  <r>
    <x v="7"/>
    <x v="77"/>
    <n v="1"/>
    <s v="收到徐小姐托书"/>
    <x v="114"/>
    <x v="0"/>
    <x v="0"/>
    <m/>
    <m/>
    <n v="-84"/>
  </r>
  <r>
    <x v="7"/>
    <x v="77"/>
    <n v="2"/>
    <s v="公共盘表格生成单号，YJC系统复制、生成"/>
    <x v="114"/>
    <x v="0"/>
    <x v="0"/>
    <m/>
    <s v="注意MBL#命名规则"/>
    <n v="-84"/>
  </r>
  <r>
    <x v="7"/>
    <x v="77"/>
    <n v="3"/>
    <s v="(一票一订)振华订舱界面复制订舱、保存、提交"/>
    <x v="114"/>
    <x v="0"/>
    <x v="0"/>
    <m/>
    <s v="客户编号 提单号 船名航次 日期 箱量"/>
    <n v="-84"/>
  </r>
  <r>
    <x v="7"/>
    <x v="77"/>
    <n v="4"/>
    <s v="邮件发确认给国外"/>
    <x v="114"/>
    <x v="0"/>
    <x v="0"/>
    <m/>
    <s v="Delete ayjun@kylogix.co.kr Add hypark@kylogix.co.kr"/>
    <n v="-84"/>
  </r>
  <r>
    <x v="7"/>
    <x v="77"/>
    <n v="5"/>
    <s v="QQ发预配信息给徐小姐（模板），问是否要加拼，发车队江"/>
    <x v="114"/>
    <x v="0"/>
    <x v="0"/>
    <m/>
    <m/>
    <n v="-84"/>
  </r>
  <r>
    <x v="7"/>
    <x v="77"/>
    <n v="6"/>
    <s v="订舱审核通过"/>
    <x v="111"/>
    <x v="0"/>
    <x v="0"/>
    <m/>
    <m/>
    <n v="-81"/>
  </r>
  <r>
    <x v="7"/>
    <x v="77"/>
    <n v="7"/>
    <s v="订舱界面加拼、提交，通知徐小姐加拼单号"/>
    <x v="114"/>
    <x v="1"/>
    <x v="0"/>
    <m/>
    <s v="点“多票加拼”"/>
    <n v="-84"/>
  </r>
  <r>
    <x v="7"/>
    <x v="77"/>
    <n v="8"/>
    <s v="加拼审核通过"/>
    <x v="114"/>
    <x v="1"/>
    <x v="0"/>
    <m/>
    <m/>
    <n v="-84"/>
  </r>
  <r>
    <x v="7"/>
    <x v="77"/>
    <n v="9"/>
    <s v="收到国外确认，公共盘红改黑，加CONFIRM"/>
    <x v="114"/>
    <x v="0"/>
    <x v="2"/>
    <m/>
    <m/>
    <n v="-84"/>
  </r>
  <r>
    <x v="7"/>
    <x v="77"/>
    <n v="10"/>
    <s v="做费用"/>
    <x v="105"/>
    <x v="0"/>
    <x v="1"/>
    <m/>
    <m/>
    <n v="-70"/>
  </r>
  <r>
    <x v="7"/>
    <x v="77"/>
    <n v="11"/>
    <s v="问装箱时间"/>
    <x v="109"/>
    <x v="1"/>
    <x v="0"/>
    <m/>
    <m/>
    <n v="-71"/>
  </r>
  <r>
    <x v="7"/>
    <x v="77"/>
    <n v="12"/>
    <s v="收到车队江发来装箱数据和装箱单"/>
    <x v="105"/>
    <x v="0"/>
    <x v="1"/>
    <m/>
    <s v="周三周一截，周日周五截"/>
    <n v="-70"/>
  </r>
  <r>
    <x v="7"/>
    <x v="77"/>
    <n v="13"/>
    <s v="数据表中加入封号，汇总单票总件毛体"/>
    <x v="105"/>
    <x v="0"/>
    <x v="1"/>
    <m/>
    <m/>
    <n v="-70"/>
  </r>
  <r>
    <x v="7"/>
    <x v="77"/>
    <n v="14"/>
    <s v="YJC 截单"/>
    <x v="105"/>
    <x v="0"/>
    <x v="1"/>
    <m/>
    <s v="船名航次 开航日 件毛体 CC 箱量 箱封号 品名"/>
    <n v="-70"/>
  </r>
  <r>
    <x v="7"/>
    <x v="77"/>
    <n v="15"/>
    <s v="导出HBL，发徐小姐确认"/>
    <x v="105"/>
    <x v="0"/>
    <x v="1"/>
    <m/>
    <m/>
    <n v="-70"/>
  </r>
  <r>
    <x v="7"/>
    <x v="77"/>
    <n v="16"/>
    <s v="徐小姐确认HBL时，振华录入每一关单号的件毛体(注意箱状态)，保存"/>
    <x v="105"/>
    <x v="0"/>
    <x v="1"/>
    <m/>
    <m/>
    <n v="-70"/>
  </r>
  <r>
    <x v="7"/>
    <x v="77"/>
    <n v="17"/>
    <s v="徐小姐确认HBL"/>
    <x v="105"/>
    <x v="0"/>
    <x v="1"/>
    <m/>
    <m/>
    <n v="-70"/>
  </r>
  <r>
    <x v="7"/>
    <x v="77"/>
    <n v="18"/>
    <s v="发舱单"/>
    <x v="105"/>
    <x v="0"/>
    <x v="1"/>
    <m/>
    <s v="一关单一发"/>
    <n v="-70"/>
  </r>
  <r>
    <x v="7"/>
    <x v="77"/>
    <n v="19"/>
    <s v="海关有舱单，核对舱单信息，(如无并单，可直接录VGM)"/>
    <x v="105"/>
    <x v="0"/>
    <x v="3"/>
    <m/>
    <m/>
    <n v="-70"/>
  </r>
  <r>
    <x v="7"/>
    <x v="77"/>
    <n v="20"/>
    <s v="订舱界面并单"/>
    <x v="105"/>
    <x v="1"/>
    <x v="1"/>
    <m/>
    <m/>
    <n v="-70"/>
  </r>
  <r>
    <x v="7"/>
    <x v="77"/>
    <n v="21"/>
    <s v="并单审核通过"/>
    <x v="105"/>
    <x v="1"/>
    <x v="1"/>
    <m/>
    <m/>
    <n v="-70"/>
  </r>
  <r>
    <x v="7"/>
    <x v="77"/>
    <n v="22"/>
    <s v="每票录入所有箱子箱封号和件毛体，保存，录VGM，导入"/>
    <x v="105"/>
    <x v="0"/>
    <x v="1"/>
    <m/>
    <m/>
    <n v="-70"/>
  </r>
  <r>
    <x v="7"/>
    <x v="77"/>
    <n v="23"/>
    <s v="打印MBL"/>
    <x v="105"/>
    <x v="0"/>
    <x v="1"/>
    <m/>
    <m/>
    <n v="-70"/>
  </r>
  <r>
    <x v="7"/>
    <x v="77"/>
    <n v="24"/>
    <s v="表格、HBL、MBL一起发邮件给国外"/>
    <x v="105"/>
    <x v="0"/>
    <x v="1"/>
    <m/>
    <s v="Delete ayjun@kylogix.co.kr Add hypark@kylogix.co.kr"/>
    <n v="-70"/>
  </r>
  <r>
    <x v="7"/>
    <x v="77"/>
    <n v="25"/>
    <s v="船开"/>
    <x v="108"/>
    <x v="0"/>
    <x v="0"/>
    <m/>
    <m/>
    <n v="-67"/>
  </r>
  <r>
    <x v="7"/>
    <x v="77"/>
    <n v="26"/>
    <s v="拿到WAYBILL"/>
    <x v="108"/>
    <x v="0"/>
    <x v="4"/>
    <m/>
    <m/>
    <n v="-6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67"/>
  </r>
  <r>
    <x v="7"/>
    <x v="77"/>
    <m/>
    <s v="10个改2+1，网站确认，国外确认"/>
    <x v="106"/>
    <x v="0"/>
    <x v="3"/>
    <m/>
    <m/>
    <n v="-72"/>
  </r>
  <r>
    <x v="7"/>
    <x v="77"/>
    <m/>
    <s v="有新汇率，改两票系统各两个地方，拉DEBIT，补发邮件"/>
    <x v="108"/>
    <x v="0"/>
    <x v="3"/>
    <m/>
    <m/>
    <n v="-67"/>
  </r>
  <r>
    <x v="13"/>
    <x v="78"/>
    <n v="1"/>
    <s v="收到托书"/>
    <x v="80"/>
    <x v="0"/>
    <x v="0"/>
    <m/>
    <m/>
    <n v="-105"/>
  </r>
  <r>
    <x v="13"/>
    <x v="78"/>
    <n v="2"/>
    <s v="订舱"/>
    <x v="69"/>
    <x v="0"/>
    <x v="0"/>
    <m/>
    <m/>
    <n v="-100"/>
  </r>
  <r>
    <x v="13"/>
    <x v="78"/>
    <n v="3"/>
    <s v="收到MSK 订舱确认邮件"/>
    <x v="69"/>
    <x v="0"/>
    <x v="0"/>
    <m/>
    <m/>
    <n v="-100"/>
  </r>
  <r>
    <x v="13"/>
    <x v="78"/>
    <n v="4"/>
    <s v="发订舱确认邮件给客户"/>
    <x v="69"/>
    <x v="0"/>
    <x v="0"/>
    <m/>
    <m/>
    <n v="-100"/>
  </r>
  <r>
    <x v="13"/>
    <x v="78"/>
    <n v="4.0999999999999996"/>
    <s v="收到客户确认订舱信息"/>
    <x v="69"/>
    <x v="0"/>
    <x v="0"/>
    <m/>
    <m/>
    <n v="-100"/>
  </r>
  <r>
    <x v="13"/>
    <x v="78"/>
    <n v="5"/>
    <s v="关注开港时间"/>
    <x v="101"/>
    <x v="0"/>
    <x v="0"/>
    <m/>
    <m/>
    <n v="-73"/>
  </r>
  <r>
    <x v="13"/>
    <x v="78"/>
    <n v="6"/>
    <s v="确认提供资料时间"/>
    <x v="101"/>
    <x v="0"/>
    <x v="4"/>
    <m/>
    <m/>
    <n v="-73"/>
  </r>
  <r>
    <x v="13"/>
    <x v="78"/>
    <n v="7"/>
    <s v="做费用，拉账单"/>
    <x v="109"/>
    <x v="0"/>
    <x v="1"/>
    <m/>
    <m/>
    <n v="-71"/>
  </r>
  <r>
    <x v="13"/>
    <x v="78"/>
    <n v="8"/>
    <s v="收到截单资料"/>
    <x v="109"/>
    <x v="0"/>
    <x v="1"/>
    <m/>
    <m/>
    <n v="-71"/>
  </r>
  <r>
    <x v="13"/>
    <x v="78"/>
    <n v="9"/>
    <s v="YJC 截单，HBL和费用发文生然确认"/>
    <x v="109"/>
    <x v="0"/>
    <x v="1"/>
    <m/>
    <m/>
    <n v="-71"/>
  </r>
  <r>
    <x v="13"/>
    <x v="78"/>
    <n v="10"/>
    <s v="文生然确认HBL和费用"/>
    <x v="109"/>
    <x v="0"/>
    <x v="1"/>
    <m/>
    <m/>
    <n v="-71"/>
  </r>
  <r>
    <x v="13"/>
    <x v="78"/>
    <n v="11"/>
    <s v="MSK 录入提单确认内容"/>
    <x v="109"/>
    <x v="0"/>
    <x v="1"/>
    <m/>
    <m/>
    <n v="-71"/>
  </r>
  <r>
    <x v="13"/>
    <x v="78"/>
    <n v="12"/>
    <s v="联合船代发舱单"/>
    <x v="109"/>
    <x v="0"/>
    <x v="1"/>
    <m/>
    <m/>
    <n v="-71"/>
  </r>
  <r>
    <x v="13"/>
    <x v="78"/>
    <n v="13"/>
    <s v="MSK网站下载提单确认件"/>
    <x v="109"/>
    <x v="0"/>
    <x v="1"/>
    <m/>
    <m/>
    <n v="-71"/>
  </r>
  <r>
    <x v="13"/>
    <x v="78"/>
    <n v="14"/>
    <s v="邮件发COPY件、AMS给Wanda"/>
    <x v="109"/>
    <x v="0"/>
    <x v="1"/>
    <m/>
    <m/>
    <n v="-71"/>
  </r>
  <r>
    <x v="13"/>
    <x v="78"/>
    <n v="15"/>
    <s v="有舱单，核对，通知文生然"/>
    <x v="109"/>
    <x v="0"/>
    <x v="1"/>
    <m/>
    <m/>
    <n v="-71"/>
  </r>
  <r>
    <x v="13"/>
    <x v="78"/>
    <n v="16"/>
    <s v="进港，核对数据"/>
    <x v="105"/>
    <x v="0"/>
    <x v="1"/>
    <m/>
    <m/>
    <n v="-70"/>
  </r>
  <r>
    <x v="13"/>
    <x v="78"/>
    <n v="17"/>
    <s v="海放"/>
    <x v="105"/>
    <x v="0"/>
    <x v="1"/>
    <m/>
    <m/>
    <n v="-70"/>
  </r>
  <r>
    <x v="13"/>
    <x v="78"/>
    <n v="18"/>
    <s v="码放"/>
    <x v="108"/>
    <x v="0"/>
    <x v="0"/>
    <m/>
    <m/>
    <n v="-67"/>
  </r>
  <r>
    <x v="13"/>
    <x v="78"/>
    <n v="19"/>
    <s v="配载"/>
    <x v="123"/>
    <x v="0"/>
    <x v="4"/>
    <m/>
    <m/>
    <n v="-66"/>
  </r>
  <r>
    <x v="13"/>
    <x v="78"/>
    <n v="20"/>
    <s v="船开"/>
    <x v="128"/>
    <x v="0"/>
    <x v="0"/>
    <m/>
    <m/>
    <n v="-65"/>
  </r>
  <r>
    <x v="13"/>
    <x v="78"/>
    <n v="21"/>
    <s v="邮件发开船通知给Wanda"/>
    <x v="128"/>
    <x v="0"/>
    <x v="0"/>
    <m/>
    <m/>
    <n v="-65"/>
  </r>
  <r>
    <x v="13"/>
    <x v="78"/>
    <n v="22"/>
    <s v="收到Wanda付款通知"/>
    <x v="135"/>
    <x v="0"/>
    <x v="0"/>
    <m/>
    <m/>
    <n v="-60"/>
  </r>
  <r>
    <x v="13"/>
    <x v="78"/>
    <n v="23"/>
    <s v="发SWB、HBL给Wanda"/>
    <x v="135"/>
    <x v="0"/>
    <x v="3"/>
    <m/>
    <m/>
    <n v="-60"/>
  </r>
  <r>
    <x v="13"/>
    <x v="78"/>
    <m/>
    <s v="9月汇率出来，改系统，拉CREDIT，发邮件"/>
    <x v="108"/>
    <x v="0"/>
    <x v="3"/>
    <m/>
    <m/>
    <n v="-67"/>
  </r>
  <r>
    <x v="13"/>
    <x v="78"/>
    <m/>
    <s v="提单更改"/>
    <x v="105"/>
    <x v="0"/>
    <x v="4"/>
    <m/>
    <m/>
    <n v="-70"/>
  </r>
  <r>
    <x v="7"/>
    <x v="78"/>
    <n v="1"/>
    <s v="收到托书"/>
    <x v="106"/>
    <x v="0"/>
    <x v="0"/>
    <m/>
    <m/>
    <n v="-72"/>
  </r>
  <r>
    <x v="7"/>
    <x v="78"/>
    <n v="2"/>
    <s v="转刘旭"/>
    <x v="106"/>
    <x v="0"/>
    <x v="0"/>
    <m/>
    <m/>
    <n v="-72"/>
  </r>
  <r>
    <x v="7"/>
    <x v="78"/>
    <n v="3"/>
    <s v="收到刘旭资料和进仓通知，转客户"/>
    <x v="106"/>
    <x v="0"/>
    <x v="0"/>
    <m/>
    <m/>
    <n v="-72"/>
  </r>
  <r>
    <x v="7"/>
    <x v="78"/>
    <n v="4"/>
    <s v="发通知邮件给国外"/>
    <x v="106"/>
    <x v="0"/>
    <x v="0"/>
    <m/>
    <m/>
    <n v="-72"/>
  </r>
  <r>
    <x v="7"/>
    <x v="78"/>
    <n v="5"/>
    <s v="收到国外确认，表格红改黑"/>
    <x v="109"/>
    <x v="0"/>
    <x v="0"/>
    <m/>
    <m/>
    <n v="-71"/>
  </r>
  <r>
    <x v="7"/>
    <x v="78"/>
    <n v="6"/>
    <s v="收到报关资料"/>
    <x v="109"/>
    <x v="0"/>
    <x v="1"/>
    <m/>
    <m/>
    <n v="-71"/>
  </r>
  <r>
    <x v="7"/>
    <x v="78"/>
    <m/>
    <s v="发账单给徐小姐"/>
    <x v="128"/>
    <x v="0"/>
    <x v="0"/>
    <m/>
    <m/>
    <n v="-65"/>
  </r>
  <r>
    <x v="7"/>
    <x v="78"/>
    <m/>
    <s v="收到水单2630.59，2019-9-6这几天安排"/>
    <x v="137"/>
    <x v="0"/>
    <x v="3"/>
    <m/>
    <m/>
    <n v="-59"/>
  </r>
  <r>
    <x v="7"/>
    <x v="78"/>
    <m/>
    <s v="PL，开票，确认，邮寄"/>
    <x v="128"/>
    <x v="0"/>
    <x v="3"/>
    <m/>
    <m/>
    <n v="-65"/>
  </r>
  <r>
    <x v="7"/>
    <x v="78"/>
    <m/>
    <s v="收到发票"/>
    <x v="138"/>
    <x v="1"/>
    <x v="0"/>
    <m/>
    <s v="为什么会有这个？"/>
    <n v="-64"/>
  </r>
  <r>
    <x v="3"/>
    <x v="79"/>
    <n v="1"/>
    <s v="PANCON上周日船期提单领取单"/>
    <x v="108"/>
    <x v="0"/>
    <x v="1"/>
    <m/>
    <s v="周一"/>
    <n v="-67"/>
  </r>
  <r>
    <x v="3"/>
    <x v="79"/>
    <n v="2"/>
    <s v="WEEKLY REPORT"/>
    <x v="108"/>
    <x v="0"/>
    <x v="3"/>
    <m/>
    <s v="周一"/>
    <n v="-67"/>
  </r>
  <r>
    <x v="3"/>
    <x v="79"/>
    <n v="3"/>
    <s v="汇总SC JS下周订舱需求，回Abbi邮件，制作每票清单流水"/>
    <x v="108"/>
    <x v="0"/>
    <x v="3"/>
    <m/>
    <s v="周一"/>
    <n v="-67"/>
  </r>
  <r>
    <x v="3"/>
    <x v="79"/>
    <n v="4"/>
    <s v="收到Abbi确认"/>
    <x v="108"/>
    <x v="0"/>
    <x v="4"/>
    <m/>
    <s v="周一"/>
    <n v="-67"/>
  </r>
  <r>
    <x v="3"/>
    <x v="79"/>
    <n v="5"/>
    <s v="拿到PANCON WAYBILL，朱琳的给朱琳"/>
    <x v="108"/>
    <x v="1"/>
    <x v="4"/>
    <m/>
    <s v="周一"/>
    <n v="-67"/>
  </r>
  <r>
    <x v="3"/>
    <x v="79"/>
    <n v="6"/>
    <s v="PANCON周三出运清单，附件贴邮件中"/>
    <x v="108"/>
    <x v="0"/>
    <x v="3"/>
    <m/>
    <s v="周一"/>
    <n v="-67"/>
  </r>
  <r>
    <x v="3"/>
    <x v="79"/>
    <n v="7"/>
    <s v="WORKING PROCESS"/>
    <x v="108"/>
    <x v="0"/>
    <x v="4"/>
    <m/>
    <s v="周一"/>
    <n v="-67"/>
  </r>
  <r>
    <x v="3"/>
    <x v="79"/>
    <n v="8"/>
    <s v="WORKING PROCESS"/>
    <x v="128"/>
    <x v="0"/>
    <x v="4"/>
    <m/>
    <s v="周三"/>
    <n v="-65"/>
  </r>
  <r>
    <x v="3"/>
    <x v="79"/>
    <n v="9"/>
    <s v="PANCON周三船期提单领取单"/>
    <x v="139"/>
    <x v="0"/>
    <x v="3"/>
    <m/>
    <s v="周四"/>
    <n v="-63"/>
  </r>
  <r>
    <x v="3"/>
    <x v="79"/>
    <n v="10"/>
    <s v="拿到PANCON WAYBILL，朱琳的给朱琳"/>
    <x v="139"/>
    <x v="0"/>
    <x v="4"/>
    <m/>
    <s v="周四"/>
    <n v="-63"/>
  </r>
  <r>
    <x v="3"/>
    <x v="79"/>
    <n v="11"/>
    <s v="收到 Abbi 下下周订舱预报邮件"/>
    <x v="139"/>
    <x v="0"/>
    <x v="0"/>
    <m/>
    <s v="周五"/>
    <n v="-63"/>
  </r>
  <r>
    <x v="3"/>
    <x v="79"/>
    <n v="12"/>
    <s v="问JS mobis、SC glovis下下周订舱需求"/>
    <x v="135"/>
    <x v="0"/>
    <x v="0"/>
    <m/>
    <s v="周五"/>
    <n v="-60"/>
  </r>
  <r>
    <x v="3"/>
    <x v="79"/>
    <n v="13"/>
    <s v="WORKING PROCESS"/>
    <x v="139"/>
    <x v="0"/>
    <x v="3"/>
    <m/>
    <s v="周五"/>
    <n v="-63"/>
  </r>
  <r>
    <x v="3"/>
    <x v="79"/>
    <n v="14"/>
    <s v="PANCON周日出运清单，附件贴邮件中"/>
    <x v="139"/>
    <x v="0"/>
    <x v="3"/>
    <m/>
    <s v="周五"/>
    <n v="-63"/>
  </r>
  <r>
    <x v="3"/>
    <x v="79"/>
    <n v="15"/>
    <s v="制下周 WEEK 流水"/>
    <x v="139"/>
    <x v="0"/>
    <x v="3"/>
    <m/>
    <s v="周五"/>
    <n v="-63"/>
  </r>
  <r>
    <x v="3"/>
    <x v="79"/>
    <n v="16"/>
    <s v="本周APP"/>
    <x v="139"/>
    <x v="1"/>
    <x v="0"/>
    <m/>
    <s v="周五"/>
    <n v="-63"/>
  </r>
  <r>
    <x v="3"/>
    <x v="79"/>
    <m/>
    <s v="寄上月万盛发票给金娥善"/>
    <x v="128"/>
    <x v="0"/>
    <x v="0"/>
    <m/>
    <m/>
    <n v="-65"/>
  </r>
  <r>
    <x v="3"/>
    <x v="79"/>
    <m/>
    <s v="金娥善收到上月万盛发票773002431551852"/>
    <x v="138"/>
    <x v="0"/>
    <x v="4"/>
    <m/>
    <m/>
    <n v="-64"/>
  </r>
  <r>
    <x v="3"/>
    <x v="79"/>
    <m/>
    <s v="ROADSUN 新订舱"/>
    <x v="139"/>
    <x v="0"/>
    <x v="3"/>
    <m/>
    <m/>
    <n v="-63"/>
  </r>
  <r>
    <x v="6"/>
    <x v="80"/>
    <n v="1"/>
    <s v="收到胡媛媛发来订舱邮件"/>
    <x v="99"/>
    <x v="0"/>
    <x v="0"/>
    <m/>
    <m/>
    <n v="-94"/>
  </r>
  <r>
    <x v="6"/>
    <x v="80"/>
    <n v="2"/>
    <s v="发订舱托书给万恒（翁小姐）"/>
    <x v="99"/>
    <x v="0"/>
    <x v="0"/>
    <m/>
    <m/>
    <n v="-94"/>
  </r>
  <r>
    <x v="6"/>
    <x v="80"/>
    <n v="3"/>
    <s v="收到万恒（翁小姐）预配（中转港必须是LAZARO）"/>
    <x v="93"/>
    <x v="0"/>
    <x v="3"/>
    <m/>
    <s v="一般三小时左右"/>
    <n v="-93"/>
  </r>
  <r>
    <x v="6"/>
    <x v="80"/>
    <n v="5"/>
    <s v="发做箱通知邮件给车队(沈丽)，通知做箱时间"/>
    <x v="93"/>
    <x v="0"/>
    <x v="3"/>
    <m/>
    <m/>
    <n v="-93"/>
  </r>
  <r>
    <x v="6"/>
    <x v="80"/>
    <n v="6"/>
    <s v="通知胡媛媛订舱成功和做箱时间"/>
    <x v="93"/>
    <x v="0"/>
    <x v="3"/>
    <m/>
    <m/>
    <n v="-93"/>
  </r>
  <r>
    <x v="6"/>
    <x v="80"/>
    <n v="7"/>
    <s v="通知客户暂定的做箱时间，跟确认发报关资料时间（27号发资料）"/>
    <x v="98"/>
    <x v="0"/>
    <x v="3"/>
    <m/>
    <s v="截单前三天"/>
    <n v="-74"/>
  </r>
  <r>
    <x v="6"/>
    <x v="80"/>
    <n v="8"/>
    <s v="收到胡媛媛发来报关资料"/>
    <x v="101"/>
    <x v="0"/>
    <x v="4"/>
    <m/>
    <s v="船开前一周？"/>
    <n v="-73"/>
  </r>
  <r>
    <x v="6"/>
    <x v="80"/>
    <n v="9"/>
    <s v="完善报关资料发报关行（黄寅文），要校对稿，做箱数据给沈丽，更新系统件毛体"/>
    <x v="109"/>
    <x v="0"/>
    <x v="3"/>
    <m/>
    <m/>
    <n v="-71"/>
  </r>
  <r>
    <x v="6"/>
    <x v="80"/>
    <n v="10"/>
    <s v="买保险"/>
    <x v="109"/>
    <x v="0"/>
    <x v="3"/>
    <m/>
    <m/>
    <n v="-71"/>
  </r>
  <r>
    <x v="6"/>
    <x v="80"/>
    <n v="11"/>
    <s v="做异地付款保函，发胡媛媛确认盖章回传"/>
    <x v="109"/>
    <x v="0"/>
    <x v="3"/>
    <m/>
    <m/>
    <n v="-71"/>
  </r>
  <r>
    <x v="6"/>
    <x v="80"/>
    <n v="12"/>
    <s v="收到客户（胡媛媛）发来保函扫描件"/>
    <x v="109"/>
    <x v="0"/>
    <x v="3"/>
    <m/>
    <s v="一般马上"/>
    <n v="-71"/>
  </r>
  <r>
    <x v="6"/>
    <x v="80"/>
    <n v="13"/>
    <s v="收到黄寅文校对稿，发客户（胡媛媛）确认"/>
    <x v="109"/>
    <x v="0"/>
    <x v="3"/>
    <m/>
    <s v="一般半天内"/>
    <n v="-71"/>
  </r>
  <r>
    <x v="6"/>
    <x v="80"/>
    <n v="14"/>
    <s v="收到客户（胡媛媛）确认校对稿OK"/>
    <x v="105"/>
    <x v="0"/>
    <x v="0"/>
    <m/>
    <s v="一般马上"/>
    <n v="-70"/>
  </r>
  <r>
    <x v="6"/>
    <x v="80"/>
    <n v="15"/>
    <s v="关注开港时间，跟车队(沈丽)确认做箱时间，通知胡媛媛"/>
    <x v="109"/>
    <x v="0"/>
    <x v="3"/>
    <m/>
    <s v="截单前一天"/>
    <n v="-71"/>
  </r>
  <r>
    <x v="6"/>
    <x v="80"/>
    <n v="16"/>
    <s v="收到沈丽发来装箱单"/>
    <x v="105"/>
    <x v="0"/>
    <x v="0"/>
    <m/>
    <s v="截单当天"/>
    <n v="-70"/>
  </r>
  <r>
    <x v="6"/>
    <x v="80"/>
    <n v="17"/>
    <s v="完善截单资料发万恒（翁小姐），请求发舱单"/>
    <x v="105"/>
    <x v="0"/>
    <x v="0"/>
    <m/>
    <m/>
    <n v="-70"/>
  </r>
  <r>
    <x v="6"/>
    <x v="80"/>
    <n v="18"/>
    <s v="收到舱单发送通知，核对舱单，装箱单发报关行报关"/>
    <x v="105"/>
    <x v="0"/>
    <x v="6"/>
    <m/>
    <m/>
    <n v="-70"/>
  </r>
  <r>
    <x v="6"/>
    <x v="80"/>
    <n v="19"/>
    <s v="请求万恒（翁小姐）发提单样本"/>
    <x v="108"/>
    <x v="0"/>
    <x v="1"/>
    <m/>
    <m/>
    <n v="-67"/>
  </r>
  <r>
    <x v="6"/>
    <x v="80"/>
    <n v="20"/>
    <s v="收到万恒（翁小姐）发来提单样本，发胡媛媛确认"/>
    <x v="108"/>
    <x v="0"/>
    <x v="1"/>
    <m/>
    <m/>
    <n v="-67"/>
  </r>
  <r>
    <x v="6"/>
    <x v="80"/>
    <n v="21"/>
    <s v="收到胡媛媛提单确认"/>
    <x v="108"/>
    <x v="0"/>
    <x v="1"/>
    <m/>
    <m/>
    <n v="-67"/>
  </r>
  <r>
    <x v="6"/>
    <x v="80"/>
    <n v="22"/>
    <s v="收到报关成功通知，通知车队可进港 "/>
    <x v="105"/>
    <x v="0"/>
    <x v="4"/>
    <m/>
    <m/>
    <n v="-70"/>
  </r>
  <r>
    <x v="6"/>
    <x v="80"/>
    <n v="23"/>
    <s v="进港，核对数据"/>
    <x v="127"/>
    <x v="0"/>
    <x v="0"/>
    <m/>
    <m/>
    <n v="-69"/>
  </r>
  <r>
    <x v="6"/>
    <x v="80"/>
    <n v="24"/>
    <s v="船开前10小时要有海放"/>
    <x v="127"/>
    <x v="0"/>
    <x v="0"/>
    <m/>
    <m/>
    <n v="-69"/>
  </r>
  <r>
    <x v="6"/>
    <x v="80"/>
    <n v="25"/>
    <s v="码放"/>
    <x v="123"/>
    <x v="0"/>
    <x v="0"/>
    <m/>
    <m/>
    <n v="-66"/>
  </r>
  <r>
    <x v="6"/>
    <x v="80"/>
    <n v="26"/>
    <s v="配载"/>
    <x v="123"/>
    <x v="0"/>
    <x v="4"/>
    <m/>
    <m/>
    <n v="-66"/>
  </r>
  <r>
    <x v="6"/>
    <x v="80"/>
    <n v="27"/>
    <s v="开船（如果4号没有正常开船的话，通知下胡媛媛)"/>
    <x v="128"/>
    <x v="0"/>
    <x v="0"/>
    <m/>
    <m/>
    <n v="-65"/>
  </r>
  <r>
    <x v="6"/>
    <x v="80"/>
    <n v="28"/>
    <s v="收到万恒账单，做费用，发账单给石磊"/>
    <x v="139"/>
    <x v="0"/>
    <x v="3"/>
    <m/>
    <m/>
    <n v="-63"/>
  </r>
  <r>
    <x v="6"/>
    <x v="80"/>
    <n v="29"/>
    <s v="收到万恒（翁小姐）提单，放提单和预录单给胡媛媛"/>
    <x v="139"/>
    <x v="0"/>
    <x v="0"/>
    <m/>
    <m/>
    <n v="-63"/>
  </r>
  <r>
    <x v="0"/>
    <x v="81"/>
    <n v="1"/>
    <s v="收到客户(孙丹/王珊)发来订舱托书"/>
    <x v="104"/>
    <x v="0"/>
    <x v="0"/>
    <m/>
    <m/>
    <n v="-77"/>
  </r>
  <r>
    <x v="0"/>
    <x v="81"/>
    <n v="2"/>
    <s v="收到CK发来预配(做箱通知，沈丽有收到？)"/>
    <x v="109"/>
    <x v="0"/>
    <x v="3"/>
    <m/>
    <m/>
    <n v="-71"/>
  </r>
  <r>
    <x v="0"/>
    <x v="81"/>
    <n v="3"/>
    <s v="YJC系统生成单子"/>
    <x v="109"/>
    <x v="0"/>
    <x v="3"/>
    <m/>
    <m/>
    <n v="-71"/>
  </r>
  <r>
    <x v="0"/>
    <x v="81"/>
    <n v="4"/>
    <s v="收到包装厂(刘倩梅)发来包装指示书和装箱计划"/>
    <x v="109"/>
    <x v="0"/>
    <x v="3"/>
    <m/>
    <s v="一般周四"/>
    <n v="-71"/>
  </r>
  <r>
    <x v="0"/>
    <x v="81"/>
    <n v="5"/>
    <s v="根据装箱计划汇总包装数据，发各工厂做报关资料"/>
    <x v="109"/>
    <x v="0"/>
    <x v="3"/>
    <m/>
    <m/>
    <n v="-71"/>
  </r>
  <r>
    <x v="0"/>
    <x v="81"/>
    <n v="6"/>
    <s v="做做箱数据，邮件群发(查开港时间，注明做箱时间)"/>
    <x v="109"/>
    <x v="0"/>
    <x v="3"/>
    <m/>
    <m/>
    <n v="-71"/>
  </r>
  <r>
    <x v="0"/>
    <x v="81"/>
    <n v="7"/>
    <s v="【HMI】确认一下开港时间，看做箱时间要不要变"/>
    <x v="127"/>
    <x v="1"/>
    <x v="0"/>
    <m/>
    <s v="以后统一周五做箱"/>
    <n v="-69"/>
  </r>
  <r>
    <x v="0"/>
    <x v="81"/>
    <n v="8"/>
    <s v="收到工厂发来报关资料并完善(代做报关资料跟客户确认)"/>
    <x v="105"/>
    <x v="0"/>
    <x v="3"/>
    <m/>
    <s v="当天至隔天"/>
    <n v="-70"/>
  </r>
  <r>
    <x v="0"/>
    <x v="81"/>
    <n v="8"/>
    <s v="报关资料齐了（光成要素划掉XXX），发报关行(罗运生)"/>
    <x v="105"/>
    <x v="0"/>
    <x v="3"/>
    <m/>
    <m/>
    <n v="-70"/>
  </r>
  <r>
    <x v="0"/>
    <x v="81"/>
    <n v="9"/>
    <s v="货运模板/发票/箱单"/>
    <x v="138"/>
    <x v="0"/>
    <x v="2"/>
    <m/>
    <m/>
    <n v="-64"/>
  </r>
  <r>
    <x v="0"/>
    <x v="81"/>
    <n v="10"/>
    <s v="通知进港"/>
    <x v="105"/>
    <x v="1"/>
    <x v="0"/>
    <m/>
    <s v="调整顺序"/>
    <n v="-70"/>
  </r>
  <r>
    <x v="0"/>
    <x v="81"/>
    <n v="11"/>
    <s v="收到车队(沈丽)装箱单和洋山提箱截图(如有)，9点前群发，通知发舱单"/>
    <x v="105"/>
    <x v="0"/>
    <x v="0"/>
    <m/>
    <s v="一般KMM五、HMI日"/>
    <n v="-70"/>
  </r>
  <r>
    <x v="0"/>
    <x v="81"/>
    <n v="12"/>
    <s v="收到舱单发送成功通知，核对舱单信息"/>
    <x v="127"/>
    <x v="0"/>
    <x v="0"/>
    <m/>
    <m/>
    <n v="-69"/>
  </r>
  <r>
    <x v="0"/>
    <x v="81"/>
    <n v="13"/>
    <s v="开港"/>
    <x v="140"/>
    <x v="0"/>
    <x v="0"/>
    <m/>
    <m/>
    <n v="-68"/>
  </r>
  <r>
    <x v="0"/>
    <x v="81"/>
    <n v="14"/>
    <s v="进港(核对数据)"/>
    <x v="140"/>
    <x v="0"/>
    <x v="0"/>
    <m/>
    <s v="调整顺序"/>
    <n v="-68"/>
  </r>
  <r>
    <x v="0"/>
    <x v="81"/>
    <n v="15"/>
    <s v="通知报关（洋山发装箱单）"/>
    <x v="140"/>
    <x v="0"/>
    <x v="0"/>
    <m/>
    <s v="调整顺序"/>
    <n v="-68"/>
  </r>
  <r>
    <x v="0"/>
    <x v="81"/>
    <n v="16"/>
    <s v="报关成功"/>
    <x v="108"/>
    <x v="0"/>
    <x v="0"/>
    <m/>
    <s v="调整顺序"/>
    <n v="-67"/>
  </r>
  <r>
    <x v="0"/>
    <x v="81"/>
    <n v="17"/>
    <s v="海放"/>
    <x v="108"/>
    <x v="0"/>
    <x v="0"/>
    <m/>
    <m/>
    <n v="-67"/>
  </r>
  <r>
    <x v="0"/>
    <x v="81"/>
    <n v="18"/>
    <s v="码放"/>
    <x v="123"/>
    <x v="0"/>
    <x v="0"/>
    <m/>
    <m/>
    <n v="-66"/>
  </r>
  <r>
    <x v="0"/>
    <x v="81"/>
    <n v="19"/>
    <s v="配载"/>
    <x v="128"/>
    <x v="0"/>
    <x v="3"/>
    <m/>
    <m/>
    <n v="-65"/>
  </r>
  <r>
    <x v="0"/>
    <x v="81"/>
    <n v="20"/>
    <s v="做费用(对账单日期4号)，放公共盘，填月账单表，发孙丹"/>
    <x v="139"/>
    <x v="0"/>
    <x v="3"/>
    <m/>
    <m/>
    <n v="-63"/>
  </r>
  <r>
    <x v="0"/>
    <x v="81"/>
    <n v="21"/>
    <s v="如有额外费用发邮件"/>
    <x v="139"/>
    <x v="0"/>
    <x v="3"/>
    <m/>
    <m/>
    <n v="-63"/>
  </r>
  <r>
    <x v="0"/>
    <x v="81"/>
    <n v="22"/>
    <s v="船开"/>
    <x v="138"/>
    <x v="0"/>
    <x v="0"/>
    <m/>
    <m/>
    <n v="-64"/>
  </r>
  <r>
    <x v="4"/>
    <x v="81"/>
    <n v="1"/>
    <s v="收到客户(陈云娣)订舱预报"/>
    <x v="98"/>
    <x v="0"/>
    <x v="0"/>
    <m/>
    <s v="一般周五发隔周"/>
    <n v="-74"/>
  </r>
  <r>
    <x v="4"/>
    <x v="81"/>
    <n v="2"/>
    <s v="填WORKING PROCESS"/>
    <x v="98"/>
    <x v="0"/>
    <x v="0"/>
    <m/>
    <m/>
    <n v="-74"/>
  </r>
  <r>
    <x v="4"/>
    <x v="81"/>
    <n v="6"/>
    <s v="公共盘生成提单号(QSWB不要搞错)"/>
    <x v="106"/>
    <x v="1"/>
    <x v="0"/>
    <m/>
    <m/>
    <n v="-72"/>
  </r>
  <r>
    <x v="4"/>
    <x v="81"/>
    <n v="7"/>
    <s v="YJC系统生成单子"/>
    <x v="106"/>
    <x v="1"/>
    <x v="0"/>
    <m/>
    <m/>
    <n v="-72"/>
  </r>
  <r>
    <x v="4"/>
    <x v="81"/>
    <n v="8"/>
    <s v="发EDI"/>
    <x v="106"/>
    <x v="1"/>
    <x v="0"/>
    <m/>
    <m/>
    <n v="-72"/>
  </r>
  <r>
    <x v="4"/>
    <x v="81"/>
    <n v="9"/>
    <s v="邮件申请放舱"/>
    <x v="106"/>
    <x v="1"/>
    <x v="0"/>
    <m/>
    <m/>
    <n v="-72"/>
  </r>
  <r>
    <x v="4"/>
    <x v="81"/>
    <n v="10"/>
    <s v="收到HMM(Abbi) 确认放舱"/>
    <x v="106"/>
    <x v="1"/>
    <x v="0"/>
    <m/>
    <s v="一般半天内"/>
    <n v="-72"/>
  </r>
  <r>
    <x v="4"/>
    <x v="81"/>
    <n v="11"/>
    <s v="HMM网站核对订舱信息"/>
    <x v="106"/>
    <x v="1"/>
    <x v="0"/>
    <m/>
    <m/>
    <n v="-72"/>
  </r>
  <r>
    <x v="4"/>
    <x v="81"/>
    <n v="12"/>
    <s v="收到客户(陈云娣)做箱通知"/>
    <x v="106"/>
    <x v="1"/>
    <x v="0"/>
    <m/>
    <s v="一般做箱头天一早"/>
    <n v="-72"/>
  </r>
  <r>
    <x v="4"/>
    <x v="81"/>
    <n v="13"/>
    <s v="【拆单】公共盘生成提单号"/>
    <x v="106"/>
    <x v="1"/>
    <x v="0"/>
    <m/>
    <m/>
    <n v="-72"/>
  </r>
  <r>
    <x v="4"/>
    <x v="81"/>
    <n v="14"/>
    <s v="发做箱通知邮件给车队(沈丽)（航次要加QL？）"/>
    <x v="106"/>
    <x v="1"/>
    <x v="0"/>
    <m/>
    <m/>
    <n v="-72"/>
  </r>
  <r>
    <x v="4"/>
    <x v="81"/>
    <n v="15"/>
    <s v="【拆单】YJC系统生成单子（QSWB不要搞错）"/>
    <x v="106"/>
    <x v="1"/>
    <x v="0"/>
    <m/>
    <m/>
    <n v="-72"/>
  </r>
  <r>
    <x v="4"/>
    <x v="81"/>
    <n v="16"/>
    <s v="【拆单】发EDI"/>
    <x v="106"/>
    <x v="1"/>
    <x v="0"/>
    <m/>
    <m/>
    <n v="-72"/>
  </r>
  <r>
    <x v="4"/>
    <x v="81"/>
    <n v="17"/>
    <s v="【拆单】邮件申请放单"/>
    <x v="106"/>
    <x v="1"/>
    <x v="0"/>
    <m/>
    <m/>
    <n v="-72"/>
  </r>
  <r>
    <x v="4"/>
    <x v="81"/>
    <n v="18"/>
    <s v="【拆单】收到HMM(Abbi) 加拼放单确认"/>
    <x v="106"/>
    <x v="1"/>
    <x v="0"/>
    <m/>
    <m/>
    <n v="-72"/>
  </r>
  <r>
    <x v="4"/>
    <x v="81"/>
    <n v="19"/>
    <s v="【拆单】HMM网站核对订舱信息"/>
    <x v="106"/>
    <x v="1"/>
    <x v="0"/>
    <m/>
    <m/>
    <n v="-72"/>
  </r>
  <r>
    <x v="4"/>
    <x v="81"/>
    <n v="20"/>
    <s v="收到客户(陈云娣)发来报关资料"/>
    <x v="106"/>
    <x v="1"/>
    <x v="0"/>
    <m/>
    <s v="一般做箱当天一早"/>
    <n v="-72"/>
  </r>
  <r>
    <x v="4"/>
    <x v="81"/>
    <n v="21"/>
    <s v="【加拼】按报关(发票)数生成提单号【如发票数超过提单数】"/>
    <x v="106"/>
    <x v="1"/>
    <x v="0"/>
    <m/>
    <m/>
    <n v="-72"/>
  </r>
  <r>
    <x v="4"/>
    <x v="81"/>
    <n v="22"/>
    <s v="做做箱数据，QQ发车队(沈丽)"/>
    <x v="106"/>
    <x v="1"/>
    <x v="0"/>
    <m/>
    <m/>
    <n v="-72"/>
  </r>
  <r>
    <x v="4"/>
    <x v="81"/>
    <n v="23"/>
    <s v="收到车队(沈丽)装箱单，转发客户（陈云娣）"/>
    <x v="106"/>
    <x v="1"/>
    <x v="0"/>
    <m/>
    <s v="一般马上"/>
    <n v="-72"/>
  </r>
  <r>
    <x v="4"/>
    <x v="81"/>
    <n v="24"/>
    <s v="YJC系统截单，发EDI，邮件HMM(He)【截单时间】"/>
    <x v="106"/>
    <x v="1"/>
    <x v="0"/>
    <m/>
    <s v="注意截单时间"/>
    <n v="-72"/>
  </r>
  <r>
    <x v="4"/>
    <x v="81"/>
    <n v="25"/>
    <s v="发VGM和舱单（亿通，鹏海两次）"/>
    <x v="106"/>
    <x v="1"/>
    <x v="0"/>
    <m/>
    <m/>
    <n v="-72"/>
  </r>
  <r>
    <x v="4"/>
    <x v="81"/>
    <n v="26"/>
    <s v="做报关资料，扫描发报关行(罗运生)QQ，要校对稿"/>
    <x v="106"/>
    <x v="1"/>
    <x v="0"/>
    <m/>
    <m/>
    <n v="-72"/>
  </r>
  <r>
    <x v="4"/>
    <x v="81"/>
    <n v="27"/>
    <s v="做保函给邹师傅(美国线)"/>
    <x v="106"/>
    <x v="1"/>
    <x v="0"/>
    <m/>
    <m/>
    <n v="-72"/>
  </r>
  <r>
    <x v="4"/>
    <x v="81"/>
    <n v="28"/>
    <s v="做ISF，发国外资料"/>
    <x v="106"/>
    <x v="1"/>
    <x v="0"/>
    <m/>
    <m/>
    <n v="-72"/>
  </r>
  <r>
    <x v="4"/>
    <x v="81"/>
    <n v="29"/>
    <s v="买保险"/>
    <x v="106"/>
    <x v="1"/>
    <x v="0"/>
    <m/>
    <m/>
    <n v="-72"/>
  </r>
  <r>
    <x v="4"/>
    <x v="81"/>
    <n v="31"/>
    <s v="收到HMM(He)生成提单通知"/>
    <x v="106"/>
    <x v="1"/>
    <x v="0"/>
    <m/>
    <s v="一般马上"/>
    <n v="-72"/>
  </r>
  <r>
    <x v="4"/>
    <x v="81"/>
    <n v="32"/>
    <s v="HMM网站核对提单信息"/>
    <x v="106"/>
    <x v="1"/>
    <x v="0"/>
    <m/>
    <m/>
    <n v="-72"/>
  </r>
  <r>
    <x v="4"/>
    <x v="81"/>
    <n v="33"/>
    <s v="盯海关网站舱单"/>
    <x v="106"/>
    <x v="1"/>
    <x v="0"/>
    <m/>
    <s v="一般两小时左右"/>
    <n v="-72"/>
  </r>
  <r>
    <x v="4"/>
    <x v="81"/>
    <n v="34"/>
    <s v="核对舱单信息"/>
    <x v="106"/>
    <x v="1"/>
    <x v="0"/>
    <m/>
    <m/>
    <n v="-72"/>
  </r>
  <r>
    <x v="4"/>
    <x v="81"/>
    <n v="35"/>
    <s v="收到报关行(罗运生)校对稿，邮件发客户(陈云娣)确认"/>
    <x v="106"/>
    <x v="1"/>
    <x v="0"/>
    <m/>
    <s v="一般半天内"/>
    <n v="-72"/>
  </r>
  <r>
    <x v="4"/>
    <x v="81"/>
    <n v="36"/>
    <s v="收到客户(陈云娣)确认校对稿"/>
    <x v="106"/>
    <x v="1"/>
    <x v="0"/>
    <m/>
    <s v="一般马上"/>
    <n v="-72"/>
  </r>
  <r>
    <x v="4"/>
    <x v="81"/>
    <n v="37"/>
    <s v="通知报关行(罗运生)报关(开港、舱单、校对)（洋山提供装箱单）"/>
    <x v="106"/>
    <x v="1"/>
    <x v="0"/>
    <m/>
    <m/>
    <n v="-72"/>
  </r>
  <r>
    <x v="4"/>
    <x v="81"/>
    <n v="37"/>
    <s v="收到报关成功通知"/>
    <x v="106"/>
    <x v="1"/>
    <x v="0"/>
    <m/>
    <s v="一般下班前"/>
    <n v="-72"/>
  </r>
  <r>
    <x v="4"/>
    <x v="81"/>
    <n v="37"/>
    <s v="通知车队(沈丽)可进港"/>
    <x v="106"/>
    <x v="1"/>
    <x v="0"/>
    <m/>
    <m/>
    <n v="-72"/>
  </r>
  <r>
    <x v="4"/>
    <x v="81"/>
    <n v="37"/>
    <s v="盯箱子进港，关注开港时间，有落箱费？"/>
    <x v="106"/>
    <x v="1"/>
    <x v="0"/>
    <m/>
    <m/>
    <n v="-72"/>
  </r>
  <r>
    <x v="4"/>
    <x v="81"/>
    <n v="37"/>
    <s v="核对进港数据"/>
    <x v="106"/>
    <x v="1"/>
    <x v="0"/>
    <m/>
    <m/>
    <n v="-72"/>
  </r>
  <r>
    <x v="4"/>
    <x v="81"/>
    <n v="42"/>
    <s v="盯海放"/>
    <x v="106"/>
    <x v="1"/>
    <x v="0"/>
    <m/>
    <m/>
    <n v="-72"/>
  </r>
  <r>
    <x v="4"/>
    <x v="81"/>
    <n v="43"/>
    <s v="盯码放"/>
    <x v="106"/>
    <x v="1"/>
    <x v="0"/>
    <m/>
    <m/>
    <n v="-72"/>
  </r>
  <r>
    <x v="4"/>
    <x v="81"/>
    <n v="44"/>
    <s v="盯配载"/>
    <x v="106"/>
    <x v="1"/>
    <x v="0"/>
    <m/>
    <m/>
    <n v="-72"/>
  </r>
  <r>
    <x v="4"/>
    <x v="81"/>
    <n v="45"/>
    <s v="做费用(月初等汇率)，发账单给陈吟勇"/>
    <x v="106"/>
    <x v="1"/>
    <x v="0"/>
    <m/>
    <m/>
    <n v="-72"/>
  </r>
  <r>
    <x v="4"/>
    <x v="81"/>
    <n v="46"/>
    <s v="船开"/>
    <x v="106"/>
    <x v="1"/>
    <x v="0"/>
    <m/>
    <m/>
    <n v="-72"/>
  </r>
  <r>
    <x v="4"/>
    <x v="81"/>
    <n v="47"/>
    <s v="放提单（PHISON、陈吟勇提单、陈云娣三单）"/>
    <x v="106"/>
    <x v="1"/>
    <x v="0"/>
    <m/>
    <s v="一般开船后两三天"/>
    <n v="-72"/>
  </r>
  <r>
    <x v="1"/>
    <x v="81"/>
    <n v="1"/>
    <s v="收到客户(孙丹/王珊)发来订舱托书"/>
    <x v="116"/>
    <x v="0"/>
    <x v="0"/>
    <m/>
    <m/>
    <n v="-78"/>
  </r>
  <r>
    <x v="1"/>
    <x v="81"/>
    <n v="2"/>
    <s v="收到CK发来预配(做箱通知，沈丽有收到？)"/>
    <x v="105"/>
    <x v="0"/>
    <x v="0"/>
    <m/>
    <m/>
    <n v="-70"/>
  </r>
  <r>
    <x v="1"/>
    <x v="81"/>
    <n v="3"/>
    <s v="YJC系统生成单子"/>
    <x v="105"/>
    <x v="0"/>
    <x v="0"/>
    <m/>
    <m/>
    <n v="-70"/>
  </r>
  <r>
    <x v="1"/>
    <x v="81"/>
    <n v="4"/>
    <s v="收到包装厂(刘倩梅)发来包装指示书和装箱计划"/>
    <x v="109"/>
    <x v="0"/>
    <x v="3"/>
    <m/>
    <s v="一般周四"/>
    <n v="-71"/>
  </r>
  <r>
    <x v="1"/>
    <x v="81"/>
    <n v="5"/>
    <s v="根据装箱计划汇总包装数据，发各工厂做报关资料"/>
    <x v="109"/>
    <x v="0"/>
    <x v="3"/>
    <m/>
    <m/>
    <n v="-71"/>
  </r>
  <r>
    <x v="1"/>
    <x v="81"/>
    <n v="6"/>
    <s v="做做箱数据，邮件群发(查开港时间，注明做箱时间)"/>
    <x v="105"/>
    <x v="0"/>
    <x v="0"/>
    <m/>
    <m/>
    <n v="-70"/>
  </r>
  <r>
    <x v="1"/>
    <x v="81"/>
    <n v="7"/>
    <s v="【HMI】确认一下开港时间，看做箱时间要不要变"/>
    <x v="109"/>
    <x v="1"/>
    <x v="0"/>
    <m/>
    <s v="周六"/>
    <n v="-71"/>
  </r>
  <r>
    <x v="1"/>
    <x v="81"/>
    <n v="8"/>
    <s v="收到工厂发来报关资料并完善(代做报关资料跟客户确认)"/>
    <x v="105"/>
    <x v="0"/>
    <x v="0"/>
    <m/>
    <s v="当天至隔天"/>
    <n v="-70"/>
  </r>
  <r>
    <x v="1"/>
    <x v="81"/>
    <n v="9"/>
    <s v="报关资料齐了（光成要素划掉XXX），发报关行(罗运生)"/>
    <x v="105"/>
    <x v="0"/>
    <x v="0"/>
    <m/>
    <m/>
    <n v="-70"/>
  </r>
  <r>
    <x v="1"/>
    <x v="81"/>
    <n v="10"/>
    <s v="货运模板/发票/箱单"/>
    <x v="138"/>
    <x v="0"/>
    <x v="2"/>
    <m/>
    <m/>
    <n v="-64"/>
  </r>
  <r>
    <x v="1"/>
    <x v="81"/>
    <n v="11"/>
    <s v="收到车队(沈丽)装箱单和洋山提箱截图(如有)，9点前群发，通知发舱单"/>
    <x v="105"/>
    <x v="0"/>
    <x v="0"/>
    <m/>
    <s v="一般KMM五、HMI日"/>
    <n v="-70"/>
  </r>
  <r>
    <x v="1"/>
    <x v="81"/>
    <n v="12"/>
    <s v="收到舱单发送成功通知，核对舱单信息"/>
    <x v="105"/>
    <x v="0"/>
    <x v="3"/>
    <m/>
    <m/>
    <n v="-70"/>
  </r>
  <r>
    <x v="1"/>
    <x v="81"/>
    <n v="13"/>
    <s v="通知报关（洋山发装箱单）"/>
    <x v="105"/>
    <x v="0"/>
    <x v="3"/>
    <m/>
    <s v="调整顺序"/>
    <n v="-70"/>
  </r>
  <r>
    <x v="1"/>
    <x v="81"/>
    <n v="14"/>
    <s v="报关成功"/>
    <x v="105"/>
    <x v="0"/>
    <x v="3"/>
    <m/>
    <s v="调整顺序"/>
    <n v="-70"/>
  </r>
  <r>
    <x v="1"/>
    <x v="81"/>
    <n v="15"/>
    <s v="通知进港"/>
    <x v="105"/>
    <x v="0"/>
    <x v="3"/>
    <m/>
    <s v="调整顺序"/>
    <n v="-70"/>
  </r>
  <r>
    <x v="1"/>
    <x v="81"/>
    <n v="16"/>
    <s v="进港(核对数据)"/>
    <x v="127"/>
    <x v="0"/>
    <x v="0"/>
    <m/>
    <s v="调整顺序"/>
    <n v="-69"/>
  </r>
  <r>
    <x v="1"/>
    <x v="81"/>
    <n v="17"/>
    <s v="海放"/>
    <x v="127"/>
    <x v="0"/>
    <x v="0"/>
    <m/>
    <m/>
    <n v="-69"/>
  </r>
  <r>
    <x v="1"/>
    <x v="81"/>
    <n v="18"/>
    <s v="码放"/>
    <x v="123"/>
    <x v="0"/>
    <x v="0"/>
    <m/>
    <m/>
    <n v="-66"/>
  </r>
  <r>
    <x v="1"/>
    <x v="81"/>
    <n v="19"/>
    <s v="配载"/>
    <x v="123"/>
    <x v="0"/>
    <x v="4"/>
    <m/>
    <m/>
    <n v="-66"/>
  </r>
  <r>
    <x v="1"/>
    <x v="81"/>
    <n v="20"/>
    <s v="做费用(对账单日期4号)，放公共盘，填月账单表，发孙丹"/>
    <x v="139"/>
    <x v="0"/>
    <x v="3"/>
    <m/>
    <m/>
    <n v="-63"/>
  </r>
  <r>
    <x v="1"/>
    <x v="81"/>
    <n v="21"/>
    <s v="如有额外费用发邮件"/>
    <x v="139"/>
    <x v="1"/>
    <x v="3"/>
    <m/>
    <m/>
    <n v="-63"/>
  </r>
  <r>
    <x v="1"/>
    <x v="81"/>
    <n v="22"/>
    <s v="船开"/>
    <x v="128"/>
    <x v="0"/>
    <x v="0"/>
    <m/>
    <m/>
    <n v="-65"/>
  </r>
  <r>
    <x v="7"/>
    <x v="81"/>
    <n v="1"/>
    <s v="收到徐小姐托书"/>
    <x v="114"/>
    <x v="0"/>
    <x v="0"/>
    <m/>
    <m/>
    <n v="-84"/>
  </r>
  <r>
    <x v="7"/>
    <x v="81"/>
    <n v="1.1000000000000001"/>
    <s v="看PANCON有没有出新船期表"/>
    <x v="116"/>
    <x v="0"/>
    <x v="3"/>
    <m/>
    <m/>
    <n v="-78"/>
  </r>
  <r>
    <x v="7"/>
    <x v="81"/>
    <n v="2"/>
    <s v="公共盘表格生成单号，YJC系统复制、生成"/>
    <x v="116"/>
    <x v="0"/>
    <x v="3"/>
    <m/>
    <s v="注意MBL#命名规则"/>
    <n v="-78"/>
  </r>
  <r>
    <x v="7"/>
    <x v="81"/>
    <n v="3"/>
    <s v="(一票一订)振华订舱界面复制订舱、保存、提交"/>
    <x v="116"/>
    <x v="0"/>
    <x v="3"/>
    <m/>
    <s v="客户编号 提单号 船名航次 日期 箱量"/>
    <n v="-78"/>
  </r>
  <r>
    <x v="7"/>
    <x v="81"/>
    <n v="4"/>
    <s v="邮件发确认给国外"/>
    <x v="116"/>
    <x v="0"/>
    <x v="3"/>
    <m/>
    <s v="Delete ayjun@kylogix.co.kr Add hypark@kylogix.co.kr"/>
    <n v="-78"/>
  </r>
  <r>
    <x v="7"/>
    <x v="81"/>
    <n v="5"/>
    <s v="QQ发预配信息给徐小姐（模板），问是否要加拼，发车队江"/>
    <x v="116"/>
    <x v="1"/>
    <x v="3"/>
    <m/>
    <m/>
    <n v="-78"/>
  </r>
  <r>
    <x v="7"/>
    <x v="81"/>
    <n v="6"/>
    <s v="订舱审核通过"/>
    <x v="101"/>
    <x v="0"/>
    <x v="0"/>
    <m/>
    <m/>
    <n v="-73"/>
  </r>
  <r>
    <x v="7"/>
    <x v="81"/>
    <n v="7"/>
    <s v="订舱界面加拼、提交，通知徐小姐加拼单号"/>
    <x v="116"/>
    <x v="1"/>
    <x v="3"/>
    <m/>
    <s v="点“多票加拼”"/>
    <n v="-78"/>
  </r>
  <r>
    <x v="7"/>
    <x v="81"/>
    <n v="8"/>
    <s v="加拼审核通过"/>
    <x v="116"/>
    <x v="1"/>
    <x v="3"/>
    <m/>
    <m/>
    <n v="-78"/>
  </r>
  <r>
    <x v="7"/>
    <x v="81"/>
    <n v="9"/>
    <s v="收到国外确认，公共盘红改黑，加CONFIRM"/>
    <x v="116"/>
    <x v="0"/>
    <x v="4"/>
    <m/>
    <m/>
    <n v="-78"/>
  </r>
  <r>
    <x v="7"/>
    <x v="81"/>
    <n v="10"/>
    <s v="录费用"/>
    <x v="108"/>
    <x v="0"/>
    <x v="1"/>
    <m/>
    <m/>
    <n v="-67"/>
  </r>
  <r>
    <x v="7"/>
    <x v="81"/>
    <n v="12"/>
    <s v="收到车队江发来装箱数据和装箱单"/>
    <x v="108"/>
    <x v="0"/>
    <x v="1"/>
    <m/>
    <s v="周三周一截，周日周五截"/>
    <n v="-67"/>
  </r>
  <r>
    <x v="7"/>
    <x v="81"/>
    <n v="13"/>
    <s v="数据表中加入封号，汇总单票总件毛体"/>
    <x v="108"/>
    <x v="0"/>
    <x v="1"/>
    <m/>
    <m/>
    <n v="-67"/>
  </r>
  <r>
    <x v="7"/>
    <x v="81"/>
    <n v="14"/>
    <s v="YJC 截单"/>
    <x v="108"/>
    <x v="0"/>
    <x v="1"/>
    <m/>
    <s v="船名航次 开航日 件毛体 CC 箱量 箱封号 品名"/>
    <n v="-67"/>
  </r>
  <r>
    <x v="7"/>
    <x v="81"/>
    <n v="15"/>
    <s v="导出HBL，发徐小姐确认"/>
    <x v="108"/>
    <x v="0"/>
    <x v="1"/>
    <m/>
    <m/>
    <n v="-67"/>
  </r>
  <r>
    <x v="7"/>
    <x v="81"/>
    <n v="16"/>
    <s v="徐小姐确认HBL时，振华录入每一关单号的件毛体(注意箱状态)，保存"/>
    <x v="108"/>
    <x v="0"/>
    <x v="1"/>
    <m/>
    <m/>
    <n v="-67"/>
  </r>
  <r>
    <x v="7"/>
    <x v="81"/>
    <n v="17"/>
    <s v="徐小姐确认HBL"/>
    <x v="108"/>
    <x v="0"/>
    <x v="1"/>
    <m/>
    <m/>
    <n v="-67"/>
  </r>
  <r>
    <x v="7"/>
    <x v="81"/>
    <n v="18"/>
    <s v="发舱单"/>
    <x v="108"/>
    <x v="0"/>
    <x v="1"/>
    <m/>
    <s v="一关单一发"/>
    <n v="-67"/>
  </r>
  <r>
    <x v="7"/>
    <x v="81"/>
    <n v="19"/>
    <s v="海关有舱单，核对舱单信息，(如无并单，可直接录VGM)"/>
    <x v="108"/>
    <x v="0"/>
    <x v="1"/>
    <m/>
    <m/>
    <n v="-67"/>
  </r>
  <r>
    <x v="7"/>
    <x v="81"/>
    <n v="20"/>
    <s v="订舱界面并单"/>
    <x v="108"/>
    <x v="1"/>
    <x v="1"/>
    <m/>
    <m/>
    <n v="-67"/>
  </r>
  <r>
    <x v="7"/>
    <x v="81"/>
    <n v="21"/>
    <s v="并单审核通过"/>
    <x v="108"/>
    <x v="1"/>
    <x v="1"/>
    <m/>
    <m/>
    <n v="-67"/>
  </r>
  <r>
    <x v="7"/>
    <x v="81"/>
    <n v="22"/>
    <s v="每票录入所有箱子箱封号和件毛体，保存，录VGM，导入"/>
    <x v="108"/>
    <x v="0"/>
    <x v="1"/>
    <m/>
    <m/>
    <n v="-67"/>
  </r>
  <r>
    <x v="7"/>
    <x v="81"/>
    <n v="23"/>
    <s v="打印MBL"/>
    <x v="108"/>
    <x v="0"/>
    <x v="1"/>
    <m/>
    <m/>
    <n v="-67"/>
  </r>
  <r>
    <x v="7"/>
    <x v="81"/>
    <n v="24"/>
    <s v="表格、HBL、MBL、费用一起发邮件给国外"/>
    <x v="108"/>
    <x v="0"/>
    <x v="1"/>
    <m/>
    <s v="Delete ayjun@kylogix.co.kr Add hypark@kylogix.co.kr"/>
    <n v="-67"/>
  </r>
  <r>
    <x v="7"/>
    <x v="81"/>
    <n v="25"/>
    <s v="船开"/>
    <x v="139"/>
    <x v="0"/>
    <x v="0"/>
    <m/>
    <m/>
    <n v="-63"/>
  </r>
  <r>
    <x v="7"/>
    <x v="81"/>
    <n v="26"/>
    <s v="拿到WAYBILL"/>
    <x v="139"/>
    <x v="0"/>
    <x v="4"/>
    <m/>
    <m/>
    <n v="-63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63"/>
  </r>
  <r>
    <x v="7"/>
    <x v="81"/>
    <m/>
    <s v="PCLU1790PE4304取消审核，国外确认"/>
    <x v="105"/>
    <x v="0"/>
    <x v="0"/>
    <m/>
    <m/>
    <n v="-70"/>
  </r>
  <r>
    <x v="4"/>
    <x v="82"/>
    <n v="1"/>
    <s v="收到客户(陈云娣)订舱预报"/>
    <x v="98"/>
    <x v="0"/>
    <x v="0"/>
    <m/>
    <s v="一般周五发隔周"/>
    <n v="-74"/>
  </r>
  <r>
    <x v="4"/>
    <x v="82"/>
    <n v="2"/>
    <s v="填WORKING PROCESS"/>
    <x v="98"/>
    <x v="0"/>
    <x v="0"/>
    <m/>
    <m/>
    <n v="-74"/>
  </r>
  <r>
    <x v="4"/>
    <x v="82"/>
    <n v="6"/>
    <s v="公共盘生成提单号(QSWB不要搞错)"/>
    <x v="105"/>
    <x v="0"/>
    <x v="1"/>
    <m/>
    <m/>
    <n v="-70"/>
  </r>
  <r>
    <x v="4"/>
    <x v="82"/>
    <n v="7"/>
    <s v="YJC系统生成单子"/>
    <x v="105"/>
    <x v="0"/>
    <x v="1"/>
    <m/>
    <m/>
    <n v="-70"/>
  </r>
  <r>
    <x v="4"/>
    <x v="82"/>
    <n v="8"/>
    <s v="发EDI"/>
    <x v="105"/>
    <x v="0"/>
    <x v="1"/>
    <m/>
    <m/>
    <n v="-70"/>
  </r>
  <r>
    <x v="4"/>
    <x v="82"/>
    <n v="9"/>
    <s v="邮件申请放舱"/>
    <x v="105"/>
    <x v="0"/>
    <x v="1"/>
    <m/>
    <m/>
    <n v="-70"/>
  </r>
  <r>
    <x v="4"/>
    <x v="82"/>
    <n v="10"/>
    <s v="收到HMM(Abbi) 确认放舱"/>
    <x v="105"/>
    <x v="0"/>
    <x v="1"/>
    <m/>
    <s v="一般半天内"/>
    <n v="-70"/>
  </r>
  <r>
    <x v="4"/>
    <x v="82"/>
    <n v="11"/>
    <s v="HMM网站核对订舱信息"/>
    <x v="105"/>
    <x v="0"/>
    <x v="1"/>
    <m/>
    <m/>
    <n v="-70"/>
  </r>
  <r>
    <x v="4"/>
    <x v="82"/>
    <n v="12"/>
    <s v="收到客户(陈云娣)做箱通知"/>
    <x v="108"/>
    <x v="0"/>
    <x v="3"/>
    <m/>
    <s v="一般做箱头天一早"/>
    <n v="-67"/>
  </r>
  <r>
    <x v="4"/>
    <x v="82"/>
    <n v="13"/>
    <s v="【拆单】公共盘生成提单号"/>
    <x v="108"/>
    <x v="0"/>
    <x v="3"/>
    <m/>
    <m/>
    <n v="-67"/>
  </r>
  <r>
    <x v="4"/>
    <x v="82"/>
    <n v="14"/>
    <s v="发做箱通知邮件给车队(沈丽)（航次要加QL？）"/>
    <x v="108"/>
    <x v="0"/>
    <x v="3"/>
    <m/>
    <m/>
    <n v="-67"/>
  </r>
  <r>
    <x v="4"/>
    <x v="82"/>
    <n v="15"/>
    <s v="【拆单】YJC系统生成单子（QSWB不要搞错）"/>
    <x v="108"/>
    <x v="0"/>
    <x v="3"/>
    <m/>
    <m/>
    <n v="-67"/>
  </r>
  <r>
    <x v="4"/>
    <x v="82"/>
    <n v="16"/>
    <s v="【拆单】发EDI"/>
    <x v="108"/>
    <x v="0"/>
    <x v="3"/>
    <m/>
    <m/>
    <n v="-67"/>
  </r>
  <r>
    <x v="4"/>
    <x v="82"/>
    <n v="17"/>
    <s v="【拆单】邮件申请放单"/>
    <x v="108"/>
    <x v="0"/>
    <x v="3"/>
    <m/>
    <m/>
    <n v="-67"/>
  </r>
  <r>
    <x v="4"/>
    <x v="82"/>
    <n v="18"/>
    <s v="【拆单】收到HMM(Abbi) 加拼放单确认"/>
    <x v="128"/>
    <x v="0"/>
    <x v="0"/>
    <m/>
    <m/>
    <n v="-65"/>
  </r>
  <r>
    <x v="4"/>
    <x v="82"/>
    <n v="19"/>
    <s v="【拆单】HMM网站核对订舱信息"/>
    <x v="128"/>
    <x v="0"/>
    <x v="0"/>
    <m/>
    <m/>
    <n v="-65"/>
  </r>
  <r>
    <x v="4"/>
    <x v="82"/>
    <n v="20"/>
    <s v="收到客户(陈云娣)发来报关资料"/>
    <x v="123"/>
    <x v="0"/>
    <x v="0"/>
    <m/>
    <s v="一般做箱当天一早"/>
    <n v="-66"/>
  </r>
  <r>
    <x v="4"/>
    <x v="82"/>
    <n v="21"/>
    <s v="【加拼】按报关(发票)数生成提单号【如发票数超过提单数】"/>
    <x v="123"/>
    <x v="0"/>
    <x v="0"/>
    <m/>
    <m/>
    <n v="-66"/>
  </r>
  <r>
    <x v="4"/>
    <x v="82"/>
    <n v="22"/>
    <s v="做做箱数据，QQ发车队(沈丽)"/>
    <x v="123"/>
    <x v="0"/>
    <x v="0"/>
    <m/>
    <m/>
    <n v="-66"/>
  </r>
  <r>
    <x v="4"/>
    <x v="82"/>
    <n v="23"/>
    <s v="收到车队(沈丽)装箱单，转发客户（陈云娣）"/>
    <x v="123"/>
    <x v="0"/>
    <x v="0"/>
    <m/>
    <s v="一般马上"/>
    <n v="-66"/>
  </r>
  <r>
    <x v="4"/>
    <x v="82"/>
    <n v="24"/>
    <s v="YJC系统截单，发EDI，邮件HMM(He)【截单时间】"/>
    <x v="123"/>
    <x v="0"/>
    <x v="0"/>
    <m/>
    <s v="注意截单时间"/>
    <n v="-66"/>
  </r>
  <r>
    <x v="4"/>
    <x v="82"/>
    <n v="25"/>
    <s v="发VGM和舱单（亿通，鹏海两次）"/>
    <x v="123"/>
    <x v="0"/>
    <x v="0"/>
    <m/>
    <m/>
    <n v="-66"/>
  </r>
  <r>
    <x v="4"/>
    <x v="82"/>
    <n v="26"/>
    <s v="做报关资料，扫描发报关行(罗运生)QQ，要校对稿"/>
    <x v="123"/>
    <x v="0"/>
    <x v="0"/>
    <m/>
    <m/>
    <n v="-66"/>
  </r>
  <r>
    <x v="4"/>
    <x v="82"/>
    <n v="27"/>
    <s v="做保函给邹师傅(美国线)"/>
    <x v="123"/>
    <x v="0"/>
    <x v="0"/>
    <m/>
    <m/>
    <n v="-66"/>
  </r>
  <r>
    <x v="4"/>
    <x v="82"/>
    <n v="28"/>
    <s v="做ISF，发国外资料"/>
    <x v="123"/>
    <x v="0"/>
    <x v="0"/>
    <m/>
    <m/>
    <n v="-66"/>
  </r>
  <r>
    <x v="4"/>
    <x v="82"/>
    <n v="29"/>
    <s v="买保险"/>
    <x v="123"/>
    <x v="0"/>
    <x v="0"/>
    <m/>
    <m/>
    <n v="-66"/>
  </r>
  <r>
    <x v="4"/>
    <x v="82"/>
    <n v="31"/>
    <s v="收到HMM(He)生成提单通知"/>
    <x v="123"/>
    <x v="0"/>
    <x v="0"/>
    <m/>
    <s v="一般马上"/>
    <n v="-66"/>
  </r>
  <r>
    <x v="4"/>
    <x v="82"/>
    <n v="32"/>
    <s v="HMM网站核对提单信息"/>
    <x v="123"/>
    <x v="0"/>
    <x v="0"/>
    <m/>
    <m/>
    <n v="-66"/>
  </r>
  <r>
    <x v="4"/>
    <x v="82"/>
    <n v="33"/>
    <s v="盯海关网站舱单"/>
    <x v="123"/>
    <x v="0"/>
    <x v="0"/>
    <m/>
    <s v="一般两小时左右"/>
    <n v="-66"/>
  </r>
  <r>
    <x v="4"/>
    <x v="82"/>
    <n v="34"/>
    <s v="核对舱单信息"/>
    <x v="123"/>
    <x v="0"/>
    <x v="0"/>
    <m/>
    <m/>
    <n v="-66"/>
  </r>
  <r>
    <x v="4"/>
    <x v="82"/>
    <n v="35"/>
    <s v="收到报关行(罗运生)校对稿，邮件发客户(陈云娣)确认"/>
    <x v="128"/>
    <x v="0"/>
    <x v="0"/>
    <m/>
    <s v="一般半天内"/>
    <n v="-65"/>
  </r>
  <r>
    <x v="4"/>
    <x v="82"/>
    <n v="36"/>
    <s v="收到客户(陈云娣)确认校对稿"/>
    <x v="128"/>
    <x v="0"/>
    <x v="0"/>
    <m/>
    <s v="一般马上"/>
    <n v="-65"/>
  </r>
  <r>
    <x v="4"/>
    <x v="82"/>
    <n v="37"/>
    <s v="通知报关行(罗运生)报关(开港、舱单、校对)（洋山提供装箱单）"/>
    <x v="128"/>
    <x v="0"/>
    <x v="0"/>
    <m/>
    <m/>
    <n v="-65"/>
  </r>
  <r>
    <x v="4"/>
    <x v="82"/>
    <n v="38"/>
    <s v="收到报关成功通知"/>
    <x v="128"/>
    <x v="0"/>
    <x v="0"/>
    <m/>
    <s v="一般下班前"/>
    <n v="-65"/>
  </r>
  <r>
    <x v="4"/>
    <x v="82"/>
    <n v="39"/>
    <s v="通知车队(沈丽)可进港"/>
    <x v="128"/>
    <x v="0"/>
    <x v="0"/>
    <m/>
    <m/>
    <n v="-65"/>
  </r>
  <r>
    <x v="4"/>
    <x v="82"/>
    <n v="40"/>
    <s v="盯箱子进港，关注开港时间，有落箱费？"/>
    <x v="128"/>
    <x v="0"/>
    <x v="0"/>
    <m/>
    <m/>
    <n v="-65"/>
  </r>
  <r>
    <x v="4"/>
    <x v="82"/>
    <n v="41"/>
    <s v="核对进港数据"/>
    <x v="128"/>
    <x v="0"/>
    <x v="0"/>
    <m/>
    <m/>
    <n v="-65"/>
  </r>
  <r>
    <x v="4"/>
    <x v="82"/>
    <n v="42"/>
    <s v="盯海放"/>
    <x v="128"/>
    <x v="0"/>
    <x v="0"/>
    <m/>
    <m/>
    <n v="-65"/>
  </r>
  <r>
    <x v="4"/>
    <x v="82"/>
    <n v="43"/>
    <s v="盯码放"/>
    <x v="138"/>
    <x v="0"/>
    <x v="0"/>
    <m/>
    <m/>
    <n v="-64"/>
  </r>
  <r>
    <x v="4"/>
    <x v="82"/>
    <n v="44"/>
    <s v="盯配载"/>
    <x v="138"/>
    <x v="0"/>
    <x v="4"/>
    <m/>
    <m/>
    <n v="-64"/>
  </r>
  <r>
    <x v="4"/>
    <x v="82"/>
    <n v="45"/>
    <s v="做费用(月初等汇率)，发账单给陈吟勇"/>
    <x v="135"/>
    <x v="0"/>
    <x v="0"/>
    <m/>
    <m/>
    <n v="-60"/>
  </r>
  <r>
    <x v="4"/>
    <x v="82"/>
    <n v="46"/>
    <s v="船开"/>
    <x v="124"/>
    <x v="0"/>
    <x v="0"/>
    <m/>
    <m/>
    <n v="-62"/>
  </r>
  <r>
    <x v="4"/>
    <x v="82"/>
    <n v="47"/>
    <s v="放提单（PHISON、陈吟勇提单、陈云娣三单）"/>
    <x v="135"/>
    <x v="0"/>
    <x v="0"/>
    <m/>
    <s v="一般开船后两三天"/>
    <n v="-60"/>
  </r>
  <r>
    <x v="14"/>
    <x v="83"/>
    <n v="1"/>
    <s v="收到宁波路遥发来做箱数据"/>
    <x v="138"/>
    <x v="0"/>
    <x v="1"/>
    <m/>
    <m/>
    <n v="-64"/>
  </r>
  <r>
    <x v="14"/>
    <x v="83"/>
    <n v="2"/>
    <s v="填TRACINGREPORT，发金娥善"/>
    <x v="135"/>
    <x v="0"/>
    <x v="0"/>
    <m/>
    <m/>
    <n v="-60"/>
  </r>
  <r>
    <x v="14"/>
    <x v="83"/>
    <n v="3"/>
    <s v="船公司要求删除两个单词，Shipper确认"/>
    <x v="136"/>
    <x v="0"/>
    <x v="0"/>
    <m/>
    <m/>
    <n v="-58"/>
  </r>
  <r>
    <x v="14"/>
    <x v="83"/>
    <n v="4"/>
    <s v="做费用，给GLOVIS，确认后给金帅，金帅确认"/>
    <x v="141"/>
    <x v="0"/>
    <x v="1"/>
    <m/>
    <m/>
    <n v="-53"/>
  </r>
  <r>
    <x v="14"/>
    <x v="83"/>
    <n v="5"/>
    <s v="调整成本账单和海运账单"/>
    <x v="141"/>
    <x v="0"/>
    <x v="4"/>
    <m/>
    <m/>
    <n v="-53"/>
  </r>
  <r>
    <x v="14"/>
    <x v="83"/>
    <n v="6"/>
    <s v="Shipper收到提单"/>
    <x v="141"/>
    <x v="0"/>
    <x v="0"/>
    <m/>
    <m/>
    <n v="-53"/>
  </r>
  <r>
    <x v="14"/>
    <x v="83"/>
    <n v="7"/>
    <s v="金帅确认LOCAL费用"/>
    <x v="141"/>
    <x v="0"/>
    <x v="0"/>
    <m/>
    <m/>
    <n v="-53"/>
  </r>
  <r>
    <x v="14"/>
    <x v="83"/>
    <n v="8"/>
    <s v="DAMMAN还要做什么"/>
    <x v="142"/>
    <x v="0"/>
    <x v="0"/>
    <m/>
    <m/>
    <n v="-46"/>
  </r>
  <r>
    <x v="14"/>
    <x v="83"/>
    <n v="9"/>
    <s v="50利润给宁波"/>
    <x v="143"/>
    <x v="0"/>
    <x v="1"/>
    <m/>
    <m/>
    <n v="-52"/>
  </r>
  <r>
    <x v="14"/>
    <x v="83"/>
    <n v="10"/>
    <s v="开票，寄发票给路遥 小袁773004841710343"/>
    <x v="144"/>
    <x v="0"/>
    <x v="0"/>
    <m/>
    <m/>
    <n v="-50"/>
  </r>
  <r>
    <x v="14"/>
    <x v="83"/>
    <n v="11"/>
    <s v="船公司签出船证明，寄出，Shipper收到申通221640082038"/>
    <x v="142"/>
    <x v="0"/>
    <x v="0"/>
    <m/>
    <m/>
    <n v="-46"/>
  </r>
  <r>
    <x v="14"/>
    <x v="83"/>
    <n v="12"/>
    <s v="袁收到发票773004841710343"/>
    <x v="142"/>
    <x v="0"/>
    <x v="0"/>
    <m/>
    <m/>
    <n v="-46"/>
  </r>
  <r>
    <x v="14"/>
    <x v="83"/>
    <n v="13"/>
    <s v="收到路遥付款水单（周一安排付款）"/>
    <x v="142"/>
    <x v="0"/>
    <x v="4"/>
    <m/>
    <s v="小袁 TEL:27807726"/>
    <n v="-46"/>
  </r>
  <r>
    <x v="14"/>
    <x v="83"/>
    <n v="14"/>
    <s v="收到沈娟寄来发票773004743941802，打印statement，一起给财务"/>
    <x v="76"/>
    <x v="0"/>
    <x v="4"/>
    <m/>
    <m/>
    <n v="-49"/>
  </r>
  <r>
    <x v="14"/>
    <x v="83"/>
    <n v="15"/>
    <s v="填TRACINGREPORT，发金娥善"/>
    <x v="145"/>
    <x v="0"/>
    <x v="0"/>
    <m/>
    <m/>
    <n v="-38"/>
  </r>
  <r>
    <x v="13"/>
    <x v="83"/>
    <n v="1"/>
    <s v="收到托书"/>
    <x v="80"/>
    <x v="0"/>
    <x v="0"/>
    <m/>
    <m/>
    <n v="-105"/>
  </r>
  <r>
    <x v="13"/>
    <x v="83"/>
    <n v="2"/>
    <s v="订舱"/>
    <x v="69"/>
    <x v="0"/>
    <x v="0"/>
    <m/>
    <m/>
    <n v="-100"/>
  </r>
  <r>
    <x v="13"/>
    <x v="83"/>
    <n v="3"/>
    <s v="收到MSK 订舱确认邮件"/>
    <x v="69"/>
    <x v="0"/>
    <x v="0"/>
    <m/>
    <m/>
    <n v="-100"/>
  </r>
  <r>
    <x v="13"/>
    <x v="83"/>
    <n v="4"/>
    <s v="发订舱确认邮件给客户"/>
    <x v="69"/>
    <x v="0"/>
    <x v="0"/>
    <m/>
    <m/>
    <n v="-100"/>
  </r>
  <r>
    <x v="13"/>
    <x v="83"/>
    <n v="4.0999999999999996"/>
    <s v="收到客户确认订舱信息"/>
    <x v="69"/>
    <x v="0"/>
    <x v="0"/>
    <m/>
    <m/>
    <n v="-100"/>
  </r>
  <r>
    <x v="13"/>
    <x v="83"/>
    <n v="5"/>
    <s v="关注开港时间"/>
    <x v="123"/>
    <x v="0"/>
    <x v="0"/>
    <m/>
    <m/>
    <n v="-66"/>
  </r>
  <r>
    <x v="13"/>
    <x v="83"/>
    <n v="6"/>
    <s v="确认提供资料时间"/>
    <x v="123"/>
    <x v="0"/>
    <x v="0"/>
    <m/>
    <m/>
    <n v="-66"/>
  </r>
  <r>
    <x v="13"/>
    <x v="83"/>
    <n v="7"/>
    <s v="做费用，拉账单"/>
    <x v="138"/>
    <x v="0"/>
    <x v="1"/>
    <m/>
    <m/>
    <n v="-64"/>
  </r>
  <r>
    <x v="13"/>
    <x v="83"/>
    <n v="8"/>
    <s v="收到截单资料"/>
    <x v="138"/>
    <x v="0"/>
    <x v="1"/>
    <m/>
    <m/>
    <n v="-64"/>
  </r>
  <r>
    <x v="13"/>
    <x v="83"/>
    <n v="9"/>
    <s v="YJC 截单，HBL和费用发文生然确认"/>
    <x v="138"/>
    <x v="0"/>
    <x v="1"/>
    <m/>
    <m/>
    <n v="-64"/>
  </r>
  <r>
    <x v="13"/>
    <x v="83"/>
    <n v="10"/>
    <s v="文生然确认HBL和费用"/>
    <x v="138"/>
    <x v="0"/>
    <x v="1"/>
    <m/>
    <m/>
    <n v="-64"/>
  </r>
  <r>
    <x v="13"/>
    <x v="83"/>
    <n v="11"/>
    <s v="MSK 录入提单确认内容"/>
    <x v="138"/>
    <x v="0"/>
    <x v="1"/>
    <m/>
    <m/>
    <n v="-64"/>
  </r>
  <r>
    <x v="13"/>
    <x v="83"/>
    <n v="12"/>
    <s v="联合船代发舱单"/>
    <x v="138"/>
    <x v="0"/>
    <x v="1"/>
    <m/>
    <m/>
    <n v="-64"/>
  </r>
  <r>
    <x v="13"/>
    <x v="83"/>
    <n v="13"/>
    <s v="MSK网站下载提单确认件"/>
    <x v="138"/>
    <x v="0"/>
    <x v="1"/>
    <m/>
    <m/>
    <n v="-64"/>
  </r>
  <r>
    <x v="13"/>
    <x v="83"/>
    <n v="14"/>
    <s v="邮件发COPY件、AMS、CREDIT给Wanda"/>
    <x v="138"/>
    <x v="0"/>
    <x v="1"/>
    <m/>
    <m/>
    <n v="-64"/>
  </r>
  <r>
    <x v="13"/>
    <x v="83"/>
    <n v="15"/>
    <s v="有舱单，核对，通知文生然"/>
    <x v="138"/>
    <x v="0"/>
    <x v="1"/>
    <m/>
    <m/>
    <n v="-64"/>
  </r>
  <r>
    <x v="13"/>
    <x v="83"/>
    <n v="16"/>
    <s v="进港，核对数据"/>
    <x v="139"/>
    <x v="0"/>
    <x v="0"/>
    <m/>
    <m/>
    <n v="-63"/>
  </r>
  <r>
    <x v="13"/>
    <x v="83"/>
    <n v="17"/>
    <s v="海放"/>
    <x v="139"/>
    <x v="0"/>
    <x v="0"/>
    <m/>
    <m/>
    <n v="-63"/>
  </r>
  <r>
    <x v="13"/>
    <x v="83"/>
    <n v="18"/>
    <s v="码放"/>
    <x v="124"/>
    <x v="0"/>
    <x v="0"/>
    <m/>
    <m/>
    <n v="-62"/>
  </r>
  <r>
    <x v="13"/>
    <x v="83"/>
    <n v="19"/>
    <s v="配载"/>
    <x v="136"/>
    <x v="0"/>
    <x v="0"/>
    <m/>
    <m/>
    <n v="-58"/>
  </r>
  <r>
    <x v="13"/>
    <x v="83"/>
    <n v="20"/>
    <s v="船开9-11 2:0"/>
    <x v="136"/>
    <x v="0"/>
    <x v="0"/>
    <m/>
    <m/>
    <n v="-58"/>
  </r>
  <r>
    <x v="13"/>
    <x v="83"/>
    <n v="21"/>
    <s v="邮件发开船通知给Wanda"/>
    <x v="136"/>
    <x v="0"/>
    <x v="0"/>
    <m/>
    <m/>
    <n v="-58"/>
  </r>
  <r>
    <x v="13"/>
    <x v="83"/>
    <n v="22"/>
    <s v="收到Wanda付款通知"/>
    <x v="143"/>
    <x v="0"/>
    <x v="3"/>
    <m/>
    <m/>
    <n v="-52"/>
  </r>
  <r>
    <x v="13"/>
    <x v="83"/>
    <n v="23"/>
    <s v="发SWB、HBL给Wanda"/>
    <x v="143"/>
    <x v="0"/>
    <x v="3"/>
    <m/>
    <m/>
    <n v="-52"/>
  </r>
  <r>
    <x v="7"/>
    <x v="83"/>
    <n v="1"/>
    <s v="收到徐小姐托书"/>
    <x v="108"/>
    <x v="0"/>
    <x v="0"/>
    <m/>
    <m/>
    <n v="-67"/>
  </r>
  <r>
    <x v="7"/>
    <x v="83"/>
    <n v="2"/>
    <s v="公共盘表格生成单号，YJC系统复制、生成"/>
    <x v="123"/>
    <x v="0"/>
    <x v="0"/>
    <m/>
    <s v="注意MBL#命名规则"/>
    <n v="-66"/>
  </r>
  <r>
    <x v="7"/>
    <x v="83"/>
    <n v="3"/>
    <s v="(一票一订)振华订舱界面复制订舱、保存、提交"/>
    <x v="123"/>
    <x v="0"/>
    <x v="0"/>
    <m/>
    <s v="客户编号 提单号 船名航次 日期 箱量"/>
    <n v="-66"/>
  </r>
  <r>
    <x v="7"/>
    <x v="83"/>
    <n v="4"/>
    <s v="邮件发确认给国外"/>
    <x v="123"/>
    <x v="0"/>
    <x v="0"/>
    <m/>
    <s v="Delete ayjun@kylogix.co.kr Add hypark@kylogix.co.kr"/>
    <n v="-66"/>
  </r>
  <r>
    <x v="7"/>
    <x v="83"/>
    <n v="5"/>
    <s v="QQ发预配信息给徐小姐（模板），问是否要加拼，发车队江"/>
    <x v="123"/>
    <x v="0"/>
    <x v="0"/>
    <m/>
    <m/>
    <n v="-66"/>
  </r>
  <r>
    <x v="7"/>
    <x v="83"/>
    <n v="6"/>
    <s v="订舱审核通过"/>
    <x v="123"/>
    <x v="0"/>
    <x v="0"/>
    <m/>
    <m/>
    <n v="-66"/>
  </r>
  <r>
    <x v="7"/>
    <x v="83"/>
    <n v="7"/>
    <s v="订舱界面加拼、提交，通知徐小姐加拼单号"/>
    <x v="123"/>
    <x v="1"/>
    <x v="0"/>
    <m/>
    <s v="点“多票加拼”"/>
    <n v="-66"/>
  </r>
  <r>
    <x v="7"/>
    <x v="83"/>
    <n v="8"/>
    <s v="加拼审核通过"/>
    <x v="123"/>
    <x v="1"/>
    <x v="0"/>
    <m/>
    <m/>
    <n v="-66"/>
  </r>
  <r>
    <x v="7"/>
    <x v="83"/>
    <n v="9"/>
    <s v="收到国外确认，公共盘红改黑，加CONFIRM"/>
    <x v="123"/>
    <x v="0"/>
    <x v="2"/>
    <m/>
    <m/>
    <n v="-66"/>
  </r>
  <r>
    <x v="7"/>
    <x v="83"/>
    <n v="10"/>
    <s v="录费用"/>
    <x v="123"/>
    <x v="0"/>
    <x v="2"/>
    <m/>
    <m/>
    <n v="-66"/>
  </r>
  <r>
    <x v="7"/>
    <x v="83"/>
    <n v="12"/>
    <s v="收到车队江发来装箱数据和装箱单"/>
    <x v="139"/>
    <x v="0"/>
    <x v="0"/>
    <m/>
    <s v="周三周一截，周日周五截"/>
    <n v="-63"/>
  </r>
  <r>
    <x v="7"/>
    <x v="83"/>
    <n v="13"/>
    <s v="数据表中加入封号，汇总单票总件毛体"/>
    <x v="139"/>
    <x v="0"/>
    <x v="0"/>
    <m/>
    <m/>
    <n v="-63"/>
  </r>
  <r>
    <x v="7"/>
    <x v="83"/>
    <n v="14"/>
    <s v="YJC 截单"/>
    <x v="139"/>
    <x v="0"/>
    <x v="0"/>
    <m/>
    <s v="船名航次 开航日 件毛体 CC 箱量 箱封号 品名"/>
    <n v="-63"/>
  </r>
  <r>
    <x v="7"/>
    <x v="83"/>
    <n v="15"/>
    <s v="导出HBL，发徐小姐确认"/>
    <x v="139"/>
    <x v="0"/>
    <x v="0"/>
    <m/>
    <m/>
    <n v="-63"/>
  </r>
  <r>
    <x v="7"/>
    <x v="83"/>
    <n v="16"/>
    <s v="徐小姐确认HBL时，振华录入每一关单号的件毛体(注意箱状态)，保存"/>
    <x v="139"/>
    <x v="0"/>
    <x v="0"/>
    <m/>
    <m/>
    <n v="-63"/>
  </r>
  <r>
    <x v="7"/>
    <x v="83"/>
    <n v="17"/>
    <s v="徐小姐确认HBL"/>
    <x v="139"/>
    <x v="0"/>
    <x v="0"/>
    <m/>
    <m/>
    <n v="-63"/>
  </r>
  <r>
    <x v="7"/>
    <x v="83"/>
    <n v="18"/>
    <s v="发舱单"/>
    <x v="139"/>
    <x v="0"/>
    <x v="0"/>
    <m/>
    <s v="一关单一发"/>
    <n v="-63"/>
  </r>
  <r>
    <x v="7"/>
    <x v="83"/>
    <n v="19"/>
    <s v="海关有舱单，核对舱单信息，(如无并单，可直接录VGM)"/>
    <x v="139"/>
    <x v="0"/>
    <x v="0"/>
    <m/>
    <m/>
    <n v="-63"/>
  </r>
  <r>
    <x v="7"/>
    <x v="83"/>
    <n v="20"/>
    <s v="订舱界面并单"/>
    <x v="139"/>
    <x v="1"/>
    <x v="0"/>
    <m/>
    <m/>
    <n v="-63"/>
  </r>
  <r>
    <x v="7"/>
    <x v="83"/>
    <n v="21"/>
    <s v="并单审核通过"/>
    <x v="139"/>
    <x v="1"/>
    <x v="0"/>
    <m/>
    <m/>
    <n v="-63"/>
  </r>
  <r>
    <x v="7"/>
    <x v="83"/>
    <n v="22"/>
    <s v="每票录入所有箱子箱封号和件毛体，保存，录VGM，导入"/>
    <x v="139"/>
    <x v="0"/>
    <x v="0"/>
    <m/>
    <m/>
    <n v="-63"/>
  </r>
  <r>
    <x v="7"/>
    <x v="83"/>
    <n v="23"/>
    <s v="打印MBL"/>
    <x v="139"/>
    <x v="0"/>
    <x v="0"/>
    <m/>
    <m/>
    <n v="-63"/>
  </r>
  <r>
    <x v="7"/>
    <x v="83"/>
    <n v="24"/>
    <s v="表格、HBL、MBL、费用一起发邮件给国外"/>
    <x v="139"/>
    <x v="0"/>
    <x v="0"/>
    <m/>
    <s v="Delete ayjun@kylogix.co.kr Add hypark@kylogix.co.kr"/>
    <n v="-63"/>
  </r>
  <r>
    <x v="7"/>
    <x v="83"/>
    <n v="25"/>
    <s v="船开"/>
    <x v="137"/>
    <x v="0"/>
    <x v="3"/>
    <m/>
    <m/>
    <n v="-59"/>
  </r>
  <r>
    <x v="7"/>
    <x v="83"/>
    <n v="26"/>
    <s v="拿到WAYBILL"/>
    <x v="137"/>
    <x v="0"/>
    <x v="4"/>
    <m/>
    <m/>
    <n v="-59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59"/>
  </r>
  <r>
    <x v="13"/>
    <x v="84"/>
    <n v="1"/>
    <s v="收到托书"/>
    <x v="80"/>
    <x v="0"/>
    <x v="0"/>
    <m/>
    <m/>
    <n v="-105"/>
  </r>
  <r>
    <x v="13"/>
    <x v="84"/>
    <n v="2"/>
    <s v="订舱"/>
    <x v="69"/>
    <x v="0"/>
    <x v="0"/>
    <m/>
    <m/>
    <n v="-100"/>
  </r>
  <r>
    <x v="13"/>
    <x v="84"/>
    <n v="3"/>
    <s v="收到MSK 订舱确认邮件"/>
    <x v="69"/>
    <x v="0"/>
    <x v="0"/>
    <m/>
    <m/>
    <n v="-100"/>
  </r>
  <r>
    <x v="13"/>
    <x v="84"/>
    <n v="4"/>
    <s v="发订舱确认邮件给客户"/>
    <x v="69"/>
    <x v="0"/>
    <x v="0"/>
    <m/>
    <m/>
    <n v="-100"/>
  </r>
  <r>
    <x v="13"/>
    <x v="84"/>
    <n v="4.0999999999999996"/>
    <s v="收到客户确认订舱信息"/>
    <x v="69"/>
    <x v="0"/>
    <x v="0"/>
    <m/>
    <m/>
    <n v="-100"/>
  </r>
  <r>
    <x v="13"/>
    <x v="84"/>
    <n v="5"/>
    <s v="关注开港时间"/>
    <x v="123"/>
    <x v="0"/>
    <x v="0"/>
    <m/>
    <m/>
    <n v="-66"/>
  </r>
  <r>
    <x v="13"/>
    <x v="84"/>
    <n v="6"/>
    <s v="确认提供资料时间"/>
    <x v="123"/>
    <x v="0"/>
    <x v="0"/>
    <m/>
    <m/>
    <n v="-66"/>
  </r>
  <r>
    <x v="13"/>
    <x v="84"/>
    <n v="7"/>
    <s v="做费用，拉账单"/>
    <x v="138"/>
    <x v="0"/>
    <x v="1"/>
    <m/>
    <m/>
    <n v="-64"/>
  </r>
  <r>
    <x v="13"/>
    <x v="84"/>
    <n v="8"/>
    <s v="收到截单资料"/>
    <x v="138"/>
    <x v="0"/>
    <x v="1"/>
    <m/>
    <m/>
    <n v="-64"/>
  </r>
  <r>
    <x v="13"/>
    <x v="84"/>
    <n v="9"/>
    <s v="YJC 截单，HBL和费用发文生然确认"/>
    <x v="138"/>
    <x v="0"/>
    <x v="1"/>
    <m/>
    <m/>
    <n v="-64"/>
  </r>
  <r>
    <x v="13"/>
    <x v="84"/>
    <n v="10"/>
    <s v="文生然确认HBL和费用"/>
    <x v="138"/>
    <x v="0"/>
    <x v="1"/>
    <m/>
    <m/>
    <n v="-64"/>
  </r>
  <r>
    <x v="13"/>
    <x v="84"/>
    <n v="11"/>
    <s v="MSK 录入提单确认内容"/>
    <x v="138"/>
    <x v="0"/>
    <x v="1"/>
    <m/>
    <m/>
    <n v="-64"/>
  </r>
  <r>
    <x v="13"/>
    <x v="84"/>
    <n v="12"/>
    <s v="联合船代发舱单"/>
    <x v="138"/>
    <x v="0"/>
    <x v="1"/>
    <m/>
    <m/>
    <n v="-64"/>
  </r>
  <r>
    <x v="13"/>
    <x v="84"/>
    <n v="13"/>
    <s v="MSK网站下载提单确认件"/>
    <x v="138"/>
    <x v="0"/>
    <x v="1"/>
    <m/>
    <m/>
    <n v="-64"/>
  </r>
  <r>
    <x v="13"/>
    <x v="84"/>
    <n v="14"/>
    <s v="邮件发COPY件、AMS、CREDIT给Wanda"/>
    <x v="138"/>
    <x v="0"/>
    <x v="1"/>
    <m/>
    <m/>
    <n v="-64"/>
  </r>
  <r>
    <x v="13"/>
    <x v="84"/>
    <n v="15"/>
    <s v="有舱单，核对，通知文生然"/>
    <x v="138"/>
    <x v="0"/>
    <x v="1"/>
    <m/>
    <m/>
    <n v="-64"/>
  </r>
  <r>
    <x v="13"/>
    <x v="84"/>
    <n v="16"/>
    <s v="进港，核对数据"/>
    <x v="139"/>
    <x v="0"/>
    <x v="0"/>
    <m/>
    <m/>
    <n v="-63"/>
  </r>
  <r>
    <x v="13"/>
    <x v="84"/>
    <n v="17"/>
    <s v="海放"/>
    <x v="139"/>
    <x v="0"/>
    <x v="0"/>
    <m/>
    <m/>
    <n v="-63"/>
  </r>
  <r>
    <x v="13"/>
    <x v="84"/>
    <n v="18"/>
    <s v="码放"/>
    <x v="124"/>
    <x v="0"/>
    <x v="0"/>
    <m/>
    <m/>
    <n v="-62"/>
  </r>
  <r>
    <x v="13"/>
    <x v="84"/>
    <n v="19"/>
    <s v="配载"/>
    <x v="136"/>
    <x v="0"/>
    <x v="0"/>
    <m/>
    <m/>
    <n v="-58"/>
  </r>
  <r>
    <x v="13"/>
    <x v="84"/>
    <n v="20"/>
    <s v="船开9-11 2:0"/>
    <x v="136"/>
    <x v="0"/>
    <x v="0"/>
    <m/>
    <m/>
    <n v="-58"/>
  </r>
  <r>
    <x v="13"/>
    <x v="84"/>
    <n v="21"/>
    <s v="邮件发开船通知给Wanda"/>
    <x v="136"/>
    <x v="0"/>
    <x v="0"/>
    <m/>
    <m/>
    <n v="-58"/>
  </r>
  <r>
    <x v="13"/>
    <x v="84"/>
    <n v="22"/>
    <s v="收到Wanda付款通知"/>
    <x v="143"/>
    <x v="0"/>
    <x v="3"/>
    <m/>
    <m/>
    <n v="-52"/>
  </r>
  <r>
    <x v="13"/>
    <x v="84"/>
    <n v="23"/>
    <s v="发SWB、HBL给Wanda"/>
    <x v="143"/>
    <x v="0"/>
    <x v="3"/>
    <m/>
    <m/>
    <n v="-52"/>
  </r>
  <r>
    <x v="13"/>
    <x v="84"/>
    <m/>
    <s v="Wanda 确认补料后提交"/>
    <x v="138"/>
    <x v="1"/>
    <x v="6"/>
    <m/>
    <m/>
    <n v="-64"/>
  </r>
  <r>
    <x v="3"/>
    <x v="85"/>
    <n v="1"/>
    <s v="PANCON上周日船期提单领取单"/>
    <x v="137"/>
    <x v="0"/>
    <x v="3"/>
    <m/>
    <s v="周一"/>
    <n v="-59"/>
  </r>
  <r>
    <x v="3"/>
    <x v="85"/>
    <n v="2"/>
    <s v="WEEKLY REPORT"/>
    <x v="135"/>
    <x v="0"/>
    <x v="3"/>
    <m/>
    <s v="周一"/>
    <n v="-60"/>
  </r>
  <r>
    <x v="3"/>
    <x v="85"/>
    <n v="3"/>
    <s v="汇总SC JS下周订舱需求，回Abbi邮件，制作每票清单流水"/>
    <x v="135"/>
    <x v="0"/>
    <x v="0"/>
    <m/>
    <s v="周一"/>
    <n v="-60"/>
  </r>
  <r>
    <x v="3"/>
    <x v="85"/>
    <n v="4"/>
    <s v="收到Abbi确认"/>
    <x v="135"/>
    <x v="0"/>
    <x v="4"/>
    <m/>
    <s v="周一"/>
    <n v="-60"/>
  </r>
  <r>
    <x v="3"/>
    <x v="85"/>
    <n v="5"/>
    <s v="拿到PANCON WAYBILL，朱琳的给朱琳"/>
    <x v="136"/>
    <x v="0"/>
    <x v="0"/>
    <m/>
    <s v="周一"/>
    <n v="-58"/>
  </r>
  <r>
    <x v="3"/>
    <x v="85"/>
    <n v="6"/>
    <s v="PANCON周三出运清单，附件贴邮件中"/>
    <x v="135"/>
    <x v="0"/>
    <x v="3"/>
    <m/>
    <s v="周一"/>
    <n v="-60"/>
  </r>
  <r>
    <x v="3"/>
    <x v="85"/>
    <n v="7"/>
    <s v="WORKING PROCESS"/>
    <x v="135"/>
    <x v="0"/>
    <x v="3"/>
    <m/>
    <s v="周一"/>
    <n v="-60"/>
  </r>
  <r>
    <x v="3"/>
    <x v="85"/>
    <n v="8"/>
    <s v="WORKING PROCESS"/>
    <x v="136"/>
    <x v="0"/>
    <x v="6"/>
    <m/>
    <s v="周三"/>
    <n v="-58"/>
  </r>
  <r>
    <x v="3"/>
    <x v="85"/>
    <n v="9"/>
    <s v="PANCON周三船期提单领取单"/>
    <x v="141"/>
    <x v="0"/>
    <x v="6"/>
    <m/>
    <s v="周四"/>
    <n v="-53"/>
  </r>
  <r>
    <x v="3"/>
    <x v="85"/>
    <n v="10"/>
    <s v="拿到PANCON WAYBILL，朱琳的给朱琳"/>
    <x v="141"/>
    <x v="0"/>
    <x v="4"/>
    <m/>
    <s v="周四"/>
    <n v="-53"/>
  </r>
  <r>
    <x v="3"/>
    <x v="85"/>
    <n v="11"/>
    <s v="收到 Abbi 下下周订舱预报邮件"/>
    <x v="146"/>
    <x v="1"/>
    <x v="0"/>
    <m/>
    <s v="周五"/>
    <n v="-57"/>
  </r>
  <r>
    <x v="3"/>
    <x v="85"/>
    <n v="12"/>
    <s v="问JS mobis、SC glovis下下周订舱需求"/>
    <x v="141"/>
    <x v="0"/>
    <x v="1"/>
    <m/>
    <s v="周五"/>
    <n v="-53"/>
  </r>
  <r>
    <x v="3"/>
    <x v="85"/>
    <n v="13"/>
    <s v="WORKING PROCESS"/>
    <x v="146"/>
    <x v="0"/>
    <x v="4"/>
    <m/>
    <s v="周五"/>
    <n v="-57"/>
  </r>
  <r>
    <x v="3"/>
    <x v="85"/>
    <n v="14"/>
    <s v="PANCON周日出运清单，附件贴邮件中"/>
    <x v="146"/>
    <x v="0"/>
    <x v="3"/>
    <m/>
    <s v="周五"/>
    <n v="-57"/>
  </r>
  <r>
    <x v="3"/>
    <x v="85"/>
    <n v="15"/>
    <s v="制下周 WEEK 流水"/>
    <x v="141"/>
    <x v="0"/>
    <x v="0"/>
    <m/>
    <s v="周五"/>
    <n v="-53"/>
  </r>
  <r>
    <x v="3"/>
    <x v="85"/>
    <n v="16"/>
    <s v="本周APP"/>
    <x v="146"/>
    <x v="1"/>
    <x v="0"/>
    <m/>
    <s v="周五"/>
    <n v="-57"/>
  </r>
  <r>
    <x v="3"/>
    <x v="85"/>
    <m/>
    <s v="HMI KMM 周三做箱"/>
    <x v="136"/>
    <x v="0"/>
    <x v="0"/>
    <m/>
    <m/>
    <n v="-58"/>
  </r>
  <r>
    <x v="3"/>
    <x v="85"/>
    <m/>
    <s v="CASAMIA订舱"/>
    <x v="136"/>
    <x v="0"/>
    <x v="0"/>
    <m/>
    <m/>
    <n v="-58"/>
  </r>
  <r>
    <x v="3"/>
    <x v="85"/>
    <m/>
    <s v="CK 对账"/>
    <x v="144"/>
    <x v="0"/>
    <x v="6"/>
    <m/>
    <m/>
    <n v="-50"/>
  </r>
  <r>
    <x v="3"/>
    <x v="85"/>
    <m/>
    <s v="KMM HMI 新单子"/>
    <x v="146"/>
    <x v="0"/>
    <x v="0"/>
    <m/>
    <m/>
    <n v="-57"/>
  </r>
  <r>
    <x v="0"/>
    <x v="86"/>
    <n v="1"/>
    <s v="收到客户(孙丹/王珊)发来订舱托书"/>
    <x v="109"/>
    <x v="0"/>
    <x v="0"/>
    <m/>
    <m/>
    <n v="-71"/>
  </r>
  <r>
    <x v="0"/>
    <x v="86"/>
    <n v="2"/>
    <s v="收到CK发来预配(做箱通知，沈丽有收到？)"/>
    <x v="138"/>
    <x v="0"/>
    <x v="3"/>
    <m/>
    <m/>
    <n v="-64"/>
  </r>
  <r>
    <x v="0"/>
    <x v="86"/>
    <n v="3"/>
    <s v="YJC系统生成单子"/>
    <x v="128"/>
    <x v="0"/>
    <x v="0"/>
    <m/>
    <m/>
    <n v="-65"/>
  </r>
  <r>
    <x v="0"/>
    <x v="86"/>
    <n v="4"/>
    <s v="收到包装厂(刘倩梅)发来包装指示书和装箱计划"/>
    <x v="138"/>
    <x v="0"/>
    <x v="4"/>
    <m/>
    <s v="一般周四"/>
    <n v="-64"/>
  </r>
  <r>
    <x v="0"/>
    <x v="86"/>
    <n v="5"/>
    <s v="根据装箱计划汇总包装数据，发各工厂做报关资料"/>
    <x v="138"/>
    <x v="0"/>
    <x v="4"/>
    <m/>
    <m/>
    <n v="-64"/>
  </r>
  <r>
    <x v="0"/>
    <x v="86"/>
    <n v="6"/>
    <s v="做做箱数据，邮件群发(查开港时间，注明做箱时间)"/>
    <x v="138"/>
    <x v="0"/>
    <x v="4"/>
    <m/>
    <m/>
    <n v="-64"/>
  </r>
  <r>
    <x v="0"/>
    <x v="86"/>
    <n v="7"/>
    <s v="收到车队(沈丽)装箱单和洋山提箱截图(如有)，9点前群发，通知发舱单"/>
    <x v="139"/>
    <x v="0"/>
    <x v="3"/>
    <m/>
    <s v="一般KMM五、HMI日"/>
    <n v="-63"/>
  </r>
  <r>
    <x v="0"/>
    <x v="86"/>
    <n v="8"/>
    <s v="收到工厂发来报关资料并完善(代做报关资料跟客户确认)"/>
    <x v="139"/>
    <x v="0"/>
    <x v="0"/>
    <m/>
    <s v="当天至隔天"/>
    <n v="-63"/>
  </r>
  <r>
    <x v="0"/>
    <x v="86"/>
    <n v="9"/>
    <s v="报关资料齐了（光成要素划掉XXX），发报关行(罗运生)"/>
    <x v="139"/>
    <x v="0"/>
    <x v="0"/>
    <m/>
    <m/>
    <n v="-63"/>
  </r>
  <r>
    <x v="0"/>
    <x v="86"/>
    <n v="10"/>
    <s v="货运模板/发票/箱单"/>
    <x v="139"/>
    <x v="0"/>
    <x v="3"/>
    <m/>
    <m/>
    <n v="-63"/>
  </r>
  <r>
    <x v="0"/>
    <x v="86"/>
    <n v="11"/>
    <s v="收到舱单发送成功通知，核对舱单信息"/>
    <x v="139"/>
    <x v="0"/>
    <x v="3"/>
    <m/>
    <m/>
    <n v="-63"/>
  </r>
  <r>
    <x v="0"/>
    <x v="86"/>
    <n v="12"/>
    <s v="通知进港"/>
    <x v="139"/>
    <x v="0"/>
    <x v="3"/>
    <m/>
    <s v="调整顺序"/>
    <n v="-63"/>
  </r>
  <r>
    <x v="0"/>
    <x v="86"/>
    <n v="13"/>
    <s v="【HMI】开港"/>
    <x v="147"/>
    <x v="0"/>
    <x v="0"/>
    <m/>
    <m/>
    <n v="-61"/>
  </r>
  <r>
    <x v="0"/>
    <x v="86"/>
    <n v="14"/>
    <s v="进港(核对数据)"/>
    <x v="147"/>
    <x v="0"/>
    <x v="0"/>
    <m/>
    <s v="调整顺序"/>
    <n v="-61"/>
  </r>
  <r>
    <x v="0"/>
    <x v="86"/>
    <n v="15"/>
    <s v="通知报关（洋山发装箱单）"/>
    <x v="135"/>
    <x v="0"/>
    <x v="0"/>
    <m/>
    <s v="调整顺序"/>
    <n v="-60"/>
  </r>
  <r>
    <x v="0"/>
    <x v="86"/>
    <n v="15.9"/>
    <s v="维宁尔查验"/>
    <x v="135"/>
    <x v="0"/>
    <x v="0"/>
    <m/>
    <m/>
    <n v="-60"/>
  </r>
  <r>
    <x v="0"/>
    <x v="86"/>
    <n v="16"/>
    <s v="报关成功"/>
    <x v="135"/>
    <x v="0"/>
    <x v="0"/>
    <m/>
    <s v="调整顺序"/>
    <n v="-60"/>
  </r>
  <r>
    <x v="0"/>
    <x v="86"/>
    <n v="17"/>
    <s v="海放"/>
    <x v="135"/>
    <x v="0"/>
    <x v="0"/>
    <m/>
    <m/>
    <n v="-60"/>
  </r>
  <r>
    <x v="0"/>
    <x v="86"/>
    <n v="18"/>
    <s v="码放"/>
    <x v="136"/>
    <x v="0"/>
    <x v="0"/>
    <m/>
    <m/>
    <n v="-58"/>
  </r>
  <r>
    <x v="0"/>
    <x v="86"/>
    <n v="19"/>
    <s v="配载"/>
    <x v="146"/>
    <x v="0"/>
    <x v="0"/>
    <m/>
    <m/>
    <n v="-57"/>
  </r>
  <r>
    <x v="0"/>
    <x v="86"/>
    <n v="20"/>
    <s v="做费用(对账单日期4号)，放公共盘，填月账单表，发孙丹"/>
    <x v="144"/>
    <x v="0"/>
    <x v="0"/>
    <m/>
    <m/>
    <n v="-50"/>
  </r>
  <r>
    <x v="0"/>
    <x v="86"/>
    <n v="21"/>
    <s v="如有额外费用发邮件"/>
    <x v="141"/>
    <x v="0"/>
    <x v="0"/>
    <m/>
    <m/>
    <n v="-53"/>
  </r>
  <r>
    <x v="0"/>
    <x v="86"/>
    <n v="22"/>
    <s v="船开"/>
    <x v="146"/>
    <x v="0"/>
    <x v="0"/>
    <m/>
    <m/>
    <n v="-57"/>
  </r>
  <r>
    <x v="0"/>
    <x v="86"/>
    <m/>
    <s v="三立报关资料做好发罗运生"/>
    <x v="139"/>
    <x v="0"/>
    <x v="0"/>
    <m/>
    <m/>
    <n v="-63"/>
  </r>
  <r>
    <x v="4"/>
    <x v="86"/>
    <n v="1"/>
    <s v="收到客户(陈云娣)订舱预报"/>
    <x v="108"/>
    <x v="0"/>
    <x v="0"/>
    <m/>
    <s v="一般周五发隔周"/>
    <n v="-67"/>
  </r>
  <r>
    <x v="4"/>
    <x v="86"/>
    <n v="2"/>
    <s v="填WORKING PROCESS"/>
    <x v="108"/>
    <x v="0"/>
    <x v="4"/>
    <m/>
    <m/>
    <n v="-67"/>
  </r>
  <r>
    <x v="4"/>
    <x v="86"/>
    <n v="6"/>
    <s v="公共盘生成提单号(QSWB不要搞错)"/>
    <x v="123"/>
    <x v="0"/>
    <x v="4"/>
    <m/>
    <m/>
    <n v="-66"/>
  </r>
  <r>
    <x v="4"/>
    <x v="86"/>
    <n v="7"/>
    <s v="YJC系统生成单子"/>
    <x v="123"/>
    <x v="0"/>
    <x v="4"/>
    <m/>
    <m/>
    <n v="-66"/>
  </r>
  <r>
    <x v="4"/>
    <x v="86"/>
    <n v="8"/>
    <s v="发EDI"/>
    <x v="123"/>
    <x v="0"/>
    <x v="4"/>
    <m/>
    <m/>
    <n v="-66"/>
  </r>
  <r>
    <x v="4"/>
    <x v="86"/>
    <n v="9"/>
    <s v="邮件申请放舱"/>
    <x v="123"/>
    <x v="0"/>
    <x v="4"/>
    <m/>
    <m/>
    <n v="-66"/>
  </r>
  <r>
    <x v="4"/>
    <x v="86"/>
    <n v="10"/>
    <s v="收到HMM(Abbi) 确认放舱"/>
    <x v="123"/>
    <x v="0"/>
    <x v="4"/>
    <m/>
    <s v="一般半天内"/>
    <n v="-66"/>
  </r>
  <r>
    <x v="4"/>
    <x v="86"/>
    <n v="11"/>
    <s v="HMM网站核对订舱信息"/>
    <x v="123"/>
    <x v="0"/>
    <x v="4"/>
    <m/>
    <m/>
    <n v="-66"/>
  </r>
  <r>
    <x v="4"/>
    <x v="86"/>
    <n v="12"/>
    <s v="收到客户(陈云娣)做箱通知"/>
    <x v="138"/>
    <x v="1"/>
    <x v="3"/>
    <m/>
    <s v="一般做箱头天一早"/>
    <n v="-64"/>
  </r>
  <r>
    <x v="4"/>
    <x v="86"/>
    <n v="13"/>
    <s v="【拆单】公共盘生成提单号"/>
    <x v="138"/>
    <x v="1"/>
    <x v="3"/>
    <m/>
    <m/>
    <n v="-64"/>
  </r>
  <r>
    <x v="4"/>
    <x v="86"/>
    <n v="14"/>
    <s v="发做箱通知邮件给车队(沈丽)（航次要加QL？）"/>
    <x v="138"/>
    <x v="1"/>
    <x v="3"/>
    <m/>
    <m/>
    <n v="-64"/>
  </r>
  <r>
    <x v="4"/>
    <x v="86"/>
    <n v="15"/>
    <s v="【拆单】YJC系统生成单子（QSWB不要搞错）"/>
    <x v="138"/>
    <x v="1"/>
    <x v="3"/>
    <m/>
    <m/>
    <n v="-64"/>
  </r>
  <r>
    <x v="4"/>
    <x v="86"/>
    <n v="16"/>
    <s v="【拆单】发EDI"/>
    <x v="138"/>
    <x v="1"/>
    <x v="3"/>
    <m/>
    <m/>
    <n v="-64"/>
  </r>
  <r>
    <x v="4"/>
    <x v="86"/>
    <n v="17"/>
    <s v="【拆单】邮件申请放单"/>
    <x v="138"/>
    <x v="1"/>
    <x v="3"/>
    <m/>
    <m/>
    <n v="-64"/>
  </r>
  <r>
    <x v="4"/>
    <x v="86"/>
    <n v="18"/>
    <s v="【拆单】收到HMM(Abbi) 加拼放单确认"/>
    <x v="138"/>
    <x v="1"/>
    <x v="3"/>
    <m/>
    <m/>
    <n v="-64"/>
  </r>
  <r>
    <x v="4"/>
    <x v="86"/>
    <n v="19"/>
    <s v="【拆单】HMM网站核对订舱信息"/>
    <x v="138"/>
    <x v="1"/>
    <x v="3"/>
    <m/>
    <m/>
    <n v="-64"/>
  </r>
  <r>
    <x v="4"/>
    <x v="86"/>
    <n v="20"/>
    <s v="收到客户(陈云娣)发来报关资料"/>
    <x v="139"/>
    <x v="1"/>
    <x v="0"/>
    <m/>
    <s v="一般做箱当天一早"/>
    <n v="-63"/>
  </r>
  <r>
    <x v="4"/>
    <x v="86"/>
    <n v="21"/>
    <s v="【加拼】按报关(发票)数生成提单号【如发票数超过提单数】"/>
    <x v="139"/>
    <x v="1"/>
    <x v="0"/>
    <m/>
    <m/>
    <n v="-63"/>
  </r>
  <r>
    <x v="4"/>
    <x v="86"/>
    <n v="22"/>
    <s v="做做箱数据，QQ发车队(沈丽)"/>
    <x v="139"/>
    <x v="1"/>
    <x v="0"/>
    <m/>
    <m/>
    <n v="-63"/>
  </r>
  <r>
    <x v="4"/>
    <x v="86"/>
    <n v="23"/>
    <s v="收到车队(沈丽)装箱单，转发客户（陈云娣）"/>
    <x v="139"/>
    <x v="1"/>
    <x v="0"/>
    <m/>
    <s v="一般马上"/>
    <n v="-63"/>
  </r>
  <r>
    <x v="4"/>
    <x v="86"/>
    <n v="24"/>
    <s v="YJC系统截单，发EDI，邮件HMM(He)【截单时间】"/>
    <x v="139"/>
    <x v="1"/>
    <x v="0"/>
    <m/>
    <s v="注意截单时间"/>
    <n v="-63"/>
  </r>
  <r>
    <x v="4"/>
    <x v="86"/>
    <n v="25"/>
    <s v="发VGM和舱单（亿通，鹏海两次）"/>
    <x v="139"/>
    <x v="1"/>
    <x v="0"/>
    <m/>
    <m/>
    <n v="-63"/>
  </r>
  <r>
    <x v="4"/>
    <x v="86"/>
    <n v="26"/>
    <s v="做报关资料，扫描发报关行(罗运生)QQ，要校对稿"/>
    <x v="139"/>
    <x v="1"/>
    <x v="0"/>
    <m/>
    <m/>
    <n v="-63"/>
  </r>
  <r>
    <x v="4"/>
    <x v="86"/>
    <n v="27"/>
    <s v="做保函给邹师傅(美国线)"/>
    <x v="139"/>
    <x v="1"/>
    <x v="0"/>
    <m/>
    <m/>
    <n v="-63"/>
  </r>
  <r>
    <x v="4"/>
    <x v="86"/>
    <n v="28"/>
    <s v="做ISF，发国外资料"/>
    <x v="139"/>
    <x v="1"/>
    <x v="0"/>
    <m/>
    <m/>
    <n v="-63"/>
  </r>
  <r>
    <x v="4"/>
    <x v="86"/>
    <n v="29"/>
    <s v="买保险"/>
    <x v="139"/>
    <x v="1"/>
    <x v="0"/>
    <m/>
    <m/>
    <n v="-63"/>
  </r>
  <r>
    <x v="4"/>
    <x v="86"/>
    <n v="31"/>
    <s v="收到HMM(He)生成提单通知"/>
    <x v="139"/>
    <x v="1"/>
    <x v="0"/>
    <m/>
    <s v="一般马上"/>
    <n v="-63"/>
  </r>
  <r>
    <x v="4"/>
    <x v="86"/>
    <n v="32"/>
    <s v="HMM网站核对提单信息"/>
    <x v="139"/>
    <x v="1"/>
    <x v="0"/>
    <m/>
    <m/>
    <n v="-63"/>
  </r>
  <r>
    <x v="4"/>
    <x v="86"/>
    <n v="33"/>
    <s v="盯海关网站舱单"/>
    <x v="139"/>
    <x v="1"/>
    <x v="0"/>
    <m/>
    <s v="一般两小时左右"/>
    <n v="-63"/>
  </r>
  <r>
    <x v="4"/>
    <x v="86"/>
    <n v="34"/>
    <s v="核对舱单信息"/>
    <x v="139"/>
    <x v="1"/>
    <x v="0"/>
    <m/>
    <m/>
    <n v="-63"/>
  </r>
  <r>
    <x v="4"/>
    <x v="86"/>
    <n v="35"/>
    <s v="收到报关行(罗运生)校对稿，邮件发客户(陈云娣)确认"/>
    <x v="139"/>
    <x v="1"/>
    <x v="0"/>
    <m/>
    <s v="一般半天内"/>
    <n v="-63"/>
  </r>
  <r>
    <x v="4"/>
    <x v="86"/>
    <n v="36"/>
    <s v="收到客户(陈云娣)确认校对稿"/>
    <x v="139"/>
    <x v="1"/>
    <x v="0"/>
    <m/>
    <s v="一般马上"/>
    <n v="-63"/>
  </r>
  <r>
    <x v="4"/>
    <x v="86"/>
    <n v="37"/>
    <s v="通知报关行(罗运生)报关(开港、舱单、校对)（洋山提供装箱单）"/>
    <x v="139"/>
    <x v="1"/>
    <x v="0"/>
    <m/>
    <m/>
    <n v="-63"/>
  </r>
  <r>
    <x v="4"/>
    <x v="86"/>
    <n v="37"/>
    <s v="收到报关成功通知"/>
    <x v="139"/>
    <x v="1"/>
    <x v="0"/>
    <m/>
    <s v="一般下班前"/>
    <n v="-63"/>
  </r>
  <r>
    <x v="4"/>
    <x v="86"/>
    <n v="37"/>
    <s v="通知车队(沈丽)可进港"/>
    <x v="139"/>
    <x v="1"/>
    <x v="0"/>
    <m/>
    <m/>
    <n v="-63"/>
  </r>
  <r>
    <x v="4"/>
    <x v="86"/>
    <n v="37"/>
    <s v="盯箱子进港，关注开港时间，有落箱费？"/>
    <x v="139"/>
    <x v="1"/>
    <x v="0"/>
    <m/>
    <m/>
    <n v="-63"/>
  </r>
  <r>
    <x v="4"/>
    <x v="86"/>
    <n v="37"/>
    <s v="核对进港数据"/>
    <x v="139"/>
    <x v="1"/>
    <x v="0"/>
    <m/>
    <m/>
    <n v="-63"/>
  </r>
  <r>
    <x v="4"/>
    <x v="86"/>
    <n v="42"/>
    <s v="盯海放"/>
    <x v="139"/>
    <x v="1"/>
    <x v="0"/>
    <m/>
    <m/>
    <n v="-63"/>
  </r>
  <r>
    <x v="4"/>
    <x v="86"/>
    <n v="43"/>
    <s v="盯码放"/>
    <x v="139"/>
    <x v="1"/>
    <x v="0"/>
    <m/>
    <m/>
    <n v="-63"/>
  </r>
  <r>
    <x v="4"/>
    <x v="86"/>
    <n v="44"/>
    <s v="盯配载"/>
    <x v="139"/>
    <x v="1"/>
    <x v="0"/>
    <m/>
    <m/>
    <n v="-63"/>
  </r>
  <r>
    <x v="4"/>
    <x v="86"/>
    <n v="45"/>
    <s v="做费用(月初等汇率)，发账单给陈吟勇"/>
    <x v="139"/>
    <x v="1"/>
    <x v="0"/>
    <m/>
    <m/>
    <n v="-63"/>
  </r>
  <r>
    <x v="4"/>
    <x v="86"/>
    <n v="46"/>
    <s v="船开"/>
    <x v="139"/>
    <x v="1"/>
    <x v="0"/>
    <m/>
    <m/>
    <n v="-63"/>
  </r>
  <r>
    <x v="4"/>
    <x v="86"/>
    <n v="47"/>
    <s v="放提单（PHISON、陈吟勇提单、陈云娣三单）"/>
    <x v="139"/>
    <x v="1"/>
    <x v="0"/>
    <m/>
    <s v="一般开船后两三天"/>
    <n v="-63"/>
  </r>
  <r>
    <x v="1"/>
    <x v="86"/>
    <n v="1"/>
    <s v="收到客户(孙丹/王珊)发来订舱托书"/>
    <x v="109"/>
    <x v="0"/>
    <x v="0"/>
    <m/>
    <m/>
    <n v="-71"/>
  </r>
  <r>
    <x v="1"/>
    <x v="86"/>
    <n v="2"/>
    <s v="收到CK发来预配(做箱通知，沈丽有收到？)"/>
    <x v="105"/>
    <x v="0"/>
    <x v="0"/>
    <m/>
    <m/>
    <n v="-70"/>
  </r>
  <r>
    <x v="1"/>
    <x v="86"/>
    <n v="3"/>
    <s v="YJC系统生成单子"/>
    <x v="128"/>
    <x v="0"/>
    <x v="0"/>
    <m/>
    <m/>
    <n v="-65"/>
  </r>
  <r>
    <x v="1"/>
    <x v="86"/>
    <n v="4"/>
    <s v="收到包装厂(刘倩梅)发来包装指示书和装箱计划"/>
    <x v="138"/>
    <x v="0"/>
    <x v="3"/>
    <m/>
    <s v="一般周四"/>
    <n v="-64"/>
  </r>
  <r>
    <x v="1"/>
    <x v="86"/>
    <n v="5"/>
    <s v="根据装箱计划汇总包装数据，发各工厂做报关资料"/>
    <x v="138"/>
    <x v="0"/>
    <x v="3"/>
    <m/>
    <m/>
    <n v="-64"/>
  </r>
  <r>
    <x v="1"/>
    <x v="86"/>
    <n v="6"/>
    <s v="做做箱数据，邮件群发(查开港时间，注明做箱时间)"/>
    <x v="138"/>
    <x v="0"/>
    <x v="3"/>
    <m/>
    <m/>
    <n v="-64"/>
  </r>
  <r>
    <x v="1"/>
    <x v="86"/>
    <n v="7"/>
    <s v="收到车队(沈丽)装箱单和洋山提箱截图(如有)，9点前群发，通知发舱单"/>
    <x v="139"/>
    <x v="0"/>
    <x v="0"/>
    <m/>
    <s v="一般KMM五、HMI日"/>
    <n v="-63"/>
  </r>
  <r>
    <x v="1"/>
    <x v="86"/>
    <n v="8"/>
    <s v="收到工厂发来报关资料并完善(代做报关资料跟客户确认)"/>
    <x v="138"/>
    <x v="0"/>
    <x v="4"/>
    <m/>
    <s v="当天至隔天"/>
    <n v="-64"/>
  </r>
  <r>
    <x v="1"/>
    <x v="86"/>
    <n v="9"/>
    <s v="报关资料齐了（光成要素划掉XXX），发报关行(罗运生)"/>
    <x v="138"/>
    <x v="0"/>
    <x v="4"/>
    <m/>
    <m/>
    <n v="-64"/>
  </r>
  <r>
    <x v="1"/>
    <x v="86"/>
    <n v="10"/>
    <s v="货运模板/发票/箱单"/>
    <x v="138"/>
    <x v="0"/>
    <x v="2"/>
    <m/>
    <m/>
    <n v="-64"/>
  </r>
  <r>
    <x v="1"/>
    <x v="86"/>
    <n v="11"/>
    <s v="收到舱单发送成功通知，核对舱单信息"/>
    <x v="139"/>
    <x v="0"/>
    <x v="0"/>
    <m/>
    <m/>
    <n v="-63"/>
  </r>
  <r>
    <x v="1"/>
    <x v="86"/>
    <n v="12"/>
    <s v="【HMI】开港"/>
    <x v="139"/>
    <x v="1"/>
    <x v="0"/>
    <m/>
    <m/>
    <n v="-63"/>
  </r>
  <r>
    <x v="1"/>
    <x v="86"/>
    <n v="13"/>
    <s v="通知报关（洋山发装箱单）"/>
    <x v="139"/>
    <x v="0"/>
    <x v="0"/>
    <m/>
    <s v="调整顺序"/>
    <n v="-63"/>
  </r>
  <r>
    <x v="1"/>
    <x v="86"/>
    <n v="14"/>
    <s v="报关成功"/>
    <x v="139"/>
    <x v="0"/>
    <x v="4"/>
    <m/>
    <s v="调整顺序"/>
    <n v="-63"/>
  </r>
  <r>
    <x v="1"/>
    <x v="86"/>
    <n v="15"/>
    <s v="通知进港"/>
    <x v="139"/>
    <x v="0"/>
    <x v="4"/>
    <m/>
    <s v="调整顺序"/>
    <n v="-63"/>
  </r>
  <r>
    <x v="1"/>
    <x v="86"/>
    <n v="16"/>
    <s v="进港(核对数据)"/>
    <x v="124"/>
    <x v="0"/>
    <x v="0"/>
    <m/>
    <s v="调整顺序"/>
    <n v="-62"/>
  </r>
  <r>
    <x v="1"/>
    <x v="86"/>
    <n v="17"/>
    <s v="海放"/>
    <x v="124"/>
    <x v="0"/>
    <x v="0"/>
    <m/>
    <m/>
    <n v="-62"/>
  </r>
  <r>
    <x v="1"/>
    <x v="86"/>
    <n v="18"/>
    <s v="码放"/>
    <x v="146"/>
    <x v="0"/>
    <x v="0"/>
    <m/>
    <m/>
    <n v="-57"/>
  </r>
  <r>
    <x v="1"/>
    <x v="86"/>
    <n v="19"/>
    <s v="配载"/>
    <x v="146"/>
    <x v="0"/>
    <x v="0"/>
    <m/>
    <m/>
    <n v="-57"/>
  </r>
  <r>
    <x v="1"/>
    <x v="86"/>
    <n v="20"/>
    <s v="做费用(对账单日期4号)，放公共盘，填月账单表，发孙丹"/>
    <x v="144"/>
    <x v="0"/>
    <x v="0"/>
    <m/>
    <m/>
    <n v="-50"/>
  </r>
  <r>
    <x v="1"/>
    <x v="86"/>
    <n v="21"/>
    <s v="如有额外费用发邮件"/>
    <x v="141"/>
    <x v="0"/>
    <x v="0"/>
    <m/>
    <m/>
    <n v="-53"/>
  </r>
  <r>
    <x v="1"/>
    <x v="86"/>
    <n v="22"/>
    <s v="船开"/>
    <x v="146"/>
    <x v="0"/>
    <x v="4"/>
    <m/>
    <m/>
    <n v="-57"/>
  </r>
  <r>
    <x v="7"/>
    <x v="86"/>
    <n v="1"/>
    <s v="收到徐小姐托书"/>
    <x v="138"/>
    <x v="0"/>
    <x v="0"/>
    <m/>
    <m/>
    <n v="-64"/>
  </r>
  <r>
    <x v="7"/>
    <x v="86"/>
    <n v="2"/>
    <s v="公共盘表格生成单号，YJC系统复制、生成"/>
    <x v="138"/>
    <x v="0"/>
    <x v="0"/>
    <m/>
    <s v="注意MBL#命名规则"/>
    <n v="-64"/>
  </r>
  <r>
    <x v="7"/>
    <x v="86"/>
    <n v="3"/>
    <s v="(一票一订)振华订舱界面复制订舱、保存、提交"/>
    <x v="138"/>
    <x v="0"/>
    <x v="0"/>
    <m/>
    <s v="客户编号 提单号 船名航次 日期 箱量"/>
    <n v="-64"/>
  </r>
  <r>
    <x v="7"/>
    <x v="86"/>
    <n v="4"/>
    <s v="邮件发确认给国外"/>
    <x v="138"/>
    <x v="0"/>
    <x v="0"/>
    <m/>
    <s v="Delete ayjun@kylogix.co.kr Add hypark@kylogix.co.kr"/>
    <n v="-64"/>
  </r>
  <r>
    <x v="7"/>
    <x v="86"/>
    <n v="5"/>
    <s v="QQ发预配信息给徐小姐（模板），问是否要加拼，发车队江"/>
    <x v="138"/>
    <x v="0"/>
    <x v="0"/>
    <m/>
    <m/>
    <n v="-64"/>
  </r>
  <r>
    <x v="7"/>
    <x v="86"/>
    <n v="6"/>
    <s v="订舱审核通过"/>
    <x v="139"/>
    <x v="0"/>
    <x v="0"/>
    <m/>
    <m/>
    <n v="-63"/>
  </r>
  <r>
    <x v="7"/>
    <x v="86"/>
    <n v="7"/>
    <s v="订舱界面加拼、提交，通知徐小姐加拼单号"/>
    <x v="138"/>
    <x v="1"/>
    <x v="0"/>
    <m/>
    <s v="点“多票加拼”"/>
    <n v="-64"/>
  </r>
  <r>
    <x v="7"/>
    <x v="86"/>
    <n v="8"/>
    <s v="加拼审核通过"/>
    <x v="138"/>
    <x v="1"/>
    <x v="0"/>
    <m/>
    <m/>
    <n v="-64"/>
  </r>
  <r>
    <x v="7"/>
    <x v="86"/>
    <n v="9"/>
    <s v="收到国外确认，公共盘红改黑，加CONFIRM"/>
    <x v="139"/>
    <x v="0"/>
    <x v="0"/>
    <m/>
    <m/>
    <n v="-63"/>
  </r>
  <r>
    <x v="7"/>
    <x v="86"/>
    <n v="10"/>
    <s v="录费用"/>
    <x v="135"/>
    <x v="0"/>
    <x v="0"/>
    <m/>
    <m/>
    <n v="-60"/>
  </r>
  <r>
    <x v="7"/>
    <x v="86"/>
    <n v="12"/>
    <s v="收到车队江发来装箱数据和装箱单"/>
    <x v="135"/>
    <x v="0"/>
    <x v="0"/>
    <m/>
    <s v="周三周一截，周日周五截"/>
    <n v="-60"/>
  </r>
  <r>
    <x v="7"/>
    <x v="86"/>
    <n v="13"/>
    <s v="数据表中加入封号，汇总单票总件毛体"/>
    <x v="135"/>
    <x v="0"/>
    <x v="0"/>
    <m/>
    <m/>
    <n v="-60"/>
  </r>
  <r>
    <x v="7"/>
    <x v="86"/>
    <n v="14"/>
    <s v="YJC 截单"/>
    <x v="135"/>
    <x v="0"/>
    <x v="0"/>
    <m/>
    <s v="船名航次 开航日 件毛体 CC 箱量 箱封号 品名"/>
    <n v="-60"/>
  </r>
  <r>
    <x v="7"/>
    <x v="86"/>
    <n v="15"/>
    <s v="导出HBL，发徐小姐确认"/>
    <x v="135"/>
    <x v="0"/>
    <x v="0"/>
    <m/>
    <m/>
    <n v="-60"/>
  </r>
  <r>
    <x v="7"/>
    <x v="86"/>
    <n v="16"/>
    <s v="徐小姐确认HBL时，振华录入每一关单号的件毛体(注意箱状态)，保存"/>
    <x v="135"/>
    <x v="0"/>
    <x v="0"/>
    <m/>
    <m/>
    <n v="-60"/>
  </r>
  <r>
    <x v="7"/>
    <x v="86"/>
    <n v="17"/>
    <s v="徐小姐确认HBL"/>
    <x v="135"/>
    <x v="0"/>
    <x v="0"/>
    <m/>
    <m/>
    <n v="-60"/>
  </r>
  <r>
    <x v="7"/>
    <x v="86"/>
    <n v="18"/>
    <s v="发舱单"/>
    <x v="135"/>
    <x v="0"/>
    <x v="0"/>
    <m/>
    <s v="一关单一发"/>
    <n v="-60"/>
  </r>
  <r>
    <x v="7"/>
    <x v="86"/>
    <n v="19"/>
    <s v="海关有舱单，核对舱单信息，(如无并单，可直接录VGM)"/>
    <x v="135"/>
    <x v="0"/>
    <x v="0"/>
    <m/>
    <m/>
    <n v="-60"/>
  </r>
  <r>
    <x v="7"/>
    <x v="86"/>
    <n v="20"/>
    <s v="订舱界面并单"/>
    <x v="135"/>
    <x v="1"/>
    <x v="0"/>
    <m/>
    <m/>
    <n v="-60"/>
  </r>
  <r>
    <x v="7"/>
    <x v="86"/>
    <n v="21"/>
    <s v="并单审核通过"/>
    <x v="135"/>
    <x v="1"/>
    <x v="0"/>
    <m/>
    <m/>
    <n v="-60"/>
  </r>
  <r>
    <x v="7"/>
    <x v="86"/>
    <n v="22"/>
    <s v="每票录入所有箱子箱封号和件毛体，保存，录VGM，导入"/>
    <x v="135"/>
    <x v="0"/>
    <x v="0"/>
    <m/>
    <m/>
    <n v="-60"/>
  </r>
  <r>
    <x v="7"/>
    <x v="86"/>
    <n v="23"/>
    <s v="打印MBL"/>
    <x v="135"/>
    <x v="0"/>
    <x v="0"/>
    <m/>
    <m/>
    <n v="-60"/>
  </r>
  <r>
    <x v="7"/>
    <x v="86"/>
    <n v="24"/>
    <s v="表格、HBL、MBL、费用一起发邮件给国外"/>
    <x v="135"/>
    <x v="0"/>
    <x v="0"/>
    <m/>
    <s v="Delete ayjun@kylogix.co.kr Add hypark@kylogix.co.kr"/>
    <n v="-60"/>
  </r>
  <r>
    <x v="7"/>
    <x v="86"/>
    <n v="25"/>
    <s v="船开"/>
    <x v="148"/>
    <x v="0"/>
    <x v="0"/>
    <m/>
    <m/>
    <n v="-55"/>
  </r>
  <r>
    <x v="7"/>
    <x v="86"/>
    <n v="26"/>
    <s v="拿到WAYBILL"/>
    <x v="141"/>
    <x v="0"/>
    <x v="4"/>
    <m/>
    <m/>
    <n v="-53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53"/>
  </r>
  <r>
    <x v="4"/>
    <x v="87"/>
    <n v="1"/>
    <s v="收到客户(陈云娣)订舱预报"/>
    <x v="108"/>
    <x v="0"/>
    <x v="0"/>
    <m/>
    <s v="一般周五发隔周"/>
    <n v="-67"/>
  </r>
  <r>
    <x v="4"/>
    <x v="87"/>
    <n v="2"/>
    <s v="填WORKING PROCESS"/>
    <x v="108"/>
    <x v="0"/>
    <x v="4"/>
    <m/>
    <m/>
    <n v="-67"/>
  </r>
  <r>
    <x v="4"/>
    <x v="87"/>
    <n v="6"/>
    <s v="公共盘生成提单号(QSWB不要搞错)"/>
    <x v="123"/>
    <x v="0"/>
    <x v="4"/>
    <m/>
    <m/>
    <n v="-66"/>
  </r>
  <r>
    <x v="4"/>
    <x v="87"/>
    <n v="7"/>
    <s v="YJC系统生成单子"/>
    <x v="123"/>
    <x v="0"/>
    <x v="4"/>
    <m/>
    <m/>
    <n v="-66"/>
  </r>
  <r>
    <x v="4"/>
    <x v="87"/>
    <n v="8"/>
    <s v="发EDI"/>
    <x v="123"/>
    <x v="0"/>
    <x v="4"/>
    <m/>
    <m/>
    <n v="-66"/>
  </r>
  <r>
    <x v="4"/>
    <x v="87"/>
    <n v="9"/>
    <s v="邮件申请放舱"/>
    <x v="123"/>
    <x v="0"/>
    <x v="4"/>
    <m/>
    <m/>
    <n v="-66"/>
  </r>
  <r>
    <x v="4"/>
    <x v="87"/>
    <n v="10"/>
    <s v="收到HMM(Abbi) 确认放舱"/>
    <x v="123"/>
    <x v="0"/>
    <x v="4"/>
    <m/>
    <s v="一般半天内"/>
    <n v="-66"/>
  </r>
  <r>
    <x v="4"/>
    <x v="87"/>
    <n v="11"/>
    <s v="HMM网站核对订舱信息"/>
    <x v="123"/>
    <x v="0"/>
    <x v="4"/>
    <m/>
    <m/>
    <n v="-66"/>
  </r>
  <r>
    <x v="4"/>
    <x v="87"/>
    <n v="12"/>
    <s v="收到客户(陈云娣)做箱通知"/>
    <x v="135"/>
    <x v="0"/>
    <x v="0"/>
    <m/>
    <s v="一般做箱头天一早"/>
    <n v="-60"/>
  </r>
  <r>
    <x v="4"/>
    <x v="87"/>
    <n v="13"/>
    <s v="【拆单】公共盘生成提单号"/>
    <x v="135"/>
    <x v="0"/>
    <x v="0"/>
    <m/>
    <m/>
    <n v="-60"/>
  </r>
  <r>
    <x v="4"/>
    <x v="87"/>
    <n v="14"/>
    <s v="发做箱通知邮件给车队(沈丽)（航次要加QL？）"/>
    <x v="135"/>
    <x v="0"/>
    <x v="0"/>
    <m/>
    <m/>
    <n v="-60"/>
  </r>
  <r>
    <x v="4"/>
    <x v="87"/>
    <n v="15"/>
    <s v="【拆单】YJC系统生成单子（QSWB不要搞错）"/>
    <x v="135"/>
    <x v="0"/>
    <x v="0"/>
    <m/>
    <m/>
    <n v="-60"/>
  </r>
  <r>
    <x v="4"/>
    <x v="87"/>
    <n v="16"/>
    <s v="【拆单】发EDI"/>
    <x v="135"/>
    <x v="0"/>
    <x v="0"/>
    <m/>
    <m/>
    <n v="-60"/>
  </r>
  <r>
    <x v="4"/>
    <x v="87"/>
    <n v="17"/>
    <s v="【拆单】邮件申请放单"/>
    <x v="135"/>
    <x v="0"/>
    <x v="0"/>
    <m/>
    <m/>
    <n v="-60"/>
  </r>
  <r>
    <x v="4"/>
    <x v="87"/>
    <n v="18"/>
    <s v="【拆单】收到HMM(Abbi) 加拼放单确认"/>
    <x v="135"/>
    <x v="0"/>
    <x v="4"/>
    <m/>
    <m/>
    <n v="-60"/>
  </r>
  <r>
    <x v="4"/>
    <x v="87"/>
    <n v="19"/>
    <s v="【拆单】HMM网站核对订舱信息"/>
    <x v="135"/>
    <x v="0"/>
    <x v="4"/>
    <m/>
    <m/>
    <n v="-60"/>
  </r>
  <r>
    <x v="4"/>
    <x v="87"/>
    <n v="20"/>
    <s v="收到客户(陈云娣)发来报关资料"/>
    <x v="137"/>
    <x v="0"/>
    <x v="6"/>
    <m/>
    <s v="一般做箱当天一早"/>
    <n v="-59"/>
  </r>
  <r>
    <x v="4"/>
    <x v="87"/>
    <n v="21"/>
    <s v="【加拼】按报关(发票)数生成提单号【如发票数超过提单数】"/>
    <x v="137"/>
    <x v="0"/>
    <x v="6"/>
    <m/>
    <m/>
    <n v="-59"/>
  </r>
  <r>
    <x v="4"/>
    <x v="87"/>
    <n v="22"/>
    <s v="做做箱数据，QQ发车队(沈丽)"/>
    <x v="137"/>
    <x v="0"/>
    <x v="6"/>
    <m/>
    <m/>
    <n v="-59"/>
  </r>
  <r>
    <x v="4"/>
    <x v="87"/>
    <n v="23"/>
    <s v="收到车队(沈丽)装箱单，转发客户（陈云娣）"/>
    <x v="137"/>
    <x v="0"/>
    <x v="6"/>
    <m/>
    <s v="一般马上"/>
    <n v="-59"/>
  </r>
  <r>
    <x v="4"/>
    <x v="87"/>
    <n v="24"/>
    <s v="YJC系统截单，发EDI，邮件HMM(He)【截单时间】"/>
    <x v="137"/>
    <x v="0"/>
    <x v="6"/>
    <m/>
    <s v="注意截单时间"/>
    <n v="-59"/>
  </r>
  <r>
    <x v="4"/>
    <x v="87"/>
    <n v="25"/>
    <s v="发VGM和舱单（亿通，鹏海两次）"/>
    <x v="137"/>
    <x v="0"/>
    <x v="6"/>
    <m/>
    <m/>
    <n v="-59"/>
  </r>
  <r>
    <x v="4"/>
    <x v="87"/>
    <n v="26"/>
    <s v="做报关资料，扫描发报关行(罗运生)QQ，要校对稿"/>
    <x v="137"/>
    <x v="0"/>
    <x v="6"/>
    <m/>
    <m/>
    <n v="-59"/>
  </r>
  <r>
    <x v="4"/>
    <x v="87"/>
    <n v="27"/>
    <s v="做保函给邹师傅(美国线)"/>
    <x v="137"/>
    <x v="0"/>
    <x v="3"/>
    <m/>
    <m/>
    <n v="-59"/>
  </r>
  <r>
    <x v="4"/>
    <x v="87"/>
    <n v="28"/>
    <s v="做ISF，发国外资料"/>
    <x v="137"/>
    <x v="0"/>
    <x v="6"/>
    <m/>
    <m/>
    <n v="-59"/>
  </r>
  <r>
    <x v="4"/>
    <x v="87"/>
    <n v="29"/>
    <s v="买保险"/>
    <x v="137"/>
    <x v="0"/>
    <x v="6"/>
    <m/>
    <m/>
    <n v="-59"/>
  </r>
  <r>
    <x v="4"/>
    <x v="87"/>
    <n v="31"/>
    <s v="收到HMM(He)生成提单通知"/>
    <x v="137"/>
    <x v="0"/>
    <x v="3"/>
    <m/>
    <s v="一般马上"/>
    <n v="-59"/>
  </r>
  <r>
    <x v="4"/>
    <x v="87"/>
    <n v="32"/>
    <s v="HMM网站核对提单信息"/>
    <x v="137"/>
    <x v="0"/>
    <x v="3"/>
    <m/>
    <m/>
    <n v="-59"/>
  </r>
  <r>
    <x v="4"/>
    <x v="87"/>
    <n v="33"/>
    <s v="盯海关网站舱单"/>
    <x v="137"/>
    <x v="0"/>
    <x v="6"/>
    <m/>
    <s v="一般两小时左右"/>
    <n v="-59"/>
  </r>
  <r>
    <x v="4"/>
    <x v="87"/>
    <n v="34"/>
    <s v="核对舱单信息"/>
    <x v="137"/>
    <x v="0"/>
    <x v="6"/>
    <m/>
    <m/>
    <n v="-59"/>
  </r>
  <r>
    <x v="4"/>
    <x v="87"/>
    <n v="35"/>
    <s v="收到报关行(罗运生)校对稿，邮件发客户(陈云娣)确认"/>
    <x v="137"/>
    <x v="0"/>
    <x v="3"/>
    <m/>
    <s v="一般半天内"/>
    <n v="-59"/>
  </r>
  <r>
    <x v="4"/>
    <x v="87"/>
    <n v="36"/>
    <s v="收到客户(陈云娣)确认校对稿"/>
    <x v="137"/>
    <x v="0"/>
    <x v="3"/>
    <m/>
    <s v="一般马上"/>
    <n v="-59"/>
  </r>
  <r>
    <x v="4"/>
    <x v="87"/>
    <n v="37"/>
    <s v="通知报关行(罗运生)报关(开港、舱单、校对)（洋山提供装箱单）"/>
    <x v="137"/>
    <x v="0"/>
    <x v="3"/>
    <m/>
    <m/>
    <n v="-59"/>
  </r>
  <r>
    <x v="4"/>
    <x v="87"/>
    <n v="38"/>
    <s v="收到报关成功通知"/>
    <x v="137"/>
    <x v="0"/>
    <x v="4"/>
    <m/>
    <s v="一般下班前"/>
    <n v="-59"/>
  </r>
  <r>
    <x v="4"/>
    <x v="87"/>
    <n v="39"/>
    <s v="通知车队(沈丽)可进港"/>
    <x v="137"/>
    <x v="0"/>
    <x v="4"/>
    <m/>
    <m/>
    <n v="-59"/>
  </r>
  <r>
    <x v="4"/>
    <x v="87"/>
    <n v="40"/>
    <s v="盯箱子进港，关注开港时间，有落箱费？"/>
    <x v="136"/>
    <x v="0"/>
    <x v="6"/>
    <m/>
    <m/>
    <n v="-58"/>
  </r>
  <r>
    <x v="4"/>
    <x v="87"/>
    <n v="41"/>
    <s v="核对进港数据"/>
    <x v="136"/>
    <x v="0"/>
    <x v="6"/>
    <m/>
    <m/>
    <n v="-58"/>
  </r>
  <r>
    <x v="4"/>
    <x v="87"/>
    <n v="42"/>
    <s v="盯海放"/>
    <x v="136"/>
    <x v="0"/>
    <x v="6"/>
    <m/>
    <m/>
    <n v="-58"/>
  </r>
  <r>
    <x v="4"/>
    <x v="87"/>
    <n v="43"/>
    <s v="盯码放"/>
    <x v="146"/>
    <x v="0"/>
    <x v="0"/>
    <m/>
    <m/>
    <n v="-57"/>
  </r>
  <r>
    <x v="4"/>
    <x v="87"/>
    <n v="44"/>
    <s v="盯配载"/>
    <x v="149"/>
    <x v="0"/>
    <x v="0"/>
    <m/>
    <m/>
    <n v="-56"/>
  </r>
  <r>
    <x v="4"/>
    <x v="87"/>
    <n v="45"/>
    <s v="做费用(月初等汇率)，发账单给陈吟勇"/>
    <x v="141"/>
    <x v="0"/>
    <x v="3"/>
    <m/>
    <m/>
    <n v="-53"/>
  </r>
  <r>
    <x v="4"/>
    <x v="87"/>
    <n v="46"/>
    <s v="船开"/>
    <x v="141"/>
    <x v="0"/>
    <x v="0"/>
    <m/>
    <m/>
    <n v="-53"/>
  </r>
  <r>
    <x v="4"/>
    <x v="87"/>
    <n v="47"/>
    <s v="放提单（PHISON、石磊提单、陈云娣三单）"/>
    <x v="143"/>
    <x v="0"/>
    <x v="4"/>
    <m/>
    <s v="一般开船后两三天"/>
    <n v="-52"/>
  </r>
  <r>
    <x v="13"/>
    <x v="88"/>
    <n v="1"/>
    <s v="收到托书"/>
    <x v="80"/>
    <x v="0"/>
    <x v="0"/>
    <m/>
    <m/>
    <n v="-105"/>
  </r>
  <r>
    <x v="13"/>
    <x v="88"/>
    <n v="2"/>
    <s v="订舱"/>
    <x v="69"/>
    <x v="0"/>
    <x v="0"/>
    <m/>
    <m/>
    <n v="-100"/>
  </r>
  <r>
    <x v="13"/>
    <x v="88"/>
    <n v="3"/>
    <s v="收到MSK 订舱确认邮件"/>
    <x v="69"/>
    <x v="0"/>
    <x v="0"/>
    <m/>
    <m/>
    <n v="-100"/>
  </r>
  <r>
    <x v="13"/>
    <x v="88"/>
    <n v="4"/>
    <s v="发订舱确认邮件给客户"/>
    <x v="69"/>
    <x v="0"/>
    <x v="0"/>
    <m/>
    <m/>
    <n v="-100"/>
  </r>
  <r>
    <x v="13"/>
    <x v="88"/>
    <n v="4.0999999999999996"/>
    <s v="收到客户确认订舱信息"/>
    <x v="69"/>
    <x v="0"/>
    <x v="0"/>
    <m/>
    <m/>
    <n v="-100"/>
  </r>
  <r>
    <x v="13"/>
    <x v="88"/>
    <n v="5"/>
    <s v="关注开港时间，确认提供资料时间"/>
    <x v="137"/>
    <x v="0"/>
    <x v="0"/>
    <m/>
    <m/>
    <n v="-59"/>
  </r>
  <r>
    <x v="13"/>
    <x v="88"/>
    <n v="6"/>
    <s v="做费用，拉账单"/>
    <x v="146"/>
    <x v="0"/>
    <x v="3"/>
    <m/>
    <m/>
    <n v="-57"/>
  </r>
  <r>
    <x v="13"/>
    <x v="88"/>
    <n v="7"/>
    <s v="收到截单资料"/>
    <x v="146"/>
    <x v="0"/>
    <x v="0"/>
    <m/>
    <m/>
    <n v="-57"/>
  </r>
  <r>
    <x v="13"/>
    <x v="88"/>
    <n v="8"/>
    <s v="YJC 截单，HBL和费用发文生然确认"/>
    <x v="146"/>
    <x v="0"/>
    <x v="0"/>
    <m/>
    <m/>
    <n v="-57"/>
  </r>
  <r>
    <x v="13"/>
    <x v="88"/>
    <n v="9"/>
    <s v="文生然确认HBL和费用"/>
    <x v="146"/>
    <x v="0"/>
    <x v="0"/>
    <m/>
    <m/>
    <n v="-57"/>
  </r>
  <r>
    <x v="13"/>
    <x v="88"/>
    <n v="10"/>
    <s v="MSK 录入提单确认内容"/>
    <x v="146"/>
    <x v="0"/>
    <x v="0"/>
    <m/>
    <m/>
    <n v="-57"/>
  </r>
  <r>
    <x v="13"/>
    <x v="88"/>
    <n v="11"/>
    <s v="联合船代发舱单"/>
    <x v="146"/>
    <x v="0"/>
    <x v="0"/>
    <m/>
    <m/>
    <n v="-57"/>
  </r>
  <r>
    <x v="13"/>
    <x v="88"/>
    <n v="12"/>
    <s v="MSK网站下载提单确认件"/>
    <x v="146"/>
    <x v="0"/>
    <x v="3"/>
    <m/>
    <m/>
    <n v="-57"/>
  </r>
  <r>
    <x v="13"/>
    <x v="88"/>
    <n v="13"/>
    <s v="邮件发COPY件、AMS、CREDIT给Wanda"/>
    <x v="146"/>
    <x v="0"/>
    <x v="3"/>
    <m/>
    <m/>
    <n v="-57"/>
  </r>
  <r>
    <x v="13"/>
    <x v="88"/>
    <n v="14"/>
    <s v="有舱单，核对，通知文生然"/>
    <x v="146"/>
    <x v="0"/>
    <x v="0"/>
    <m/>
    <m/>
    <n v="-57"/>
  </r>
  <r>
    <x v="13"/>
    <x v="88"/>
    <n v="15"/>
    <s v="进港，核对数据"/>
    <x v="149"/>
    <x v="0"/>
    <x v="4"/>
    <m/>
    <m/>
    <n v="-56"/>
  </r>
  <r>
    <x v="13"/>
    <x v="88"/>
    <n v="16"/>
    <s v="海放"/>
    <x v="149"/>
    <x v="0"/>
    <x v="4"/>
    <m/>
    <m/>
    <n v="-56"/>
  </r>
  <r>
    <x v="13"/>
    <x v="88"/>
    <n v="17"/>
    <s v="码放"/>
    <x v="148"/>
    <x v="0"/>
    <x v="0"/>
    <m/>
    <m/>
    <n v="-55"/>
  </r>
  <r>
    <x v="13"/>
    <x v="88"/>
    <n v="18"/>
    <s v="配载"/>
    <x v="148"/>
    <x v="0"/>
    <x v="0"/>
    <m/>
    <m/>
    <n v="-55"/>
  </r>
  <r>
    <x v="13"/>
    <x v="88"/>
    <n v="19"/>
    <s v="船开"/>
    <x v="143"/>
    <x v="0"/>
    <x v="3"/>
    <m/>
    <m/>
    <n v="-52"/>
  </r>
  <r>
    <x v="13"/>
    <x v="88"/>
    <n v="20"/>
    <s v="邮件发开船通知给Wanda"/>
    <x v="143"/>
    <x v="0"/>
    <x v="3"/>
    <m/>
    <m/>
    <n v="-52"/>
  </r>
  <r>
    <x v="13"/>
    <x v="88"/>
    <n v="21"/>
    <s v="收到Wanda付款通知"/>
    <x v="76"/>
    <x v="0"/>
    <x v="4"/>
    <m/>
    <m/>
    <n v="-49"/>
  </r>
  <r>
    <x v="13"/>
    <x v="88"/>
    <n v="22"/>
    <s v="发SWB、HBL给Wanda"/>
    <x v="76"/>
    <x v="0"/>
    <x v="4"/>
    <m/>
    <m/>
    <n v="-49"/>
  </r>
  <r>
    <x v="9"/>
    <x v="88"/>
    <n v="1"/>
    <s v="收到托书"/>
    <x v="68"/>
    <x v="0"/>
    <x v="0"/>
    <m/>
    <m/>
    <n v="-87"/>
  </r>
  <r>
    <x v="9"/>
    <x v="88"/>
    <n v="2"/>
    <s v="MAERSK网站订舱"/>
    <x v="137"/>
    <x v="0"/>
    <x v="0"/>
    <m/>
    <m/>
    <n v="-59"/>
  </r>
  <r>
    <x v="9"/>
    <x v="88"/>
    <n v="3"/>
    <s v="收到MAERSK booking confirmation"/>
    <x v="137"/>
    <x v="0"/>
    <x v="0"/>
    <m/>
    <m/>
    <n v="-59"/>
  </r>
  <r>
    <x v="9"/>
    <x v="88"/>
    <n v="4"/>
    <s v="发订舱确认给Wanda"/>
    <x v="137"/>
    <x v="1"/>
    <x v="0"/>
    <m/>
    <m/>
    <n v="-59"/>
  </r>
  <r>
    <x v="9"/>
    <x v="88"/>
    <n v="5"/>
    <s v="收到Wanda确认订舱信息"/>
    <x v="137"/>
    <x v="1"/>
    <x v="0"/>
    <m/>
    <m/>
    <n v="-59"/>
  </r>
  <r>
    <x v="9"/>
    <x v="88"/>
    <n v="7"/>
    <s v="发做箱通知给沈丽，通知客户做箱时间"/>
    <x v="137"/>
    <x v="0"/>
    <x v="0"/>
    <m/>
    <m/>
    <n v="-59"/>
  </r>
  <r>
    <x v="9"/>
    <x v="88"/>
    <n v="8"/>
    <s v="跟客户确认资料好的时间，做费用"/>
    <x v="146"/>
    <x v="0"/>
    <x v="0"/>
    <m/>
    <m/>
    <n v="-57"/>
  </r>
  <r>
    <x v="9"/>
    <x v="88"/>
    <n v="13"/>
    <s v="收报关资，收货人通知人！！！！！！！！！！！！！！"/>
    <x v="146"/>
    <x v="0"/>
    <x v="3"/>
    <m/>
    <m/>
    <n v="-57"/>
  </r>
  <r>
    <x v="9"/>
    <x v="88"/>
    <n v="15"/>
    <s v="做做箱数据，发车队"/>
    <x v="146"/>
    <x v="0"/>
    <x v="3"/>
    <m/>
    <m/>
    <n v="-57"/>
  </r>
  <r>
    <x v="9"/>
    <x v="88"/>
    <n v="16"/>
    <s v="发报关资料给报关行"/>
    <x v="146"/>
    <x v="0"/>
    <x v="3"/>
    <m/>
    <m/>
    <n v="-57"/>
  </r>
  <r>
    <x v="9"/>
    <x v="88"/>
    <n v="16.100000000000001"/>
    <s v="收截单资料"/>
    <x v="146"/>
    <x v="0"/>
    <x v="3"/>
    <m/>
    <m/>
    <n v="-57"/>
  </r>
  <r>
    <x v="9"/>
    <x v="88"/>
    <n v="17"/>
    <s v="收装箱单（约号改不了外港提箱）"/>
    <x v="146"/>
    <x v="0"/>
    <x v="0"/>
    <m/>
    <m/>
    <n v="-57"/>
  </r>
  <r>
    <x v="9"/>
    <x v="88"/>
    <n v="18"/>
    <s v="截单（收货人通知人使用新的，让康跟国外确认）参考0730ROADSUN截图"/>
    <x v="146"/>
    <x v="0"/>
    <x v="0"/>
    <m/>
    <m/>
    <n v="-57"/>
  </r>
  <r>
    <x v="9"/>
    <x v="88"/>
    <n v="19"/>
    <s v="等有了AMS HBL，发HBL COPY、MBL COPY、AMS、CREDIT给Wanda确认"/>
    <x v="146"/>
    <x v="0"/>
    <x v="3"/>
    <m/>
    <m/>
    <n v="-57"/>
  </r>
  <r>
    <x v="9"/>
    <x v="88"/>
    <n v="20"/>
    <s v="Wanda确认提单"/>
    <x v="141"/>
    <x v="0"/>
    <x v="0"/>
    <m/>
    <m/>
    <n v="-53"/>
  </r>
  <r>
    <x v="9"/>
    <x v="88"/>
    <n v="21"/>
    <s v="发舱单，发VGM，参考0730ROADSUN截图"/>
    <x v="146"/>
    <x v="0"/>
    <x v="0"/>
    <m/>
    <m/>
    <n v="-57"/>
  </r>
  <r>
    <x v="9"/>
    <x v="88"/>
    <n v="22"/>
    <s v="核对舱单"/>
    <x v="146"/>
    <x v="0"/>
    <x v="0"/>
    <m/>
    <m/>
    <n v="-57"/>
  </r>
  <r>
    <x v="9"/>
    <x v="88"/>
    <n v="23"/>
    <s v="进港"/>
    <x v="149"/>
    <x v="0"/>
    <x v="3"/>
    <m/>
    <m/>
    <n v="-56"/>
  </r>
  <r>
    <x v="9"/>
    <x v="88"/>
    <n v="24"/>
    <s v="核对进港数据"/>
    <x v="149"/>
    <x v="0"/>
    <x v="3"/>
    <m/>
    <m/>
    <n v="-56"/>
  </r>
  <r>
    <x v="9"/>
    <x v="88"/>
    <n v="25"/>
    <s v="通知报关"/>
    <x v="146"/>
    <x v="0"/>
    <x v="0"/>
    <m/>
    <m/>
    <n v="-57"/>
  </r>
  <r>
    <x v="9"/>
    <x v="88"/>
    <n v="26"/>
    <s v="海放"/>
    <x v="149"/>
    <x v="0"/>
    <x v="3"/>
    <m/>
    <m/>
    <n v="-56"/>
  </r>
  <r>
    <x v="9"/>
    <x v="88"/>
    <n v="27"/>
    <s v="码放"/>
    <x v="148"/>
    <x v="0"/>
    <x v="0"/>
    <m/>
    <m/>
    <n v="-55"/>
  </r>
  <r>
    <x v="9"/>
    <x v="88"/>
    <n v="28"/>
    <s v="配载"/>
    <x v="148"/>
    <x v="0"/>
    <x v="0"/>
    <m/>
    <m/>
    <n v="-55"/>
  </r>
  <r>
    <x v="9"/>
    <x v="88"/>
    <n v="29"/>
    <s v="做费用，发客户"/>
    <x v="141"/>
    <x v="0"/>
    <x v="0"/>
    <m/>
    <m/>
    <n v="-53"/>
  </r>
  <r>
    <x v="9"/>
    <x v="88"/>
    <n v="30"/>
    <s v="开船，APP，开票寄陈强英，收到发票773004423324663"/>
    <x v="150"/>
    <x v="0"/>
    <x v="0"/>
    <m/>
    <m/>
    <n v="-51"/>
  </r>
  <r>
    <x v="9"/>
    <x v="88"/>
    <n v="31"/>
    <s v="收到陈强英水单"/>
    <x v="142"/>
    <x v="0"/>
    <x v="4"/>
    <s v="陈强英"/>
    <m/>
    <n v="-46"/>
  </r>
  <r>
    <x v="9"/>
    <x v="88"/>
    <n v="31.1"/>
    <s v="收到Wanda水单，放提单给Wanda"/>
    <x v="144"/>
    <x v="0"/>
    <x v="6"/>
    <m/>
    <m/>
    <n v="-50"/>
  </r>
  <r>
    <x v="9"/>
    <x v="88"/>
    <n v="31.2"/>
    <s v="收到改单费，录入系统"/>
    <x v="144"/>
    <x v="0"/>
    <x v="6"/>
    <m/>
    <m/>
    <n v="-50"/>
  </r>
  <r>
    <x v="9"/>
    <x v="88"/>
    <n v="32"/>
    <s v="放提单、预录单、放行单给陈强英"/>
    <x v="142"/>
    <x v="0"/>
    <x v="0"/>
    <m/>
    <m/>
    <n v="-46"/>
  </r>
  <r>
    <x v="7"/>
    <x v="88"/>
    <n v="1"/>
    <s v="收到徐小姐托书"/>
    <x v="137"/>
    <x v="0"/>
    <x v="0"/>
    <m/>
    <m/>
    <n v="-59"/>
  </r>
  <r>
    <x v="7"/>
    <x v="88"/>
    <n v="2"/>
    <s v="公共盘表格生成单号，YJC系统复制、生成"/>
    <x v="137"/>
    <x v="0"/>
    <x v="0"/>
    <m/>
    <s v="注意MBL#命名规则"/>
    <n v="-59"/>
  </r>
  <r>
    <x v="7"/>
    <x v="88"/>
    <n v="3"/>
    <s v="(一票一订)振华订舱界面复制订舱、保存、提交"/>
    <x v="137"/>
    <x v="0"/>
    <x v="0"/>
    <m/>
    <s v="客户编号 提单号 船名航次 日期 箱量"/>
    <n v="-59"/>
  </r>
  <r>
    <x v="7"/>
    <x v="88"/>
    <n v="4"/>
    <s v="邮件发确认给国外"/>
    <x v="137"/>
    <x v="0"/>
    <x v="0"/>
    <m/>
    <s v="Delete ayjun@kylogix.co.kr Add hypark@kylogix.co.kr"/>
    <n v="-59"/>
  </r>
  <r>
    <x v="7"/>
    <x v="88"/>
    <n v="5"/>
    <s v="QQ发预配信息给徐小姐（模板），问是否要加拼，发车队江"/>
    <x v="137"/>
    <x v="0"/>
    <x v="0"/>
    <m/>
    <m/>
    <n v="-59"/>
  </r>
  <r>
    <x v="7"/>
    <x v="88"/>
    <n v="6"/>
    <s v="订舱审核通过"/>
    <x v="136"/>
    <x v="0"/>
    <x v="0"/>
    <m/>
    <m/>
    <n v="-58"/>
  </r>
  <r>
    <x v="7"/>
    <x v="88"/>
    <n v="7"/>
    <s v="订舱界面加拼、提交，通知徐小姐加拼单号"/>
    <x v="137"/>
    <x v="1"/>
    <x v="0"/>
    <m/>
    <s v="点“多票加拼”"/>
    <n v="-59"/>
  </r>
  <r>
    <x v="7"/>
    <x v="88"/>
    <n v="8"/>
    <s v="加拼审核通过"/>
    <x v="137"/>
    <x v="1"/>
    <x v="0"/>
    <m/>
    <m/>
    <n v="-59"/>
  </r>
  <r>
    <x v="7"/>
    <x v="88"/>
    <n v="9"/>
    <s v="收到国外确认，公共盘红改黑，加CONFIRM"/>
    <x v="136"/>
    <x v="0"/>
    <x v="0"/>
    <m/>
    <m/>
    <n v="-58"/>
  </r>
  <r>
    <x v="7"/>
    <x v="88"/>
    <n v="10"/>
    <s v="录费用"/>
    <x v="136"/>
    <x v="0"/>
    <x v="4"/>
    <m/>
    <m/>
    <n v="-58"/>
  </r>
  <r>
    <x v="7"/>
    <x v="88"/>
    <n v="12"/>
    <s v="收到车队江发来装箱数据和装箱单"/>
    <x v="146"/>
    <x v="0"/>
    <x v="0"/>
    <m/>
    <s v="周三周一截，周日周五截"/>
    <n v="-57"/>
  </r>
  <r>
    <x v="7"/>
    <x v="88"/>
    <n v="13"/>
    <s v="数据表中加入封号，汇总单票总件毛体"/>
    <x v="146"/>
    <x v="0"/>
    <x v="3"/>
    <m/>
    <m/>
    <n v="-57"/>
  </r>
  <r>
    <x v="7"/>
    <x v="88"/>
    <n v="14"/>
    <s v="YJC 截单"/>
    <x v="146"/>
    <x v="0"/>
    <x v="3"/>
    <m/>
    <s v="船名航次 开航日 件毛体 CC 箱量 箱封号 品名"/>
    <n v="-57"/>
  </r>
  <r>
    <x v="7"/>
    <x v="88"/>
    <n v="15"/>
    <s v="导出HBL，发徐小姐确认"/>
    <x v="146"/>
    <x v="0"/>
    <x v="3"/>
    <m/>
    <m/>
    <n v="-57"/>
  </r>
  <r>
    <x v="7"/>
    <x v="88"/>
    <n v="16"/>
    <s v="徐小姐确认HBL时，振华录入每一关单号的件毛体(注意箱状态)，保存"/>
    <x v="146"/>
    <x v="0"/>
    <x v="3"/>
    <m/>
    <m/>
    <n v="-57"/>
  </r>
  <r>
    <x v="7"/>
    <x v="88"/>
    <n v="17"/>
    <s v="徐小姐确认HBL"/>
    <x v="146"/>
    <x v="0"/>
    <x v="3"/>
    <m/>
    <m/>
    <n v="-57"/>
  </r>
  <r>
    <x v="7"/>
    <x v="88"/>
    <n v="18"/>
    <s v="发舱单"/>
    <x v="146"/>
    <x v="0"/>
    <x v="3"/>
    <m/>
    <s v="一关单一发"/>
    <n v="-57"/>
  </r>
  <r>
    <x v="7"/>
    <x v="88"/>
    <n v="19"/>
    <s v="海关有舱单，核对舱单信息，(如无并单，可直接录VGM)"/>
    <x v="146"/>
    <x v="0"/>
    <x v="3"/>
    <m/>
    <m/>
    <n v="-57"/>
  </r>
  <r>
    <x v="7"/>
    <x v="88"/>
    <n v="20"/>
    <s v="订舱界面并单"/>
    <x v="146"/>
    <x v="1"/>
    <x v="3"/>
    <m/>
    <m/>
    <n v="-57"/>
  </r>
  <r>
    <x v="7"/>
    <x v="88"/>
    <n v="21"/>
    <s v="并单审核通过"/>
    <x v="146"/>
    <x v="1"/>
    <x v="3"/>
    <m/>
    <m/>
    <n v="-57"/>
  </r>
  <r>
    <x v="7"/>
    <x v="88"/>
    <n v="22"/>
    <s v="每票录入所有箱子箱封号和件毛体，保存，录VGM，导入"/>
    <x v="146"/>
    <x v="0"/>
    <x v="3"/>
    <m/>
    <m/>
    <n v="-57"/>
  </r>
  <r>
    <x v="7"/>
    <x v="88"/>
    <n v="23"/>
    <s v="打印MBL"/>
    <x v="146"/>
    <x v="0"/>
    <x v="3"/>
    <m/>
    <m/>
    <n v="-57"/>
  </r>
  <r>
    <x v="7"/>
    <x v="88"/>
    <n v="24"/>
    <s v="表格、HBL、MBL、费用一起发邮件给国外"/>
    <x v="146"/>
    <x v="0"/>
    <x v="3"/>
    <m/>
    <s v="Delete ayjun@kylogix.co.kr Add hypark@kylogix.co.kr"/>
    <n v="-57"/>
  </r>
  <r>
    <x v="7"/>
    <x v="88"/>
    <n v="25"/>
    <s v="船开"/>
    <x v="143"/>
    <x v="0"/>
    <x v="6"/>
    <m/>
    <m/>
    <n v="-52"/>
  </r>
  <r>
    <x v="7"/>
    <x v="88"/>
    <n v="26"/>
    <s v="拿到WAYBILL"/>
    <x v="143"/>
    <x v="0"/>
    <x v="4"/>
    <m/>
    <m/>
    <n v="-52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52"/>
  </r>
  <r>
    <x v="3"/>
    <x v="89"/>
    <n v="1"/>
    <s v="PANCON上周日船期提单领取单"/>
    <x v="143"/>
    <x v="0"/>
    <x v="6"/>
    <m/>
    <s v="周一"/>
    <n v="-52"/>
  </r>
  <r>
    <x v="3"/>
    <x v="89"/>
    <n v="2"/>
    <s v="WEEKLY REPORT"/>
    <x v="141"/>
    <x v="0"/>
    <x v="3"/>
    <m/>
    <s v="周一"/>
    <n v="-53"/>
  </r>
  <r>
    <x v="3"/>
    <x v="89"/>
    <n v="3"/>
    <s v="汇总SC JS下周订舱需求，回Abbi邮件，制作每票清单流水"/>
    <x v="141"/>
    <x v="0"/>
    <x v="1"/>
    <m/>
    <s v="周一"/>
    <n v="-53"/>
  </r>
  <r>
    <x v="3"/>
    <x v="89"/>
    <n v="4"/>
    <s v="收到Abbi确认"/>
    <x v="143"/>
    <x v="0"/>
    <x v="3"/>
    <m/>
    <s v="周一"/>
    <n v="-52"/>
  </r>
  <r>
    <x v="3"/>
    <x v="89"/>
    <n v="5"/>
    <s v="拿到PANCON WAYBILL，朱琳的给朱琳"/>
    <x v="143"/>
    <x v="0"/>
    <x v="4"/>
    <m/>
    <s v="周一"/>
    <n v="-52"/>
  </r>
  <r>
    <x v="3"/>
    <x v="89"/>
    <n v="6"/>
    <s v="PANCON周三出运清单，附件贴邮件中"/>
    <x v="141"/>
    <x v="0"/>
    <x v="3"/>
    <m/>
    <s v="周一"/>
    <n v="-53"/>
  </r>
  <r>
    <x v="3"/>
    <x v="89"/>
    <n v="7"/>
    <s v="WORKING PROCESS"/>
    <x v="141"/>
    <x v="0"/>
    <x v="4"/>
    <m/>
    <s v="周一"/>
    <n v="-53"/>
  </r>
  <r>
    <x v="3"/>
    <x v="89"/>
    <n v="8"/>
    <s v="WORKING PROCESS"/>
    <x v="150"/>
    <x v="0"/>
    <x v="0"/>
    <m/>
    <s v="周三"/>
    <n v="-51"/>
  </r>
  <r>
    <x v="3"/>
    <x v="89"/>
    <n v="9"/>
    <s v="PANCON周三船期提单领取单"/>
    <x v="144"/>
    <x v="0"/>
    <x v="0"/>
    <m/>
    <s v="周四"/>
    <n v="-50"/>
  </r>
  <r>
    <x v="3"/>
    <x v="89"/>
    <n v="10"/>
    <s v="拿到PANCON WAYBILL，朱琳的给朱琳"/>
    <x v="144"/>
    <x v="0"/>
    <x v="4"/>
    <m/>
    <s v="周四"/>
    <n v="-50"/>
  </r>
  <r>
    <x v="3"/>
    <x v="89"/>
    <n v="11"/>
    <s v="收到 Abbi 下下周订舱预报邮件"/>
    <x v="76"/>
    <x v="0"/>
    <x v="4"/>
    <m/>
    <s v="周五"/>
    <n v="-49"/>
  </r>
  <r>
    <x v="3"/>
    <x v="89"/>
    <n v="13"/>
    <s v="WORKING PROCESS"/>
    <x v="76"/>
    <x v="0"/>
    <x v="3"/>
    <m/>
    <s v="周五"/>
    <n v="-49"/>
  </r>
  <r>
    <x v="3"/>
    <x v="89"/>
    <n v="14"/>
    <s v="PANCON周日出运清单，附件贴邮件中"/>
    <x v="76"/>
    <x v="0"/>
    <x v="3"/>
    <m/>
    <s v="周五"/>
    <n v="-49"/>
  </r>
  <r>
    <x v="3"/>
    <x v="89"/>
    <n v="15"/>
    <s v="制下周 WEEK 流水"/>
    <x v="76"/>
    <x v="0"/>
    <x v="0"/>
    <m/>
    <s v="周五"/>
    <n v="-49"/>
  </r>
  <r>
    <x v="3"/>
    <x v="89"/>
    <m/>
    <s v="8月车队账单核对好后回邮件"/>
    <x v="143"/>
    <x v="0"/>
    <x v="6"/>
    <m/>
    <m/>
    <n v="-52"/>
  </r>
  <r>
    <x v="3"/>
    <x v="89"/>
    <m/>
    <s v="万盛订舱22号"/>
    <x v="143"/>
    <x v="0"/>
    <x v="1"/>
    <m/>
    <m/>
    <n v="-52"/>
  </r>
  <r>
    <x v="3"/>
    <x v="89"/>
    <m/>
    <s v="顾家流水出正本提单部分"/>
    <x v="151"/>
    <x v="1"/>
    <x v="0"/>
    <m/>
    <m/>
    <n v="-47"/>
  </r>
  <r>
    <x v="3"/>
    <x v="89"/>
    <m/>
    <s v="HMI KMM 拖车费调整了？"/>
    <x v="144"/>
    <x v="0"/>
    <x v="0"/>
    <m/>
    <m/>
    <n v="-50"/>
  </r>
  <r>
    <x v="3"/>
    <x v="89"/>
    <m/>
    <s v="CK对账，这票不是我的"/>
    <x v="76"/>
    <x v="0"/>
    <x v="0"/>
    <m/>
    <m/>
    <n v="-49"/>
  </r>
  <r>
    <x v="3"/>
    <x v="89"/>
    <m/>
    <s v="HANSSEM表里加一个SURRENDER/YES/NO"/>
    <x v="152"/>
    <x v="1"/>
    <x v="0"/>
    <m/>
    <m/>
    <n v="-31"/>
  </r>
  <r>
    <x v="6"/>
    <x v="90"/>
    <n v="1"/>
    <s v="收到胡媛媛发来订舱邮件"/>
    <x v="99"/>
    <x v="0"/>
    <x v="0"/>
    <m/>
    <m/>
    <n v="-94"/>
  </r>
  <r>
    <x v="6"/>
    <x v="90"/>
    <n v="2"/>
    <s v="发订舱托书给万恒（翁小姐）"/>
    <x v="99"/>
    <x v="0"/>
    <x v="0"/>
    <m/>
    <m/>
    <n v="-94"/>
  </r>
  <r>
    <x v="6"/>
    <x v="90"/>
    <n v="3"/>
    <s v="收到万恒（翁小姐）预配（中转港必须是LAZARO）"/>
    <x v="117"/>
    <x v="0"/>
    <x v="0"/>
    <m/>
    <s v="一般三小时左右"/>
    <n v="-79"/>
  </r>
  <r>
    <x v="6"/>
    <x v="90"/>
    <n v="5"/>
    <s v="发做箱通知邮件给车队(沈丽)，通知做箱时间"/>
    <x v="117"/>
    <x v="0"/>
    <x v="0"/>
    <m/>
    <m/>
    <n v="-79"/>
  </r>
  <r>
    <x v="6"/>
    <x v="90"/>
    <n v="6"/>
    <s v="通知胡媛媛订舱成功和做箱时间"/>
    <x v="117"/>
    <x v="0"/>
    <x v="0"/>
    <m/>
    <m/>
    <n v="-79"/>
  </r>
  <r>
    <x v="6"/>
    <x v="90"/>
    <n v="7"/>
    <s v="跟客户确认发报关资料和做箱时间"/>
    <x v="136"/>
    <x v="0"/>
    <x v="0"/>
    <m/>
    <s v="截单前三天"/>
    <n v="-58"/>
  </r>
  <r>
    <x v="6"/>
    <x v="90"/>
    <n v="8"/>
    <s v="收到胡媛媛发来报关资料"/>
    <x v="137"/>
    <x v="0"/>
    <x v="0"/>
    <m/>
    <s v="船开前一周？"/>
    <n v="-59"/>
  </r>
  <r>
    <x v="6"/>
    <x v="90"/>
    <n v="9"/>
    <s v="完善报关资料发报关行（黄寅文），要校对稿，做箱数据给沈丽，更新系统件毛体"/>
    <x v="136"/>
    <x v="0"/>
    <x v="1"/>
    <m/>
    <m/>
    <n v="-58"/>
  </r>
  <r>
    <x v="6"/>
    <x v="90"/>
    <n v="10"/>
    <s v="买保险"/>
    <x v="136"/>
    <x v="0"/>
    <x v="1"/>
    <m/>
    <m/>
    <n v="-58"/>
  </r>
  <r>
    <x v="6"/>
    <x v="90"/>
    <n v="11"/>
    <s v="做异地付款保函，发胡媛媛确认盖章回传"/>
    <x v="136"/>
    <x v="0"/>
    <x v="1"/>
    <m/>
    <m/>
    <n v="-58"/>
  </r>
  <r>
    <x v="6"/>
    <x v="90"/>
    <n v="12"/>
    <s v="收到客户（胡媛媛）发来保函扫描件"/>
    <x v="136"/>
    <x v="0"/>
    <x v="4"/>
    <m/>
    <s v="一般马上"/>
    <n v="-58"/>
  </r>
  <r>
    <x v="6"/>
    <x v="90"/>
    <n v="13"/>
    <s v="收到罗运生校对稿，发客户（胡媛媛）确认"/>
    <x v="146"/>
    <x v="0"/>
    <x v="0"/>
    <m/>
    <s v="一般半天内"/>
    <n v="-57"/>
  </r>
  <r>
    <x v="6"/>
    <x v="90"/>
    <n v="14"/>
    <s v="收到客户（胡媛媛）确认校对稿OK"/>
    <x v="146"/>
    <x v="0"/>
    <x v="0"/>
    <m/>
    <s v="一般马上"/>
    <n v="-57"/>
  </r>
  <r>
    <x v="6"/>
    <x v="90"/>
    <n v="15"/>
    <s v="关注开港时间，跟车队(沈丽)确认做箱时间，如有变动通知胡媛媛"/>
    <x v="146"/>
    <x v="0"/>
    <x v="0"/>
    <m/>
    <s v="截单前一天"/>
    <n v="-57"/>
  </r>
  <r>
    <x v="6"/>
    <x v="90"/>
    <n v="16"/>
    <s v="收到沈丽发来装箱单"/>
    <x v="146"/>
    <x v="0"/>
    <x v="0"/>
    <m/>
    <s v="截单当天"/>
    <n v="-57"/>
  </r>
  <r>
    <x v="6"/>
    <x v="90"/>
    <n v="17"/>
    <s v="完善截单资料发万恒（翁小姐），请求发舱单"/>
    <x v="146"/>
    <x v="0"/>
    <x v="0"/>
    <m/>
    <m/>
    <n v="-57"/>
  </r>
  <r>
    <x v="6"/>
    <x v="90"/>
    <n v="18"/>
    <s v="收到舱单发送通知，核对舱单，装箱单发报关行报关"/>
    <x v="146"/>
    <x v="0"/>
    <x v="0"/>
    <m/>
    <m/>
    <n v="-57"/>
  </r>
  <r>
    <x v="6"/>
    <x v="90"/>
    <n v="19"/>
    <s v="请求万恒（翁小姐）发提单样本"/>
    <x v="141"/>
    <x v="0"/>
    <x v="1"/>
    <m/>
    <m/>
    <n v="-53"/>
  </r>
  <r>
    <x v="6"/>
    <x v="90"/>
    <n v="20"/>
    <s v="收到万恒（翁小姐）发来提单样本，发胡媛媛确认"/>
    <x v="141"/>
    <x v="0"/>
    <x v="1"/>
    <m/>
    <m/>
    <n v="-53"/>
  </r>
  <r>
    <x v="6"/>
    <x v="90"/>
    <n v="21"/>
    <s v="收到胡媛媛提单确认"/>
    <x v="141"/>
    <x v="0"/>
    <x v="1"/>
    <m/>
    <m/>
    <n v="-53"/>
  </r>
  <r>
    <x v="6"/>
    <x v="90"/>
    <n v="22"/>
    <s v="收到报关成功通知，通知车队可进港 "/>
    <x v="146"/>
    <x v="0"/>
    <x v="0"/>
    <m/>
    <m/>
    <n v="-57"/>
  </r>
  <r>
    <x v="6"/>
    <x v="90"/>
    <n v="23"/>
    <s v="进港，核对数据"/>
    <x v="149"/>
    <x v="0"/>
    <x v="4"/>
    <m/>
    <m/>
    <n v="-56"/>
  </r>
  <r>
    <x v="6"/>
    <x v="90"/>
    <n v="24"/>
    <s v="海放"/>
    <x v="149"/>
    <x v="0"/>
    <x v="4"/>
    <m/>
    <m/>
    <n v="-56"/>
  </r>
  <r>
    <x v="6"/>
    <x v="90"/>
    <n v="25"/>
    <s v="码放"/>
    <x v="143"/>
    <x v="0"/>
    <x v="0"/>
    <m/>
    <m/>
    <n v="-52"/>
  </r>
  <r>
    <x v="6"/>
    <x v="90"/>
    <n v="26"/>
    <s v="配载"/>
    <x v="150"/>
    <x v="0"/>
    <x v="0"/>
    <m/>
    <m/>
    <n v="-51"/>
  </r>
  <r>
    <x v="6"/>
    <x v="90"/>
    <n v="27"/>
    <s v="开船"/>
    <x v="144"/>
    <x v="0"/>
    <x v="6"/>
    <m/>
    <m/>
    <n v="-50"/>
  </r>
  <r>
    <x v="6"/>
    <x v="90"/>
    <n v="28"/>
    <s v="收到万恒账单，做费用，发账单给石磊"/>
    <x v="144"/>
    <x v="0"/>
    <x v="4"/>
    <m/>
    <m/>
    <n v="-50"/>
  </r>
  <r>
    <x v="6"/>
    <x v="90"/>
    <n v="29"/>
    <s v="收到万恒（翁小姐）提单，放提单和预录单给胡媛媛"/>
    <x v="144"/>
    <x v="0"/>
    <x v="4"/>
    <m/>
    <m/>
    <n v="-50"/>
  </r>
  <r>
    <x v="0"/>
    <x v="91"/>
    <n v="1"/>
    <s v="收到客户(孙丹/王珊)发来订舱托书"/>
    <x v="139"/>
    <x v="0"/>
    <x v="0"/>
    <m/>
    <m/>
    <n v="-63"/>
  </r>
  <r>
    <x v="0"/>
    <x v="91"/>
    <n v="2"/>
    <s v="收到CK发来预配(做箱通知，沈丽有收到？)"/>
    <x v="137"/>
    <x v="0"/>
    <x v="3"/>
    <m/>
    <m/>
    <n v="-59"/>
  </r>
  <r>
    <x v="0"/>
    <x v="91"/>
    <n v="3"/>
    <s v="YJC系统生成单子"/>
    <x v="135"/>
    <x v="0"/>
    <x v="0"/>
    <m/>
    <m/>
    <n v="-60"/>
  </r>
  <r>
    <x v="0"/>
    <x v="91"/>
    <n v="4"/>
    <s v="收到包装厂(刘倩梅)发来包装指示书和装箱计划"/>
    <x v="137"/>
    <x v="0"/>
    <x v="3"/>
    <m/>
    <s v="一般周四"/>
    <n v="-59"/>
  </r>
  <r>
    <x v="0"/>
    <x v="91"/>
    <n v="5"/>
    <s v="根据装箱计划汇总包装数据，发各工厂做报关资料"/>
    <x v="137"/>
    <x v="0"/>
    <x v="3"/>
    <m/>
    <m/>
    <n v="-59"/>
  </r>
  <r>
    <x v="0"/>
    <x v="91"/>
    <n v="6"/>
    <s v="做做箱数据，邮件群发(查开港时间，注明做箱时间)"/>
    <x v="137"/>
    <x v="0"/>
    <x v="3"/>
    <m/>
    <m/>
    <n v="-59"/>
  </r>
  <r>
    <x v="0"/>
    <x v="91"/>
    <n v="7"/>
    <s v="收到车队(沈丽)装箱单和洋山提箱截图(如有)，9点前群发，通知发舱单"/>
    <x v="136"/>
    <x v="0"/>
    <x v="0"/>
    <m/>
    <s v="一般KMM五、HMI日"/>
    <n v="-58"/>
  </r>
  <r>
    <x v="0"/>
    <x v="91"/>
    <n v="8"/>
    <s v="收到工厂发来报关资料并完善(代做报关资料跟客户确认)"/>
    <x v="146"/>
    <x v="0"/>
    <x v="3"/>
    <m/>
    <s v="当天至隔天"/>
    <n v="-57"/>
  </r>
  <r>
    <x v="0"/>
    <x v="91"/>
    <n v="9"/>
    <s v="报关资料齐了（光成要素划掉XXX），发报关行(罗运生)"/>
    <x v="146"/>
    <x v="0"/>
    <x v="3"/>
    <m/>
    <m/>
    <n v="-57"/>
  </r>
  <r>
    <x v="0"/>
    <x v="91"/>
    <n v="10"/>
    <s v="【HMI】货运模板/发票/箱单"/>
    <x v="141"/>
    <x v="0"/>
    <x v="0"/>
    <m/>
    <m/>
    <n v="-53"/>
  </r>
  <r>
    <x v="0"/>
    <x v="91"/>
    <n v="11"/>
    <s v="收到舱单发送成功通知，核对舱单信息"/>
    <x v="146"/>
    <x v="0"/>
    <x v="0"/>
    <m/>
    <m/>
    <n v="-57"/>
  </r>
  <r>
    <x v="0"/>
    <x v="91"/>
    <n v="12"/>
    <s v="通知进港"/>
    <x v="146"/>
    <x v="0"/>
    <x v="0"/>
    <m/>
    <s v="调整顺序"/>
    <n v="-57"/>
  </r>
  <r>
    <x v="0"/>
    <x v="91"/>
    <n v="13"/>
    <s v="【HMI】开港"/>
    <x v="153"/>
    <x v="0"/>
    <x v="0"/>
    <m/>
    <m/>
    <n v="-54"/>
  </r>
  <r>
    <x v="0"/>
    <x v="91"/>
    <n v="14"/>
    <s v="进港(核对数据)"/>
    <x v="153"/>
    <x v="0"/>
    <x v="0"/>
    <m/>
    <s v="调整顺序"/>
    <n v="-54"/>
  </r>
  <r>
    <x v="0"/>
    <x v="91"/>
    <n v="15"/>
    <s v="通知报关（洋山发装箱单）"/>
    <x v="141"/>
    <x v="0"/>
    <x v="0"/>
    <m/>
    <s v="调整顺序"/>
    <n v="-53"/>
  </r>
  <r>
    <x v="0"/>
    <x v="91"/>
    <n v="16"/>
    <s v="报关成功"/>
    <x v="141"/>
    <x v="0"/>
    <x v="3"/>
    <m/>
    <s v="调整顺序"/>
    <n v="-53"/>
  </r>
  <r>
    <x v="0"/>
    <x v="91"/>
    <n v="17"/>
    <s v="海放"/>
    <x v="141"/>
    <x v="0"/>
    <x v="3"/>
    <m/>
    <m/>
    <n v="-53"/>
  </r>
  <r>
    <x v="0"/>
    <x v="91"/>
    <n v="18"/>
    <s v="码放"/>
    <x v="143"/>
    <x v="0"/>
    <x v="0"/>
    <m/>
    <m/>
    <n v="-52"/>
  </r>
  <r>
    <x v="0"/>
    <x v="91"/>
    <n v="19"/>
    <s v="配载"/>
    <x v="143"/>
    <x v="0"/>
    <x v="3"/>
    <m/>
    <m/>
    <n v="-52"/>
  </r>
  <r>
    <x v="0"/>
    <x v="91"/>
    <n v="20"/>
    <s v="做费用(对账单日期4号)，放公共盘，填月账单表，发孙丹"/>
    <x v="144"/>
    <x v="0"/>
    <x v="0"/>
    <m/>
    <m/>
    <n v="-50"/>
  </r>
  <r>
    <x v="0"/>
    <x v="91"/>
    <n v="21"/>
    <s v="如有额外费用发邮件"/>
    <x v="143"/>
    <x v="0"/>
    <x v="0"/>
    <m/>
    <m/>
    <n v="-52"/>
  </r>
  <r>
    <x v="0"/>
    <x v="91"/>
    <n v="22"/>
    <s v="船开"/>
    <x v="150"/>
    <x v="0"/>
    <x v="0"/>
    <m/>
    <m/>
    <n v="-51"/>
  </r>
  <r>
    <x v="4"/>
    <x v="91"/>
    <n v="1"/>
    <s v="收到客户(陈云娣)订舱预报"/>
    <x v="135"/>
    <x v="0"/>
    <x v="0"/>
    <m/>
    <s v="一般周五发隔周"/>
    <n v="-60"/>
  </r>
  <r>
    <x v="4"/>
    <x v="91"/>
    <n v="6"/>
    <s v="公共盘生成提单号(QSWB不要搞错)"/>
    <x v="135"/>
    <x v="0"/>
    <x v="0"/>
    <m/>
    <m/>
    <n v="-60"/>
  </r>
  <r>
    <x v="4"/>
    <x v="91"/>
    <n v="7"/>
    <s v="YJC系统生成单子"/>
    <x v="135"/>
    <x v="0"/>
    <x v="0"/>
    <m/>
    <m/>
    <n v="-60"/>
  </r>
  <r>
    <x v="4"/>
    <x v="91"/>
    <n v="8"/>
    <s v="发EDI"/>
    <x v="135"/>
    <x v="0"/>
    <x v="0"/>
    <m/>
    <m/>
    <n v="-60"/>
  </r>
  <r>
    <x v="4"/>
    <x v="91"/>
    <n v="9"/>
    <s v="邮件申请放舱"/>
    <x v="135"/>
    <x v="0"/>
    <x v="0"/>
    <m/>
    <m/>
    <n v="-60"/>
  </r>
  <r>
    <x v="4"/>
    <x v="91"/>
    <n v="10"/>
    <s v="收到HMM(Abbi) 确认放舱"/>
    <x v="135"/>
    <x v="0"/>
    <x v="6"/>
    <m/>
    <s v="一般半天内"/>
    <n v="-60"/>
  </r>
  <r>
    <x v="4"/>
    <x v="91"/>
    <n v="11"/>
    <s v="HMM网站核对订舱信息"/>
    <x v="135"/>
    <x v="0"/>
    <x v="6"/>
    <m/>
    <m/>
    <n v="-60"/>
  </r>
  <r>
    <x v="4"/>
    <x v="91"/>
    <n v="12"/>
    <s v="收到客户(陈云娣)做箱通知（周五放假，哪天做箱?)"/>
    <x v="136"/>
    <x v="1"/>
    <x v="0"/>
    <m/>
    <s v="一般做箱头天一早"/>
    <n v="-58"/>
  </r>
  <r>
    <x v="4"/>
    <x v="91"/>
    <n v="13"/>
    <s v="【拆单】公共盘生成提单号"/>
    <x v="136"/>
    <x v="1"/>
    <x v="0"/>
    <m/>
    <m/>
    <n v="-58"/>
  </r>
  <r>
    <x v="4"/>
    <x v="91"/>
    <n v="14"/>
    <s v="发做箱通知邮件给车队(沈丽)（航次要加QL？）提醒车队12点后再提箱"/>
    <x v="136"/>
    <x v="1"/>
    <x v="0"/>
    <m/>
    <m/>
    <n v="-58"/>
  </r>
  <r>
    <x v="4"/>
    <x v="91"/>
    <n v="15"/>
    <s v="【拆单】YJC系统生成单子（QSWB不要搞错）"/>
    <x v="136"/>
    <x v="1"/>
    <x v="0"/>
    <m/>
    <m/>
    <n v="-58"/>
  </r>
  <r>
    <x v="4"/>
    <x v="91"/>
    <n v="16"/>
    <s v="【拆单】发EDI"/>
    <x v="136"/>
    <x v="1"/>
    <x v="0"/>
    <m/>
    <m/>
    <n v="-58"/>
  </r>
  <r>
    <x v="4"/>
    <x v="91"/>
    <n v="17"/>
    <s v="【拆单】邮件申请放单"/>
    <x v="136"/>
    <x v="1"/>
    <x v="0"/>
    <m/>
    <m/>
    <n v="-58"/>
  </r>
  <r>
    <x v="4"/>
    <x v="91"/>
    <n v="18"/>
    <s v="【拆单】收到HMM(Abbi) 加拼放单确认"/>
    <x v="136"/>
    <x v="1"/>
    <x v="0"/>
    <m/>
    <m/>
    <n v="-58"/>
  </r>
  <r>
    <x v="4"/>
    <x v="91"/>
    <n v="19"/>
    <s v="【拆单】HMM网站核对订舱信息"/>
    <x v="136"/>
    <x v="1"/>
    <x v="0"/>
    <m/>
    <m/>
    <n v="-58"/>
  </r>
  <r>
    <x v="4"/>
    <x v="91"/>
    <n v="20"/>
    <s v="收到客户(陈云娣)发来报关资料"/>
    <x v="146"/>
    <x v="1"/>
    <x v="0"/>
    <m/>
    <s v="一般做箱当天一早"/>
    <n v="-57"/>
  </r>
  <r>
    <x v="4"/>
    <x v="91"/>
    <n v="21"/>
    <s v="【加拼】按报关(发票)数生成提单号【如发票数超过提单数】"/>
    <x v="146"/>
    <x v="1"/>
    <x v="0"/>
    <m/>
    <m/>
    <n v="-57"/>
  </r>
  <r>
    <x v="4"/>
    <x v="91"/>
    <n v="22"/>
    <s v="做做箱数据，QQ发车队(沈丽)"/>
    <x v="146"/>
    <x v="1"/>
    <x v="0"/>
    <m/>
    <m/>
    <n v="-57"/>
  </r>
  <r>
    <x v="4"/>
    <x v="91"/>
    <n v="23"/>
    <s v="收到车队(沈丽)装箱单，转发客户（陈云娣）"/>
    <x v="146"/>
    <x v="1"/>
    <x v="0"/>
    <m/>
    <s v="一般马上"/>
    <n v="-57"/>
  </r>
  <r>
    <x v="4"/>
    <x v="91"/>
    <n v="24"/>
    <s v="YJC系统截单，发EDI，邮件HMM(He)【截单时间】"/>
    <x v="146"/>
    <x v="1"/>
    <x v="0"/>
    <m/>
    <s v="注意截单时间"/>
    <n v="-57"/>
  </r>
  <r>
    <x v="4"/>
    <x v="91"/>
    <n v="25"/>
    <s v="发VGM和舱单（亿通，鹏海两次）"/>
    <x v="146"/>
    <x v="1"/>
    <x v="0"/>
    <m/>
    <m/>
    <n v="-57"/>
  </r>
  <r>
    <x v="4"/>
    <x v="91"/>
    <n v="26"/>
    <s v="做报关资料，扫描发报关行(罗运生)QQ，要校对稿"/>
    <x v="146"/>
    <x v="1"/>
    <x v="0"/>
    <m/>
    <m/>
    <n v="-57"/>
  </r>
  <r>
    <x v="4"/>
    <x v="91"/>
    <n v="27"/>
    <s v="做保函给邹师傅(美国线)"/>
    <x v="146"/>
    <x v="1"/>
    <x v="0"/>
    <m/>
    <m/>
    <n v="-57"/>
  </r>
  <r>
    <x v="4"/>
    <x v="91"/>
    <n v="28"/>
    <s v="做ISF，发国外资料"/>
    <x v="146"/>
    <x v="1"/>
    <x v="0"/>
    <m/>
    <m/>
    <n v="-57"/>
  </r>
  <r>
    <x v="4"/>
    <x v="91"/>
    <n v="29"/>
    <s v="买保险"/>
    <x v="146"/>
    <x v="1"/>
    <x v="0"/>
    <m/>
    <m/>
    <n v="-57"/>
  </r>
  <r>
    <x v="4"/>
    <x v="91"/>
    <n v="31"/>
    <s v="收到HMM(He)生成提单通知"/>
    <x v="146"/>
    <x v="1"/>
    <x v="0"/>
    <m/>
    <s v="一般马上"/>
    <n v="-57"/>
  </r>
  <r>
    <x v="4"/>
    <x v="91"/>
    <n v="32"/>
    <s v="HMM网站核对提单信息"/>
    <x v="146"/>
    <x v="1"/>
    <x v="0"/>
    <m/>
    <m/>
    <n v="-57"/>
  </r>
  <r>
    <x v="4"/>
    <x v="91"/>
    <n v="33"/>
    <s v="盯海关网站舱单"/>
    <x v="146"/>
    <x v="1"/>
    <x v="0"/>
    <m/>
    <s v="一般两小时左右"/>
    <n v="-57"/>
  </r>
  <r>
    <x v="4"/>
    <x v="91"/>
    <n v="34"/>
    <s v="核对舱单信息"/>
    <x v="146"/>
    <x v="1"/>
    <x v="0"/>
    <m/>
    <m/>
    <n v="-57"/>
  </r>
  <r>
    <x v="4"/>
    <x v="91"/>
    <n v="35"/>
    <s v="收到报关行(罗运生)校对稿，邮件发客户(陈云娣)确认"/>
    <x v="146"/>
    <x v="1"/>
    <x v="0"/>
    <m/>
    <s v="一般半天内"/>
    <n v="-57"/>
  </r>
  <r>
    <x v="4"/>
    <x v="91"/>
    <n v="36"/>
    <s v="收到客户(陈云娣)确认校对稿"/>
    <x v="146"/>
    <x v="1"/>
    <x v="0"/>
    <m/>
    <s v="一般马上"/>
    <n v="-57"/>
  </r>
  <r>
    <x v="4"/>
    <x v="91"/>
    <n v="37"/>
    <s v="通知报关行(罗运生)报关(开港、舱单、校对)（洋山提供装箱单）"/>
    <x v="146"/>
    <x v="1"/>
    <x v="0"/>
    <m/>
    <m/>
    <n v="-57"/>
  </r>
  <r>
    <x v="4"/>
    <x v="91"/>
    <n v="37"/>
    <s v="收到报关成功通知"/>
    <x v="146"/>
    <x v="1"/>
    <x v="0"/>
    <m/>
    <s v="一般下班前"/>
    <n v="-57"/>
  </r>
  <r>
    <x v="4"/>
    <x v="91"/>
    <n v="37"/>
    <s v="通知车队(沈丽)可进港"/>
    <x v="146"/>
    <x v="1"/>
    <x v="0"/>
    <m/>
    <m/>
    <n v="-57"/>
  </r>
  <r>
    <x v="4"/>
    <x v="91"/>
    <n v="37"/>
    <s v="盯箱子进港，关注开港时间，有落箱费？"/>
    <x v="146"/>
    <x v="1"/>
    <x v="0"/>
    <m/>
    <m/>
    <n v="-57"/>
  </r>
  <r>
    <x v="4"/>
    <x v="91"/>
    <n v="37"/>
    <s v="核对进港数据"/>
    <x v="146"/>
    <x v="1"/>
    <x v="0"/>
    <m/>
    <m/>
    <n v="-57"/>
  </r>
  <r>
    <x v="4"/>
    <x v="91"/>
    <n v="42"/>
    <s v="盯海放"/>
    <x v="146"/>
    <x v="1"/>
    <x v="0"/>
    <m/>
    <m/>
    <n v="-57"/>
  </r>
  <r>
    <x v="4"/>
    <x v="91"/>
    <n v="43"/>
    <s v="盯码放"/>
    <x v="146"/>
    <x v="1"/>
    <x v="0"/>
    <m/>
    <m/>
    <n v="-57"/>
  </r>
  <r>
    <x v="4"/>
    <x v="91"/>
    <n v="44"/>
    <s v="盯配载"/>
    <x v="146"/>
    <x v="1"/>
    <x v="0"/>
    <m/>
    <m/>
    <n v="-57"/>
  </r>
  <r>
    <x v="4"/>
    <x v="91"/>
    <n v="45"/>
    <s v="做费用(月初等汇率)，发账单给陈吟勇"/>
    <x v="146"/>
    <x v="1"/>
    <x v="0"/>
    <m/>
    <m/>
    <n v="-57"/>
  </r>
  <r>
    <x v="4"/>
    <x v="91"/>
    <n v="46"/>
    <s v="船开"/>
    <x v="146"/>
    <x v="1"/>
    <x v="0"/>
    <m/>
    <m/>
    <n v="-57"/>
  </r>
  <r>
    <x v="4"/>
    <x v="91"/>
    <n v="47"/>
    <s v="放提单（PHISON、陈吟勇提单、陈云娣三单）"/>
    <x v="146"/>
    <x v="1"/>
    <x v="0"/>
    <m/>
    <s v="一般开船后两三天"/>
    <n v="-57"/>
  </r>
  <r>
    <x v="1"/>
    <x v="91"/>
    <n v="1"/>
    <s v="收到客户(孙丹/王珊)发来订舱托书"/>
    <x v="128"/>
    <x v="0"/>
    <x v="0"/>
    <m/>
    <m/>
    <n v="-65"/>
  </r>
  <r>
    <x v="1"/>
    <x v="91"/>
    <n v="2"/>
    <s v="收到CK发来预配(做箱通知，沈丽有收到？)"/>
    <x v="135"/>
    <x v="0"/>
    <x v="0"/>
    <m/>
    <m/>
    <n v="-60"/>
  </r>
  <r>
    <x v="1"/>
    <x v="91"/>
    <n v="3"/>
    <s v="YJC系统生成单子"/>
    <x v="138"/>
    <x v="0"/>
    <x v="2"/>
    <m/>
    <m/>
    <n v="-64"/>
  </r>
  <r>
    <x v="1"/>
    <x v="91"/>
    <n v="4"/>
    <s v="收到包装厂(刘倩梅)发来包装指示书和装箱计划"/>
    <x v="137"/>
    <x v="0"/>
    <x v="3"/>
    <m/>
    <s v="一般周四"/>
    <n v="-59"/>
  </r>
  <r>
    <x v="1"/>
    <x v="91"/>
    <n v="5"/>
    <s v="根据装箱计划汇总包装数据，发各工厂做报关资料"/>
    <x v="137"/>
    <x v="0"/>
    <x v="3"/>
    <m/>
    <m/>
    <n v="-59"/>
  </r>
  <r>
    <x v="1"/>
    <x v="91"/>
    <n v="6"/>
    <s v="做做箱数据，邮件群发(查开港时间，注明做箱时间)"/>
    <x v="137"/>
    <x v="0"/>
    <x v="3"/>
    <m/>
    <m/>
    <n v="-59"/>
  </r>
  <r>
    <x v="1"/>
    <x v="91"/>
    <n v="7"/>
    <s v="收到车队(沈丽)装箱单和洋山提箱截图(如有)，9点前群发，通知发舱单"/>
    <x v="136"/>
    <x v="0"/>
    <x v="0"/>
    <m/>
    <s v="一般KMM五、HMI日"/>
    <n v="-58"/>
  </r>
  <r>
    <x v="1"/>
    <x v="91"/>
    <n v="8"/>
    <s v="收到工厂发来报关资料并完善(代做报关资料跟客户确认)"/>
    <x v="137"/>
    <x v="0"/>
    <x v="4"/>
    <m/>
    <s v="当天至隔天"/>
    <n v="-59"/>
  </r>
  <r>
    <x v="1"/>
    <x v="91"/>
    <n v="9"/>
    <s v="报关资料齐了（光成要素划掉XXX），发报关行(罗运生)"/>
    <x v="137"/>
    <x v="0"/>
    <x v="4"/>
    <m/>
    <m/>
    <n v="-59"/>
  </r>
  <r>
    <x v="1"/>
    <x v="91"/>
    <n v="10"/>
    <s v="【HMI】货运模板/发票/箱单"/>
    <x v="137"/>
    <x v="1"/>
    <x v="0"/>
    <m/>
    <m/>
    <n v="-59"/>
  </r>
  <r>
    <x v="1"/>
    <x v="91"/>
    <n v="11"/>
    <s v="收到舱单发送成功通知，核对舱单信息"/>
    <x v="136"/>
    <x v="0"/>
    <x v="0"/>
    <m/>
    <m/>
    <n v="-58"/>
  </r>
  <r>
    <x v="1"/>
    <x v="91"/>
    <n v="12"/>
    <s v="【HMI】开港"/>
    <x v="136"/>
    <x v="1"/>
    <x v="0"/>
    <m/>
    <m/>
    <n v="-58"/>
  </r>
  <r>
    <x v="1"/>
    <x v="91"/>
    <n v="13"/>
    <s v="通知报关（洋山发装箱单）"/>
    <x v="136"/>
    <x v="0"/>
    <x v="0"/>
    <m/>
    <s v="调整顺序"/>
    <n v="-58"/>
  </r>
  <r>
    <x v="1"/>
    <x v="91"/>
    <n v="14"/>
    <s v="报关成功"/>
    <x v="136"/>
    <x v="0"/>
    <x v="0"/>
    <m/>
    <s v="调整顺序"/>
    <n v="-58"/>
  </r>
  <r>
    <x v="1"/>
    <x v="91"/>
    <n v="15"/>
    <s v="通知进港"/>
    <x v="146"/>
    <x v="0"/>
    <x v="0"/>
    <m/>
    <s v="调整顺序"/>
    <n v="-57"/>
  </r>
  <r>
    <x v="1"/>
    <x v="91"/>
    <n v="16"/>
    <s v="进港(核对数据)"/>
    <x v="149"/>
    <x v="0"/>
    <x v="0"/>
    <m/>
    <s v="调整顺序"/>
    <n v="-56"/>
  </r>
  <r>
    <x v="1"/>
    <x v="91"/>
    <n v="17"/>
    <s v="海放"/>
    <x v="149"/>
    <x v="0"/>
    <x v="0"/>
    <m/>
    <m/>
    <n v="-56"/>
  </r>
  <r>
    <x v="1"/>
    <x v="91"/>
    <n v="18"/>
    <s v="码放"/>
    <x v="143"/>
    <x v="0"/>
    <x v="0"/>
    <m/>
    <m/>
    <n v="-52"/>
  </r>
  <r>
    <x v="1"/>
    <x v="91"/>
    <n v="19"/>
    <s v="配载"/>
    <x v="150"/>
    <x v="0"/>
    <x v="0"/>
    <m/>
    <m/>
    <n v="-51"/>
  </r>
  <r>
    <x v="1"/>
    <x v="91"/>
    <n v="20"/>
    <s v="做费用(对账单日期4号)，放公共盘，填月账单表，发孙丹"/>
    <x v="144"/>
    <x v="0"/>
    <x v="0"/>
    <m/>
    <m/>
    <n v="-50"/>
  </r>
  <r>
    <x v="1"/>
    <x v="91"/>
    <n v="21"/>
    <s v="如有额外费用发邮件"/>
    <x v="141"/>
    <x v="0"/>
    <x v="0"/>
    <m/>
    <m/>
    <n v="-53"/>
  </r>
  <r>
    <x v="1"/>
    <x v="91"/>
    <n v="22"/>
    <s v="船开"/>
    <x v="144"/>
    <x v="0"/>
    <x v="6"/>
    <m/>
    <m/>
    <n v="-50"/>
  </r>
  <r>
    <x v="7"/>
    <x v="91"/>
    <n v="1"/>
    <s v="收到徐小姐托书"/>
    <x v="137"/>
    <x v="0"/>
    <x v="0"/>
    <m/>
    <m/>
    <n v="-59"/>
  </r>
  <r>
    <x v="7"/>
    <x v="91"/>
    <n v="2"/>
    <s v="公共盘表格生成单号，YJC系统复制、生成"/>
    <x v="137"/>
    <x v="0"/>
    <x v="0"/>
    <m/>
    <s v="注意MBL#命名规则"/>
    <n v="-59"/>
  </r>
  <r>
    <x v="7"/>
    <x v="91"/>
    <n v="3"/>
    <s v="(一票一订)振华订舱界面复制订舱、保存、提交"/>
    <x v="137"/>
    <x v="0"/>
    <x v="0"/>
    <m/>
    <s v="客户编号 提单号 船名航次 日期 箱量"/>
    <n v="-59"/>
  </r>
  <r>
    <x v="7"/>
    <x v="91"/>
    <n v="4"/>
    <s v="邮件发确认给国外"/>
    <x v="137"/>
    <x v="0"/>
    <x v="0"/>
    <m/>
    <s v="Delete ayjun@kylogix.co.kr Add hypark@kylogix.co.kr"/>
    <n v="-59"/>
  </r>
  <r>
    <x v="7"/>
    <x v="91"/>
    <n v="5"/>
    <s v="QQ发预配信息给徐小姐（模板），问是否要加拼，发车队江"/>
    <x v="137"/>
    <x v="0"/>
    <x v="0"/>
    <m/>
    <m/>
    <n v="-59"/>
  </r>
  <r>
    <x v="7"/>
    <x v="91"/>
    <n v="6"/>
    <s v="订舱审核通过"/>
    <x v="136"/>
    <x v="0"/>
    <x v="0"/>
    <m/>
    <m/>
    <n v="-58"/>
  </r>
  <r>
    <x v="7"/>
    <x v="91"/>
    <n v="7"/>
    <s v="订舱界面加拼、提交，通知徐小姐加拼单号"/>
    <x v="137"/>
    <x v="1"/>
    <x v="0"/>
    <m/>
    <s v="点“多票加拼”"/>
    <n v="-59"/>
  </r>
  <r>
    <x v="7"/>
    <x v="91"/>
    <n v="8"/>
    <s v="加拼审核通过"/>
    <x v="137"/>
    <x v="1"/>
    <x v="0"/>
    <m/>
    <m/>
    <n v="-59"/>
  </r>
  <r>
    <x v="7"/>
    <x v="91"/>
    <n v="9"/>
    <s v="收到国外确认，公共盘红改黑，加CONFIRM"/>
    <x v="141"/>
    <x v="0"/>
    <x v="1"/>
    <m/>
    <m/>
    <n v="-53"/>
  </r>
  <r>
    <x v="7"/>
    <x v="91"/>
    <n v="10"/>
    <s v="录费用"/>
    <x v="141"/>
    <x v="0"/>
    <x v="1"/>
    <m/>
    <m/>
    <n v="-53"/>
  </r>
  <r>
    <x v="7"/>
    <x v="91"/>
    <n v="12"/>
    <s v="收到车队江发来装箱数据和装箱单"/>
    <x v="141"/>
    <x v="0"/>
    <x v="1"/>
    <m/>
    <s v="周三周一截，周日周五截"/>
    <n v="-53"/>
  </r>
  <r>
    <x v="7"/>
    <x v="91"/>
    <n v="13"/>
    <s v="数据表中加入封号，汇总单票总件毛体"/>
    <x v="141"/>
    <x v="0"/>
    <x v="1"/>
    <m/>
    <m/>
    <n v="-53"/>
  </r>
  <r>
    <x v="7"/>
    <x v="91"/>
    <n v="14"/>
    <s v="YJC 截单"/>
    <x v="141"/>
    <x v="0"/>
    <x v="1"/>
    <m/>
    <s v="船名航次 开航日 件毛体 CC 箱量 箱封号 品名"/>
    <n v="-53"/>
  </r>
  <r>
    <x v="7"/>
    <x v="91"/>
    <n v="15"/>
    <s v="导出HBL，发徐小姐确认"/>
    <x v="141"/>
    <x v="0"/>
    <x v="1"/>
    <m/>
    <m/>
    <n v="-53"/>
  </r>
  <r>
    <x v="7"/>
    <x v="91"/>
    <n v="16"/>
    <s v="徐小姐确认HBL时，振华录入每一关单号的件毛体(注意箱状态)，保存"/>
    <x v="141"/>
    <x v="0"/>
    <x v="1"/>
    <m/>
    <m/>
    <n v="-53"/>
  </r>
  <r>
    <x v="7"/>
    <x v="91"/>
    <n v="17"/>
    <s v="徐小姐确认HBL"/>
    <x v="141"/>
    <x v="0"/>
    <x v="1"/>
    <m/>
    <m/>
    <n v="-53"/>
  </r>
  <r>
    <x v="7"/>
    <x v="91"/>
    <n v="18"/>
    <s v="发舱单"/>
    <x v="141"/>
    <x v="0"/>
    <x v="1"/>
    <m/>
    <s v="一关单一发"/>
    <n v="-53"/>
  </r>
  <r>
    <x v="7"/>
    <x v="91"/>
    <n v="19"/>
    <s v="海关有舱单，核对舱单信息，(如无并单，可直接录VGM)"/>
    <x v="141"/>
    <x v="0"/>
    <x v="1"/>
    <m/>
    <m/>
    <n v="-53"/>
  </r>
  <r>
    <x v="7"/>
    <x v="91"/>
    <n v="20"/>
    <s v="订舱界面并单"/>
    <x v="141"/>
    <x v="1"/>
    <x v="1"/>
    <m/>
    <m/>
    <n v="-53"/>
  </r>
  <r>
    <x v="7"/>
    <x v="91"/>
    <n v="21"/>
    <s v="并单审核通过"/>
    <x v="141"/>
    <x v="1"/>
    <x v="1"/>
    <m/>
    <m/>
    <n v="-53"/>
  </r>
  <r>
    <x v="7"/>
    <x v="91"/>
    <n v="22"/>
    <s v="每票录入所有箱子箱封号和件毛体，保存，录VGM，导入"/>
    <x v="141"/>
    <x v="0"/>
    <x v="1"/>
    <m/>
    <m/>
    <n v="-53"/>
  </r>
  <r>
    <x v="7"/>
    <x v="91"/>
    <n v="23"/>
    <s v="打印MBL"/>
    <x v="141"/>
    <x v="0"/>
    <x v="1"/>
    <m/>
    <m/>
    <n v="-53"/>
  </r>
  <r>
    <x v="7"/>
    <x v="91"/>
    <n v="24"/>
    <s v="表格、HBL、MBL、费用一起发邮件给国外"/>
    <x v="141"/>
    <x v="0"/>
    <x v="1"/>
    <m/>
    <s v="Delete ayjun@kylogix.co.kr Add hypark@kylogix.co.kr"/>
    <n v="-53"/>
  </r>
  <r>
    <x v="7"/>
    <x v="91"/>
    <n v="25"/>
    <s v="船开"/>
    <x v="144"/>
    <x v="0"/>
    <x v="0"/>
    <m/>
    <m/>
    <n v="-50"/>
  </r>
  <r>
    <x v="7"/>
    <x v="91"/>
    <n v="26"/>
    <s v="拿到WAYBILL"/>
    <x v="144"/>
    <x v="0"/>
    <x v="4"/>
    <m/>
    <m/>
    <n v="-50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50"/>
  </r>
  <r>
    <x v="4"/>
    <x v="92"/>
    <n v="1"/>
    <s v="收到客户(陈云娣)订舱预报"/>
    <x v="135"/>
    <x v="0"/>
    <x v="0"/>
    <m/>
    <s v="一般周五发隔周"/>
    <n v="-60"/>
  </r>
  <r>
    <x v="4"/>
    <x v="92"/>
    <n v="6"/>
    <s v="公共盘生成提单号(QSWB不要搞错)"/>
    <x v="135"/>
    <x v="0"/>
    <x v="0"/>
    <m/>
    <m/>
    <n v="-60"/>
  </r>
  <r>
    <x v="4"/>
    <x v="92"/>
    <n v="7"/>
    <s v="YJC系统生成单子"/>
    <x v="135"/>
    <x v="0"/>
    <x v="0"/>
    <m/>
    <m/>
    <n v="-60"/>
  </r>
  <r>
    <x v="4"/>
    <x v="92"/>
    <n v="8"/>
    <s v="发EDI"/>
    <x v="135"/>
    <x v="0"/>
    <x v="0"/>
    <m/>
    <m/>
    <n v="-60"/>
  </r>
  <r>
    <x v="4"/>
    <x v="92"/>
    <n v="9"/>
    <s v="邮件申请放舱"/>
    <x v="135"/>
    <x v="0"/>
    <x v="0"/>
    <m/>
    <m/>
    <n v="-60"/>
  </r>
  <r>
    <x v="4"/>
    <x v="92"/>
    <n v="10"/>
    <s v="收到HMM(Abbi) 确认放舱"/>
    <x v="141"/>
    <x v="0"/>
    <x v="0"/>
    <m/>
    <s v="一般半天内"/>
    <n v="-53"/>
  </r>
  <r>
    <x v="4"/>
    <x v="92"/>
    <n v="11"/>
    <s v="HMM网站核对订舱信息"/>
    <x v="141"/>
    <x v="0"/>
    <x v="0"/>
    <m/>
    <m/>
    <n v="-53"/>
  </r>
  <r>
    <x v="4"/>
    <x v="92"/>
    <n v="12"/>
    <s v="收到客户(陈云娣)做箱通知"/>
    <x v="141"/>
    <x v="0"/>
    <x v="0"/>
    <m/>
    <s v="一般做箱头天一早"/>
    <n v="-53"/>
  </r>
  <r>
    <x v="4"/>
    <x v="92"/>
    <n v="13"/>
    <s v="【拆单】公共盘生成提单号"/>
    <x v="141"/>
    <x v="0"/>
    <x v="0"/>
    <m/>
    <m/>
    <n v="-53"/>
  </r>
  <r>
    <x v="4"/>
    <x v="92"/>
    <n v="14"/>
    <s v="发做箱通知邮件给车队(沈丽)（航次要加QL？）"/>
    <x v="141"/>
    <x v="0"/>
    <x v="0"/>
    <m/>
    <m/>
    <n v="-53"/>
  </r>
  <r>
    <x v="4"/>
    <x v="92"/>
    <n v="15"/>
    <s v="【拆单】YJC系统生成单子（QSWB不要搞错）"/>
    <x v="141"/>
    <x v="0"/>
    <x v="0"/>
    <m/>
    <m/>
    <n v="-53"/>
  </r>
  <r>
    <x v="4"/>
    <x v="92"/>
    <n v="16"/>
    <s v="【拆单】发EDI"/>
    <x v="141"/>
    <x v="0"/>
    <x v="0"/>
    <m/>
    <m/>
    <n v="-53"/>
  </r>
  <r>
    <x v="4"/>
    <x v="92"/>
    <n v="17"/>
    <s v="【拆单】邮件申请放单"/>
    <x v="141"/>
    <x v="0"/>
    <x v="0"/>
    <m/>
    <m/>
    <n v="-53"/>
  </r>
  <r>
    <x v="4"/>
    <x v="92"/>
    <n v="18"/>
    <s v="【拆单】收到HMM(Abbi) 加拼放单确认"/>
    <x v="141"/>
    <x v="0"/>
    <x v="4"/>
    <m/>
    <m/>
    <n v="-53"/>
  </r>
  <r>
    <x v="4"/>
    <x v="92"/>
    <n v="19"/>
    <s v="【拆单】HMM网站核对订舱信息"/>
    <x v="141"/>
    <x v="0"/>
    <x v="4"/>
    <m/>
    <m/>
    <n v="-53"/>
  </r>
  <r>
    <x v="4"/>
    <x v="92"/>
    <n v="20"/>
    <s v="收到客户(陈云娣)发来报关资料"/>
    <x v="143"/>
    <x v="0"/>
    <x v="1"/>
    <m/>
    <s v="一般做箱当天一早"/>
    <n v="-52"/>
  </r>
  <r>
    <x v="4"/>
    <x v="92"/>
    <n v="21"/>
    <s v="【加拼】按报关(发票)数生成提单号【如发票数超过提单数】"/>
    <x v="143"/>
    <x v="0"/>
    <x v="1"/>
    <m/>
    <m/>
    <n v="-52"/>
  </r>
  <r>
    <x v="4"/>
    <x v="92"/>
    <n v="22"/>
    <s v="做做箱数据，QQ发车队(沈丽)"/>
    <x v="143"/>
    <x v="0"/>
    <x v="1"/>
    <m/>
    <m/>
    <n v="-52"/>
  </r>
  <r>
    <x v="4"/>
    <x v="92"/>
    <n v="23"/>
    <s v="收到车队(沈丽)装箱单，转发客户（陈云娣）"/>
    <x v="143"/>
    <x v="0"/>
    <x v="1"/>
    <m/>
    <s v="一般马上"/>
    <n v="-52"/>
  </r>
  <r>
    <x v="4"/>
    <x v="92"/>
    <n v="24"/>
    <s v="YJC系统截单，发EDI，邮件HMM(He)【截单时间】"/>
    <x v="143"/>
    <x v="0"/>
    <x v="1"/>
    <m/>
    <s v="注意截单时间"/>
    <n v="-52"/>
  </r>
  <r>
    <x v="4"/>
    <x v="92"/>
    <n v="25"/>
    <s v="发VGM和舱单（亿通，鹏海两次）"/>
    <x v="143"/>
    <x v="0"/>
    <x v="1"/>
    <m/>
    <m/>
    <n v="-52"/>
  </r>
  <r>
    <x v="4"/>
    <x v="92"/>
    <n v="26"/>
    <s v="做报关资料，扫描发报关行(罗运生)QQ，要校对稿"/>
    <x v="143"/>
    <x v="0"/>
    <x v="1"/>
    <m/>
    <m/>
    <n v="-52"/>
  </r>
  <r>
    <x v="4"/>
    <x v="92"/>
    <n v="27"/>
    <s v="做保函给邹师傅(美国线)"/>
    <x v="143"/>
    <x v="0"/>
    <x v="1"/>
    <m/>
    <m/>
    <n v="-52"/>
  </r>
  <r>
    <x v="4"/>
    <x v="92"/>
    <n v="28"/>
    <s v="做ISF，发国外资料"/>
    <x v="143"/>
    <x v="0"/>
    <x v="1"/>
    <m/>
    <m/>
    <n v="-52"/>
  </r>
  <r>
    <x v="4"/>
    <x v="92"/>
    <n v="29"/>
    <s v="买保险"/>
    <x v="143"/>
    <x v="0"/>
    <x v="1"/>
    <m/>
    <m/>
    <n v="-52"/>
  </r>
  <r>
    <x v="4"/>
    <x v="92"/>
    <n v="31"/>
    <s v="收到HMM(He)生成提单通知"/>
    <x v="143"/>
    <x v="0"/>
    <x v="1"/>
    <m/>
    <s v="一般马上"/>
    <n v="-52"/>
  </r>
  <r>
    <x v="4"/>
    <x v="92"/>
    <n v="32"/>
    <s v="HMM网站核对提单信息"/>
    <x v="143"/>
    <x v="0"/>
    <x v="1"/>
    <m/>
    <m/>
    <n v="-52"/>
  </r>
  <r>
    <x v="4"/>
    <x v="92"/>
    <n v="33"/>
    <s v="盯海关网站舱单"/>
    <x v="143"/>
    <x v="0"/>
    <x v="1"/>
    <m/>
    <s v="一般两小时左右"/>
    <n v="-52"/>
  </r>
  <r>
    <x v="4"/>
    <x v="92"/>
    <n v="34"/>
    <s v="核对舱单信息"/>
    <x v="143"/>
    <x v="0"/>
    <x v="1"/>
    <m/>
    <m/>
    <n v="-52"/>
  </r>
  <r>
    <x v="4"/>
    <x v="92"/>
    <n v="35"/>
    <s v="收到报关行(罗运生)校对稿，邮件发客户(陈云娣)确认"/>
    <x v="143"/>
    <x v="0"/>
    <x v="3"/>
    <m/>
    <s v="一般半天内"/>
    <n v="-52"/>
  </r>
  <r>
    <x v="4"/>
    <x v="92"/>
    <n v="36"/>
    <s v="收到客户(陈云娣)确认校对稿"/>
    <x v="143"/>
    <x v="0"/>
    <x v="3"/>
    <m/>
    <s v="一般马上"/>
    <n v="-52"/>
  </r>
  <r>
    <x v="4"/>
    <x v="92"/>
    <n v="37"/>
    <s v="通知报关行(罗运生)报关(开港、舱单、校对)（洋山提供装箱单）"/>
    <x v="143"/>
    <x v="0"/>
    <x v="3"/>
    <m/>
    <m/>
    <n v="-52"/>
  </r>
  <r>
    <x v="4"/>
    <x v="92"/>
    <n v="38"/>
    <s v="收到报关成功通知"/>
    <x v="143"/>
    <x v="0"/>
    <x v="0"/>
    <m/>
    <s v="一般下班前"/>
    <n v="-52"/>
  </r>
  <r>
    <x v="4"/>
    <x v="92"/>
    <n v="39"/>
    <s v="通知车队(沈丽)可进港"/>
    <x v="143"/>
    <x v="0"/>
    <x v="0"/>
    <m/>
    <m/>
    <n v="-52"/>
  </r>
  <r>
    <x v="4"/>
    <x v="92"/>
    <n v="40"/>
    <s v="盯箱子进港，关注开港时间，有落箱费？"/>
    <x v="150"/>
    <x v="0"/>
    <x v="0"/>
    <m/>
    <m/>
    <n v="-51"/>
  </r>
  <r>
    <x v="4"/>
    <x v="92"/>
    <n v="41"/>
    <s v="核对进港数据"/>
    <x v="150"/>
    <x v="0"/>
    <x v="0"/>
    <m/>
    <m/>
    <n v="-51"/>
  </r>
  <r>
    <x v="4"/>
    <x v="92"/>
    <n v="42"/>
    <s v="盯海放"/>
    <x v="150"/>
    <x v="0"/>
    <x v="3"/>
    <m/>
    <m/>
    <n v="-51"/>
  </r>
  <r>
    <x v="4"/>
    <x v="92"/>
    <n v="43"/>
    <s v="盯码放"/>
    <x v="144"/>
    <x v="0"/>
    <x v="0"/>
    <m/>
    <m/>
    <n v="-50"/>
  </r>
  <r>
    <x v="4"/>
    <x v="92"/>
    <n v="44"/>
    <s v="盯配载"/>
    <x v="144"/>
    <x v="0"/>
    <x v="4"/>
    <m/>
    <m/>
    <n v="-50"/>
  </r>
  <r>
    <x v="4"/>
    <x v="92"/>
    <n v="45"/>
    <s v="做费用(月初等汇率)，发账单给陈吟勇"/>
    <x v="144"/>
    <x v="0"/>
    <x v="4"/>
    <m/>
    <m/>
    <n v="-50"/>
  </r>
  <r>
    <x v="4"/>
    <x v="92"/>
    <n v="46"/>
    <s v="船开"/>
    <x v="76"/>
    <x v="0"/>
    <x v="4"/>
    <m/>
    <m/>
    <n v="-49"/>
  </r>
  <r>
    <x v="4"/>
    <x v="92"/>
    <n v="47"/>
    <s v="放提单（PHISON、陈吟勇提单、陈云娣三单）"/>
    <x v="142"/>
    <x v="0"/>
    <x v="2"/>
    <m/>
    <s v="一般开船后两三天"/>
    <n v="-46"/>
  </r>
  <r>
    <x v="13"/>
    <x v="93"/>
    <n v="1"/>
    <s v="收到托书"/>
    <x v="80"/>
    <x v="0"/>
    <x v="0"/>
    <m/>
    <m/>
    <n v="-105"/>
  </r>
  <r>
    <x v="13"/>
    <x v="93"/>
    <n v="2"/>
    <s v="订舱"/>
    <x v="69"/>
    <x v="0"/>
    <x v="0"/>
    <m/>
    <m/>
    <n v="-100"/>
  </r>
  <r>
    <x v="13"/>
    <x v="93"/>
    <n v="3"/>
    <s v="收到MSK 订舱确认邮件"/>
    <x v="69"/>
    <x v="0"/>
    <x v="0"/>
    <m/>
    <m/>
    <n v="-100"/>
  </r>
  <r>
    <x v="13"/>
    <x v="93"/>
    <n v="4"/>
    <s v="发订舱确认邮件给客户"/>
    <x v="69"/>
    <x v="0"/>
    <x v="0"/>
    <m/>
    <m/>
    <n v="-100"/>
  </r>
  <r>
    <x v="13"/>
    <x v="93"/>
    <n v="4.0999999999999996"/>
    <s v="收到客户确认订舱信息"/>
    <x v="69"/>
    <x v="0"/>
    <x v="0"/>
    <m/>
    <m/>
    <n v="-100"/>
  </r>
  <r>
    <x v="13"/>
    <x v="93"/>
    <n v="5"/>
    <s v="关注开港时间"/>
    <x v="150"/>
    <x v="0"/>
    <x v="0"/>
    <m/>
    <m/>
    <n v="-51"/>
  </r>
  <r>
    <x v="13"/>
    <x v="93"/>
    <n v="6"/>
    <s v="确认提供资料时间"/>
    <x v="150"/>
    <x v="0"/>
    <x v="0"/>
    <m/>
    <m/>
    <n v="-51"/>
  </r>
  <r>
    <x v="13"/>
    <x v="93"/>
    <n v="7"/>
    <s v="做费用，拉账单"/>
    <x v="150"/>
    <x v="0"/>
    <x v="0"/>
    <m/>
    <m/>
    <n v="-51"/>
  </r>
  <r>
    <x v="13"/>
    <x v="93"/>
    <n v="8"/>
    <s v="收到截单资料"/>
    <x v="150"/>
    <x v="0"/>
    <x v="0"/>
    <m/>
    <m/>
    <n v="-51"/>
  </r>
  <r>
    <x v="13"/>
    <x v="93"/>
    <n v="9"/>
    <s v="YJC 截单，HBL和费用发文生然确认"/>
    <x v="150"/>
    <x v="0"/>
    <x v="0"/>
    <m/>
    <m/>
    <n v="-51"/>
  </r>
  <r>
    <x v="13"/>
    <x v="93"/>
    <n v="10"/>
    <s v="文生然确认HBL和费用"/>
    <x v="150"/>
    <x v="0"/>
    <x v="0"/>
    <m/>
    <m/>
    <n v="-51"/>
  </r>
  <r>
    <x v="13"/>
    <x v="93"/>
    <n v="11"/>
    <s v="MSK 录入提单确认内容"/>
    <x v="150"/>
    <x v="0"/>
    <x v="0"/>
    <m/>
    <m/>
    <n v="-51"/>
  </r>
  <r>
    <x v="13"/>
    <x v="93"/>
    <n v="11.1"/>
    <s v="请求WANDA帮忙确认提单DRAFT"/>
    <x v="150"/>
    <x v="0"/>
    <x v="0"/>
    <m/>
    <m/>
    <n v="-51"/>
  </r>
  <r>
    <x v="13"/>
    <x v="93"/>
    <n v="11.2"/>
    <s v="WANDA确认提单DRAFT，MSK网站提交"/>
    <x v="150"/>
    <x v="0"/>
    <x v="0"/>
    <m/>
    <m/>
    <n v="-51"/>
  </r>
  <r>
    <x v="13"/>
    <x v="93"/>
    <n v="12"/>
    <s v="联合船代发舱单"/>
    <x v="150"/>
    <x v="0"/>
    <x v="0"/>
    <m/>
    <m/>
    <n v="-51"/>
  </r>
  <r>
    <x v="13"/>
    <x v="93"/>
    <n v="13"/>
    <s v="MSK网站下载提单确认件"/>
    <x v="144"/>
    <x v="0"/>
    <x v="0"/>
    <m/>
    <m/>
    <n v="-50"/>
  </r>
  <r>
    <x v="13"/>
    <x v="93"/>
    <n v="14"/>
    <s v="邮件发COPY件、AMS、CREDIT给Wanda"/>
    <x v="144"/>
    <x v="0"/>
    <x v="6"/>
    <m/>
    <m/>
    <n v="-50"/>
  </r>
  <r>
    <x v="13"/>
    <x v="93"/>
    <n v="15"/>
    <s v="有舱单，核对，通知文生然"/>
    <x v="150"/>
    <x v="0"/>
    <x v="0"/>
    <m/>
    <m/>
    <n v="-51"/>
  </r>
  <r>
    <x v="13"/>
    <x v="93"/>
    <n v="16"/>
    <s v="进港，核对数据"/>
    <x v="144"/>
    <x v="0"/>
    <x v="6"/>
    <m/>
    <m/>
    <n v="-50"/>
  </r>
  <r>
    <x v="13"/>
    <x v="93"/>
    <n v="17"/>
    <s v="海放"/>
    <x v="144"/>
    <x v="0"/>
    <x v="6"/>
    <m/>
    <m/>
    <n v="-50"/>
  </r>
  <r>
    <x v="13"/>
    <x v="93"/>
    <n v="18"/>
    <s v="码放"/>
    <x v="151"/>
    <x v="0"/>
    <x v="4"/>
    <m/>
    <m/>
    <n v="-47"/>
  </r>
  <r>
    <x v="13"/>
    <x v="93"/>
    <n v="19"/>
    <s v="配载"/>
    <x v="154"/>
    <x v="0"/>
    <x v="0"/>
    <m/>
    <m/>
    <n v="-45"/>
  </r>
  <r>
    <x v="13"/>
    <x v="93"/>
    <n v="20"/>
    <s v="船开"/>
    <x v="130"/>
    <x v="0"/>
    <x v="0"/>
    <m/>
    <m/>
    <n v="-44"/>
  </r>
  <r>
    <x v="13"/>
    <x v="93"/>
    <n v="21"/>
    <s v="邮件发开船通知给Wanda"/>
    <x v="130"/>
    <x v="0"/>
    <x v="0"/>
    <m/>
    <m/>
    <n v="-44"/>
  </r>
  <r>
    <x v="13"/>
    <x v="93"/>
    <n v="22"/>
    <s v="收到Wanda付款通知，放单"/>
    <x v="145"/>
    <x v="0"/>
    <x v="0"/>
    <m/>
    <m/>
    <n v="-38"/>
  </r>
  <r>
    <x v="7"/>
    <x v="93"/>
    <n v="1"/>
    <s v="收到徐小姐托书"/>
    <x v="141"/>
    <x v="0"/>
    <x v="0"/>
    <m/>
    <m/>
    <n v="-53"/>
  </r>
  <r>
    <x v="7"/>
    <x v="93"/>
    <n v="2"/>
    <s v="公共盘表格生成单号，YJC系统复制、生成"/>
    <x v="143"/>
    <x v="0"/>
    <x v="0"/>
    <m/>
    <s v="注意MBL#命名规则"/>
    <n v="-52"/>
  </r>
  <r>
    <x v="7"/>
    <x v="93"/>
    <n v="3"/>
    <s v="(一票一订)振华订舱界面复制订舱、保存、提交"/>
    <x v="143"/>
    <x v="0"/>
    <x v="0"/>
    <m/>
    <s v="客户编号 提单号 船名航次 日期 箱量"/>
    <n v="-52"/>
  </r>
  <r>
    <x v="7"/>
    <x v="93"/>
    <n v="4"/>
    <s v="邮件发确认给国外"/>
    <x v="143"/>
    <x v="0"/>
    <x v="0"/>
    <m/>
    <s v="Delete ayjun@kylogix.co.kr Add hypark@kylogix.co.kr"/>
    <n v="-52"/>
  </r>
  <r>
    <x v="7"/>
    <x v="93"/>
    <n v="5"/>
    <s v="QQ发预配信息给徐小姐（模板），问是否要加拼，发车队江"/>
    <x v="143"/>
    <x v="0"/>
    <x v="0"/>
    <m/>
    <m/>
    <n v="-52"/>
  </r>
  <r>
    <x v="7"/>
    <x v="93"/>
    <n v="6"/>
    <s v="订舱审核通过"/>
    <x v="143"/>
    <x v="0"/>
    <x v="4"/>
    <m/>
    <m/>
    <n v="-52"/>
  </r>
  <r>
    <x v="7"/>
    <x v="93"/>
    <n v="7"/>
    <s v="订舱界面加拼、提交，通知徐小姐加拼单号"/>
    <x v="143"/>
    <x v="1"/>
    <x v="0"/>
    <m/>
    <s v="点“多票加拼”"/>
    <n v="-52"/>
  </r>
  <r>
    <x v="7"/>
    <x v="93"/>
    <n v="8"/>
    <s v="加拼审核通过"/>
    <x v="143"/>
    <x v="1"/>
    <x v="0"/>
    <m/>
    <m/>
    <n v="-52"/>
  </r>
  <r>
    <x v="7"/>
    <x v="93"/>
    <n v="9"/>
    <s v="收到国外确认，公共盘红改黑，加CONFIRM"/>
    <x v="143"/>
    <x v="0"/>
    <x v="4"/>
    <m/>
    <m/>
    <n v="-52"/>
  </r>
  <r>
    <x v="7"/>
    <x v="93"/>
    <n v="10"/>
    <s v="录费用"/>
    <x v="142"/>
    <x v="0"/>
    <x v="0"/>
    <m/>
    <m/>
    <n v="-46"/>
  </r>
  <r>
    <x v="7"/>
    <x v="93"/>
    <n v="12"/>
    <s v="收到车队江发来装箱数据和装箱单"/>
    <x v="76"/>
    <x v="0"/>
    <x v="1"/>
    <m/>
    <s v="周三周一截，周日周五截"/>
    <n v="-49"/>
  </r>
  <r>
    <x v="7"/>
    <x v="93"/>
    <n v="13"/>
    <s v="数据表中加入封号，汇总单票总件毛体"/>
    <x v="76"/>
    <x v="0"/>
    <x v="1"/>
    <m/>
    <m/>
    <n v="-49"/>
  </r>
  <r>
    <x v="7"/>
    <x v="93"/>
    <n v="14"/>
    <s v="YJC 截单"/>
    <x v="76"/>
    <x v="0"/>
    <x v="1"/>
    <m/>
    <s v="船名航次 开航日 件毛体 CC 箱量 箱封号 品名"/>
    <n v="-49"/>
  </r>
  <r>
    <x v="7"/>
    <x v="93"/>
    <n v="15"/>
    <s v="导出HBL，发徐小姐确认"/>
    <x v="76"/>
    <x v="0"/>
    <x v="1"/>
    <m/>
    <m/>
    <n v="-49"/>
  </r>
  <r>
    <x v="7"/>
    <x v="93"/>
    <n v="16"/>
    <s v="徐小姐确认HBL时，振华录入每一关单号的件毛体(注意箱状态)，保存"/>
    <x v="76"/>
    <x v="0"/>
    <x v="1"/>
    <m/>
    <m/>
    <n v="-49"/>
  </r>
  <r>
    <x v="7"/>
    <x v="93"/>
    <n v="17"/>
    <s v="徐小姐确认HBL"/>
    <x v="76"/>
    <x v="0"/>
    <x v="1"/>
    <m/>
    <m/>
    <n v="-49"/>
  </r>
  <r>
    <x v="7"/>
    <x v="93"/>
    <n v="18"/>
    <s v="发舱单"/>
    <x v="76"/>
    <x v="0"/>
    <x v="1"/>
    <m/>
    <s v="一关单一发"/>
    <n v="-49"/>
  </r>
  <r>
    <x v="7"/>
    <x v="93"/>
    <n v="19"/>
    <s v="海关有舱单，核对舱单信息，(如无并单，可直接录VGM)"/>
    <x v="76"/>
    <x v="0"/>
    <x v="1"/>
    <m/>
    <m/>
    <n v="-49"/>
  </r>
  <r>
    <x v="7"/>
    <x v="93"/>
    <n v="20"/>
    <s v="订舱界面并单"/>
    <x v="76"/>
    <x v="1"/>
    <x v="1"/>
    <m/>
    <m/>
    <n v="-49"/>
  </r>
  <r>
    <x v="7"/>
    <x v="93"/>
    <n v="21"/>
    <s v="并单审核通过"/>
    <x v="76"/>
    <x v="1"/>
    <x v="1"/>
    <m/>
    <m/>
    <n v="-49"/>
  </r>
  <r>
    <x v="7"/>
    <x v="93"/>
    <n v="22"/>
    <s v="每票录入所有箱子箱封号和件毛体，保存，录VGM，导入"/>
    <x v="76"/>
    <x v="0"/>
    <x v="1"/>
    <m/>
    <m/>
    <n v="-49"/>
  </r>
  <r>
    <x v="7"/>
    <x v="93"/>
    <n v="23"/>
    <s v="打印MBL"/>
    <x v="76"/>
    <x v="0"/>
    <x v="1"/>
    <m/>
    <m/>
    <n v="-49"/>
  </r>
  <r>
    <x v="7"/>
    <x v="93"/>
    <n v="24"/>
    <s v="表格、HBL、MBL、费用一起发邮件给国外"/>
    <x v="76"/>
    <x v="0"/>
    <x v="1"/>
    <m/>
    <s v="Delete ayjun@kylogix.co.kr Add hypark@kylogix.co.kr"/>
    <n v="-49"/>
  </r>
  <r>
    <x v="7"/>
    <x v="93"/>
    <n v="25"/>
    <s v="船开"/>
    <x v="130"/>
    <x v="0"/>
    <x v="0"/>
    <m/>
    <m/>
    <n v="-44"/>
  </r>
  <r>
    <x v="7"/>
    <x v="93"/>
    <n v="26"/>
    <s v="拿到WAYBILL"/>
    <x v="130"/>
    <x v="0"/>
    <x v="4"/>
    <m/>
    <m/>
    <n v="-44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44"/>
  </r>
  <r>
    <x v="7"/>
    <x v="93"/>
    <m/>
    <s v="PCLU1938HN4304 5HQ改2HQ，振华改，发邮件，通知徐小姐"/>
    <x v="150"/>
    <x v="0"/>
    <x v="0"/>
    <m/>
    <m/>
    <n v="-51"/>
  </r>
  <r>
    <x v="7"/>
    <x v="93"/>
    <m/>
    <s v="国外确认更改"/>
    <x v="150"/>
    <x v="0"/>
    <x v="0"/>
    <m/>
    <m/>
    <n v="-51"/>
  </r>
  <r>
    <x v="3"/>
    <x v="94"/>
    <n v="1"/>
    <s v="PANCON上周日9-22 CHATTANOOGA 1938E 船期提单领取单"/>
    <x v="130"/>
    <x v="0"/>
    <x v="0"/>
    <m/>
    <s v="周一"/>
    <n v="-44"/>
  </r>
  <r>
    <x v="3"/>
    <x v="94"/>
    <n v="2"/>
    <s v="WEEKLY REPORT(周一当天的日期，做上周的数据)"/>
    <x v="142"/>
    <x v="0"/>
    <x v="6"/>
    <m/>
    <s v="周一"/>
    <n v="-46"/>
  </r>
  <r>
    <x v="3"/>
    <x v="94"/>
    <n v="3"/>
    <s v="汇总SC JS下周订舱需求，回Abbi邮件，制作每票清单流水"/>
    <x v="142"/>
    <x v="0"/>
    <x v="0"/>
    <m/>
    <s v="周一"/>
    <n v="-46"/>
  </r>
  <r>
    <x v="3"/>
    <x v="94"/>
    <n v="4"/>
    <s v="收到Abbi确认"/>
    <x v="142"/>
    <x v="0"/>
    <x v="0"/>
    <m/>
    <s v="周一"/>
    <n v="-46"/>
  </r>
  <r>
    <x v="3"/>
    <x v="94"/>
    <n v="5"/>
    <s v="拿到PANCON 22日船期 WAYBILL，朱琳的给朱琳"/>
    <x v="130"/>
    <x v="0"/>
    <x v="0"/>
    <m/>
    <s v="周一"/>
    <n v="-44"/>
  </r>
  <r>
    <x v="3"/>
    <x v="94"/>
    <n v="6"/>
    <s v="PANCON周三出运清单（阳阳跟王有？），附件贴邮件中"/>
    <x v="142"/>
    <x v="0"/>
    <x v="1"/>
    <s v="阳阳"/>
    <s v="周一"/>
    <n v="-46"/>
  </r>
  <r>
    <x v="3"/>
    <x v="94"/>
    <n v="7"/>
    <s v="WORKING PROCESS"/>
    <x v="142"/>
    <x v="0"/>
    <x v="3"/>
    <m/>
    <s v="周一"/>
    <n v="-46"/>
  </r>
  <r>
    <x v="3"/>
    <x v="94"/>
    <n v="8"/>
    <s v="WORKING PROCESS"/>
    <x v="130"/>
    <x v="0"/>
    <x v="0"/>
    <m/>
    <s v="周三"/>
    <n v="-44"/>
  </r>
  <r>
    <x v="3"/>
    <x v="94"/>
    <n v="9"/>
    <s v="PANCON周三船期提单领取单"/>
    <x v="77"/>
    <x v="0"/>
    <x v="0"/>
    <m/>
    <s v="周四"/>
    <n v="-40"/>
  </r>
  <r>
    <x v="3"/>
    <x v="94"/>
    <n v="10"/>
    <s v="拿到周三SWB"/>
    <x v="77"/>
    <x v="0"/>
    <x v="4"/>
    <m/>
    <s v="周四"/>
    <n v="-40"/>
  </r>
  <r>
    <x v="3"/>
    <x v="94"/>
    <n v="13"/>
    <s v="WORKING PROCESS"/>
    <x v="129"/>
    <x v="0"/>
    <x v="6"/>
    <m/>
    <s v="周五"/>
    <n v="-42"/>
  </r>
  <r>
    <x v="3"/>
    <x v="94"/>
    <n v="14"/>
    <s v="PANCON周日出运清单，附件贴邮件中"/>
    <x v="129"/>
    <x v="0"/>
    <x v="6"/>
    <m/>
    <s v="周五"/>
    <n v="-42"/>
  </r>
  <r>
    <x v="3"/>
    <x v="94"/>
    <n v="15"/>
    <s v="制下周 WEEK 流水"/>
    <x v="132"/>
    <x v="0"/>
    <x v="0"/>
    <m/>
    <s v="周五"/>
    <n v="-41"/>
  </r>
  <r>
    <x v="3"/>
    <x v="94"/>
    <m/>
    <s v="Vivi上班对那一票的账"/>
    <x v="142"/>
    <x v="0"/>
    <x v="4"/>
    <s v="Vivi"/>
    <m/>
    <n v="-46"/>
  </r>
  <r>
    <x v="3"/>
    <x v="94"/>
    <m/>
    <s v="卡帛抵扣费用怎么算的？华宝退的费用怎么算的？"/>
    <x v="142"/>
    <x v="1"/>
    <x v="4"/>
    <s v="朱琳"/>
    <m/>
    <n v="-46"/>
  </r>
  <r>
    <x v="3"/>
    <x v="94"/>
    <m/>
    <s v="KUKA流程有变化？"/>
    <x v="142"/>
    <x v="1"/>
    <x v="0"/>
    <m/>
    <m/>
    <n v="-46"/>
  </r>
  <r>
    <x v="3"/>
    <x v="94"/>
    <m/>
    <s v="国庆期间开船的，提单拿不到怎么办？"/>
    <x v="130"/>
    <x v="0"/>
    <x v="0"/>
    <m/>
    <m/>
    <n v="-44"/>
  </r>
  <r>
    <x v="3"/>
    <x v="94"/>
    <m/>
    <s v="核对一下振华上所有未出行的订舱信息"/>
    <x v="154"/>
    <x v="0"/>
    <x v="0"/>
    <m/>
    <m/>
    <n v="-45"/>
  </r>
  <r>
    <x v="3"/>
    <x v="94"/>
    <m/>
    <s v="CASAMIA清单中没有的补上"/>
    <x v="142"/>
    <x v="0"/>
    <x v="0"/>
    <m/>
    <m/>
    <n v="-46"/>
  </r>
  <r>
    <x v="3"/>
    <x v="94"/>
    <m/>
    <s v="CASAMIA BOOKING LIST"/>
    <x v="154"/>
    <x v="0"/>
    <x v="0"/>
    <m/>
    <m/>
    <n v="-45"/>
  </r>
  <r>
    <x v="3"/>
    <x v="94"/>
    <m/>
    <s v="CASAMIA BOOKING LIST"/>
    <x v="130"/>
    <x v="1"/>
    <x v="0"/>
    <m/>
    <m/>
    <n v="-44"/>
  </r>
  <r>
    <x v="3"/>
    <x v="94"/>
    <m/>
    <s v="CASAMIA BOOKING LIST"/>
    <x v="155"/>
    <x v="1"/>
    <x v="2"/>
    <m/>
    <m/>
    <n v="-21"/>
  </r>
  <r>
    <x v="3"/>
    <x v="94"/>
    <m/>
    <s v="CASAMIA BOOKING LIST"/>
    <x v="156"/>
    <x v="1"/>
    <x v="0"/>
    <m/>
    <m/>
    <n v="-35"/>
  </r>
  <r>
    <x v="3"/>
    <x v="94"/>
    <m/>
    <s v="卡帛22号船期YJCSHAN1915133还差500元发票没开"/>
    <x v="154"/>
    <x v="0"/>
    <x v="0"/>
    <m/>
    <m/>
    <n v="-45"/>
  </r>
  <r>
    <x v="3"/>
    <x v="94"/>
    <m/>
    <s v="CASAMIA 每次都要PO NO"/>
    <x v="154"/>
    <x v="0"/>
    <x v="0"/>
    <m/>
    <m/>
    <n v="-45"/>
  </r>
  <r>
    <x v="3"/>
    <x v="94"/>
    <m/>
    <s v="环发8月对账"/>
    <x v="154"/>
    <x v="0"/>
    <x v="0"/>
    <m/>
    <m/>
    <n v="-45"/>
  </r>
  <r>
    <x v="3"/>
    <x v="94"/>
    <m/>
    <s v="周五找振华确定国庆期间安排"/>
    <x v="77"/>
    <x v="0"/>
    <x v="1"/>
    <s v="振华"/>
    <m/>
    <n v="-40"/>
  </r>
  <r>
    <x v="3"/>
    <x v="94"/>
    <m/>
    <s v="海宁洲际问10月6日船期什么时候截单"/>
    <x v="77"/>
    <x v="0"/>
    <x v="4"/>
    <s v="振华"/>
    <m/>
    <n v="-40"/>
  </r>
  <r>
    <x v="3"/>
    <x v="94"/>
    <m/>
    <s v="整理所有报价"/>
    <x v="130"/>
    <x v="0"/>
    <x v="2"/>
    <m/>
    <m/>
    <n v="-44"/>
  </r>
  <r>
    <x v="3"/>
    <x v="94"/>
    <m/>
    <s v="顾家新增到CASAMIA的货"/>
    <x v="130"/>
    <x v="0"/>
    <x v="0"/>
    <m/>
    <m/>
    <n v="-44"/>
  </r>
  <r>
    <x v="3"/>
    <x v="94"/>
    <m/>
    <s v="YJCSHAN1915658 三票文件费怎么收，怎么通知GLV，提交完APP全部"/>
    <x v="129"/>
    <x v="0"/>
    <x v="1"/>
    <s v="朱琳"/>
    <m/>
    <n v="-42"/>
  </r>
  <r>
    <x v="3"/>
    <x v="94"/>
    <m/>
    <s v="WX mobis 这个月两票按glv汇率重做保险费发账单给陈吟勇"/>
    <x v="130"/>
    <x v="0"/>
    <x v="0"/>
    <m/>
    <m/>
    <n v="-44"/>
  </r>
  <r>
    <x v="3"/>
    <x v="94"/>
    <m/>
    <s v="熬夜把9月剩余账单给孙丹"/>
    <x v="131"/>
    <x v="0"/>
    <x v="5"/>
    <m/>
    <m/>
    <n v="-43"/>
  </r>
  <r>
    <x v="3"/>
    <x v="94"/>
    <m/>
    <s v="无锡mobis开票陈吟勇QQ"/>
    <x v="129"/>
    <x v="0"/>
    <x v="1"/>
    <s v="黄美华"/>
    <m/>
    <n v="-42"/>
  </r>
  <r>
    <x v="3"/>
    <x v="94"/>
    <m/>
    <s v="WANSHENG一个小柜怎么安排?"/>
    <x v="130"/>
    <x v="0"/>
    <x v="2"/>
    <m/>
    <m/>
    <n v="-44"/>
  </r>
  <r>
    <x v="3"/>
    <x v="94"/>
    <m/>
    <s v="非相发来装箱单，可以截单"/>
    <x v="130"/>
    <x v="0"/>
    <x v="2"/>
    <m/>
    <m/>
    <n v="-44"/>
  </r>
  <r>
    <x v="3"/>
    <x v="94"/>
    <m/>
    <s v="JS mobis，1011装箱怎么安排"/>
    <x v="133"/>
    <x v="1"/>
    <x v="0"/>
    <m/>
    <m/>
    <n v="-39"/>
  </r>
  <r>
    <x v="3"/>
    <x v="94"/>
    <m/>
    <s v="非相报价"/>
    <x v="131"/>
    <x v="0"/>
    <x v="0"/>
    <m/>
    <m/>
    <n v="-43"/>
  </r>
  <r>
    <x v="3"/>
    <x v="94"/>
    <m/>
    <s v="CASAMIA/顾家，报价是否一样？正本提单？要求一样？"/>
    <x v="131"/>
    <x v="0"/>
    <x v="0"/>
    <m/>
    <m/>
    <n v="-43"/>
  </r>
  <r>
    <x v="3"/>
    <x v="94"/>
    <m/>
    <s v="怎么确定要不要跟KY收LSS"/>
    <x v="131"/>
    <x v="1"/>
    <x v="0"/>
    <m/>
    <m/>
    <n v="-43"/>
  </r>
  <r>
    <x v="3"/>
    <x v="94"/>
    <m/>
    <s v="非相截单"/>
    <x v="131"/>
    <x v="0"/>
    <x v="0"/>
    <m/>
    <m/>
    <n v="-43"/>
  </r>
  <r>
    <x v="3"/>
    <x v="94"/>
    <m/>
    <s v="新增几个CODE有了？"/>
    <x v="131"/>
    <x v="0"/>
    <x v="0"/>
    <m/>
    <m/>
    <n v="-43"/>
  </r>
  <r>
    <x v="3"/>
    <x v="94"/>
    <m/>
    <s v="精减所有流水"/>
    <x v="131"/>
    <x v="1"/>
    <x v="0"/>
    <m/>
    <m/>
    <n v="-43"/>
  </r>
  <r>
    <x v="3"/>
    <x v="94"/>
    <m/>
    <s v="瑞显收到提单"/>
    <x v="129"/>
    <x v="0"/>
    <x v="0"/>
    <s v="瑞显罗小姐"/>
    <m/>
    <n v="-42"/>
  </r>
  <r>
    <x v="3"/>
    <x v="94"/>
    <m/>
    <s v="等到第三票再申请月结"/>
    <x v="133"/>
    <x v="1"/>
    <x v="0"/>
    <m/>
    <m/>
    <n v="-39"/>
  </r>
  <r>
    <x v="3"/>
    <x v="94"/>
    <m/>
    <s v="永艺 10-09 PCLU1795PE4402改拼箱审核后振华加拼"/>
    <x v="129"/>
    <x v="0"/>
    <x v="3"/>
    <s v="潘贵梅"/>
    <m/>
    <n v="-42"/>
  </r>
  <r>
    <x v="3"/>
    <x v="94"/>
    <m/>
    <s v="通知潘贵梅10月9日加拼的单号是PCLU1795PE4403"/>
    <x v="129"/>
    <x v="0"/>
    <x v="0"/>
    <s v="潘贵梅"/>
    <m/>
    <n v="-42"/>
  </r>
  <r>
    <x v="3"/>
    <x v="94"/>
    <m/>
    <s v="永艺是不是所有的提单品名都只显示SOFA？"/>
    <x v="157"/>
    <x v="1"/>
    <x v="0"/>
    <s v="小吴"/>
    <m/>
    <n v="-37"/>
  </r>
  <r>
    <x v="3"/>
    <x v="94"/>
    <m/>
    <s v="永艺账单29号发金娥善！！！"/>
    <x v="132"/>
    <x v="0"/>
    <x v="0"/>
    <m/>
    <m/>
    <n v="-41"/>
  </r>
  <r>
    <x v="3"/>
    <x v="94"/>
    <m/>
    <s v="核对金娥善发来的HANSSEM账单（QQ）看不懂是什么费用"/>
    <x v="129"/>
    <x v="0"/>
    <x v="1"/>
    <s v="金娥善"/>
    <m/>
    <n v="-42"/>
  </r>
  <r>
    <x v="3"/>
    <x v="94"/>
    <m/>
    <s v="万盛1009 PCLU1795PE4306 一个大箱改为一个小箱，振华审核"/>
    <x v="129"/>
    <x v="1"/>
    <x v="0"/>
    <m/>
    <m/>
    <n v="-42"/>
  </r>
  <r>
    <x v="3"/>
    <x v="94"/>
    <m/>
    <s v="KMM 1002报关资料发给罗运生"/>
    <x v="129"/>
    <x v="0"/>
    <x v="0"/>
    <s v="罗运生"/>
    <m/>
    <n v="-42"/>
  </r>
  <r>
    <x v="3"/>
    <x v="94"/>
    <m/>
    <s v="徐琴和青岛乐星确认报关单"/>
    <x v="129"/>
    <x v="0"/>
    <x v="3"/>
    <m/>
    <m/>
    <n v="-42"/>
  </r>
  <r>
    <x v="3"/>
    <x v="94"/>
    <m/>
    <s v="永艺新订舱1006 PCLU1940HN4400振华审核后加拼，通知客户"/>
    <x v="129"/>
    <x v="0"/>
    <x v="3"/>
    <m/>
    <m/>
    <n v="-42"/>
  </r>
  <r>
    <x v="3"/>
    <x v="94"/>
    <m/>
    <s v="垃圾舱单还要什么文件？"/>
    <x v="77"/>
    <x v="0"/>
    <x v="1"/>
    <s v="鹏海"/>
    <m/>
    <n v="-40"/>
  </r>
  <r>
    <x v="3"/>
    <x v="94"/>
    <m/>
    <s v="振华可以把两个单独订的并到一起么？"/>
    <x v="77"/>
    <x v="0"/>
    <x v="1"/>
    <s v="朱琳"/>
    <m/>
    <n v="-40"/>
  </r>
  <r>
    <x v="3"/>
    <x v="94"/>
    <m/>
    <s v="国外说取消顾家219JJ52-10000-15这票，SHPR回复确认后回复KY"/>
    <x v="77"/>
    <x v="0"/>
    <x v="6"/>
    <s v="顾家"/>
    <m/>
    <n v="-40"/>
  </r>
  <r>
    <x v="3"/>
    <x v="94"/>
    <m/>
    <s v="非相29号船期还有20元舱单费忘收了，APP开票发陈小姐，收水单"/>
    <x v="77"/>
    <x v="0"/>
    <x v="3"/>
    <m/>
    <m/>
    <n v="-40"/>
  </r>
  <r>
    <x v="3"/>
    <x v="94"/>
    <m/>
    <s v="通知潘贵梅10月6日的配舱信息"/>
    <x v="77"/>
    <x v="0"/>
    <x v="1"/>
    <m/>
    <m/>
    <n v="-40"/>
  </r>
  <r>
    <x v="3"/>
    <x v="94"/>
    <m/>
    <s v="全部APP后，回复许培现代商船对账单"/>
    <x v="77"/>
    <x v="0"/>
    <x v="3"/>
    <m/>
    <m/>
    <n v="-40"/>
  </r>
  <r>
    <x v="3"/>
    <x v="94"/>
    <m/>
    <s v="通知金峰雅佳居1013预配信息"/>
    <x v="77"/>
    <x v="0"/>
    <x v="1"/>
    <m/>
    <m/>
    <n v="-40"/>
  </r>
  <r>
    <x v="3"/>
    <x v="94"/>
    <m/>
    <s v="请振华把YJCSHAN1916064-1/PCLU1796PE4308拒绝，确认结果"/>
    <x v="77"/>
    <x v="0"/>
    <x v="3"/>
    <m/>
    <m/>
    <n v="-40"/>
  </r>
  <r>
    <x v="3"/>
    <x v="94"/>
    <m/>
    <s v="通知万盛徐小姐1020预配"/>
    <x v="77"/>
    <x v="0"/>
    <x v="1"/>
    <m/>
    <m/>
    <n v="-40"/>
  </r>
  <r>
    <x v="3"/>
    <x v="94"/>
    <m/>
    <s v="华达利0925费用确认"/>
    <x v="77"/>
    <x v="0"/>
    <x v="6"/>
    <m/>
    <m/>
    <n v="-40"/>
  </r>
  <r>
    <x v="3"/>
    <x v="94"/>
    <m/>
    <s v="卡帛22号两份提单为什么是两个500不是500+100？"/>
    <x v="77"/>
    <x v="0"/>
    <x v="3"/>
    <s v="朱琳"/>
    <m/>
    <n v="-40"/>
  </r>
  <r>
    <x v="3"/>
    <x v="94"/>
    <m/>
    <s v="永艺0925费用这样做对不对"/>
    <x v="133"/>
    <x v="0"/>
    <x v="1"/>
    <m/>
    <m/>
    <n v="-39"/>
  </r>
  <r>
    <x v="3"/>
    <x v="94"/>
    <m/>
    <s v="华达利月结么？跟康芸确认一下"/>
    <x v="77"/>
    <x v="1"/>
    <x v="1"/>
    <m/>
    <m/>
    <n v="-40"/>
  </r>
  <r>
    <x v="3"/>
    <x v="94"/>
    <m/>
    <s v="统计 顾家 万盛 洲际 永艺 6号的什么时候装，通知叶静"/>
    <x v="77"/>
    <x v="0"/>
    <x v="1"/>
    <m/>
    <m/>
    <n v="-40"/>
  </r>
  <r>
    <x v="3"/>
    <x v="94"/>
    <m/>
    <s v="华宝0925的发票开出来发，0929寄，0930收773006426562227"/>
    <x v="152"/>
    <x v="0"/>
    <x v="0"/>
    <m/>
    <m/>
    <n v="-31"/>
  </r>
  <r>
    <x v="3"/>
    <x v="94"/>
    <m/>
    <s v="华达利0925未付款，今天寄提单"/>
    <x v="77"/>
    <x v="0"/>
    <x v="1"/>
    <m/>
    <m/>
    <n v="-40"/>
  </r>
  <r>
    <x v="3"/>
    <x v="94"/>
    <m/>
    <s v="顾家抵扣怎么算的？"/>
    <x v="77"/>
    <x v="0"/>
    <x v="1"/>
    <m/>
    <m/>
    <n v="-40"/>
  </r>
  <r>
    <x v="3"/>
    <x v="94"/>
    <m/>
    <s v="永艺9月账单发给金娥善"/>
    <x v="77"/>
    <x v="0"/>
    <x v="1"/>
    <m/>
    <m/>
    <n v="-40"/>
  </r>
  <r>
    <x v="3"/>
    <x v="94"/>
    <m/>
    <s v="越南两票要数据，要资料"/>
    <x v="77"/>
    <x v="0"/>
    <x v="3"/>
    <m/>
    <m/>
    <n v="-40"/>
  </r>
  <r>
    <x v="3"/>
    <x v="94"/>
    <m/>
    <s v="6号 9号截单、清单怎么处理"/>
    <x v="77"/>
    <x v="0"/>
    <x v="0"/>
    <s v="朱琳"/>
    <m/>
    <n v="-40"/>
  </r>
  <r>
    <x v="3"/>
    <x v="94"/>
    <m/>
    <s v="问下振华拿SWB的地址"/>
    <x v="133"/>
    <x v="0"/>
    <x v="0"/>
    <m/>
    <m/>
    <n v="-39"/>
  </r>
  <r>
    <x v="3"/>
    <x v="94"/>
    <m/>
    <s v="华达利0925提单0929寄，0930收"/>
    <x v="158"/>
    <x v="1"/>
    <x v="0"/>
    <m/>
    <m/>
    <n v="-32"/>
  </r>
  <r>
    <x v="3"/>
    <x v="94"/>
    <m/>
    <s v="华达利0925开票"/>
    <x v="158"/>
    <x v="1"/>
    <x v="0"/>
    <m/>
    <m/>
    <n v="-32"/>
  </r>
  <r>
    <x v="3"/>
    <x v="94"/>
    <m/>
    <s v="万盛PCLU1795PE4308 振华审核后加拼"/>
    <x v="133"/>
    <x v="0"/>
    <x v="3"/>
    <m/>
    <m/>
    <n v="-39"/>
  </r>
  <r>
    <x v="3"/>
    <x v="94"/>
    <m/>
    <s v="太平洋保险使用新账户登陆TJYJC-1 Cpic12345"/>
    <x v="145"/>
    <x v="0"/>
    <x v="0"/>
    <m/>
    <m/>
    <n v="-38"/>
  </r>
  <r>
    <x v="3"/>
    <x v="94"/>
    <m/>
    <s v="WX mobis 9月结算"/>
    <x v="77"/>
    <x v="0"/>
    <x v="0"/>
    <m/>
    <m/>
    <n v="-40"/>
  </r>
  <r>
    <x v="3"/>
    <x v="94"/>
    <m/>
    <s v="JS mobis 9月APP，结算"/>
    <x v="133"/>
    <x v="0"/>
    <x v="0"/>
    <m/>
    <m/>
    <n v="-39"/>
  </r>
  <r>
    <x v="3"/>
    <x v="94"/>
    <m/>
    <s v="UE 结算"/>
    <x v="133"/>
    <x v="0"/>
    <x v="0"/>
    <m/>
    <m/>
    <n v="-39"/>
  </r>
  <r>
    <x v="3"/>
    <x v="94"/>
    <m/>
    <s v="LOUISUN釜山的报价怎么算？"/>
    <x v="133"/>
    <x v="0"/>
    <x v="3"/>
    <m/>
    <m/>
    <n v="-39"/>
  </r>
  <r>
    <x v="0"/>
    <x v="95"/>
    <n v="1"/>
    <s v="收到客户(孙丹/王珊)发来订舱托书"/>
    <x v="146"/>
    <x v="0"/>
    <x v="0"/>
    <m/>
    <m/>
    <n v="-57"/>
  </r>
  <r>
    <x v="0"/>
    <x v="95"/>
    <n v="2"/>
    <s v="收到CK发来预配(做箱通知，沈丽有收到？)"/>
    <x v="144"/>
    <x v="0"/>
    <x v="0"/>
    <m/>
    <m/>
    <n v="-50"/>
  </r>
  <r>
    <x v="0"/>
    <x v="95"/>
    <n v="3"/>
    <s v="YJC系统生成单子"/>
    <x v="144"/>
    <x v="0"/>
    <x v="0"/>
    <m/>
    <m/>
    <n v="-50"/>
  </r>
  <r>
    <x v="0"/>
    <x v="95"/>
    <n v="4"/>
    <s v="收到包装厂(刘倩梅)发来包装指示书和装箱计划"/>
    <x v="144"/>
    <x v="0"/>
    <x v="4"/>
    <m/>
    <s v="一般周四"/>
    <n v="-50"/>
  </r>
  <r>
    <x v="0"/>
    <x v="95"/>
    <n v="5"/>
    <s v="根据装箱计划汇总包装数据，发各工厂做报关资料"/>
    <x v="144"/>
    <x v="0"/>
    <x v="4"/>
    <m/>
    <m/>
    <n v="-50"/>
  </r>
  <r>
    <x v="0"/>
    <x v="95"/>
    <n v="6"/>
    <s v="做做箱数据，邮件群发(查开港时间，注明做箱时间)"/>
    <x v="144"/>
    <x v="0"/>
    <x v="4"/>
    <m/>
    <m/>
    <n v="-50"/>
  </r>
  <r>
    <x v="0"/>
    <x v="95"/>
    <n v="7"/>
    <s v="收到车队(沈丽)装箱单和洋山提箱截图(如有)，9点前群发，通知发舱单"/>
    <x v="76"/>
    <x v="0"/>
    <x v="1"/>
    <m/>
    <s v="一般KMM五、HMI日"/>
    <n v="-49"/>
  </r>
  <r>
    <x v="0"/>
    <x v="95"/>
    <n v="8"/>
    <s v="收到工厂发来报关资料并完善(代做报关资料跟客户确认)"/>
    <x v="144"/>
    <x v="0"/>
    <x v="0"/>
    <m/>
    <s v="当天至隔天"/>
    <n v="-50"/>
  </r>
  <r>
    <x v="0"/>
    <x v="95"/>
    <n v="8"/>
    <s v="苏州万都净重搞错了"/>
    <x v="76"/>
    <x v="0"/>
    <x v="1"/>
    <m/>
    <m/>
    <n v="-49"/>
  </r>
  <r>
    <x v="0"/>
    <x v="95"/>
    <n v="9"/>
    <s v="报关资料齐了（光成要素划掉XXX），发报关行(罗运生)"/>
    <x v="76"/>
    <x v="0"/>
    <x v="6"/>
    <m/>
    <m/>
    <n v="-49"/>
  </r>
  <r>
    <x v="0"/>
    <x v="95"/>
    <n v="10"/>
    <s v="【HMI】货运模板/发票/箱单"/>
    <x v="151"/>
    <x v="0"/>
    <x v="0"/>
    <m/>
    <m/>
    <n v="-47"/>
  </r>
  <r>
    <x v="0"/>
    <x v="95"/>
    <n v="11"/>
    <s v="收到舱单发送成功通知，核对舱单信息"/>
    <x v="76"/>
    <x v="0"/>
    <x v="3"/>
    <m/>
    <m/>
    <n v="-49"/>
  </r>
  <r>
    <x v="0"/>
    <x v="95"/>
    <n v="12"/>
    <s v="通知进港"/>
    <x v="76"/>
    <x v="0"/>
    <x v="4"/>
    <m/>
    <s v="调整顺序"/>
    <n v="-49"/>
  </r>
  <r>
    <x v="0"/>
    <x v="95"/>
    <n v="13"/>
    <s v="【HMI】开港"/>
    <x v="142"/>
    <x v="0"/>
    <x v="6"/>
    <m/>
    <m/>
    <n v="-46"/>
  </r>
  <r>
    <x v="0"/>
    <x v="95"/>
    <n v="14"/>
    <s v="进港(核对数据)"/>
    <x v="154"/>
    <x v="0"/>
    <x v="0"/>
    <m/>
    <s v="调整顺序"/>
    <n v="-45"/>
  </r>
  <r>
    <x v="0"/>
    <x v="95"/>
    <n v="15"/>
    <s v="通知报关（洋山发装箱单）"/>
    <x v="154"/>
    <x v="0"/>
    <x v="0"/>
    <m/>
    <s v="调整顺序"/>
    <n v="-45"/>
  </r>
  <r>
    <x v="0"/>
    <x v="95"/>
    <n v="16"/>
    <s v="报关成功"/>
    <x v="154"/>
    <x v="0"/>
    <x v="0"/>
    <m/>
    <s v="调整顺序"/>
    <n v="-45"/>
  </r>
  <r>
    <x v="0"/>
    <x v="95"/>
    <n v="17"/>
    <s v="海放"/>
    <x v="154"/>
    <x v="0"/>
    <x v="0"/>
    <m/>
    <m/>
    <n v="-45"/>
  </r>
  <r>
    <x v="0"/>
    <x v="95"/>
    <n v="18"/>
    <s v="码放，配载"/>
    <x v="132"/>
    <x v="0"/>
    <x v="0"/>
    <m/>
    <m/>
    <n v="-41"/>
  </r>
  <r>
    <x v="0"/>
    <x v="95"/>
    <n v="20"/>
    <s v="做费用(对账单日期4号)，放公共盘，填月账单表，发孙丹"/>
    <x v="131"/>
    <x v="0"/>
    <x v="5"/>
    <m/>
    <m/>
    <n v="-43"/>
  </r>
  <r>
    <x v="0"/>
    <x v="95"/>
    <n v="21"/>
    <s v="如有额外费用发邮件"/>
    <x v="154"/>
    <x v="0"/>
    <x v="2"/>
    <m/>
    <m/>
    <n v="-45"/>
  </r>
  <r>
    <x v="0"/>
    <x v="95"/>
    <n v="22"/>
    <s v="船开"/>
    <x v="132"/>
    <x v="0"/>
    <x v="0"/>
    <m/>
    <m/>
    <n v="-41"/>
  </r>
  <r>
    <x v="15"/>
    <x v="95"/>
    <n v="1"/>
    <s v="康发来账单，催款共RMB7680 USD44196"/>
    <x v="139"/>
    <x v="0"/>
    <x v="0"/>
    <m/>
    <m/>
    <n v="-63"/>
  </r>
  <r>
    <x v="15"/>
    <x v="95"/>
    <n v="2"/>
    <s v="说付了人民币部分七千多，暂时未跟财务确认"/>
    <x v="150"/>
    <x v="0"/>
    <x v="0"/>
    <m/>
    <m/>
    <n v="-51"/>
  </r>
  <r>
    <x v="15"/>
    <x v="95"/>
    <n v="3"/>
    <s v="再催，说节后付了，把目前情况通知阿康"/>
    <x v="130"/>
    <x v="0"/>
    <x v="0"/>
    <m/>
    <m/>
    <n v="-44"/>
  </r>
  <r>
    <x v="15"/>
    <x v="95"/>
    <n v="4"/>
    <s v="再问一下情况"/>
    <x v="159"/>
    <x v="0"/>
    <x v="0"/>
    <m/>
    <m/>
    <n v="-8"/>
  </r>
  <r>
    <x v="4"/>
    <x v="95"/>
    <n v="1"/>
    <s v="收到客户(陈云娣)订舱预报"/>
    <x v="141"/>
    <x v="0"/>
    <x v="0"/>
    <m/>
    <s v="一般周五发隔周"/>
    <n v="-53"/>
  </r>
  <r>
    <x v="4"/>
    <x v="95"/>
    <n v="6"/>
    <s v="公共盘生成提单号(QSWB不要搞错)"/>
    <x v="150"/>
    <x v="0"/>
    <x v="0"/>
    <m/>
    <m/>
    <n v="-51"/>
  </r>
  <r>
    <x v="4"/>
    <x v="95"/>
    <n v="7"/>
    <s v="YJC系统生成单子"/>
    <x v="150"/>
    <x v="0"/>
    <x v="0"/>
    <m/>
    <m/>
    <n v="-51"/>
  </r>
  <r>
    <x v="4"/>
    <x v="95"/>
    <n v="8"/>
    <s v="发EDI"/>
    <x v="150"/>
    <x v="0"/>
    <x v="0"/>
    <m/>
    <m/>
    <n v="-51"/>
  </r>
  <r>
    <x v="4"/>
    <x v="95"/>
    <n v="9"/>
    <s v="邮件申请放舱"/>
    <x v="150"/>
    <x v="0"/>
    <x v="0"/>
    <m/>
    <m/>
    <n v="-51"/>
  </r>
  <r>
    <x v="4"/>
    <x v="95"/>
    <n v="10"/>
    <s v="收到HMM(Abbi) 确认放舱"/>
    <x v="144"/>
    <x v="1"/>
    <x v="3"/>
    <m/>
    <s v="一般半天内"/>
    <n v="-50"/>
  </r>
  <r>
    <x v="4"/>
    <x v="95"/>
    <n v="11"/>
    <s v="HMM网站核对订舱信息"/>
    <x v="144"/>
    <x v="1"/>
    <x v="3"/>
    <m/>
    <m/>
    <n v="-50"/>
  </r>
  <r>
    <x v="4"/>
    <x v="95"/>
    <n v="12"/>
    <s v="收到客户(陈云娣)做箱通知"/>
    <x v="144"/>
    <x v="1"/>
    <x v="3"/>
    <m/>
    <s v="一般做箱头天一早"/>
    <n v="-50"/>
  </r>
  <r>
    <x v="4"/>
    <x v="95"/>
    <n v="13"/>
    <s v="【拆单】公共盘生成提单号"/>
    <x v="144"/>
    <x v="1"/>
    <x v="3"/>
    <m/>
    <m/>
    <n v="-50"/>
  </r>
  <r>
    <x v="4"/>
    <x v="95"/>
    <n v="14"/>
    <s v="发做箱通知邮件给车队(沈丽)（航次要加QL？）"/>
    <x v="144"/>
    <x v="1"/>
    <x v="3"/>
    <m/>
    <m/>
    <n v="-50"/>
  </r>
  <r>
    <x v="4"/>
    <x v="95"/>
    <n v="15"/>
    <s v="【拆单】YJC系统生成单子（QSWB不要搞错）"/>
    <x v="144"/>
    <x v="1"/>
    <x v="3"/>
    <m/>
    <m/>
    <n v="-50"/>
  </r>
  <r>
    <x v="4"/>
    <x v="95"/>
    <n v="16"/>
    <s v="【拆单】发EDI"/>
    <x v="144"/>
    <x v="1"/>
    <x v="3"/>
    <m/>
    <m/>
    <n v="-50"/>
  </r>
  <r>
    <x v="4"/>
    <x v="95"/>
    <n v="17"/>
    <s v="【拆单】邮件申请放单"/>
    <x v="144"/>
    <x v="1"/>
    <x v="3"/>
    <m/>
    <m/>
    <n v="-50"/>
  </r>
  <r>
    <x v="4"/>
    <x v="95"/>
    <n v="18"/>
    <s v="【拆单】收到HMM(Abbi) 加拼放单确认"/>
    <x v="144"/>
    <x v="1"/>
    <x v="3"/>
    <m/>
    <m/>
    <n v="-50"/>
  </r>
  <r>
    <x v="4"/>
    <x v="95"/>
    <n v="19"/>
    <s v="【拆单】HMM网站核对订舱信息"/>
    <x v="144"/>
    <x v="1"/>
    <x v="3"/>
    <m/>
    <m/>
    <n v="-50"/>
  </r>
  <r>
    <x v="4"/>
    <x v="95"/>
    <n v="20"/>
    <s v="收到客户(陈云娣)发来报关资料"/>
    <x v="76"/>
    <x v="1"/>
    <x v="4"/>
    <m/>
    <s v="一般做箱当天一早"/>
    <n v="-49"/>
  </r>
  <r>
    <x v="4"/>
    <x v="95"/>
    <n v="21"/>
    <s v="【加拼】按报关(发票)数生成提单号【如发票数超过提单数】"/>
    <x v="76"/>
    <x v="1"/>
    <x v="4"/>
    <m/>
    <m/>
    <n v="-49"/>
  </r>
  <r>
    <x v="4"/>
    <x v="95"/>
    <n v="22"/>
    <s v="做做箱数据，QQ发车队(沈丽)"/>
    <x v="76"/>
    <x v="1"/>
    <x v="4"/>
    <m/>
    <m/>
    <n v="-49"/>
  </r>
  <r>
    <x v="4"/>
    <x v="95"/>
    <n v="23"/>
    <s v="收到车队(沈丽)装箱单，转发客户（陈云娣）"/>
    <x v="76"/>
    <x v="1"/>
    <x v="4"/>
    <m/>
    <s v="一般马上"/>
    <n v="-49"/>
  </r>
  <r>
    <x v="4"/>
    <x v="95"/>
    <n v="24"/>
    <s v="YJC系统截单，发EDI，邮件HMM(He)【截单时间】"/>
    <x v="76"/>
    <x v="1"/>
    <x v="4"/>
    <m/>
    <s v="注意截单时间"/>
    <n v="-49"/>
  </r>
  <r>
    <x v="4"/>
    <x v="95"/>
    <n v="25"/>
    <s v="发VGM和舱单（亿通，鹏海两次）"/>
    <x v="76"/>
    <x v="1"/>
    <x v="4"/>
    <m/>
    <m/>
    <n v="-49"/>
  </r>
  <r>
    <x v="4"/>
    <x v="95"/>
    <n v="26"/>
    <s v="做报关资料，扫描发报关行(罗运生)QQ，要校对稿"/>
    <x v="76"/>
    <x v="1"/>
    <x v="4"/>
    <m/>
    <m/>
    <n v="-49"/>
  </r>
  <r>
    <x v="4"/>
    <x v="95"/>
    <n v="27"/>
    <s v="做保函给邹师傅(美国线)"/>
    <x v="76"/>
    <x v="1"/>
    <x v="4"/>
    <m/>
    <m/>
    <n v="-49"/>
  </r>
  <r>
    <x v="4"/>
    <x v="95"/>
    <n v="28"/>
    <s v="做ISF，发国外资料"/>
    <x v="76"/>
    <x v="1"/>
    <x v="4"/>
    <m/>
    <m/>
    <n v="-49"/>
  </r>
  <r>
    <x v="4"/>
    <x v="95"/>
    <n v="29"/>
    <s v="买保险"/>
    <x v="76"/>
    <x v="1"/>
    <x v="4"/>
    <m/>
    <m/>
    <n v="-49"/>
  </r>
  <r>
    <x v="4"/>
    <x v="95"/>
    <n v="31"/>
    <s v="收到HMM(He)生成提单通知"/>
    <x v="76"/>
    <x v="1"/>
    <x v="4"/>
    <m/>
    <s v="一般马上"/>
    <n v="-49"/>
  </r>
  <r>
    <x v="4"/>
    <x v="95"/>
    <n v="32"/>
    <s v="HMM网站核对提单信息"/>
    <x v="76"/>
    <x v="1"/>
    <x v="4"/>
    <m/>
    <m/>
    <n v="-49"/>
  </r>
  <r>
    <x v="4"/>
    <x v="95"/>
    <n v="33"/>
    <s v="盯海关网站舱单"/>
    <x v="76"/>
    <x v="1"/>
    <x v="4"/>
    <m/>
    <s v="一般两小时左右"/>
    <n v="-49"/>
  </r>
  <r>
    <x v="4"/>
    <x v="95"/>
    <n v="34"/>
    <s v="核对舱单信息"/>
    <x v="76"/>
    <x v="1"/>
    <x v="4"/>
    <m/>
    <m/>
    <n v="-49"/>
  </r>
  <r>
    <x v="4"/>
    <x v="95"/>
    <n v="35"/>
    <s v="收到报关行(罗运生)校对稿，邮件发客户(陈云娣)确认"/>
    <x v="76"/>
    <x v="1"/>
    <x v="4"/>
    <m/>
    <s v="一般半天内"/>
    <n v="-49"/>
  </r>
  <r>
    <x v="4"/>
    <x v="95"/>
    <n v="36"/>
    <s v="收到客户(陈云娣)确认校对稿"/>
    <x v="76"/>
    <x v="1"/>
    <x v="4"/>
    <m/>
    <s v="一般马上"/>
    <n v="-49"/>
  </r>
  <r>
    <x v="4"/>
    <x v="95"/>
    <n v="37"/>
    <s v="通知车队(沈丽)可进港"/>
    <x v="76"/>
    <x v="1"/>
    <x v="4"/>
    <m/>
    <m/>
    <n v="-49"/>
  </r>
  <r>
    <x v="4"/>
    <x v="95"/>
    <n v="38"/>
    <s v="盯箱子进港，关注开港时间，有落箱费？"/>
    <x v="160"/>
    <x v="1"/>
    <x v="4"/>
    <m/>
    <m/>
    <n v="-48"/>
  </r>
  <r>
    <x v="4"/>
    <x v="95"/>
    <n v="39"/>
    <s v="核对进港数据"/>
    <x v="160"/>
    <x v="1"/>
    <x v="4"/>
    <m/>
    <m/>
    <n v="-48"/>
  </r>
  <r>
    <x v="4"/>
    <x v="95"/>
    <n v="40"/>
    <s v="通知报关行(罗运生)报关(开港、舱单、校对)（洋山提供装箱单）"/>
    <x v="160"/>
    <x v="1"/>
    <x v="4"/>
    <m/>
    <m/>
    <n v="-48"/>
  </r>
  <r>
    <x v="4"/>
    <x v="95"/>
    <n v="41"/>
    <s v="收到报关成功通知"/>
    <x v="160"/>
    <x v="1"/>
    <x v="4"/>
    <m/>
    <s v="一般下班前"/>
    <n v="-48"/>
  </r>
  <r>
    <x v="4"/>
    <x v="95"/>
    <n v="42"/>
    <s v="盯海放"/>
    <x v="160"/>
    <x v="1"/>
    <x v="4"/>
    <m/>
    <m/>
    <n v="-48"/>
  </r>
  <r>
    <x v="4"/>
    <x v="95"/>
    <n v="43"/>
    <s v="盯码放"/>
    <x v="154"/>
    <x v="1"/>
    <x v="4"/>
    <m/>
    <m/>
    <n v="-45"/>
  </r>
  <r>
    <x v="4"/>
    <x v="95"/>
    <n v="44"/>
    <s v="盯配载"/>
    <x v="154"/>
    <x v="1"/>
    <x v="4"/>
    <m/>
    <m/>
    <n v="-45"/>
  </r>
  <r>
    <x v="4"/>
    <x v="95"/>
    <n v="45"/>
    <s v="做费用(月初等汇率)，发账单给陈吟勇"/>
    <x v="154"/>
    <x v="1"/>
    <x v="4"/>
    <m/>
    <m/>
    <n v="-45"/>
  </r>
  <r>
    <x v="4"/>
    <x v="95"/>
    <n v="46"/>
    <s v="船开"/>
    <x v="130"/>
    <x v="1"/>
    <x v="4"/>
    <m/>
    <m/>
    <n v="-44"/>
  </r>
  <r>
    <x v="4"/>
    <x v="95"/>
    <n v="47"/>
    <s v="放提单（PHISON、陈吟勇提单、陈云娣三单）"/>
    <x v="130"/>
    <x v="1"/>
    <x v="4"/>
    <m/>
    <s v="一般开船后两三天"/>
    <n v="-44"/>
  </r>
  <r>
    <x v="1"/>
    <x v="95"/>
    <n v="1"/>
    <s v="收到客户(孙丹/王珊)发来订舱托书"/>
    <x v="146"/>
    <x v="0"/>
    <x v="0"/>
    <m/>
    <m/>
    <n v="-57"/>
  </r>
  <r>
    <x v="1"/>
    <x v="95"/>
    <n v="2"/>
    <s v="收到CK发来预配(做箱通知，沈丽有收到？)"/>
    <x v="150"/>
    <x v="0"/>
    <x v="0"/>
    <m/>
    <m/>
    <n v="-51"/>
  </r>
  <r>
    <x v="1"/>
    <x v="95"/>
    <n v="3"/>
    <s v="YJC系统生成单子"/>
    <x v="150"/>
    <x v="0"/>
    <x v="0"/>
    <m/>
    <m/>
    <n v="-51"/>
  </r>
  <r>
    <x v="1"/>
    <x v="95"/>
    <n v="4"/>
    <s v="收到包装厂(刘倩梅)发来包装指示书和装箱计划"/>
    <x v="144"/>
    <x v="0"/>
    <x v="3"/>
    <m/>
    <s v="一般周四"/>
    <n v="-50"/>
  </r>
  <r>
    <x v="1"/>
    <x v="95"/>
    <n v="5"/>
    <s v="根据装箱计划汇总包装数据，发各工厂做报关资料"/>
    <x v="144"/>
    <x v="0"/>
    <x v="3"/>
    <m/>
    <m/>
    <n v="-50"/>
  </r>
  <r>
    <x v="1"/>
    <x v="95"/>
    <n v="6"/>
    <s v="做做箱数据，邮件群发(查开港时间，注明做箱时间)"/>
    <x v="144"/>
    <x v="0"/>
    <x v="3"/>
    <m/>
    <m/>
    <n v="-50"/>
  </r>
  <r>
    <x v="1"/>
    <x v="95"/>
    <n v="7"/>
    <s v="收到车队(沈丽)装箱单和洋山提箱截图(如有)，9点前群发，通知发舱单"/>
    <x v="76"/>
    <x v="0"/>
    <x v="1"/>
    <m/>
    <s v="一般KMM五、HMI日"/>
    <n v="-49"/>
  </r>
  <r>
    <x v="1"/>
    <x v="95"/>
    <n v="8"/>
    <s v="收到工厂发来报关资料并完善(代做报关资料跟客户确认)"/>
    <x v="144"/>
    <x v="0"/>
    <x v="0"/>
    <m/>
    <s v="当天至隔天"/>
    <n v="-50"/>
  </r>
  <r>
    <x v="1"/>
    <x v="95"/>
    <n v="9"/>
    <s v="报关资料齐了（光成要素划掉XXX），发报关行(罗运生)"/>
    <x v="76"/>
    <x v="0"/>
    <x v="1"/>
    <m/>
    <m/>
    <n v="-49"/>
  </r>
  <r>
    <x v="1"/>
    <x v="95"/>
    <n v="10"/>
    <s v="【HMI】货运模板/发票/箱单"/>
    <x v="144"/>
    <x v="1"/>
    <x v="0"/>
    <m/>
    <m/>
    <n v="-50"/>
  </r>
  <r>
    <x v="1"/>
    <x v="95"/>
    <n v="11"/>
    <s v="收到舱单发送成功通知，核对舱单信息"/>
    <x v="76"/>
    <x v="0"/>
    <x v="3"/>
    <m/>
    <m/>
    <n v="-49"/>
  </r>
  <r>
    <x v="1"/>
    <x v="95"/>
    <n v="12"/>
    <s v="通知报关（洋山发装箱单）"/>
    <x v="76"/>
    <x v="0"/>
    <x v="3"/>
    <m/>
    <s v="调整顺序"/>
    <n v="-49"/>
  </r>
  <r>
    <x v="1"/>
    <x v="95"/>
    <n v="13"/>
    <s v="报关成功"/>
    <x v="76"/>
    <x v="0"/>
    <x v="3"/>
    <m/>
    <s v="调整顺序"/>
    <n v="-49"/>
  </r>
  <r>
    <x v="1"/>
    <x v="95"/>
    <n v="14"/>
    <s v="通知进港"/>
    <x v="76"/>
    <x v="0"/>
    <x v="4"/>
    <m/>
    <s v="调整顺序"/>
    <n v="-49"/>
  </r>
  <r>
    <x v="1"/>
    <x v="95"/>
    <n v="15"/>
    <s v="【HMI】开港"/>
    <x v="76"/>
    <x v="1"/>
    <x v="0"/>
    <m/>
    <m/>
    <n v="-49"/>
  </r>
  <r>
    <x v="1"/>
    <x v="95"/>
    <n v="16"/>
    <s v="进港(核对数据)"/>
    <x v="160"/>
    <x v="0"/>
    <x v="4"/>
    <m/>
    <s v="调整顺序"/>
    <n v="-48"/>
  </r>
  <r>
    <x v="1"/>
    <x v="95"/>
    <n v="17"/>
    <s v="海放"/>
    <x v="160"/>
    <x v="0"/>
    <x v="4"/>
    <m/>
    <m/>
    <n v="-48"/>
  </r>
  <r>
    <x v="1"/>
    <x v="95"/>
    <n v="18"/>
    <s v="码放"/>
    <x v="154"/>
    <x v="0"/>
    <x v="0"/>
    <m/>
    <m/>
    <n v="-45"/>
  </r>
  <r>
    <x v="1"/>
    <x v="95"/>
    <n v="19"/>
    <s v="配载"/>
    <x v="154"/>
    <x v="0"/>
    <x v="0"/>
    <m/>
    <m/>
    <n v="-45"/>
  </r>
  <r>
    <x v="1"/>
    <x v="95"/>
    <n v="20"/>
    <s v="做费用(对账单日期4号)，放公共盘，填月账单表，发孙丹"/>
    <x v="131"/>
    <x v="0"/>
    <x v="5"/>
    <m/>
    <m/>
    <n v="-43"/>
  </r>
  <r>
    <x v="1"/>
    <x v="95"/>
    <n v="21"/>
    <s v="如有额外费用发邮件"/>
    <x v="154"/>
    <x v="0"/>
    <x v="2"/>
    <m/>
    <m/>
    <n v="-45"/>
  </r>
  <r>
    <x v="1"/>
    <x v="95"/>
    <n v="22"/>
    <s v="船开"/>
    <x v="131"/>
    <x v="0"/>
    <x v="3"/>
    <m/>
    <m/>
    <n v="-43"/>
  </r>
  <r>
    <x v="7"/>
    <x v="95"/>
    <n v="1"/>
    <s v="收到徐小姐托书"/>
    <x v="144"/>
    <x v="0"/>
    <x v="0"/>
    <m/>
    <m/>
    <n v="-50"/>
  </r>
  <r>
    <x v="7"/>
    <x v="95"/>
    <n v="2"/>
    <s v="公共盘表格生成单号，YJC系统复制、生成"/>
    <x v="76"/>
    <x v="0"/>
    <x v="0"/>
    <m/>
    <s v="注意MBL#命名规则"/>
    <n v="-49"/>
  </r>
  <r>
    <x v="7"/>
    <x v="95"/>
    <n v="3"/>
    <s v="(一票一订)振华订舱界面复制订舱、保存、提交"/>
    <x v="76"/>
    <x v="0"/>
    <x v="0"/>
    <m/>
    <s v="客户编号 提单号 船名航次 日期 箱量"/>
    <n v="-49"/>
  </r>
  <r>
    <x v="7"/>
    <x v="95"/>
    <n v="4"/>
    <s v="邮件发确认给国外"/>
    <x v="76"/>
    <x v="0"/>
    <x v="0"/>
    <m/>
    <s v="Delete ayjun@kylogix.co.kr Add hypark@kylogix.co.kr"/>
    <n v="-49"/>
  </r>
  <r>
    <x v="7"/>
    <x v="95"/>
    <n v="5"/>
    <s v="QQ发预配信息给徐小姐（模板），问是否要加拼，发车队江"/>
    <x v="76"/>
    <x v="0"/>
    <x v="0"/>
    <m/>
    <m/>
    <n v="-49"/>
  </r>
  <r>
    <x v="7"/>
    <x v="95"/>
    <n v="6"/>
    <s v="订舱审核通过"/>
    <x v="76"/>
    <x v="0"/>
    <x v="0"/>
    <m/>
    <m/>
    <n v="-49"/>
  </r>
  <r>
    <x v="7"/>
    <x v="95"/>
    <n v="7"/>
    <s v="订舱界面加拼、提交，通知徐小姐加拼单号"/>
    <x v="76"/>
    <x v="1"/>
    <x v="0"/>
    <m/>
    <s v="点“多票加拼”"/>
    <n v="-49"/>
  </r>
  <r>
    <x v="7"/>
    <x v="95"/>
    <n v="8"/>
    <s v="加拼审核通过"/>
    <x v="76"/>
    <x v="1"/>
    <x v="0"/>
    <m/>
    <m/>
    <n v="-49"/>
  </r>
  <r>
    <x v="7"/>
    <x v="95"/>
    <n v="9"/>
    <s v="收到国外确认，公共盘红改黑，加CONFIRM"/>
    <x v="76"/>
    <x v="0"/>
    <x v="4"/>
    <m/>
    <m/>
    <n v="-49"/>
  </r>
  <r>
    <x v="7"/>
    <x v="95"/>
    <n v="10"/>
    <s v="录费用"/>
    <x v="142"/>
    <x v="1"/>
    <x v="0"/>
    <m/>
    <m/>
    <n v="-46"/>
  </r>
  <r>
    <x v="7"/>
    <x v="95"/>
    <n v="12"/>
    <s v="收到车队江发来装箱数据和装箱单"/>
    <x v="142"/>
    <x v="0"/>
    <x v="1"/>
    <s v="江"/>
    <s v="周三周一截，周日周五截"/>
    <n v="-46"/>
  </r>
  <r>
    <x v="7"/>
    <x v="95"/>
    <n v="13"/>
    <s v="数据表中加入封号，汇总单票总件毛体"/>
    <x v="142"/>
    <x v="0"/>
    <x v="1"/>
    <m/>
    <m/>
    <n v="-46"/>
  </r>
  <r>
    <x v="7"/>
    <x v="95"/>
    <n v="14"/>
    <s v="YJC 截单"/>
    <x v="142"/>
    <x v="0"/>
    <x v="1"/>
    <m/>
    <s v="船名航次 开航日 件毛体 CC 箱量 箱封号 品名"/>
    <n v="-46"/>
  </r>
  <r>
    <x v="7"/>
    <x v="95"/>
    <n v="15"/>
    <s v="导出HBL，发徐小姐确认"/>
    <x v="142"/>
    <x v="0"/>
    <x v="1"/>
    <m/>
    <m/>
    <n v="-46"/>
  </r>
  <r>
    <x v="7"/>
    <x v="95"/>
    <n v="16"/>
    <s v="徐小姐确认HBL时，振华录入每一关单号的件毛体(注意箱状态)，保存"/>
    <x v="142"/>
    <x v="0"/>
    <x v="1"/>
    <m/>
    <m/>
    <n v="-46"/>
  </r>
  <r>
    <x v="7"/>
    <x v="95"/>
    <n v="17"/>
    <s v="徐小姐确认HBL"/>
    <x v="142"/>
    <x v="0"/>
    <x v="1"/>
    <m/>
    <m/>
    <n v="-46"/>
  </r>
  <r>
    <x v="7"/>
    <x v="95"/>
    <n v="18"/>
    <s v="发舱单"/>
    <x v="142"/>
    <x v="0"/>
    <x v="1"/>
    <m/>
    <s v="一关单一发"/>
    <n v="-46"/>
  </r>
  <r>
    <x v="7"/>
    <x v="95"/>
    <n v="19"/>
    <s v="海关有舱单，核对舱单信息，(如无并单，可直接录VGM)"/>
    <x v="142"/>
    <x v="0"/>
    <x v="1"/>
    <m/>
    <m/>
    <n v="-46"/>
  </r>
  <r>
    <x v="7"/>
    <x v="95"/>
    <n v="20"/>
    <s v="订舱界面并单"/>
    <x v="142"/>
    <x v="1"/>
    <x v="1"/>
    <m/>
    <m/>
    <n v="-46"/>
  </r>
  <r>
    <x v="7"/>
    <x v="95"/>
    <n v="21"/>
    <s v="并单审核通过"/>
    <x v="142"/>
    <x v="1"/>
    <x v="1"/>
    <m/>
    <m/>
    <n v="-46"/>
  </r>
  <r>
    <x v="7"/>
    <x v="95"/>
    <n v="22"/>
    <s v="每票录入所有箱子箱封号和件毛体，保存，录VGM，导入"/>
    <x v="142"/>
    <x v="0"/>
    <x v="1"/>
    <m/>
    <m/>
    <n v="-46"/>
  </r>
  <r>
    <x v="7"/>
    <x v="95"/>
    <n v="23"/>
    <s v="打印MBL"/>
    <x v="142"/>
    <x v="0"/>
    <x v="1"/>
    <m/>
    <m/>
    <n v="-46"/>
  </r>
  <r>
    <x v="7"/>
    <x v="95"/>
    <n v="24"/>
    <s v="表格、HBL、MBL、费用一起发邮件给国外"/>
    <x v="142"/>
    <x v="0"/>
    <x v="0"/>
    <m/>
    <s v="Delete ayjun@kylogix.co.kr Add hypark@kylogix.co.kr"/>
    <n v="-46"/>
  </r>
  <r>
    <x v="7"/>
    <x v="95"/>
    <n v="25"/>
    <s v="船开"/>
    <x v="131"/>
    <x v="1"/>
    <x v="0"/>
    <m/>
    <m/>
    <n v="-43"/>
  </r>
  <r>
    <x v="7"/>
    <x v="95"/>
    <n v="26"/>
    <s v="拿到WAYBILL"/>
    <x v="131"/>
    <x v="1"/>
    <x v="0"/>
    <m/>
    <m/>
    <n v="-43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43"/>
  </r>
  <r>
    <x v="4"/>
    <x v="96"/>
    <n v="1"/>
    <s v="收到客户(陈云娣)订舱预报"/>
    <x v="141"/>
    <x v="0"/>
    <x v="0"/>
    <m/>
    <s v="一般周五发隔周"/>
    <n v="-53"/>
  </r>
  <r>
    <x v="4"/>
    <x v="96"/>
    <n v="6"/>
    <s v="公共盘生成提单号(QSWB不要搞错)"/>
    <x v="150"/>
    <x v="0"/>
    <x v="0"/>
    <m/>
    <m/>
    <n v="-51"/>
  </r>
  <r>
    <x v="4"/>
    <x v="96"/>
    <n v="7"/>
    <s v="YJC系统生成单子"/>
    <x v="150"/>
    <x v="0"/>
    <x v="0"/>
    <m/>
    <m/>
    <n v="-51"/>
  </r>
  <r>
    <x v="4"/>
    <x v="96"/>
    <n v="8"/>
    <s v="发EDI"/>
    <x v="150"/>
    <x v="0"/>
    <x v="0"/>
    <m/>
    <m/>
    <n v="-51"/>
  </r>
  <r>
    <x v="4"/>
    <x v="96"/>
    <n v="9"/>
    <s v="邮件申请放舱"/>
    <x v="150"/>
    <x v="0"/>
    <x v="0"/>
    <m/>
    <m/>
    <n v="-51"/>
  </r>
  <r>
    <x v="4"/>
    <x v="96"/>
    <n v="10"/>
    <s v="收到HMM(Abbi) 确认放舱"/>
    <x v="144"/>
    <x v="0"/>
    <x v="3"/>
    <m/>
    <s v="一般半天内"/>
    <n v="-50"/>
  </r>
  <r>
    <x v="4"/>
    <x v="96"/>
    <n v="11"/>
    <s v="HMM网站核对订舱信息"/>
    <x v="144"/>
    <x v="0"/>
    <x v="3"/>
    <m/>
    <m/>
    <n v="-50"/>
  </r>
  <r>
    <x v="4"/>
    <x v="96"/>
    <n v="12"/>
    <s v="收到客户(陈云娣)做箱通知"/>
    <x v="142"/>
    <x v="0"/>
    <x v="3"/>
    <m/>
    <s v="一般做箱头天一早"/>
    <n v="-46"/>
  </r>
  <r>
    <x v="4"/>
    <x v="96"/>
    <n v="13"/>
    <s v="【拆单】公共盘生成提单号"/>
    <x v="142"/>
    <x v="0"/>
    <x v="3"/>
    <m/>
    <m/>
    <n v="-46"/>
  </r>
  <r>
    <x v="4"/>
    <x v="96"/>
    <n v="14"/>
    <s v="发做箱通知邮件给车队(沈丽)（航次要加QL？）"/>
    <x v="142"/>
    <x v="0"/>
    <x v="3"/>
    <m/>
    <m/>
    <n v="-46"/>
  </r>
  <r>
    <x v="4"/>
    <x v="96"/>
    <n v="15"/>
    <s v="【拆单】YJC系统生成单子（QSWB不要搞错）"/>
    <x v="142"/>
    <x v="0"/>
    <x v="3"/>
    <m/>
    <m/>
    <n v="-46"/>
  </r>
  <r>
    <x v="4"/>
    <x v="96"/>
    <n v="16"/>
    <s v="【拆单】发EDI"/>
    <x v="142"/>
    <x v="0"/>
    <x v="3"/>
    <m/>
    <m/>
    <n v="-46"/>
  </r>
  <r>
    <x v="4"/>
    <x v="96"/>
    <n v="17"/>
    <s v="【拆单】邮件申请放单"/>
    <x v="142"/>
    <x v="0"/>
    <x v="3"/>
    <m/>
    <m/>
    <n v="-46"/>
  </r>
  <r>
    <x v="4"/>
    <x v="96"/>
    <n v="18"/>
    <s v="【拆单】收到HMM(Abbi) 加拼放单确认"/>
    <x v="142"/>
    <x v="0"/>
    <x v="2"/>
    <m/>
    <m/>
    <n v="-46"/>
  </r>
  <r>
    <x v="4"/>
    <x v="96"/>
    <n v="19"/>
    <s v="【拆单】HMM网站核对订舱信息"/>
    <x v="142"/>
    <x v="0"/>
    <x v="2"/>
    <m/>
    <m/>
    <n v="-46"/>
  </r>
  <r>
    <x v="4"/>
    <x v="96"/>
    <n v="20"/>
    <s v="收到客户(陈云娣)发来报关资料"/>
    <x v="154"/>
    <x v="0"/>
    <x v="0"/>
    <m/>
    <s v="一般做箱当天一早"/>
    <n v="-45"/>
  </r>
  <r>
    <x v="4"/>
    <x v="96"/>
    <n v="21"/>
    <s v="【加拼】按报关(发票)数生成提单号【如发票数超过提单数】"/>
    <x v="154"/>
    <x v="0"/>
    <x v="0"/>
    <m/>
    <m/>
    <n v="-45"/>
  </r>
  <r>
    <x v="4"/>
    <x v="96"/>
    <n v="22"/>
    <s v="做做箱数据，QQ发车队(沈丽)"/>
    <x v="154"/>
    <x v="0"/>
    <x v="0"/>
    <m/>
    <m/>
    <n v="-45"/>
  </r>
  <r>
    <x v="4"/>
    <x v="96"/>
    <n v="23"/>
    <s v="收到车队(沈丽)装箱单，转发客户（陈云娣）"/>
    <x v="154"/>
    <x v="0"/>
    <x v="0"/>
    <m/>
    <s v="一般马上"/>
    <n v="-45"/>
  </r>
  <r>
    <x v="4"/>
    <x v="96"/>
    <n v="24"/>
    <s v="YJC系统截单，发EDI，邮件HMM(He)【截单时间】"/>
    <x v="154"/>
    <x v="0"/>
    <x v="0"/>
    <m/>
    <s v="注意截单时间"/>
    <n v="-45"/>
  </r>
  <r>
    <x v="4"/>
    <x v="96"/>
    <n v="25"/>
    <s v="发VGM和舱单（亿通，鹏海两次）"/>
    <x v="154"/>
    <x v="0"/>
    <x v="0"/>
    <m/>
    <m/>
    <n v="-45"/>
  </r>
  <r>
    <x v="4"/>
    <x v="96"/>
    <n v="26"/>
    <s v="做报关资料，扫描发报关行(罗运生)QQ，要校对稿"/>
    <x v="154"/>
    <x v="0"/>
    <x v="0"/>
    <m/>
    <m/>
    <n v="-45"/>
  </r>
  <r>
    <x v="4"/>
    <x v="96"/>
    <n v="27"/>
    <s v="做保函给邹师傅(美国线)"/>
    <x v="154"/>
    <x v="0"/>
    <x v="0"/>
    <m/>
    <m/>
    <n v="-45"/>
  </r>
  <r>
    <x v="4"/>
    <x v="96"/>
    <n v="28"/>
    <s v="做ISF，发国外资料"/>
    <x v="154"/>
    <x v="0"/>
    <x v="0"/>
    <m/>
    <m/>
    <n v="-45"/>
  </r>
  <r>
    <x v="4"/>
    <x v="96"/>
    <n v="29"/>
    <s v="买保险"/>
    <x v="154"/>
    <x v="0"/>
    <x v="0"/>
    <m/>
    <m/>
    <n v="-45"/>
  </r>
  <r>
    <x v="4"/>
    <x v="96"/>
    <n v="31"/>
    <s v="收到HMM(He)生成提单通知"/>
    <x v="154"/>
    <x v="0"/>
    <x v="0"/>
    <m/>
    <s v="一般马上"/>
    <n v="-45"/>
  </r>
  <r>
    <x v="4"/>
    <x v="96"/>
    <n v="32"/>
    <s v="HMM网站核对提单信息"/>
    <x v="154"/>
    <x v="0"/>
    <x v="0"/>
    <m/>
    <m/>
    <n v="-45"/>
  </r>
  <r>
    <x v="4"/>
    <x v="96"/>
    <n v="33"/>
    <s v="盯海关网站舱单"/>
    <x v="154"/>
    <x v="0"/>
    <x v="0"/>
    <m/>
    <s v="一般两小时左右"/>
    <n v="-45"/>
  </r>
  <r>
    <x v="4"/>
    <x v="96"/>
    <n v="34"/>
    <s v="核对舱单信息"/>
    <x v="154"/>
    <x v="0"/>
    <x v="0"/>
    <m/>
    <m/>
    <n v="-45"/>
  </r>
  <r>
    <x v="4"/>
    <x v="96"/>
    <n v="35"/>
    <s v="收到报关行(罗运生)校对稿，邮件发客户(陈云娣)确认"/>
    <x v="130"/>
    <x v="0"/>
    <x v="0"/>
    <m/>
    <s v="一般半天内"/>
    <n v="-44"/>
  </r>
  <r>
    <x v="4"/>
    <x v="96"/>
    <n v="36"/>
    <s v="收到客户(陈云娣)确认校对稿"/>
    <x v="130"/>
    <x v="0"/>
    <x v="0"/>
    <m/>
    <s v="一般马上"/>
    <n v="-44"/>
  </r>
  <r>
    <x v="4"/>
    <x v="96"/>
    <n v="37"/>
    <s v="通知报关行(罗运生)报关(开港、舱单、校对)（洋山提供装箱单）"/>
    <x v="130"/>
    <x v="0"/>
    <x v="0"/>
    <m/>
    <m/>
    <n v="-44"/>
  </r>
  <r>
    <x v="4"/>
    <x v="96"/>
    <n v="38"/>
    <s v="收到报关成功通知"/>
    <x v="130"/>
    <x v="0"/>
    <x v="0"/>
    <m/>
    <s v="一般下班前"/>
    <n v="-44"/>
  </r>
  <r>
    <x v="4"/>
    <x v="96"/>
    <n v="39"/>
    <s v="通知车队(沈丽)可进港"/>
    <x v="130"/>
    <x v="0"/>
    <x v="0"/>
    <m/>
    <m/>
    <n v="-44"/>
  </r>
  <r>
    <x v="4"/>
    <x v="96"/>
    <n v="40"/>
    <s v="盯箱子进港，关注开港时间，有落箱费？"/>
    <x v="130"/>
    <x v="0"/>
    <x v="0"/>
    <m/>
    <m/>
    <n v="-44"/>
  </r>
  <r>
    <x v="4"/>
    <x v="96"/>
    <n v="41"/>
    <s v="核对进港数据"/>
    <x v="130"/>
    <x v="0"/>
    <x v="0"/>
    <m/>
    <m/>
    <n v="-44"/>
  </r>
  <r>
    <x v="4"/>
    <x v="96"/>
    <n v="42"/>
    <s v="盯海放"/>
    <x v="130"/>
    <x v="0"/>
    <x v="0"/>
    <m/>
    <m/>
    <n v="-44"/>
  </r>
  <r>
    <x v="4"/>
    <x v="96"/>
    <n v="43"/>
    <s v="码放，配载"/>
    <x v="133"/>
    <x v="0"/>
    <x v="0"/>
    <m/>
    <m/>
    <n v="-39"/>
  </r>
  <r>
    <x v="4"/>
    <x v="96"/>
    <n v="45"/>
    <s v="做费用(月初等汇率)，发陈吟勇"/>
    <x v="131"/>
    <x v="0"/>
    <x v="0"/>
    <m/>
    <m/>
    <n v="-43"/>
  </r>
  <r>
    <x v="4"/>
    <x v="96"/>
    <n v="46"/>
    <s v="船开"/>
    <x v="133"/>
    <x v="0"/>
    <x v="0"/>
    <m/>
    <m/>
    <n v="-39"/>
  </r>
  <r>
    <x v="4"/>
    <x v="96"/>
    <n v="47"/>
    <s v="放提单（PHISON、陈吟勇提单、陈云娣三单）"/>
    <x v="133"/>
    <x v="0"/>
    <x v="3"/>
    <m/>
    <s v="一般开船后两三天"/>
    <n v="-39"/>
  </r>
  <r>
    <x v="13"/>
    <x v="97"/>
    <n v="1"/>
    <s v="收到托书"/>
    <x v="138"/>
    <x v="0"/>
    <x v="0"/>
    <m/>
    <m/>
    <n v="-64"/>
  </r>
  <r>
    <x v="13"/>
    <x v="97"/>
    <n v="2"/>
    <s v="订舱"/>
    <x v="139"/>
    <x v="0"/>
    <x v="0"/>
    <m/>
    <m/>
    <n v="-63"/>
  </r>
  <r>
    <x v="13"/>
    <x v="97"/>
    <n v="3"/>
    <s v="收到MSK 订舱确认邮件"/>
    <x v="139"/>
    <x v="0"/>
    <x v="0"/>
    <m/>
    <m/>
    <n v="-63"/>
  </r>
  <r>
    <x v="13"/>
    <x v="97"/>
    <n v="4"/>
    <s v="发订舱确认邮件给客户"/>
    <x v="139"/>
    <x v="0"/>
    <x v="0"/>
    <m/>
    <m/>
    <n v="-63"/>
  </r>
  <r>
    <x v="13"/>
    <x v="97"/>
    <n v="5"/>
    <s v="关注开港时间"/>
    <x v="130"/>
    <x v="0"/>
    <x v="0"/>
    <m/>
    <m/>
    <n v="-44"/>
  </r>
  <r>
    <x v="13"/>
    <x v="97"/>
    <n v="5"/>
    <s v="收到客户确认订舱信息"/>
    <x v="150"/>
    <x v="1"/>
    <x v="0"/>
    <m/>
    <m/>
    <n v="-51"/>
  </r>
  <r>
    <x v="13"/>
    <x v="97"/>
    <n v="7"/>
    <s v="确认提供资料时间"/>
    <x v="130"/>
    <x v="0"/>
    <x v="0"/>
    <m/>
    <m/>
    <n v="-44"/>
  </r>
  <r>
    <x v="13"/>
    <x v="97"/>
    <n v="8"/>
    <s v="做费用"/>
    <x v="131"/>
    <x v="0"/>
    <x v="5"/>
    <m/>
    <m/>
    <n v="-43"/>
  </r>
  <r>
    <x v="13"/>
    <x v="97"/>
    <n v="9"/>
    <s v="收到截单资料"/>
    <x v="131"/>
    <x v="0"/>
    <x v="1"/>
    <m/>
    <m/>
    <n v="-43"/>
  </r>
  <r>
    <x v="13"/>
    <x v="97"/>
    <n v="10"/>
    <s v="YJC 截单（件毛体、箱封号、HS、唛头），SHPR确认INV HBL"/>
    <x v="131"/>
    <x v="0"/>
    <x v="1"/>
    <m/>
    <m/>
    <n v="-43"/>
  </r>
  <r>
    <x v="13"/>
    <x v="97"/>
    <n v="13"/>
    <s v="MSK 截单（确认后提交），联合船代舱单，发Wanda(2COPY AMS CREDIT)"/>
    <x v="131"/>
    <x v="0"/>
    <x v="1"/>
    <m/>
    <m/>
    <n v="-43"/>
  </r>
  <r>
    <x v="13"/>
    <x v="97"/>
    <n v="17"/>
    <s v="核对舱单，通知文生然"/>
    <x v="131"/>
    <x v="0"/>
    <x v="1"/>
    <m/>
    <m/>
    <n v="-43"/>
  </r>
  <r>
    <x v="13"/>
    <x v="97"/>
    <n v="18"/>
    <s v="进港，核对数据，海放"/>
    <x v="129"/>
    <x v="0"/>
    <x v="4"/>
    <m/>
    <m/>
    <n v="-42"/>
  </r>
  <r>
    <x v="13"/>
    <x v="97"/>
    <n v="20"/>
    <s v="码放"/>
    <x v="132"/>
    <x v="0"/>
    <x v="0"/>
    <m/>
    <m/>
    <n v="-41"/>
  </r>
  <r>
    <x v="13"/>
    <x v="97"/>
    <n v="21"/>
    <s v="配载"/>
    <x v="161"/>
    <x v="0"/>
    <x v="0"/>
    <m/>
    <m/>
    <n v="-36"/>
  </r>
  <r>
    <x v="13"/>
    <x v="97"/>
    <n v="22"/>
    <s v="船开"/>
    <x v="161"/>
    <x v="0"/>
    <x v="0"/>
    <m/>
    <m/>
    <n v="-36"/>
  </r>
  <r>
    <x v="13"/>
    <x v="97"/>
    <n v="23"/>
    <s v="邮件发开船通知给Wanda"/>
    <x v="161"/>
    <x v="0"/>
    <x v="0"/>
    <m/>
    <m/>
    <n v="-36"/>
  </r>
  <r>
    <x v="13"/>
    <x v="97"/>
    <n v="24"/>
    <s v="收到Wanda付款通知"/>
    <x v="152"/>
    <x v="0"/>
    <x v="0"/>
    <m/>
    <m/>
    <n v="-31"/>
  </r>
  <r>
    <x v="13"/>
    <x v="97"/>
    <n v="25"/>
    <s v="发SWB、HBL给Wanda"/>
    <x v="152"/>
    <x v="0"/>
    <x v="0"/>
    <m/>
    <m/>
    <n v="-31"/>
  </r>
  <r>
    <x v="7"/>
    <x v="97"/>
    <n v="1"/>
    <s v="收到SHPR托书"/>
    <x v="142"/>
    <x v="0"/>
    <x v="0"/>
    <m/>
    <m/>
    <n v="-46"/>
  </r>
  <r>
    <x v="7"/>
    <x v="97"/>
    <n v="2"/>
    <s v="YJC系统复制生成，公共盘表格记录（SHA-INC周三20T，周日40T）"/>
    <x v="142"/>
    <x v="0"/>
    <x v="0"/>
    <m/>
    <s v="注意MBL#命名规则"/>
    <n v="-46"/>
  </r>
  <r>
    <x v="7"/>
    <x v="97"/>
    <n v="3"/>
    <s v="振华订舱界面复制订舱、保存、提交"/>
    <x v="142"/>
    <x v="0"/>
    <x v="0"/>
    <m/>
    <s v="客户编号 提单号 船名航次 日期 箱量"/>
    <n v="-46"/>
  </r>
  <r>
    <x v="7"/>
    <x v="97"/>
    <n v="4"/>
    <s v="邮件发确认给KOOKYANG"/>
    <x v="142"/>
    <x v="0"/>
    <x v="0"/>
    <m/>
    <s v="Delete ayjun Add hypark"/>
    <n v="-46"/>
  </r>
  <r>
    <x v="7"/>
    <x v="97"/>
    <n v="5"/>
    <s v="发预配信息给SHPR和车队江（有加拼？）"/>
    <x v="142"/>
    <x v="0"/>
    <x v="0"/>
    <m/>
    <m/>
    <n v="-46"/>
  </r>
  <r>
    <x v="7"/>
    <x v="97"/>
    <n v="6"/>
    <s v="订舱审核通过"/>
    <x v="154"/>
    <x v="0"/>
    <x v="0"/>
    <m/>
    <m/>
    <n v="-45"/>
  </r>
  <r>
    <x v="7"/>
    <x v="97"/>
    <n v="7"/>
    <s v="【加拼】订舱界面多票加拼、提交，通知SHPR加拼单号"/>
    <x v="142"/>
    <x v="1"/>
    <x v="0"/>
    <m/>
    <m/>
    <n v="-46"/>
  </r>
  <r>
    <x v="7"/>
    <x v="97"/>
    <n v="8"/>
    <s v="【加拼】加拼审核通过"/>
    <x v="142"/>
    <x v="1"/>
    <x v="0"/>
    <m/>
    <m/>
    <n v="-46"/>
  </r>
  <r>
    <x v="7"/>
    <x v="97"/>
    <n v="9"/>
    <s v="收到国外确认，公共盘红改黑，加CONFIRM"/>
    <x v="154"/>
    <x v="0"/>
    <x v="0"/>
    <m/>
    <m/>
    <n v="-45"/>
  </r>
  <r>
    <x v="7"/>
    <x v="97"/>
    <n v="10"/>
    <s v="录费用"/>
    <x v="154"/>
    <x v="1"/>
    <x v="0"/>
    <m/>
    <m/>
    <n v="-45"/>
  </r>
  <r>
    <x v="7"/>
    <x v="97"/>
    <n v="11"/>
    <s v="收到车队江发来装箱数据和装箱单"/>
    <x v="129"/>
    <x v="1"/>
    <x v="0"/>
    <m/>
    <s v="周三周一截，周日周五截"/>
    <n v="-42"/>
  </r>
  <r>
    <x v="7"/>
    <x v="97"/>
    <n v="12"/>
    <s v="数据表中加入封号，汇总各MBL总件毛体"/>
    <x v="129"/>
    <x v="1"/>
    <x v="0"/>
    <m/>
    <m/>
    <n v="-42"/>
  </r>
  <r>
    <x v="7"/>
    <x v="97"/>
    <n v="13"/>
    <s v="YJC 截单，导出HBL COPY，发SHPR确认"/>
    <x v="129"/>
    <x v="1"/>
    <x v="0"/>
    <m/>
    <s v="船名航次 开航日 件毛体 CC 箱量 箱封号 品名"/>
    <n v="-42"/>
  </r>
  <r>
    <x v="7"/>
    <x v="97"/>
    <n v="14"/>
    <s v="振华提单确认界面MBL录入件毛体(箱状态)，保存"/>
    <x v="129"/>
    <x v="1"/>
    <x v="0"/>
    <m/>
    <m/>
    <n v="-42"/>
  </r>
  <r>
    <x v="7"/>
    <x v="97"/>
    <n v="15"/>
    <s v="SHPR确认HBL，发舱单"/>
    <x v="129"/>
    <x v="1"/>
    <x v="0"/>
    <m/>
    <m/>
    <n v="-42"/>
  </r>
  <r>
    <x v="7"/>
    <x v="97"/>
    <n v="16"/>
    <s v="(如无并单，可直接录VGM)，海关有舱单，核对舱单"/>
    <x v="129"/>
    <x v="1"/>
    <x v="0"/>
    <m/>
    <m/>
    <n v="-42"/>
  </r>
  <r>
    <x v="7"/>
    <x v="97"/>
    <n v="17"/>
    <s v="【加拼】订舱界面并单"/>
    <x v="129"/>
    <x v="1"/>
    <x v="0"/>
    <m/>
    <m/>
    <n v="-42"/>
  </r>
  <r>
    <x v="7"/>
    <x v="97"/>
    <n v="18"/>
    <s v="【加拼】并单审核通过"/>
    <x v="129"/>
    <x v="1"/>
    <x v="0"/>
    <m/>
    <m/>
    <n v="-42"/>
  </r>
  <r>
    <x v="7"/>
    <x v="97"/>
    <n v="19"/>
    <s v="主MBL录入VGM，并导入"/>
    <x v="129"/>
    <x v="1"/>
    <x v="0"/>
    <m/>
    <m/>
    <n v="-42"/>
  </r>
  <r>
    <x v="7"/>
    <x v="97"/>
    <n v="20"/>
    <s v="打印MBL COPY"/>
    <x v="129"/>
    <x v="1"/>
    <x v="0"/>
    <m/>
    <m/>
    <n v="-42"/>
  </r>
  <r>
    <x v="7"/>
    <x v="97"/>
    <n v="21"/>
    <s v="表格、HBL COPY、MBL COPY、DEBIT NOTE一起发邮件给KOOKYANG"/>
    <x v="129"/>
    <x v="1"/>
    <x v="0"/>
    <m/>
    <s v="Delete ayjun Add hypark"/>
    <n v="-42"/>
  </r>
  <r>
    <x v="7"/>
    <x v="97"/>
    <n v="22"/>
    <s v="船开"/>
    <x v="77"/>
    <x v="1"/>
    <x v="0"/>
    <m/>
    <m/>
    <n v="-40"/>
  </r>
  <r>
    <x v="7"/>
    <x v="97"/>
    <n v="23"/>
    <s v="确认提单领取单已制作"/>
    <x v="133"/>
    <x v="1"/>
    <x v="0"/>
    <m/>
    <m/>
    <n v="-39"/>
  </r>
  <r>
    <x v="7"/>
    <x v="97"/>
    <n v="24"/>
    <s v="拿到WAYBILL"/>
    <x v="133"/>
    <x v="1"/>
    <x v="0"/>
    <m/>
    <m/>
    <n v="-39"/>
  </r>
  <r>
    <x v="7"/>
    <x v="97"/>
    <n v="25"/>
    <s v="扫描，YJC系统修改开船时间，导出HBL，和MBL一起发国外"/>
    <x v="133"/>
    <x v="1"/>
    <x v="0"/>
    <m/>
    <s v="Delete ayjun Add hypark"/>
    <n v="-39"/>
  </r>
  <r>
    <x v="3"/>
    <x v="98"/>
    <n v="1"/>
    <s v="PANCON上周日船期提单领取单(怎么处理)"/>
    <x v="77"/>
    <x v="0"/>
    <x v="1"/>
    <s v="朱琳"/>
    <s v="周一"/>
    <n v="-40"/>
  </r>
  <r>
    <x v="3"/>
    <x v="98"/>
    <n v="2"/>
    <s v="WEEKLY REPORT(周一当天的日期，做上周的数据)"/>
    <x v="77"/>
    <x v="0"/>
    <x v="2"/>
    <m/>
    <s v="周一"/>
    <n v="-40"/>
  </r>
  <r>
    <x v="3"/>
    <x v="98"/>
    <n v="3"/>
    <s v="汇总SC JS下周订舱需求，回Abbi邮件，制作每票清单流水"/>
    <x v="77"/>
    <x v="0"/>
    <x v="0"/>
    <m/>
    <s v="周一"/>
    <n v="-40"/>
  </r>
  <r>
    <x v="3"/>
    <x v="98"/>
    <n v="4"/>
    <s v="Abbi确认订舱预报"/>
    <x v="77"/>
    <x v="0"/>
    <x v="0"/>
    <m/>
    <s v="周一"/>
    <n v="-40"/>
  </r>
  <r>
    <x v="3"/>
    <x v="98"/>
    <n v="5"/>
    <s v="拿到上周日SWB"/>
    <x v="161"/>
    <x v="0"/>
    <x v="0"/>
    <m/>
    <s v="周一"/>
    <n v="-36"/>
  </r>
  <r>
    <x v="3"/>
    <x v="98"/>
    <n v="6"/>
    <s v="本周三出运清单（贴邮件中）上午发"/>
    <x v="145"/>
    <x v="0"/>
    <x v="0"/>
    <m/>
    <s v="周一"/>
    <n v="-38"/>
  </r>
  <r>
    <x v="3"/>
    <x v="98"/>
    <n v="7"/>
    <s v="WORKING PROCESS"/>
    <x v="133"/>
    <x v="0"/>
    <x v="3"/>
    <m/>
    <s v="周一"/>
    <n v="-39"/>
  </r>
  <r>
    <x v="3"/>
    <x v="98"/>
    <n v="8"/>
    <s v="WORKING PROCESS"/>
    <x v="157"/>
    <x v="1"/>
    <x v="0"/>
    <m/>
    <s v="周三"/>
    <n v="-37"/>
  </r>
  <r>
    <x v="3"/>
    <x v="98"/>
    <n v="9"/>
    <s v="PANCON周三船期提单领取单（怎么处理）"/>
    <x v="162"/>
    <x v="0"/>
    <x v="1"/>
    <s v="朱琳"/>
    <s v="周四"/>
    <n v="-34"/>
  </r>
  <r>
    <x v="3"/>
    <x v="98"/>
    <n v="10"/>
    <s v="拿到周三SWB"/>
    <x v="162"/>
    <x v="0"/>
    <x v="0"/>
    <m/>
    <s v="周四"/>
    <n v="-34"/>
  </r>
  <r>
    <x v="3"/>
    <x v="98"/>
    <n v="13"/>
    <s v="WORKING PROCESS"/>
    <x v="156"/>
    <x v="1"/>
    <x v="0"/>
    <m/>
    <s v="周五"/>
    <n v="-35"/>
  </r>
  <r>
    <x v="3"/>
    <x v="98"/>
    <n v="14"/>
    <s v="本周日出运清单（贴邮件中）"/>
    <x v="156"/>
    <x v="0"/>
    <x v="0"/>
    <m/>
    <s v="周五"/>
    <n v="-35"/>
  </r>
  <r>
    <x v="3"/>
    <x v="98"/>
    <n v="15"/>
    <s v="下周 WEEK 流水"/>
    <x v="156"/>
    <x v="0"/>
    <x v="0"/>
    <m/>
    <s v="周五"/>
    <n v="-35"/>
  </r>
  <r>
    <x v="3"/>
    <x v="98"/>
    <m/>
    <s v="整理每个客户的对账单日期"/>
    <x v="158"/>
    <x v="0"/>
    <x v="0"/>
    <m/>
    <m/>
    <n v="-32"/>
  </r>
  <r>
    <x v="2"/>
    <x v="99"/>
    <n v="1"/>
    <s v="【万盛开票】上月的账单全部发给（金娥善）"/>
    <x v="132"/>
    <x v="0"/>
    <x v="0"/>
    <m/>
    <s v="1号"/>
    <n v="-41"/>
  </r>
  <r>
    <x v="2"/>
    <x v="99"/>
    <n v="2"/>
    <s v="本月所有PANCON 出运清单"/>
    <x v="158"/>
    <x v="0"/>
    <x v="0"/>
    <m/>
    <s v="NOW"/>
    <n v="-32"/>
  </r>
  <r>
    <x v="2"/>
    <x v="99"/>
    <n v="3"/>
    <s v="准备 PANCON 本月所有出运清单（文件名）"/>
    <x v="158"/>
    <x v="0"/>
    <x v="0"/>
    <m/>
    <s v="1号"/>
    <n v="-32"/>
  </r>
  <r>
    <x v="2"/>
    <x v="99"/>
    <n v="4"/>
    <s v="汇率有了改下当月所有单子的汇率"/>
    <x v="152"/>
    <x v="0"/>
    <x v="0"/>
    <m/>
    <s v="1号"/>
    <n v="-31"/>
  </r>
  <r>
    <x v="2"/>
    <x v="99"/>
    <n v="5"/>
    <s v="汇率有了改下当月所有单子的汇率"/>
    <x v="152"/>
    <x v="1"/>
    <x v="0"/>
    <m/>
    <s v="1号"/>
    <n v="-31"/>
  </r>
  <r>
    <x v="2"/>
    <x v="99"/>
    <n v="6"/>
    <s v="太平保险常靓邮件，对账，回复"/>
    <x v="163"/>
    <x v="0"/>
    <x v="0"/>
    <m/>
    <s v="3号"/>
    <n v="-30"/>
  </r>
  <r>
    <x v="2"/>
    <x v="99"/>
    <n v="7"/>
    <s v="【太平保险】收到保险公司（常）上月对账单，对账后回复常"/>
    <x v="163"/>
    <x v="0"/>
    <x v="0"/>
    <m/>
    <s v="3号"/>
    <n v="-30"/>
  </r>
  <r>
    <x v="2"/>
    <x v="99"/>
    <n v="8"/>
    <s v="本月所有WORKING PROCESS/WEEKLY REPORT日程"/>
    <x v="164"/>
    <x v="0"/>
    <x v="0"/>
    <m/>
    <s v="NOW"/>
    <n v="-26"/>
  </r>
  <r>
    <x v="2"/>
    <x v="99"/>
    <n v="9"/>
    <s v="本月所有PANCON提单领取单/拿到SWB日程"/>
    <x v="164"/>
    <x v="0"/>
    <x v="0"/>
    <m/>
    <s v="NOW"/>
    <n v="-26"/>
  </r>
  <r>
    <x v="2"/>
    <x v="99"/>
    <n v="10"/>
    <s v="WORKING PROCESS"/>
    <x v="165"/>
    <x v="0"/>
    <x v="3"/>
    <m/>
    <m/>
    <n v="-25"/>
  </r>
  <r>
    <x v="2"/>
    <x v="99"/>
    <n v="10"/>
    <s v="1028雅家居月结，水单"/>
    <x v="166"/>
    <x v="0"/>
    <x v="0"/>
    <m/>
    <s v="月底"/>
    <n v="-4"/>
  </r>
  <r>
    <x v="2"/>
    <x v="99"/>
    <n v="11"/>
    <s v="WEEKLY REPORT(周一当天的日期，做上周的数据)"/>
    <x v="165"/>
    <x v="0"/>
    <x v="3"/>
    <m/>
    <m/>
    <n v="-25"/>
  </r>
  <r>
    <x v="2"/>
    <x v="99"/>
    <n v="12"/>
    <s v="ETD1013 1012清单，1015提单领取单，1015SWB"/>
    <x v="167"/>
    <x v="0"/>
    <x v="0"/>
    <m/>
    <m/>
    <n v="-24"/>
  </r>
  <r>
    <x v="2"/>
    <x v="99"/>
    <n v="13"/>
    <s v="【万盛开票】收到万盛发来上月结算单，核对，开票，发万盛（金娥善）"/>
    <x v="165"/>
    <x v="1"/>
    <x v="0"/>
    <m/>
    <s v="10号"/>
    <n v="-25"/>
  </r>
  <r>
    <x v="2"/>
    <x v="99"/>
    <n v="14"/>
    <s v="【万盛开票】核对，APP，打印，开纸质普票"/>
    <x v="165"/>
    <x v="1"/>
    <x v="0"/>
    <m/>
    <s v="10号"/>
    <n v="-25"/>
  </r>
  <r>
    <x v="2"/>
    <x v="99"/>
    <n v="15"/>
    <s v="【万盛开票】收到发票，和签字结算单一起扫描发金善娥确认"/>
    <x v="168"/>
    <x v="0"/>
    <x v="0"/>
    <m/>
    <s v="10号"/>
    <n v="-23"/>
  </r>
  <r>
    <x v="2"/>
    <x v="99"/>
    <n v="16"/>
    <s v="【万盛开票】1016寄发票给金善娥，772002743990990"/>
    <x v="155"/>
    <x v="0"/>
    <x v="3"/>
    <m/>
    <s v="10号"/>
    <n v="-21"/>
  </r>
  <r>
    <x v="2"/>
    <x v="99"/>
    <n v="17"/>
    <s v="WORKING PROCESS"/>
    <x v="168"/>
    <x v="0"/>
    <x v="3"/>
    <m/>
    <m/>
    <n v="-23"/>
  </r>
  <r>
    <x v="2"/>
    <x v="99"/>
    <n v="18"/>
    <s v="10-16 1015清单，1017提单领取单，1018SWB"/>
    <x v="155"/>
    <x v="0"/>
    <x v="0"/>
    <m/>
    <m/>
    <n v="-21"/>
  </r>
  <r>
    <x v="2"/>
    <x v="99"/>
    <n v="19"/>
    <s v="WORKING PROCESS"/>
    <x v="155"/>
    <x v="0"/>
    <x v="3"/>
    <m/>
    <m/>
    <n v="-21"/>
  </r>
  <r>
    <x v="2"/>
    <x v="99"/>
    <n v="20"/>
    <s v="10-20 1018清单，1022提单领取单，SWB"/>
    <x v="169"/>
    <x v="0"/>
    <x v="0"/>
    <m/>
    <m/>
    <n v="-17"/>
  </r>
  <r>
    <x v="2"/>
    <x v="99"/>
    <n v="21"/>
    <s v="WORKING PROCESS"/>
    <x v="170"/>
    <x v="0"/>
    <x v="0"/>
    <m/>
    <m/>
    <n v="-18"/>
  </r>
  <r>
    <x v="2"/>
    <x v="99"/>
    <n v="22"/>
    <s v="WEEKLY REPORT(周一当天的日期，做上周的数据)"/>
    <x v="170"/>
    <x v="0"/>
    <x v="0"/>
    <m/>
    <m/>
    <n v="-18"/>
  </r>
  <r>
    <x v="2"/>
    <x v="99"/>
    <n v="23"/>
    <s v="WORKING PROCESS"/>
    <x v="171"/>
    <x v="0"/>
    <x v="0"/>
    <m/>
    <m/>
    <n v="-16"/>
  </r>
  <r>
    <x v="2"/>
    <x v="99"/>
    <n v="24"/>
    <s v="10-23 1022清单，1025提单领取单，SWB"/>
    <x v="172"/>
    <x v="0"/>
    <x v="3"/>
    <m/>
    <m/>
    <n v="-14"/>
  </r>
  <r>
    <x v="2"/>
    <x v="99"/>
    <n v="25"/>
    <s v="WORKING PROCESS"/>
    <x v="172"/>
    <x v="0"/>
    <x v="0"/>
    <m/>
    <m/>
    <n v="-14"/>
  </r>
  <r>
    <x v="2"/>
    <x v="99"/>
    <n v="26"/>
    <s v="下月 MONTH"/>
    <x v="172"/>
    <x v="0"/>
    <x v="0"/>
    <m/>
    <s v="25日"/>
    <n v="-14"/>
  </r>
  <r>
    <x v="2"/>
    <x v="99"/>
    <n v="27"/>
    <s v="1025ROADSUN对账，1031开票，1031快递，收到772003022778060"/>
    <x v="173"/>
    <x v="0"/>
    <x v="0"/>
    <m/>
    <s v="25日 参考路递申月结流程"/>
    <n v="-6"/>
  </r>
  <r>
    <x v="2"/>
    <x v="99"/>
    <n v="28"/>
    <s v="1025华宝本月所有发票按明细开好后快递客户，水单"/>
    <x v="67"/>
    <x v="2"/>
    <x v="0"/>
    <m/>
    <s v="25日"/>
    <n v="3"/>
  </r>
  <r>
    <x v="2"/>
    <x v="99"/>
    <n v="29"/>
    <s v="SHGLV家居每两个月结一次操作费，小柜$10大柜$15，参考上次结的时间"/>
    <x v="172"/>
    <x v="1"/>
    <x v="0"/>
    <m/>
    <s v="25号"/>
    <n v="-14"/>
  </r>
  <r>
    <x v="2"/>
    <x v="99"/>
    <n v="30"/>
    <s v="JS mobis本月车队费用邮件发给汤爱华"/>
    <x v="174"/>
    <x v="1"/>
    <x v="0"/>
    <m/>
    <s v="28号"/>
    <n v="-13"/>
  </r>
  <r>
    <x v="2"/>
    <x v="99"/>
    <n v="31"/>
    <s v="【ROADSUN】本月账单（批量对账单里导出，删除不必要的内容）发给文生然确认"/>
    <x v="174"/>
    <x v="1"/>
    <x v="0"/>
    <m/>
    <s v="28号"/>
    <n v="-13"/>
  </r>
  <r>
    <x v="2"/>
    <x v="99"/>
    <n v="32"/>
    <s v="【ROADSUN】客户文生然确认月账单，申请开票（月结，抬头广州美越，只能纸质票，国际货物运输代理费）"/>
    <x v="174"/>
    <x v="1"/>
    <x v="0"/>
    <m/>
    <s v="28号"/>
    <n v="-13"/>
  </r>
  <r>
    <x v="2"/>
    <x v="99"/>
    <n v="33"/>
    <s v="【ROADSUN】收到发票，和确认的账单表格一起寄给万晖"/>
    <x v="174"/>
    <x v="1"/>
    <x v="0"/>
    <m/>
    <s v="28号"/>
    <n v="-13"/>
  </r>
  <r>
    <x v="2"/>
    <x v="99"/>
    <n v="34"/>
    <s v="本月万盛所有费用整理发上海GLV，参考之前的邮件"/>
    <x v="174"/>
    <x v="1"/>
    <x v="0"/>
    <m/>
    <s v="月底最后一个工作日"/>
    <n v="-13"/>
  </r>
  <r>
    <x v="2"/>
    <x v="99"/>
    <n v="35"/>
    <s v="开华宝发票（要求很严，具体看家居表费用里说明）"/>
    <x v="174"/>
    <x v="1"/>
    <x v="0"/>
    <m/>
    <s v="25号前前前"/>
    <n v="-13"/>
  </r>
  <r>
    <x v="2"/>
    <x v="99"/>
    <n v="36"/>
    <s v="10-27 1026清单，OK提单领取单，SWB"/>
    <x v="175"/>
    <x v="0"/>
    <x v="0"/>
    <m/>
    <m/>
    <n v="-9"/>
  </r>
  <r>
    <x v="2"/>
    <x v="99"/>
    <n v="37"/>
    <s v="家居本月GLV月结的账单全部发给金娥善(1027永艺，万盛)"/>
    <x v="176"/>
    <x v="0"/>
    <x v="1"/>
    <m/>
    <s v="27号"/>
    <n v="-10"/>
  </r>
  <r>
    <x v="2"/>
    <x v="99"/>
    <n v="38"/>
    <s v="WORKING PROCESS"/>
    <x v="177"/>
    <x v="0"/>
    <x v="0"/>
    <m/>
    <m/>
    <n v="-11"/>
  </r>
  <r>
    <x v="2"/>
    <x v="99"/>
    <n v="39"/>
    <s v="WEEKLY REPORT(周一当天的日期，做上周的数据)"/>
    <x v="178"/>
    <x v="0"/>
    <x v="0"/>
    <m/>
    <m/>
    <n v="-12"/>
  </r>
  <r>
    <x v="2"/>
    <x v="99"/>
    <n v="40"/>
    <s v="JS mobis本月车队费用邮件发给汤爱华"/>
    <x v="178"/>
    <x v="0"/>
    <x v="0"/>
    <m/>
    <s v="28号"/>
    <n v="-12"/>
  </r>
  <r>
    <x v="2"/>
    <x v="99"/>
    <n v="41"/>
    <s v="WORKING PROCESS"/>
    <x v="175"/>
    <x v="0"/>
    <x v="0"/>
    <m/>
    <m/>
    <n v="-9"/>
  </r>
  <r>
    <x v="2"/>
    <x v="99"/>
    <n v="42"/>
    <s v="10-30 1028清单，1101提单领取单，SWB"/>
    <x v="119"/>
    <x v="0"/>
    <x v="0"/>
    <m/>
    <m/>
    <n v="-7"/>
  </r>
  <r>
    <x v="2"/>
    <x v="99"/>
    <n v="43"/>
    <s v="下月 MONTH"/>
    <x v="159"/>
    <x v="1"/>
    <x v="0"/>
    <m/>
    <s v="30号"/>
    <n v="-8"/>
  </r>
  <r>
    <x v="7"/>
    <x v="99"/>
    <n v="1"/>
    <s v="【拼箱】收到托书"/>
    <x v="142"/>
    <x v="0"/>
    <x v="2"/>
    <m/>
    <m/>
    <n v="-46"/>
  </r>
  <r>
    <x v="7"/>
    <x v="99"/>
    <n v="2"/>
    <s v="托书，订舱，进仓通知"/>
    <x v="142"/>
    <x v="0"/>
    <x v="0"/>
    <m/>
    <m/>
    <n v="-46"/>
  </r>
  <r>
    <x v="7"/>
    <x v="99"/>
    <n v="3"/>
    <s v="【拼箱】发托书给指代"/>
    <x v="142"/>
    <x v="0"/>
    <x v="2"/>
    <m/>
    <m/>
    <n v="-46"/>
  </r>
  <r>
    <x v="7"/>
    <x v="99"/>
    <n v="4"/>
    <s v="船名航次、提单号还没给"/>
    <x v="154"/>
    <x v="0"/>
    <x v="0"/>
    <m/>
    <m/>
    <n v="-45"/>
  </r>
  <r>
    <x v="7"/>
    <x v="99"/>
    <n v="5"/>
    <s v="【拼箱】收到进仓通知"/>
    <x v="142"/>
    <x v="0"/>
    <x v="2"/>
    <m/>
    <m/>
    <n v="-46"/>
  </r>
  <r>
    <x v="7"/>
    <x v="99"/>
    <n v="6"/>
    <s v="KOOKYANG，未确认"/>
    <x v="154"/>
    <x v="0"/>
    <x v="0"/>
    <m/>
    <m/>
    <n v="-45"/>
  </r>
  <r>
    <x v="7"/>
    <x v="99"/>
    <n v="7"/>
    <s v="【拼箱】拼箱怎么出提单？"/>
    <x v="131"/>
    <x v="0"/>
    <x v="0"/>
    <m/>
    <m/>
    <n v="-43"/>
  </r>
  <r>
    <x v="7"/>
    <x v="99"/>
    <n v="8"/>
    <s v="9-27 12:00截单"/>
    <x v="131"/>
    <x v="0"/>
    <x v="0"/>
    <m/>
    <s v="一般很快就能有"/>
    <n v="-43"/>
  </r>
  <r>
    <x v="7"/>
    <x v="99"/>
    <n v="9"/>
    <s v="9-28 18:00截货"/>
    <x v="132"/>
    <x v="0"/>
    <x v="0"/>
    <m/>
    <m/>
    <n v="-41"/>
  </r>
  <r>
    <x v="7"/>
    <x v="99"/>
    <n v="10"/>
    <s v="康确认成本和卖价，回复Cain，发账单给徐"/>
    <x v="77"/>
    <x v="0"/>
    <x v="3"/>
    <s v="康"/>
    <m/>
    <n v="-40"/>
  </r>
  <r>
    <x v="7"/>
    <x v="99"/>
    <n v="11"/>
    <s v="APP了发票没开，转徐"/>
    <x v="152"/>
    <x v="0"/>
    <x v="0"/>
    <m/>
    <m/>
    <n v="-31"/>
  </r>
  <r>
    <x v="7"/>
    <x v="99"/>
    <n v="11"/>
    <s v="提单节后给了么？"/>
    <x v="77"/>
    <x v="0"/>
    <x v="1"/>
    <s v="Caine"/>
    <m/>
    <n v="-40"/>
  </r>
  <r>
    <x v="7"/>
    <x v="99"/>
    <n v="12"/>
    <s v="确认费用，船开，提单，放单"/>
    <x v="145"/>
    <x v="0"/>
    <x v="0"/>
    <m/>
    <m/>
    <n v="-38"/>
  </r>
  <r>
    <x v="7"/>
    <x v="99"/>
    <n v="13"/>
    <s v="应收发票1009寄773006435509266，1010到，1017收水单"/>
    <x v="179"/>
    <x v="0"/>
    <x v="0"/>
    <m/>
    <m/>
    <n v="-22"/>
  </r>
  <r>
    <x v="7"/>
    <x v="99"/>
    <n v="14"/>
    <s v="假期怎么放单，怎么收提单？"/>
    <x v="130"/>
    <x v="0"/>
    <x v="0"/>
    <m/>
    <m/>
    <n v="-44"/>
  </r>
  <r>
    <x v="7"/>
    <x v="99"/>
    <n v="15"/>
    <s v="收到应付发票，和Statement一起给许培"/>
    <x v="152"/>
    <x v="0"/>
    <x v="0"/>
    <m/>
    <m/>
    <n v="-31"/>
  </r>
  <r>
    <x v="3"/>
    <x v="99"/>
    <m/>
    <s v="772002918097395 雅家居月结协议快递1024"/>
    <x v="172"/>
    <x v="0"/>
    <x v="0"/>
    <m/>
    <m/>
    <n v="-14"/>
  </r>
  <r>
    <x v="3"/>
    <x v="99"/>
    <m/>
    <s v="HMI 26 30船期1028给账单"/>
    <x v="178"/>
    <x v="0"/>
    <x v="0"/>
    <m/>
    <m/>
    <n v="-12"/>
  </r>
  <r>
    <x v="3"/>
    <x v="99"/>
    <m/>
    <s v="跟踪表全部都理一遍，退佣整理好给金娥善"/>
    <x v="178"/>
    <x v="0"/>
    <x v="0"/>
    <m/>
    <m/>
    <n v="-12"/>
  </r>
  <r>
    <x v="0"/>
    <x v="100"/>
    <n v="1"/>
    <s v="收到客户(孙丹/王珊)发来订舱托书"/>
    <x v="144"/>
    <x v="0"/>
    <x v="0"/>
    <m/>
    <m/>
    <n v="-50"/>
  </r>
  <r>
    <x v="0"/>
    <x v="100"/>
    <n v="2"/>
    <s v="预配（沈丽收到）"/>
    <x v="129"/>
    <x v="0"/>
    <x v="1"/>
    <s v="Nikki"/>
    <m/>
    <n v="-42"/>
  </r>
  <r>
    <x v="0"/>
    <x v="100"/>
    <n v="3"/>
    <s v="YJC系统生成单子"/>
    <x v="154"/>
    <x v="0"/>
    <x v="0"/>
    <m/>
    <m/>
    <n v="-45"/>
  </r>
  <r>
    <x v="0"/>
    <x v="100"/>
    <n v="4"/>
    <s v="包装指示书，做数据，发工厂，发数据（注明做箱时间）"/>
    <x v="129"/>
    <x v="0"/>
    <x v="1"/>
    <s v="刘倩梅"/>
    <s v="一般周四"/>
    <n v="-42"/>
  </r>
  <r>
    <x v="0"/>
    <x v="100"/>
    <n v="7"/>
    <s v="收到车队(沈丽)装箱单和洋山提箱截图(如有)，9点前群发，通知发舱单"/>
    <x v="77"/>
    <x v="0"/>
    <x v="1"/>
    <m/>
    <s v="一般KMM五、HMI日"/>
    <n v="-40"/>
  </r>
  <r>
    <x v="0"/>
    <x v="100"/>
    <n v="8"/>
    <s v="收到工厂发来报关资料并完善(代做报关资料跟客户确认)"/>
    <x v="77"/>
    <x v="0"/>
    <x v="0"/>
    <m/>
    <s v="当天至隔天"/>
    <n v="-40"/>
  </r>
  <r>
    <x v="0"/>
    <x v="100"/>
    <n v="9"/>
    <s v="报关资料齐了（光成要素划掉XXX），发报关行(罗运生)"/>
    <x v="77"/>
    <x v="0"/>
    <x v="1"/>
    <m/>
    <m/>
    <n v="-40"/>
  </r>
  <r>
    <x v="0"/>
    <x v="100"/>
    <n v="10"/>
    <s v="【HMI】货运模板/发票/箱单"/>
    <x v="132"/>
    <x v="0"/>
    <x v="0"/>
    <m/>
    <m/>
    <n v="-41"/>
  </r>
  <r>
    <x v="0"/>
    <x v="100"/>
    <n v="11"/>
    <s v="收到舱单发送成功通知，核对舱单信息"/>
    <x v="133"/>
    <x v="0"/>
    <x v="6"/>
    <m/>
    <m/>
    <n v="-39"/>
  </r>
  <r>
    <x v="0"/>
    <x v="100"/>
    <n v="12"/>
    <s v="通知进港"/>
    <x v="77"/>
    <x v="0"/>
    <x v="1"/>
    <m/>
    <s v="调整顺序"/>
    <n v="-40"/>
  </r>
  <r>
    <x v="0"/>
    <x v="100"/>
    <n v="12"/>
    <s v="【HMI】开港"/>
    <x v="77"/>
    <x v="0"/>
    <x v="1"/>
    <m/>
    <m/>
    <n v="-40"/>
  </r>
  <r>
    <x v="0"/>
    <x v="100"/>
    <n v="12"/>
    <s v="进港(核对数据)"/>
    <x v="133"/>
    <x v="0"/>
    <x v="0"/>
    <m/>
    <s v="调整顺序"/>
    <n v="-39"/>
  </r>
  <r>
    <x v="0"/>
    <x v="100"/>
    <n v="12"/>
    <s v="通知报关（洋山发装箱单）"/>
    <x v="133"/>
    <x v="0"/>
    <x v="6"/>
    <m/>
    <s v="调整顺序"/>
    <n v="-39"/>
  </r>
  <r>
    <x v="0"/>
    <x v="100"/>
    <n v="12"/>
    <s v="报关成功"/>
    <x v="133"/>
    <x v="0"/>
    <x v="3"/>
    <m/>
    <s v="调整顺序"/>
    <n v="-39"/>
  </r>
  <r>
    <x v="0"/>
    <x v="100"/>
    <n v="17"/>
    <s v="海放"/>
    <x v="133"/>
    <x v="0"/>
    <x v="3"/>
    <m/>
    <m/>
    <n v="-39"/>
  </r>
  <r>
    <x v="0"/>
    <x v="100"/>
    <n v="18"/>
    <s v="码放"/>
    <x v="161"/>
    <x v="0"/>
    <x v="3"/>
    <m/>
    <m/>
    <n v="-36"/>
  </r>
  <r>
    <x v="0"/>
    <x v="100"/>
    <n v="19"/>
    <s v="配载"/>
    <x v="156"/>
    <x v="0"/>
    <x v="3"/>
    <m/>
    <m/>
    <n v="-35"/>
  </r>
  <r>
    <x v="0"/>
    <x v="100"/>
    <n v="20"/>
    <s v="做费用(对账单日期4号)，放公共盘，填月账单表，发孙丹"/>
    <x v="158"/>
    <x v="0"/>
    <x v="0"/>
    <m/>
    <m/>
    <n v="-32"/>
  </r>
  <r>
    <x v="0"/>
    <x v="100"/>
    <n v="21"/>
    <s v="如有额外费用发邮件"/>
    <x v="158"/>
    <x v="0"/>
    <x v="0"/>
    <m/>
    <m/>
    <n v="-32"/>
  </r>
  <r>
    <x v="0"/>
    <x v="100"/>
    <n v="22"/>
    <s v="船开"/>
    <x v="156"/>
    <x v="0"/>
    <x v="0"/>
    <m/>
    <m/>
    <n v="-35"/>
  </r>
  <r>
    <x v="1"/>
    <x v="100"/>
    <n v="1"/>
    <s v="收到客户(孙丹/王珊)发来订舱托书"/>
    <x v="150"/>
    <x v="0"/>
    <x v="0"/>
    <m/>
    <m/>
    <n v="-51"/>
  </r>
  <r>
    <x v="1"/>
    <x v="100"/>
    <n v="2"/>
    <s v="收到CK发来预配(做箱通知，沈丽有收到？)"/>
    <x v="144"/>
    <x v="0"/>
    <x v="0"/>
    <m/>
    <m/>
    <n v="-50"/>
  </r>
  <r>
    <x v="1"/>
    <x v="100"/>
    <n v="3"/>
    <s v="YJC系统生成单子"/>
    <x v="76"/>
    <x v="0"/>
    <x v="0"/>
    <m/>
    <m/>
    <n v="-49"/>
  </r>
  <r>
    <x v="1"/>
    <x v="100"/>
    <n v="4"/>
    <s v="包装指示书，做数据，发工厂，发车队（注明做箱时间）"/>
    <x v="131"/>
    <x v="0"/>
    <x v="0"/>
    <m/>
    <s v="一般周四"/>
    <n v="-43"/>
  </r>
  <r>
    <x v="1"/>
    <x v="100"/>
    <n v="7"/>
    <s v="收到车队(沈丽)装箱单和洋山提箱截图(如有)，通知发舱单"/>
    <x v="129"/>
    <x v="0"/>
    <x v="1"/>
    <s v="沈丽"/>
    <s v="一般KMM五、HMI日"/>
    <n v="-42"/>
  </r>
  <r>
    <x v="1"/>
    <x v="100"/>
    <n v="8"/>
    <s v="收到工厂发来报关资料并完善(代做报关资料跟客户确认)"/>
    <x v="129"/>
    <x v="0"/>
    <x v="0"/>
    <m/>
    <s v="当天至隔天"/>
    <n v="-42"/>
  </r>
  <r>
    <x v="1"/>
    <x v="100"/>
    <n v="9"/>
    <s v="报关资料发报关行（光成要素划掉XXX）"/>
    <x v="129"/>
    <x v="0"/>
    <x v="1"/>
    <m/>
    <m/>
    <n v="-42"/>
  </r>
  <r>
    <x v="1"/>
    <x v="100"/>
    <n v="10"/>
    <s v="【HMI】货运模板/发票/箱单"/>
    <x v="129"/>
    <x v="1"/>
    <x v="0"/>
    <m/>
    <m/>
    <n v="-42"/>
  </r>
  <r>
    <x v="1"/>
    <x v="100"/>
    <n v="11"/>
    <s v="核对舱单，发装箱单报关"/>
    <x v="129"/>
    <x v="0"/>
    <x v="6"/>
    <m/>
    <m/>
    <n v="-42"/>
  </r>
  <r>
    <x v="1"/>
    <x v="100"/>
    <n v="12"/>
    <s v="【HMI】开港"/>
    <x v="129"/>
    <x v="1"/>
    <x v="0"/>
    <m/>
    <m/>
    <n v="-42"/>
  </r>
  <r>
    <x v="1"/>
    <x v="100"/>
    <n v="15"/>
    <s v="通知进港"/>
    <x v="129"/>
    <x v="0"/>
    <x v="4"/>
    <m/>
    <s v="调整顺序"/>
    <n v="-42"/>
  </r>
  <r>
    <x v="1"/>
    <x v="100"/>
    <n v="16"/>
    <s v="进港(核对数据)"/>
    <x v="132"/>
    <x v="0"/>
    <x v="0"/>
    <m/>
    <s v="调整顺序"/>
    <n v="-41"/>
  </r>
  <r>
    <x v="1"/>
    <x v="100"/>
    <n v="17"/>
    <s v="海放"/>
    <x v="132"/>
    <x v="0"/>
    <x v="0"/>
    <m/>
    <m/>
    <n v="-41"/>
  </r>
  <r>
    <x v="1"/>
    <x v="100"/>
    <n v="18"/>
    <s v="码放"/>
    <x v="161"/>
    <x v="0"/>
    <x v="0"/>
    <m/>
    <m/>
    <n v="-36"/>
  </r>
  <r>
    <x v="1"/>
    <x v="100"/>
    <n v="19"/>
    <s v="配载"/>
    <x v="161"/>
    <x v="0"/>
    <x v="0"/>
    <m/>
    <m/>
    <n v="-36"/>
  </r>
  <r>
    <x v="1"/>
    <x v="100"/>
    <n v="20"/>
    <s v="做费用(对账单日期4号)，放公共盘，填月账单表，发孙丹"/>
    <x v="158"/>
    <x v="0"/>
    <x v="0"/>
    <m/>
    <m/>
    <n v="-32"/>
  </r>
  <r>
    <x v="1"/>
    <x v="100"/>
    <n v="21"/>
    <s v="如有额外费用发邮件"/>
    <x v="158"/>
    <x v="0"/>
    <x v="0"/>
    <m/>
    <m/>
    <n v="-32"/>
  </r>
  <r>
    <x v="1"/>
    <x v="100"/>
    <n v="22"/>
    <s v="船开"/>
    <x v="156"/>
    <x v="0"/>
    <x v="0"/>
    <m/>
    <m/>
    <n v="-35"/>
  </r>
  <r>
    <x v="6"/>
    <x v="100"/>
    <n v="1"/>
    <s v="收到胡媛媛发来订舱邮件"/>
    <x v="108"/>
    <x v="0"/>
    <x v="0"/>
    <m/>
    <m/>
    <n v="-67"/>
  </r>
  <r>
    <x v="6"/>
    <x v="100"/>
    <n v="2"/>
    <s v="发订舱托书给万恒（翁小姐）"/>
    <x v="108"/>
    <x v="0"/>
    <x v="0"/>
    <m/>
    <m/>
    <n v="-67"/>
  </r>
  <r>
    <x v="6"/>
    <x v="100"/>
    <n v="3"/>
    <s v="收到万恒（翁小姐）预配（中转港必须是LAZARO）"/>
    <x v="123"/>
    <x v="0"/>
    <x v="0"/>
    <m/>
    <s v="一般三小时左右"/>
    <n v="-66"/>
  </r>
  <r>
    <x v="6"/>
    <x v="100"/>
    <n v="5"/>
    <s v="发做箱通知邮件给车队(沈丽)，通知做箱时间"/>
    <x v="123"/>
    <x v="0"/>
    <x v="0"/>
    <m/>
    <m/>
    <n v="-66"/>
  </r>
  <r>
    <x v="6"/>
    <x v="100"/>
    <n v="6"/>
    <s v="通知胡媛媛订舱成功和做箱时间"/>
    <x v="123"/>
    <x v="0"/>
    <x v="0"/>
    <m/>
    <m/>
    <n v="-66"/>
  </r>
  <r>
    <x v="6"/>
    <x v="100"/>
    <n v="7"/>
    <s v="跟客户确认发报关资料和做箱时间"/>
    <x v="142"/>
    <x v="0"/>
    <x v="0"/>
    <s v="胡媛媛"/>
    <s v="截单前三天"/>
    <n v="-46"/>
  </r>
  <r>
    <x v="6"/>
    <x v="100"/>
    <n v="8"/>
    <s v="收到胡媛媛发来报关资料"/>
    <x v="154"/>
    <x v="0"/>
    <x v="0"/>
    <m/>
    <s v="船开前一周？"/>
    <n v="-45"/>
  </r>
  <r>
    <x v="6"/>
    <x v="100"/>
    <n v="9"/>
    <s v="完善报关资料发报关行（罗运生），要校对稿，做箱数据给沈丽，更新系统件毛体"/>
    <x v="130"/>
    <x v="0"/>
    <x v="0"/>
    <m/>
    <m/>
    <n v="-44"/>
  </r>
  <r>
    <x v="6"/>
    <x v="100"/>
    <n v="10"/>
    <s v="买保险"/>
    <x v="154"/>
    <x v="0"/>
    <x v="0"/>
    <m/>
    <m/>
    <n v="-45"/>
  </r>
  <r>
    <x v="6"/>
    <x v="100"/>
    <n v="11"/>
    <s v="做异地付款保函，发胡媛媛确认盖章回传"/>
    <x v="154"/>
    <x v="0"/>
    <x v="0"/>
    <m/>
    <m/>
    <n v="-45"/>
  </r>
  <r>
    <x v="6"/>
    <x v="100"/>
    <n v="12"/>
    <s v="收到客户（胡媛媛）发来保函扫描件"/>
    <x v="130"/>
    <x v="0"/>
    <x v="0"/>
    <m/>
    <s v="一般马上"/>
    <n v="-44"/>
  </r>
  <r>
    <x v="6"/>
    <x v="100"/>
    <n v="13"/>
    <s v="校对稿"/>
    <x v="131"/>
    <x v="0"/>
    <x v="4"/>
    <m/>
    <s v="一般半天内"/>
    <n v="-43"/>
  </r>
  <r>
    <x v="6"/>
    <x v="100"/>
    <n v="15"/>
    <s v="开港时间，做箱时间，通知胡媛媛、沈丽"/>
    <x v="131"/>
    <x v="0"/>
    <x v="4"/>
    <m/>
    <s v="截单前一天"/>
    <n v="-43"/>
  </r>
  <r>
    <x v="6"/>
    <x v="100"/>
    <n v="16"/>
    <s v="收到沈丽发来装箱单"/>
    <x v="129"/>
    <x v="0"/>
    <x v="1"/>
    <s v="沈丽"/>
    <s v="截单当天"/>
    <n v="-42"/>
  </r>
  <r>
    <x v="6"/>
    <x v="100"/>
    <n v="17"/>
    <s v="完善截单资料发万恒（翁小姐），请求发舱单"/>
    <x v="129"/>
    <x v="0"/>
    <x v="1"/>
    <m/>
    <m/>
    <n v="-42"/>
  </r>
  <r>
    <x v="6"/>
    <x v="100"/>
    <n v="18"/>
    <s v="核对舱单，装箱单发报关行报关"/>
    <x v="129"/>
    <x v="0"/>
    <x v="6"/>
    <m/>
    <m/>
    <n v="-42"/>
  </r>
  <r>
    <x v="6"/>
    <x v="100"/>
    <n v="19"/>
    <s v="发提单样本"/>
    <x v="77"/>
    <x v="0"/>
    <x v="3"/>
    <m/>
    <m/>
    <n v="-40"/>
  </r>
  <r>
    <x v="6"/>
    <x v="100"/>
    <n v="21"/>
    <s v="确认提单样本"/>
    <x v="77"/>
    <x v="0"/>
    <x v="3"/>
    <m/>
    <m/>
    <n v="-40"/>
  </r>
  <r>
    <x v="6"/>
    <x v="100"/>
    <n v="22"/>
    <s v="收到报关成功通知，通知车队可进港 "/>
    <x v="129"/>
    <x v="0"/>
    <x v="4"/>
    <m/>
    <m/>
    <n v="-42"/>
  </r>
  <r>
    <x v="6"/>
    <x v="100"/>
    <n v="23"/>
    <s v="进港，核对数据"/>
    <x v="132"/>
    <x v="0"/>
    <x v="0"/>
    <m/>
    <m/>
    <n v="-41"/>
  </r>
  <r>
    <x v="6"/>
    <x v="100"/>
    <n v="24"/>
    <s v="海放"/>
    <x v="132"/>
    <x v="0"/>
    <x v="0"/>
    <m/>
    <m/>
    <n v="-41"/>
  </r>
  <r>
    <x v="6"/>
    <x v="100"/>
    <n v="25"/>
    <s v="码放"/>
    <x v="161"/>
    <x v="0"/>
    <x v="0"/>
    <m/>
    <m/>
    <n v="-36"/>
  </r>
  <r>
    <x v="6"/>
    <x v="100"/>
    <n v="26"/>
    <s v="配载"/>
    <x v="161"/>
    <x v="0"/>
    <x v="0"/>
    <m/>
    <m/>
    <n v="-36"/>
  </r>
  <r>
    <x v="6"/>
    <x v="100"/>
    <n v="27"/>
    <s v="开船"/>
    <x v="156"/>
    <x v="0"/>
    <x v="0"/>
    <m/>
    <m/>
    <n v="-35"/>
  </r>
  <r>
    <x v="6"/>
    <x v="100"/>
    <n v="28"/>
    <s v="收到万恒账单，做费用（汇率），发账单给陈吟勇"/>
    <x v="163"/>
    <x v="0"/>
    <x v="0"/>
    <m/>
    <m/>
    <n v="-30"/>
  </r>
  <r>
    <x v="6"/>
    <x v="100"/>
    <n v="29"/>
    <s v="收到万恒（翁小姐）提单，放提单和预录单给胡媛媛"/>
    <x v="163"/>
    <x v="0"/>
    <x v="0"/>
    <m/>
    <m/>
    <n v="-30"/>
  </r>
  <r>
    <x v="11"/>
    <x v="101"/>
    <n v="1"/>
    <s v="收到托书"/>
    <x v="142"/>
    <x v="0"/>
    <x v="0"/>
    <m/>
    <m/>
    <n v="-46"/>
  </r>
  <r>
    <x v="11"/>
    <x v="101"/>
    <n v="2"/>
    <s v="先跟车队预订车子，确认货好时间"/>
    <x v="154"/>
    <x v="0"/>
    <x v="0"/>
    <m/>
    <m/>
    <n v="-45"/>
  </r>
  <r>
    <x v="11"/>
    <x v="101"/>
    <n v="3"/>
    <s v="收到预配，YJC生成，确认做箱时间，发通知给车队"/>
    <x v="131"/>
    <x v="0"/>
    <x v="0"/>
    <m/>
    <m/>
    <n v="-43"/>
  </r>
  <r>
    <x v="11"/>
    <x v="101"/>
    <n v="4"/>
    <s v="要数据，发沈丽，发客户要报关资料"/>
    <x v="77"/>
    <x v="0"/>
    <x v="1"/>
    <m/>
    <m/>
    <n v="-40"/>
  </r>
  <r>
    <x v="11"/>
    <x v="101"/>
    <n v="5"/>
    <s v="收报关资料（世钟29号，延锋？），发报关行"/>
    <x v="77"/>
    <x v="0"/>
    <x v="1"/>
    <m/>
    <m/>
    <n v="-40"/>
  </r>
  <r>
    <x v="11"/>
    <x v="101"/>
    <n v="6"/>
    <s v="确认做箱时间，通知沈丽"/>
    <x v="77"/>
    <x v="0"/>
    <x v="0"/>
    <m/>
    <m/>
    <n v="-40"/>
  </r>
  <r>
    <x v="11"/>
    <x v="101"/>
    <n v="7"/>
    <s v="装箱单，转ZHL发舱单，核对舱单"/>
    <x v="133"/>
    <x v="0"/>
    <x v="3"/>
    <m/>
    <m/>
    <n v="-39"/>
  </r>
  <r>
    <x v="11"/>
    <x v="101"/>
    <n v="8"/>
    <s v="进港，核对数据，报关"/>
    <x v="145"/>
    <x v="0"/>
    <x v="0"/>
    <m/>
    <m/>
    <n v="-38"/>
  </r>
  <r>
    <x v="11"/>
    <x v="101"/>
    <n v="9"/>
    <s v="海放，码放，配载"/>
    <x v="156"/>
    <x v="0"/>
    <x v="0"/>
    <m/>
    <m/>
    <n v="-35"/>
  </r>
  <r>
    <x v="11"/>
    <x v="101"/>
    <n v="10"/>
    <s v="开船"/>
    <x v="162"/>
    <x v="0"/>
    <x v="0"/>
    <m/>
    <m/>
    <n v="-34"/>
  </r>
  <r>
    <x v="11"/>
    <x v="101"/>
    <n v="11"/>
    <s v="收到费用做费用，代付，费用表和明细发孙丹"/>
    <x v="158"/>
    <x v="0"/>
    <x v="0"/>
    <m/>
    <m/>
    <n v="-32"/>
  </r>
  <r>
    <x v="11"/>
    <x v="101"/>
    <n v="12"/>
    <s v="10111441应付发票，10120811Statement决议，10121545水单"/>
    <x v="113"/>
    <x v="0"/>
    <x v="6"/>
    <m/>
    <m/>
    <n v="-27"/>
  </r>
  <r>
    <x v="4"/>
    <x v="102"/>
    <n v="1"/>
    <s v="收到客户(陈云娣)订舱预报"/>
    <x v="132"/>
    <x v="0"/>
    <x v="0"/>
    <m/>
    <s v="一般周五发隔周"/>
    <n v="-41"/>
  </r>
  <r>
    <x v="4"/>
    <x v="102"/>
    <n v="6"/>
    <s v="公共盘生成提单号(QSWB不要搞错)"/>
    <x v="132"/>
    <x v="0"/>
    <x v="0"/>
    <m/>
    <m/>
    <n v="-41"/>
  </r>
  <r>
    <x v="4"/>
    <x v="102"/>
    <n v="7"/>
    <s v="YJC系统生成单子"/>
    <x v="132"/>
    <x v="0"/>
    <x v="0"/>
    <m/>
    <m/>
    <n v="-41"/>
  </r>
  <r>
    <x v="4"/>
    <x v="102"/>
    <n v="8"/>
    <s v="发EDI"/>
    <x v="132"/>
    <x v="0"/>
    <x v="0"/>
    <m/>
    <m/>
    <n v="-41"/>
  </r>
  <r>
    <x v="4"/>
    <x v="102"/>
    <n v="9"/>
    <s v="邮件申请放舱"/>
    <x v="132"/>
    <x v="0"/>
    <x v="0"/>
    <m/>
    <m/>
    <n v="-41"/>
  </r>
  <r>
    <x v="4"/>
    <x v="102"/>
    <n v="10"/>
    <s v="收到HMM(Abbi) 确认放舱"/>
    <x v="77"/>
    <x v="0"/>
    <x v="6"/>
    <m/>
    <s v="一般半天内"/>
    <n v="-40"/>
  </r>
  <r>
    <x v="4"/>
    <x v="102"/>
    <n v="11"/>
    <s v="HMM网站核对订舱信息"/>
    <x v="77"/>
    <x v="0"/>
    <x v="6"/>
    <m/>
    <m/>
    <n v="-40"/>
  </r>
  <r>
    <x v="4"/>
    <x v="102"/>
    <n v="12"/>
    <s v="收到客户(陈云娣)做箱通知"/>
    <x v="77"/>
    <x v="0"/>
    <x v="4"/>
    <m/>
    <s v="一般做箱头天一早"/>
    <n v="-40"/>
  </r>
  <r>
    <x v="4"/>
    <x v="102"/>
    <n v="13"/>
    <s v="【拆单】公共盘生成提单号"/>
    <x v="77"/>
    <x v="0"/>
    <x v="4"/>
    <m/>
    <m/>
    <n v="-40"/>
  </r>
  <r>
    <x v="4"/>
    <x v="102"/>
    <n v="14"/>
    <s v="发做箱通知邮件给车队(沈丽)（航次要加QL？）"/>
    <x v="77"/>
    <x v="0"/>
    <x v="4"/>
    <m/>
    <m/>
    <n v="-40"/>
  </r>
  <r>
    <x v="4"/>
    <x v="102"/>
    <n v="15"/>
    <s v="【拆单】YJC系统生成单子（QSWB不要搞错）"/>
    <x v="77"/>
    <x v="0"/>
    <x v="4"/>
    <m/>
    <m/>
    <n v="-40"/>
  </r>
  <r>
    <x v="4"/>
    <x v="102"/>
    <n v="16"/>
    <s v="【拆单】发EDI"/>
    <x v="77"/>
    <x v="0"/>
    <x v="4"/>
    <m/>
    <m/>
    <n v="-40"/>
  </r>
  <r>
    <x v="4"/>
    <x v="102"/>
    <n v="17"/>
    <s v="【拆单】邮件申请放单"/>
    <x v="77"/>
    <x v="0"/>
    <x v="4"/>
    <m/>
    <m/>
    <n v="-40"/>
  </r>
  <r>
    <x v="4"/>
    <x v="102"/>
    <n v="18"/>
    <s v="【拆单】收到HMM(Abbi) 加拼放单确认"/>
    <x v="133"/>
    <x v="0"/>
    <x v="0"/>
    <m/>
    <m/>
    <n v="-39"/>
  </r>
  <r>
    <x v="4"/>
    <x v="102"/>
    <n v="19"/>
    <s v="【拆单】HMM网站核对订舱信息"/>
    <x v="133"/>
    <x v="0"/>
    <x v="0"/>
    <m/>
    <m/>
    <n v="-39"/>
  </r>
  <r>
    <x v="4"/>
    <x v="102"/>
    <n v="20"/>
    <s v="收到客户(陈云娣)发来报关资料"/>
    <x v="133"/>
    <x v="0"/>
    <x v="0"/>
    <m/>
    <s v="一般做箱当天一早"/>
    <n v="-39"/>
  </r>
  <r>
    <x v="4"/>
    <x v="102"/>
    <n v="21"/>
    <s v="【加拼】按报关(发票)数生成提单号【如发票数超过提单数】"/>
    <x v="133"/>
    <x v="1"/>
    <x v="0"/>
    <m/>
    <m/>
    <n v="-39"/>
  </r>
  <r>
    <x v="4"/>
    <x v="102"/>
    <n v="22"/>
    <s v="做做箱数据，QQ发车队(沈丽)"/>
    <x v="133"/>
    <x v="0"/>
    <x v="0"/>
    <m/>
    <m/>
    <n v="-39"/>
  </r>
  <r>
    <x v="4"/>
    <x v="102"/>
    <n v="23"/>
    <s v="收到车队(沈丽)装箱单，转发客户（陈云娣）"/>
    <x v="133"/>
    <x v="0"/>
    <x v="0"/>
    <m/>
    <s v="一般马上"/>
    <n v="-39"/>
  </r>
  <r>
    <x v="4"/>
    <x v="102"/>
    <n v="24"/>
    <s v="YJC系统截单，发EDI，邮件HMM(He)【截单时间】"/>
    <x v="133"/>
    <x v="0"/>
    <x v="0"/>
    <m/>
    <s v="注意截单时间"/>
    <n v="-39"/>
  </r>
  <r>
    <x v="4"/>
    <x v="102"/>
    <n v="25"/>
    <s v="发VGM和舱单（亿通，鹏海两次）"/>
    <x v="133"/>
    <x v="0"/>
    <x v="0"/>
    <m/>
    <m/>
    <n v="-39"/>
  </r>
  <r>
    <x v="4"/>
    <x v="102"/>
    <n v="26"/>
    <s v="做报关资料，扫描发报关行(罗运生)QQ，要校对稿"/>
    <x v="133"/>
    <x v="0"/>
    <x v="0"/>
    <m/>
    <m/>
    <n v="-39"/>
  </r>
  <r>
    <x v="4"/>
    <x v="102"/>
    <n v="27"/>
    <s v="做保函给邹师傅(美国线)"/>
    <x v="133"/>
    <x v="0"/>
    <x v="0"/>
    <m/>
    <m/>
    <n v="-39"/>
  </r>
  <r>
    <x v="4"/>
    <x v="102"/>
    <n v="28"/>
    <s v="做ISF，发国外资料"/>
    <x v="133"/>
    <x v="0"/>
    <x v="2"/>
    <m/>
    <m/>
    <n v="-39"/>
  </r>
  <r>
    <x v="4"/>
    <x v="102"/>
    <n v="29"/>
    <s v="买保险"/>
    <x v="133"/>
    <x v="0"/>
    <x v="2"/>
    <m/>
    <m/>
    <n v="-39"/>
  </r>
  <r>
    <x v="4"/>
    <x v="102"/>
    <n v="31"/>
    <s v="收到HMM(He)生成提单通知"/>
    <x v="133"/>
    <x v="0"/>
    <x v="2"/>
    <m/>
    <s v="一般马上"/>
    <n v="-39"/>
  </r>
  <r>
    <x v="4"/>
    <x v="102"/>
    <n v="32"/>
    <s v="HMM网站核对提单信息"/>
    <x v="133"/>
    <x v="0"/>
    <x v="2"/>
    <m/>
    <m/>
    <n v="-39"/>
  </r>
  <r>
    <x v="4"/>
    <x v="102"/>
    <n v="33"/>
    <s v="盯海关网站舱单"/>
    <x v="133"/>
    <x v="1"/>
    <x v="0"/>
    <m/>
    <s v="一般两小时左右"/>
    <n v="-39"/>
  </r>
  <r>
    <x v="4"/>
    <x v="102"/>
    <n v="34"/>
    <s v="核对舱单信息"/>
    <x v="133"/>
    <x v="0"/>
    <x v="3"/>
    <m/>
    <m/>
    <n v="-39"/>
  </r>
  <r>
    <x v="4"/>
    <x v="102"/>
    <n v="35"/>
    <s v="收到报关行(罗运生)校对稿，邮件发客户(陈云娣)确认"/>
    <x v="133"/>
    <x v="0"/>
    <x v="4"/>
    <m/>
    <s v="一般半天内"/>
    <n v="-39"/>
  </r>
  <r>
    <x v="4"/>
    <x v="102"/>
    <n v="36"/>
    <s v="收到客户(陈云娣)确认校对稿"/>
    <x v="133"/>
    <x v="0"/>
    <x v="4"/>
    <m/>
    <s v="一般马上"/>
    <n v="-39"/>
  </r>
  <r>
    <x v="4"/>
    <x v="102"/>
    <n v="37"/>
    <s v="通知报关行(罗运生)报关(开港、舱单、校对)（洋山提供装箱单）"/>
    <x v="133"/>
    <x v="0"/>
    <x v="4"/>
    <m/>
    <m/>
    <n v="-39"/>
  </r>
  <r>
    <x v="4"/>
    <x v="102"/>
    <n v="37"/>
    <s v="收到报关成功通知"/>
    <x v="133"/>
    <x v="0"/>
    <x v="4"/>
    <m/>
    <s v="一般下班前"/>
    <n v="-39"/>
  </r>
  <r>
    <x v="4"/>
    <x v="102"/>
    <n v="37"/>
    <s v="通知车队(沈丽)可进港"/>
    <x v="133"/>
    <x v="0"/>
    <x v="0"/>
    <m/>
    <m/>
    <n v="-39"/>
  </r>
  <r>
    <x v="4"/>
    <x v="102"/>
    <n v="37"/>
    <s v="盯箱子进港，关注开港时间，有落箱费？"/>
    <x v="145"/>
    <x v="0"/>
    <x v="0"/>
    <m/>
    <m/>
    <n v="-38"/>
  </r>
  <r>
    <x v="4"/>
    <x v="102"/>
    <n v="37"/>
    <s v="核对进港数据"/>
    <x v="145"/>
    <x v="0"/>
    <x v="0"/>
    <m/>
    <m/>
    <n v="-38"/>
  </r>
  <r>
    <x v="4"/>
    <x v="102"/>
    <n v="42"/>
    <s v="盯海放"/>
    <x v="145"/>
    <x v="0"/>
    <x v="0"/>
    <m/>
    <m/>
    <n v="-38"/>
  </r>
  <r>
    <x v="4"/>
    <x v="102"/>
    <n v="43"/>
    <s v="盯码放"/>
    <x v="161"/>
    <x v="0"/>
    <x v="0"/>
    <m/>
    <m/>
    <n v="-36"/>
  </r>
  <r>
    <x v="4"/>
    <x v="102"/>
    <n v="44"/>
    <s v="盯配载"/>
    <x v="180"/>
    <x v="0"/>
    <x v="0"/>
    <m/>
    <m/>
    <n v="-33"/>
  </r>
  <r>
    <x v="4"/>
    <x v="102"/>
    <n v="45"/>
    <s v="做费用(月初等汇率)，发账单给陈吟勇"/>
    <x v="152"/>
    <x v="0"/>
    <x v="0"/>
    <m/>
    <m/>
    <n v="-31"/>
  </r>
  <r>
    <x v="4"/>
    <x v="102"/>
    <n v="46"/>
    <s v="船开"/>
    <x v="180"/>
    <x v="0"/>
    <x v="0"/>
    <m/>
    <m/>
    <n v="-33"/>
  </r>
  <r>
    <x v="4"/>
    <x v="102"/>
    <n v="47"/>
    <s v="放提单（PHISON、陈吟勇提单、陈云娣三单）"/>
    <x v="152"/>
    <x v="0"/>
    <x v="0"/>
    <m/>
    <s v="一般开船后两三天"/>
    <n v="-31"/>
  </r>
  <r>
    <x v="13"/>
    <x v="103"/>
    <n v="1"/>
    <s v="收到托书"/>
    <x v="138"/>
    <x v="0"/>
    <x v="0"/>
    <m/>
    <m/>
    <n v="-64"/>
  </r>
  <r>
    <x v="13"/>
    <x v="103"/>
    <n v="2"/>
    <s v="订舱"/>
    <x v="139"/>
    <x v="0"/>
    <x v="0"/>
    <m/>
    <m/>
    <n v="-63"/>
  </r>
  <r>
    <x v="13"/>
    <x v="103"/>
    <n v="3"/>
    <s v="收到MSK 订舱确认邮件"/>
    <x v="139"/>
    <x v="0"/>
    <x v="0"/>
    <m/>
    <m/>
    <n v="-63"/>
  </r>
  <r>
    <x v="13"/>
    <x v="103"/>
    <n v="4"/>
    <s v="发订舱确认邮件给客户"/>
    <x v="139"/>
    <x v="0"/>
    <x v="0"/>
    <m/>
    <m/>
    <n v="-63"/>
  </r>
  <r>
    <x v="13"/>
    <x v="103"/>
    <n v="5"/>
    <s v="收到客户确认订舱信息"/>
    <x v="150"/>
    <x v="1"/>
    <x v="0"/>
    <m/>
    <m/>
    <n v="-51"/>
  </r>
  <r>
    <x v="13"/>
    <x v="103"/>
    <n v="5"/>
    <s v="关注开港时间"/>
    <x v="133"/>
    <x v="0"/>
    <x v="0"/>
    <m/>
    <m/>
    <n v="-39"/>
  </r>
  <r>
    <x v="13"/>
    <x v="103"/>
    <n v="7"/>
    <s v="30号装！"/>
    <x v="77"/>
    <x v="0"/>
    <x v="4"/>
    <m/>
    <m/>
    <n v="-40"/>
  </r>
  <r>
    <x v="13"/>
    <x v="103"/>
    <n v="8"/>
    <s v="做费用"/>
    <x v="152"/>
    <x v="0"/>
    <x v="0"/>
    <m/>
    <m/>
    <n v="-31"/>
  </r>
  <r>
    <x v="13"/>
    <x v="103"/>
    <n v="9"/>
    <s v="收到截单资料"/>
    <x v="133"/>
    <x v="0"/>
    <x v="0"/>
    <m/>
    <m/>
    <n v="-39"/>
  </r>
  <r>
    <x v="13"/>
    <x v="103"/>
    <n v="10"/>
    <s v="YJC 截单（件毛体、箱封号、HS、唛头）"/>
    <x v="133"/>
    <x v="0"/>
    <x v="0"/>
    <m/>
    <m/>
    <n v="-39"/>
  </r>
  <r>
    <x v="13"/>
    <x v="103"/>
    <n v="11"/>
    <s v="拉账单，打印HBL，发文生然确认"/>
    <x v="133"/>
    <x v="0"/>
    <x v="0"/>
    <m/>
    <s v="等汇率"/>
    <n v="-39"/>
  </r>
  <r>
    <x v="13"/>
    <x v="103"/>
    <n v="12"/>
    <s v="文生然确认HBL"/>
    <x v="133"/>
    <x v="0"/>
    <x v="3"/>
    <m/>
    <m/>
    <n v="-39"/>
  </r>
  <r>
    <x v="13"/>
    <x v="103"/>
    <n v="12"/>
    <s v="发费用OK，文生然确认费用"/>
    <x v="163"/>
    <x v="0"/>
    <x v="0"/>
    <m/>
    <m/>
    <n v="-30"/>
  </r>
  <r>
    <x v="13"/>
    <x v="103"/>
    <n v="13"/>
    <s v="MSK 录入提单确认内容"/>
    <x v="133"/>
    <x v="0"/>
    <x v="0"/>
    <m/>
    <m/>
    <n v="-39"/>
  </r>
  <r>
    <x v="13"/>
    <x v="103"/>
    <n v="14"/>
    <s v="联合船代发舱单"/>
    <x v="133"/>
    <x v="0"/>
    <x v="0"/>
    <m/>
    <m/>
    <n v="-39"/>
  </r>
  <r>
    <x v="13"/>
    <x v="103"/>
    <n v="15"/>
    <s v="MSK网站下载提单确认件"/>
    <x v="133"/>
    <x v="0"/>
    <x v="2"/>
    <m/>
    <m/>
    <n v="-39"/>
  </r>
  <r>
    <x v="13"/>
    <x v="103"/>
    <n v="16"/>
    <s v="邮件发COPY件、AMS给Wanda"/>
    <x v="133"/>
    <x v="0"/>
    <x v="2"/>
    <m/>
    <m/>
    <n v="-39"/>
  </r>
  <r>
    <x v="13"/>
    <x v="103"/>
    <n v="16"/>
    <s v="有汇率，发CREDIT给Wanda"/>
    <x v="152"/>
    <x v="0"/>
    <x v="0"/>
    <m/>
    <m/>
    <n v="-31"/>
  </r>
  <r>
    <x v="13"/>
    <x v="103"/>
    <n v="17"/>
    <s v="有舱单，核对，通知文生然"/>
    <x v="133"/>
    <x v="0"/>
    <x v="3"/>
    <m/>
    <m/>
    <n v="-39"/>
  </r>
  <r>
    <x v="13"/>
    <x v="103"/>
    <n v="18"/>
    <s v="进港，核对数据"/>
    <x v="156"/>
    <x v="0"/>
    <x v="0"/>
    <m/>
    <m/>
    <n v="-35"/>
  </r>
  <r>
    <x v="13"/>
    <x v="103"/>
    <n v="19"/>
    <s v="海放"/>
    <x v="156"/>
    <x v="0"/>
    <x v="0"/>
    <m/>
    <m/>
    <n v="-35"/>
  </r>
  <r>
    <x v="13"/>
    <x v="103"/>
    <n v="20"/>
    <s v="码放"/>
    <x v="162"/>
    <x v="0"/>
    <x v="0"/>
    <m/>
    <m/>
    <n v="-34"/>
  </r>
  <r>
    <x v="13"/>
    <x v="103"/>
    <n v="21"/>
    <s v="配载"/>
    <x v="162"/>
    <x v="0"/>
    <x v="0"/>
    <m/>
    <m/>
    <n v="-34"/>
  </r>
  <r>
    <x v="13"/>
    <x v="103"/>
    <n v="22"/>
    <s v="船开"/>
    <x v="152"/>
    <x v="0"/>
    <x v="0"/>
    <m/>
    <m/>
    <n v="-31"/>
  </r>
  <r>
    <x v="13"/>
    <x v="103"/>
    <n v="23"/>
    <s v="邮件发开船通知给Wanda"/>
    <x v="152"/>
    <x v="0"/>
    <x v="0"/>
    <m/>
    <m/>
    <n v="-31"/>
  </r>
  <r>
    <x v="13"/>
    <x v="103"/>
    <n v="24"/>
    <s v="收到Wanda付款通知，放单"/>
    <x v="168"/>
    <x v="0"/>
    <x v="0"/>
    <m/>
    <m/>
    <n v="-23"/>
  </r>
  <r>
    <x v="3"/>
    <x v="104"/>
    <n v="1"/>
    <s v="PANCON上周日船期提单领取单"/>
    <x v="134"/>
    <x v="0"/>
    <x v="0"/>
    <m/>
    <s v="周一"/>
    <n v="-29"/>
  </r>
  <r>
    <x v="3"/>
    <x v="104"/>
    <n v="2"/>
    <s v="WEEKLY REPORT(周一当天的日期，做上周的数据)"/>
    <x v="152"/>
    <x v="1"/>
    <x v="0"/>
    <m/>
    <s v="周一"/>
    <n v="-31"/>
  </r>
  <r>
    <x v="3"/>
    <x v="104"/>
    <n v="3"/>
    <s v="汇总SC JS下周订舱需求，回Abbi邮件，制作每票清单流水"/>
    <x v="152"/>
    <x v="1"/>
    <x v="0"/>
    <m/>
    <s v="周一"/>
    <n v="-31"/>
  </r>
  <r>
    <x v="3"/>
    <x v="104"/>
    <n v="4"/>
    <s v="Abbi确认订舱预报OK"/>
    <x v="163"/>
    <x v="0"/>
    <x v="0"/>
    <m/>
    <s v="周一"/>
    <n v="-30"/>
  </r>
  <r>
    <x v="3"/>
    <x v="104"/>
    <n v="5"/>
    <s v="拿到上周日SWB"/>
    <x v="134"/>
    <x v="0"/>
    <x v="0"/>
    <m/>
    <s v="周一"/>
    <n v="-29"/>
  </r>
  <r>
    <x v="3"/>
    <x v="104"/>
    <n v="6"/>
    <s v="本周三出运清单（贴邮件中）"/>
    <x v="152"/>
    <x v="0"/>
    <x v="0"/>
    <m/>
    <s v="周一"/>
    <n v="-31"/>
  </r>
  <r>
    <x v="3"/>
    <x v="104"/>
    <n v="7"/>
    <s v="WORKING PROCESS"/>
    <x v="152"/>
    <x v="1"/>
    <x v="0"/>
    <m/>
    <s v="周一"/>
    <n v="-31"/>
  </r>
  <r>
    <x v="3"/>
    <x v="104"/>
    <n v="8"/>
    <s v="WORKING PROCESS"/>
    <x v="163"/>
    <x v="0"/>
    <x v="0"/>
    <m/>
    <s v="周三"/>
    <n v="-30"/>
  </r>
  <r>
    <x v="3"/>
    <x v="104"/>
    <n v="9"/>
    <s v="PANCON周三船期提单领取单"/>
    <x v="113"/>
    <x v="0"/>
    <x v="0"/>
    <m/>
    <s v="周四"/>
    <n v="-27"/>
  </r>
  <r>
    <x v="3"/>
    <x v="104"/>
    <n v="10"/>
    <s v="拿到周三SWB"/>
    <x v="113"/>
    <x v="0"/>
    <x v="4"/>
    <m/>
    <s v="周四"/>
    <n v="-27"/>
  </r>
  <r>
    <x v="3"/>
    <x v="104"/>
    <n v="13"/>
    <s v="WORKING PROCESS"/>
    <x v="181"/>
    <x v="0"/>
    <x v="3"/>
    <m/>
    <s v="周五"/>
    <n v="-28"/>
  </r>
  <r>
    <x v="3"/>
    <x v="104"/>
    <n v="14"/>
    <s v="本周日出运清单（贴邮件中）"/>
    <x v="113"/>
    <x v="0"/>
    <x v="3"/>
    <m/>
    <s v="周五"/>
    <n v="-27"/>
  </r>
  <r>
    <x v="3"/>
    <x v="104"/>
    <n v="15"/>
    <s v="下周 WEEK 流水"/>
    <x v="164"/>
    <x v="0"/>
    <x v="0"/>
    <m/>
    <s v="周五"/>
    <n v="-26"/>
  </r>
  <r>
    <x v="3"/>
    <x v="104"/>
    <m/>
    <s v="ETD1016 PCLU1796PE4300 审核通过后取消"/>
    <x v="152"/>
    <x v="0"/>
    <x v="0"/>
    <m/>
    <m/>
    <n v="-31"/>
  </r>
  <r>
    <x v="3"/>
    <x v="104"/>
    <m/>
    <s v="10月汇率有了，改一下当月所有单子的汇率"/>
    <x v="152"/>
    <x v="1"/>
    <x v="0"/>
    <m/>
    <m/>
    <n v="-31"/>
  </r>
  <r>
    <x v="3"/>
    <x v="104"/>
    <m/>
    <s v="收非相29号船期舱单费20元水单"/>
    <x v="152"/>
    <x v="0"/>
    <x v="0"/>
    <m/>
    <m/>
    <n v="-31"/>
  </r>
  <r>
    <x v="3"/>
    <x v="104"/>
    <m/>
    <s v="顾家0929签正本提单，发国外"/>
    <x v="152"/>
    <x v="0"/>
    <x v="0"/>
    <m/>
    <m/>
    <n v="-31"/>
  </r>
  <r>
    <x v="3"/>
    <x v="104"/>
    <m/>
    <s v="有汇率，家居假期开船的费用全部整理"/>
    <x v="152"/>
    <x v="1"/>
    <x v="0"/>
    <m/>
    <m/>
    <n v="-31"/>
  </r>
  <r>
    <x v="3"/>
    <x v="104"/>
    <m/>
    <s v="9月发票寄万晖1009 773006434711540 1010OK"/>
    <x v="181"/>
    <x v="0"/>
    <x v="0"/>
    <m/>
    <m/>
    <n v="-28"/>
  </r>
  <r>
    <x v="3"/>
    <x v="104"/>
    <m/>
    <s v="收华达利删舱单资料776001121056028"/>
    <x v="181"/>
    <x v="1"/>
    <x v="0"/>
    <m/>
    <m/>
    <n v="-28"/>
  </r>
  <r>
    <x v="3"/>
    <x v="104"/>
    <m/>
    <s v="PCLU1797PE4400 订舱审核后改为3个HQ"/>
    <x v="165"/>
    <x v="0"/>
    <x v="3"/>
    <m/>
    <m/>
    <n v="-25"/>
  </r>
  <r>
    <x v="3"/>
    <x v="104"/>
    <m/>
    <s v="件数单位一致"/>
    <x v="178"/>
    <x v="1"/>
    <x v="0"/>
    <m/>
    <m/>
    <n v="-12"/>
  </r>
  <r>
    <x v="3"/>
    <x v="104"/>
    <m/>
    <s v="广州美越催款，1011让我们去跟国外反应"/>
    <x v="119"/>
    <x v="0"/>
    <x v="0"/>
    <m/>
    <m/>
    <n v="-7"/>
  </r>
  <r>
    <x v="3"/>
    <x v="104"/>
    <m/>
    <s v="成都近达催款，1011这周或下周，1114已有专项流水"/>
    <x v="165"/>
    <x v="1"/>
    <x v="0"/>
    <m/>
    <m/>
    <n v="-25"/>
  </r>
  <r>
    <x v="1"/>
    <x v="105"/>
    <n v="1"/>
    <s v="收到客户(孙丹/王珊)发来订舱托书"/>
    <x v="76"/>
    <x v="0"/>
    <x v="0"/>
    <m/>
    <m/>
    <n v="-49"/>
  </r>
  <r>
    <x v="1"/>
    <x v="105"/>
    <n v="2"/>
    <s v="预配（沈丽收到？），YJC生成"/>
    <x v="131"/>
    <x v="0"/>
    <x v="0"/>
    <m/>
    <m/>
    <n v="-43"/>
  </r>
  <r>
    <x v="1"/>
    <x v="105"/>
    <n v="4"/>
    <s v="包装指示书，做数据，发工厂，发车队（注明9-30做箱）"/>
    <x v="129"/>
    <x v="0"/>
    <x v="0"/>
    <m/>
    <s v="一般周四"/>
    <n v="-42"/>
  </r>
  <r>
    <x v="1"/>
    <x v="105"/>
    <n v="7"/>
    <s v="装箱单（洋提），邮件，通知发舱单"/>
    <x v="133"/>
    <x v="0"/>
    <x v="0"/>
    <m/>
    <s v="一般KMM五、HMI日"/>
    <n v="-39"/>
  </r>
  <r>
    <x v="1"/>
    <x v="105"/>
    <n v="8"/>
    <s v="徐琴确认报关单后，发报关行"/>
    <x v="77"/>
    <x v="0"/>
    <x v="1"/>
    <m/>
    <s v="当天至隔天"/>
    <n v="-40"/>
  </r>
  <r>
    <x v="1"/>
    <x v="105"/>
    <n v="11"/>
    <s v="核舱单，发装箱单给报关行"/>
    <x v="133"/>
    <x v="0"/>
    <x v="3"/>
    <m/>
    <m/>
    <n v="-39"/>
  </r>
  <r>
    <x v="1"/>
    <x v="105"/>
    <n v="11.1"/>
    <s v="报关（洋山装箱单）"/>
    <x v="156"/>
    <x v="0"/>
    <x v="0"/>
    <m/>
    <m/>
    <n v="-35"/>
  </r>
  <r>
    <x v="1"/>
    <x v="105"/>
    <n v="12"/>
    <s v="进港（核数据），海放"/>
    <x v="156"/>
    <x v="0"/>
    <x v="0"/>
    <m/>
    <s v="调整顺序"/>
    <n v="-35"/>
  </r>
  <r>
    <x v="1"/>
    <x v="105"/>
    <n v="17"/>
    <s v="码放OK，配载OK，船开"/>
    <x v="163"/>
    <x v="0"/>
    <x v="0"/>
    <m/>
    <m/>
    <n v="-30"/>
  </r>
  <r>
    <x v="1"/>
    <x v="105"/>
    <n v="20"/>
    <s v="做费用(对账单4号)，公共盘，填月账单表，发孙丹，额外费用邮件"/>
    <x v="158"/>
    <x v="0"/>
    <x v="0"/>
    <m/>
    <m/>
    <n v="-32"/>
  </r>
  <r>
    <x v="4"/>
    <x v="106"/>
    <n v="1"/>
    <s v="收到客户(陈云娣)订舱预报"/>
    <x v="132"/>
    <x v="0"/>
    <x v="0"/>
    <m/>
    <s v="一般周五发隔周"/>
    <n v="-41"/>
  </r>
  <r>
    <x v="4"/>
    <x v="106"/>
    <n v="6"/>
    <s v="公共盘生成提单号(QSWB不要搞错)"/>
    <x v="77"/>
    <x v="0"/>
    <x v="0"/>
    <m/>
    <m/>
    <n v="-40"/>
  </r>
  <r>
    <x v="4"/>
    <x v="106"/>
    <n v="7"/>
    <s v="YJC系统生成单子"/>
    <x v="77"/>
    <x v="0"/>
    <x v="0"/>
    <m/>
    <m/>
    <n v="-40"/>
  </r>
  <r>
    <x v="4"/>
    <x v="106"/>
    <n v="8"/>
    <s v="发EDI"/>
    <x v="77"/>
    <x v="0"/>
    <x v="0"/>
    <m/>
    <m/>
    <n v="-40"/>
  </r>
  <r>
    <x v="4"/>
    <x v="106"/>
    <n v="9"/>
    <s v="邮件申请放舱"/>
    <x v="77"/>
    <x v="0"/>
    <x v="0"/>
    <m/>
    <m/>
    <n v="-40"/>
  </r>
  <r>
    <x v="4"/>
    <x v="106"/>
    <n v="10"/>
    <s v="收到HMM(Abbi) 确认放舱"/>
    <x v="133"/>
    <x v="1"/>
    <x v="0"/>
    <m/>
    <s v="一般半天内"/>
    <n v="-39"/>
  </r>
  <r>
    <x v="4"/>
    <x v="106"/>
    <n v="11"/>
    <s v="HMM网站核对订舱信息"/>
    <x v="133"/>
    <x v="1"/>
    <x v="0"/>
    <m/>
    <m/>
    <n v="-39"/>
  </r>
  <r>
    <x v="4"/>
    <x v="106"/>
    <n v="12"/>
    <s v="收到客户(陈云娣)做箱通知"/>
    <x v="133"/>
    <x v="1"/>
    <x v="0"/>
    <m/>
    <s v="一般做箱头天一早"/>
    <n v="-39"/>
  </r>
  <r>
    <x v="4"/>
    <x v="106"/>
    <n v="13"/>
    <s v="【拆单】公共盘生成提单号"/>
    <x v="133"/>
    <x v="1"/>
    <x v="0"/>
    <m/>
    <m/>
    <n v="-39"/>
  </r>
  <r>
    <x v="4"/>
    <x v="106"/>
    <n v="14"/>
    <s v="发做箱通知邮件给车队(沈丽)（航次要加QL？）"/>
    <x v="133"/>
    <x v="1"/>
    <x v="0"/>
    <m/>
    <m/>
    <n v="-39"/>
  </r>
  <r>
    <x v="4"/>
    <x v="106"/>
    <n v="15"/>
    <s v="【拆单】YJC系统生成单子（QSWB不要搞错）"/>
    <x v="133"/>
    <x v="1"/>
    <x v="0"/>
    <m/>
    <m/>
    <n v="-39"/>
  </r>
  <r>
    <x v="4"/>
    <x v="106"/>
    <n v="16"/>
    <s v="【拆单】发EDI"/>
    <x v="133"/>
    <x v="1"/>
    <x v="0"/>
    <m/>
    <m/>
    <n v="-39"/>
  </r>
  <r>
    <x v="4"/>
    <x v="106"/>
    <n v="17"/>
    <s v="【拆单】邮件申请放单"/>
    <x v="133"/>
    <x v="1"/>
    <x v="0"/>
    <m/>
    <m/>
    <n v="-39"/>
  </r>
  <r>
    <x v="4"/>
    <x v="106"/>
    <n v="18"/>
    <s v="【拆单】收到HMM(Abbi) 加拼放单确认"/>
    <x v="133"/>
    <x v="1"/>
    <x v="0"/>
    <m/>
    <m/>
    <n v="-39"/>
  </r>
  <r>
    <x v="4"/>
    <x v="106"/>
    <n v="19"/>
    <s v="【拆单】HMM网站核对订舱信息"/>
    <x v="133"/>
    <x v="1"/>
    <x v="0"/>
    <m/>
    <m/>
    <n v="-39"/>
  </r>
  <r>
    <x v="4"/>
    <x v="106"/>
    <n v="20"/>
    <s v="收到客户(陈云娣)发来报关资料"/>
    <x v="145"/>
    <x v="1"/>
    <x v="0"/>
    <m/>
    <s v="一般做箱当天一早"/>
    <n v="-38"/>
  </r>
  <r>
    <x v="4"/>
    <x v="106"/>
    <n v="21"/>
    <s v="【加拼】按报关(发票)数生成提单号【如发票数超过提单数】"/>
    <x v="145"/>
    <x v="1"/>
    <x v="0"/>
    <m/>
    <m/>
    <n v="-38"/>
  </r>
  <r>
    <x v="4"/>
    <x v="106"/>
    <n v="22"/>
    <s v="做做箱数据，QQ发车队(沈丽)"/>
    <x v="145"/>
    <x v="1"/>
    <x v="0"/>
    <m/>
    <m/>
    <n v="-38"/>
  </r>
  <r>
    <x v="4"/>
    <x v="106"/>
    <n v="23"/>
    <s v="收到车队(沈丽)装箱单，转发客户（陈云娣）"/>
    <x v="145"/>
    <x v="1"/>
    <x v="0"/>
    <m/>
    <s v="一般马上"/>
    <n v="-38"/>
  </r>
  <r>
    <x v="4"/>
    <x v="106"/>
    <n v="24"/>
    <s v="YJC系统截单，发EDI，邮件HMM(He)【截单时间】"/>
    <x v="145"/>
    <x v="1"/>
    <x v="0"/>
    <m/>
    <s v="注意截单时间"/>
    <n v="-38"/>
  </r>
  <r>
    <x v="4"/>
    <x v="106"/>
    <n v="25"/>
    <s v="发VGM和舱单（亿通，鹏海两次）"/>
    <x v="145"/>
    <x v="1"/>
    <x v="0"/>
    <m/>
    <m/>
    <n v="-38"/>
  </r>
  <r>
    <x v="4"/>
    <x v="106"/>
    <n v="26"/>
    <s v="做报关资料，扫描发报关行(罗运生)QQ，要校对稿"/>
    <x v="145"/>
    <x v="1"/>
    <x v="0"/>
    <m/>
    <m/>
    <n v="-38"/>
  </r>
  <r>
    <x v="4"/>
    <x v="106"/>
    <n v="27"/>
    <s v="做保函给邹师傅(美国线)"/>
    <x v="145"/>
    <x v="1"/>
    <x v="0"/>
    <m/>
    <m/>
    <n v="-38"/>
  </r>
  <r>
    <x v="4"/>
    <x v="106"/>
    <n v="28"/>
    <s v="做ISF，发国外资料"/>
    <x v="145"/>
    <x v="1"/>
    <x v="0"/>
    <m/>
    <m/>
    <n v="-38"/>
  </r>
  <r>
    <x v="4"/>
    <x v="106"/>
    <n v="29"/>
    <s v="买保险"/>
    <x v="145"/>
    <x v="1"/>
    <x v="0"/>
    <m/>
    <m/>
    <n v="-38"/>
  </r>
  <r>
    <x v="4"/>
    <x v="106"/>
    <n v="31"/>
    <s v="收到HMM(He)生成提单通知"/>
    <x v="145"/>
    <x v="1"/>
    <x v="0"/>
    <m/>
    <s v="一般马上"/>
    <n v="-38"/>
  </r>
  <r>
    <x v="4"/>
    <x v="106"/>
    <n v="32"/>
    <s v="HMM网站核对提单信息"/>
    <x v="145"/>
    <x v="1"/>
    <x v="0"/>
    <m/>
    <m/>
    <n v="-38"/>
  </r>
  <r>
    <x v="4"/>
    <x v="106"/>
    <n v="33"/>
    <s v="盯海关网站舱单"/>
    <x v="145"/>
    <x v="1"/>
    <x v="0"/>
    <m/>
    <s v="一般两小时左右"/>
    <n v="-38"/>
  </r>
  <r>
    <x v="4"/>
    <x v="106"/>
    <n v="34"/>
    <s v="核对舱单信息"/>
    <x v="145"/>
    <x v="1"/>
    <x v="0"/>
    <m/>
    <m/>
    <n v="-38"/>
  </r>
  <r>
    <x v="4"/>
    <x v="106"/>
    <n v="35"/>
    <s v="收到报关行(罗运生)校对稿，邮件发客户(陈云娣)确认"/>
    <x v="145"/>
    <x v="1"/>
    <x v="0"/>
    <m/>
    <s v="一般半天内"/>
    <n v="-38"/>
  </r>
  <r>
    <x v="4"/>
    <x v="106"/>
    <n v="36"/>
    <s v="收到客户(陈云娣)确认校对稿"/>
    <x v="145"/>
    <x v="1"/>
    <x v="0"/>
    <m/>
    <s v="一般马上"/>
    <n v="-38"/>
  </r>
  <r>
    <x v="4"/>
    <x v="106"/>
    <n v="37"/>
    <s v="通知报关行(罗运生)报关(开港、舱单、校对)（洋山提供装箱单）"/>
    <x v="145"/>
    <x v="1"/>
    <x v="0"/>
    <m/>
    <m/>
    <n v="-38"/>
  </r>
  <r>
    <x v="4"/>
    <x v="106"/>
    <n v="37"/>
    <s v="收到报关成功通知"/>
    <x v="145"/>
    <x v="1"/>
    <x v="0"/>
    <m/>
    <s v="一般下班前"/>
    <n v="-38"/>
  </r>
  <r>
    <x v="4"/>
    <x v="106"/>
    <n v="37"/>
    <s v="通知车队(沈丽)可进港"/>
    <x v="145"/>
    <x v="1"/>
    <x v="0"/>
    <m/>
    <m/>
    <n v="-38"/>
  </r>
  <r>
    <x v="4"/>
    <x v="106"/>
    <n v="37"/>
    <s v="盯箱子进港，关注开港时间，有落箱费？"/>
    <x v="145"/>
    <x v="1"/>
    <x v="0"/>
    <m/>
    <m/>
    <n v="-38"/>
  </r>
  <r>
    <x v="4"/>
    <x v="106"/>
    <n v="37"/>
    <s v="核对进港数据"/>
    <x v="145"/>
    <x v="1"/>
    <x v="0"/>
    <m/>
    <m/>
    <n v="-38"/>
  </r>
  <r>
    <x v="4"/>
    <x v="106"/>
    <n v="42"/>
    <s v="盯海放"/>
    <x v="145"/>
    <x v="1"/>
    <x v="0"/>
    <m/>
    <m/>
    <n v="-38"/>
  </r>
  <r>
    <x v="4"/>
    <x v="106"/>
    <n v="43"/>
    <s v="盯码放"/>
    <x v="145"/>
    <x v="1"/>
    <x v="0"/>
    <m/>
    <m/>
    <n v="-38"/>
  </r>
  <r>
    <x v="4"/>
    <x v="106"/>
    <n v="44"/>
    <s v="盯配载"/>
    <x v="145"/>
    <x v="1"/>
    <x v="0"/>
    <m/>
    <m/>
    <n v="-38"/>
  </r>
  <r>
    <x v="4"/>
    <x v="106"/>
    <n v="45"/>
    <s v="做费用(月初等汇率)，发账单给陈吟勇"/>
    <x v="145"/>
    <x v="1"/>
    <x v="0"/>
    <m/>
    <m/>
    <n v="-38"/>
  </r>
  <r>
    <x v="4"/>
    <x v="106"/>
    <n v="46"/>
    <s v="船开"/>
    <x v="145"/>
    <x v="1"/>
    <x v="0"/>
    <m/>
    <m/>
    <n v="-38"/>
  </r>
  <r>
    <x v="4"/>
    <x v="106"/>
    <n v="47"/>
    <s v="放提单（PHISON、陈吟勇提单、陈云娣三单）"/>
    <x v="145"/>
    <x v="1"/>
    <x v="0"/>
    <m/>
    <s v="一般开船后两三天"/>
    <n v="-38"/>
  </r>
  <r>
    <x v="16"/>
    <x v="106"/>
    <n v="1"/>
    <s v="收到托书，订舱，发进舱通知"/>
    <x v="131"/>
    <x v="0"/>
    <x v="0"/>
    <m/>
    <m/>
    <n v="-43"/>
  </r>
  <r>
    <x v="16"/>
    <x v="106"/>
    <n v="2"/>
    <s v="KOOKYANG"/>
    <x v="131"/>
    <x v="0"/>
    <x v="0"/>
    <m/>
    <m/>
    <n v="-43"/>
  </r>
  <r>
    <x v="16"/>
    <x v="106"/>
    <n v="3"/>
    <s v="0929到报关资料，0930到商检号，发TCL"/>
    <x v="133"/>
    <x v="0"/>
    <x v="0"/>
    <m/>
    <m/>
    <n v="-39"/>
  </r>
  <r>
    <x v="16"/>
    <x v="106"/>
    <n v="4"/>
    <s v="HBL MBL 确认"/>
    <x v="152"/>
    <x v="0"/>
    <x v="0"/>
    <m/>
    <m/>
    <n v="-31"/>
  </r>
  <r>
    <x v="16"/>
    <x v="106"/>
    <n v="5"/>
    <s v="发资料给KOOKYANG"/>
    <x v="152"/>
    <x v="0"/>
    <x v="0"/>
    <m/>
    <m/>
    <n v="-31"/>
  </r>
  <r>
    <x v="16"/>
    <x v="106"/>
    <n v="6"/>
    <s v="船开"/>
    <x v="181"/>
    <x v="0"/>
    <x v="0"/>
    <m/>
    <m/>
    <n v="-28"/>
  </r>
  <r>
    <x v="16"/>
    <x v="106"/>
    <n v="7"/>
    <s v="确认应付费用OK，收应付发票10111055，Statement给许培10111058"/>
    <x v="181"/>
    <x v="0"/>
    <x v="0"/>
    <m/>
    <m/>
    <n v="-28"/>
  </r>
  <r>
    <x v="16"/>
    <x v="106"/>
    <n v="8"/>
    <s v="确认应收费用OK，APP OK，开票1011，1011放单，收水单1016电话问1024邮件催"/>
    <x v="119"/>
    <x v="1"/>
    <x v="0"/>
    <m/>
    <m/>
    <n v="-7"/>
  </r>
  <r>
    <x v="16"/>
    <x v="106"/>
    <n v="9"/>
    <s v="10111353收MBL，10111408放KOOKYANG"/>
    <x v="181"/>
    <x v="0"/>
    <x v="0"/>
    <m/>
    <m/>
    <n v="-28"/>
  </r>
  <r>
    <x v="3"/>
    <x v="107"/>
    <n v="0"/>
    <s v="Abbi确认订舱预报，制作清单流水"/>
    <x v="167"/>
    <x v="0"/>
    <x v="0"/>
    <m/>
    <s v="周一"/>
    <n v="-24"/>
  </r>
  <r>
    <x v="3"/>
    <x v="107"/>
    <m/>
    <s v="万盛1013 YJCSHAN1916061两舱单费，退回来改"/>
    <x v="167"/>
    <x v="1"/>
    <x v="0"/>
    <m/>
    <m/>
    <n v="-24"/>
  </r>
  <r>
    <x v="3"/>
    <x v="107"/>
    <m/>
    <s v="PCLU1942HN4300审核后改7个"/>
    <x v="165"/>
    <x v="0"/>
    <x v="3"/>
    <m/>
    <m/>
    <n v="-25"/>
  </r>
  <r>
    <x v="3"/>
    <x v="107"/>
    <m/>
    <s v="发本周JS mobis的报关单（收件人看陈吟勇邮件）"/>
    <x v="155"/>
    <x v="0"/>
    <x v="0"/>
    <m/>
    <s v="周五"/>
    <n v="-21"/>
  </r>
  <r>
    <x v="3"/>
    <x v="107"/>
    <m/>
    <s v="安吉立鑫取消发货800元找一票做到账单里去，备注到表上，24号RUBBER"/>
    <x v="168"/>
    <x v="0"/>
    <x v="0"/>
    <m/>
    <m/>
    <n v="-23"/>
  </r>
  <r>
    <x v="3"/>
    <x v="107"/>
    <m/>
    <s v="HMI KMM MSK CK成本，账单"/>
    <x v="170"/>
    <x v="0"/>
    <x v="0"/>
    <m/>
    <m/>
    <n v="-18"/>
  </r>
  <r>
    <x v="3"/>
    <x v="107"/>
    <m/>
    <s v="1017雅家居寄来月结协议SF438170211482，"/>
    <x v="155"/>
    <x v="0"/>
    <x v="0"/>
    <m/>
    <m/>
    <n v="-21"/>
  </r>
  <r>
    <x v="3"/>
    <x v="107"/>
    <m/>
    <s v="20号船期做完了，把13 16 20的退费重新统计给金娥善"/>
    <x v="178"/>
    <x v="0"/>
    <x v="0"/>
    <m/>
    <m/>
    <n v="-12"/>
  </r>
  <r>
    <x v="3"/>
    <x v="107"/>
    <m/>
    <s v="HTL LCL的资料和DBN 发KOOKYANG"/>
    <x v="182"/>
    <x v="0"/>
    <x v="0"/>
    <m/>
    <m/>
    <n v="-19"/>
  </r>
  <r>
    <x v="3"/>
    <x v="107"/>
    <m/>
    <s v="ETD1024 585806958 改1×40HQ ETD1112 586916962 取消"/>
    <x v="170"/>
    <x v="0"/>
    <x v="0"/>
    <m/>
    <m/>
    <n v="-18"/>
  </r>
  <r>
    <x v="3"/>
    <x v="107"/>
    <m/>
    <s v="ROADSUN后面的订舱重新理一遍"/>
    <x v="170"/>
    <x v="0"/>
    <x v="0"/>
    <m/>
    <m/>
    <n v="-18"/>
  </r>
  <r>
    <x v="0"/>
    <x v="108"/>
    <n v="1"/>
    <s v="收到客户(孙丹/王珊)发来订舱托书"/>
    <x v="133"/>
    <x v="0"/>
    <x v="0"/>
    <m/>
    <m/>
    <n v="-39"/>
  </r>
  <r>
    <x v="0"/>
    <x v="108"/>
    <n v="2"/>
    <s v="收到CK发来预配(做箱通知，沈丽有收到？)"/>
    <x v="134"/>
    <x v="0"/>
    <x v="0"/>
    <m/>
    <m/>
    <n v="-29"/>
  </r>
  <r>
    <x v="0"/>
    <x v="108"/>
    <n v="3"/>
    <s v="YJC系统生成单子"/>
    <x v="134"/>
    <x v="0"/>
    <x v="0"/>
    <m/>
    <m/>
    <n v="-29"/>
  </r>
  <r>
    <x v="0"/>
    <x v="108"/>
    <n v="4"/>
    <s v="收到包装厂(刘倩梅)发来包装指示书和装箱计划"/>
    <x v="113"/>
    <x v="0"/>
    <x v="0"/>
    <m/>
    <s v="一般周四"/>
    <n v="-27"/>
  </r>
  <r>
    <x v="0"/>
    <x v="108"/>
    <n v="5"/>
    <s v="根据装箱计划汇总包装数据，发各工厂做报关资料"/>
    <x v="113"/>
    <x v="0"/>
    <x v="0"/>
    <m/>
    <m/>
    <n v="-27"/>
  </r>
  <r>
    <x v="0"/>
    <x v="108"/>
    <n v="6"/>
    <s v="做做箱数据，邮件群发(查开港时间，注明做箱时间)"/>
    <x v="113"/>
    <x v="0"/>
    <x v="0"/>
    <m/>
    <m/>
    <n v="-27"/>
  </r>
  <r>
    <x v="0"/>
    <x v="108"/>
    <n v="7"/>
    <s v="收到工厂发来报关资料并完善(代做报关资料跟客户确认)"/>
    <x v="165"/>
    <x v="0"/>
    <x v="0"/>
    <m/>
    <s v="当天至隔天"/>
    <n v="-25"/>
  </r>
  <r>
    <x v="0"/>
    <x v="108"/>
    <n v="8"/>
    <s v="报关资料齐了（光成要素划掉XXX），发报关行(罗运生)"/>
    <x v="165"/>
    <x v="0"/>
    <x v="0"/>
    <m/>
    <m/>
    <n v="-25"/>
  </r>
  <r>
    <x v="0"/>
    <x v="108"/>
    <n v="9"/>
    <s v="【HMI】货运模板/发票/箱单"/>
    <x v="165"/>
    <x v="0"/>
    <x v="0"/>
    <m/>
    <m/>
    <n v="-25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25"/>
  </r>
  <r>
    <x v="0"/>
    <x v="108"/>
    <n v="11"/>
    <s v="收到舱单发送成功通知，核对舱单信息"/>
    <x v="165"/>
    <x v="0"/>
    <x v="0"/>
    <m/>
    <m/>
    <n v="-25"/>
  </r>
  <r>
    <x v="0"/>
    <x v="108"/>
    <n v="12"/>
    <s v="通知进港"/>
    <x v="165"/>
    <x v="1"/>
    <x v="0"/>
    <m/>
    <s v="调整顺序"/>
    <n v="-25"/>
  </r>
  <r>
    <x v="0"/>
    <x v="108"/>
    <n v="12"/>
    <s v="【HMI】开港"/>
    <x v="165"/>
    <x v="0"/>
    <x v="0"/>
    <m/>
    <m/>
    <n v="-25"/>
  </r>
  <r>
    <x v="0"/>
    <x v="108"/>
    <n v="12"/>
    <s v="进港(核对数据)"/>
    <x v="167"/>
    <x v="0"/>
    <x v="0"/>
    <m/>
    <s v="调整顺序"/>
    <n v="-24"/>
  </r>
  <r>
    <x v="0"/>
    <x v="108"/>
    <n v="12"/>
    <s v="通知报关"/>
    <x v="167"/>
    <x v="0"/>
    <x v="0"/>
    <m/>
    <s v="调整顺序"/>
    <n v="-24"/>
  </r>
  <r>
    <x v="0"/>
    <x v="108"/>
    <n v="12"/>
    <s v="报关成功"/>
    <x v="167"/>
    <x v="0"/>
    <x v="0"/>
    <m/>
    <s v="调整顺序"/>
    <n v="-24"/>
  </r>
  <r>
    <x v="0"/>
    <x v="108"/>
    <n v="17"/>
    <s v="海放"/>
    <x v="167"/>
    <x v="0"/>
    <x v="0"/>
    <m/>
    <m/>
    <n v="-24"/>
  </r>
  <r>
    <x v="0"/>
    <x v="108"/>
    <n v="18"/>
    <s v="码放"/>
    <x v="167"/>
    <x v="0"/>
    <x v="0"/>
    <m/>
    <m/>
    <n v="-24"/>
  </r>
  <r>
    <x v="0"/>
    <x v="108"/>
    <n v="19"/>
    <s v="配载"/>
    <x v="168"/>
    <x v="0"/>
    <x v="3"/>
    <m/>
    <m/>
    <n v="-23"/>
  </r>
  <r>
    <x v="0"/>
    <x v="108"/>
    <n v="20"/>
    <s v="做费用(对账单日期4号)，放公共盘，填月账单表，发孙丹"/>
    <x v="168"/>
    <x v="0"/>
    <x v="0"/>
    <m/>
    <m/>
    <n v="-23"/>
  </r>
  <r>
    <x v="0"/>
    <x v="108"/>
    <n v="21"/>
    <s v="如有额外费用发邮件"/>
    <x v="168"/>
    <x v="1"/>
    <x v="0"/>
    <m/>
    <m/>
    <n v="-23"/>
  </r>
  <r>
    <x v="0"/>
    <x v="108"/>
    <n v="22"/>
    <s v="船开"/>
    <x v="179"/>
    <x v="0"/>
    <x v="0"/>
    <m/>
    <m/>
    <n v="-22"/>
  </r>
  <r>
    <x v="4"/>
    <x v="108"/>
    <n v="1"/>
    <s v="收到客户(陈云娣)订舱预报"/>
    <x v="163"/>
    <x v="0"/>
    <x v="0"/>
    <m/>
    <s v="一般周五发隔周"/>
    <n v="-30"/>
  </r>
  <r>
    <x v="4"/>
    <x v="108"/>
    <n v="6"/>
    <s v="公共盘生成提单号(QSWB不要搞错)"/>
    <x v="134"/>
    <x v="0"/>
    <x v="0"/>
    <m/>
    <m/>
    <n v="-29"/>
  </r>
  <r>
    <x v="4"/>
    <x v="108"/>
    <n v="7"/>
    <s v="YJC系统生成单子"/>
    <x v="134"/>
    <x v="0"/>
    <x v="0"/>
    <m/>
    <m/>
    <n v="-29"/>
  </r>
  <r>
    <x v="4"/>
    <x v="108"/>
    <n v="8"/>
    <s v="发EDI"/>
    <x v="134"/>
    <x v="0"/>
    <x v="0"/>
    <m/>
    <m/>
    <n v="-29"/>
  </r>
  <r>
    <x v="4"/>
    <x v="108"/>
    <n v="9"/>
    <s v="邮件申请放舱"/>
    <x v="134"/>
    <x v="0"/>
    <x v="0"/>
    <m/>
    <m/>
    <n v="-29"/>
  </r>
  <r>
    <x v="4"/>
    <x v="108"/>
    <n v="10"/>
    <s v="收到HMM(Abbi) 确认放舱"/>
    <x v="134"/>
    <x v="0"/>
    <x v="0"/>
    <m/>
    <s v="一般半天内"/>
    <n v="-29"/>
  </r>
  <r>
    <x v="4"/>
    <x v="108"/>
    <n v="11"/>
    <s v="HMM网站核对订舱信息"/>
    <x v="134"/>
    <x v="0"/>
    <x v="0"/>
    <m/>
    <m/>
    <n v="-29"/>
  </r>
  <r>
    <x v="4"/>
    <x v="108"/>
    <n v="12"/>
    <s v="收到客户(陈云娣)做箱通知"/>
    <x v="181"/>
    <x v="0"/>
    <x v="0"/>
    <m/>
    <s v="一般做箱头天一早"/>
    <n v="-28"/>
  </r>
  <r>
    <x v="4"/>
    <x v="108"/>
    <n v="13"/>
    <s v="【拆单】公共盘生成提单号"/>
    <x v="181"/>
    <x v="0"/>
    <x v="0"/>
    <m/>
    <m/>
    <n v="-28"/>
  </r>
  <r>
    <x v="4"/>
    <x v="108"/>
    <n v="14"/>
    <s v="发做箱通知邮件给车队(沈丽)（航次要加QL？）"/>
    <x v="181"/>
    <x v="0"/>
    <x v="0"/>
    <m/>
    <m/>
    <n v="-28"/>
  </r>
  <r>
    <x v="4"/>
    <x v="108"/>
    <n v="15"/>
    <s v="【拆单】YJC系统生成单子（QSWB不要搞错）"/>
    <x v="181"/>
    <x v="0"/>
    <x v="0"/>
    <m/>
    <m/>
    <n v="-28"/>
  </r>
  <r>
    <x v="4"/>
    <x v="108"/>
    <n v="16"/>
    <s v="【拆单】发EDI"/>
    <x v="181"/>
    <x v="0"/>
    <x v="0"/>
    <m/>
    <m/>
    <n v="-28"/>
  </r>
  <r>
    <x v="4"/>
    <x v="108"/>
    <n v="17"/>
    <s v="【拆单】邮件申请放单"/>
    <x v="181"/>
    <x v="0"/>
    <x v="0"/>
    <m/>
    <m/>
    <n v="-28"/>
  </r>
  <r>
    <x v="4"/>
    <x v="108"/>
    <n v="18"/>
    <s v="【拆单】收到HMM(Abbi) 加拼放单确认"/>
    <x v="181"/>
    <x v="0"/>
    <x v="0"/>
    <m/>
    <m/>
    <n v="-28"/>
  </r>
  <r>
    <x v="4"/>
    <x v="108"/>
    <n v="19"/>
    <s v="【拆单】HMM网站核对订舱信息"/>
    <x v="181"/>
    <x v="0"/>
    <x v="0"/>
    <m/>
    <m/>
    <n v="-28"/>
  </r>
  <r>
    <x v="4"/>
    <x v="108"/>
    <n v="20"/>
    <s v="收到客户(陈云娣)发来报关资料"/>
    <x v="113"/>
    <x v="0"/>
    <x v="0"/>
    <m/>
    <s v="一般做箱当天一早"/>
    <n v="-27"/>
  </r>
  <r>
    <x v="4"/>
    <x v="108"/>
    <n v="21"/>
    <s v="【加拼】按报关(发票)数生成提单号【如发票数超过提单数】"/>
    <x v="113"/>
    <x v="1"/>
    <x v="0"/>
    <m/>
    <m/>
    <n v="-27"/>
  </r>
  <r>
    <x v="4"/>
    <x v="108"/>
    <n v="22"/>
    <s v="做做箱数据，QQ发车队(沈丽)"/>
    <x v="113"/>
    <x v="0"/>
    <x v="0"/>
    <m/>
    <m/>
    <n v="-27"/>
  </r>
  <r>
    <x v="4"/>
    <x v="108"/>
    <n v="23"/>
    <s v="收到车队(沈丽)装箱单，转发客户（陈云娣）"/>
    <x v="113"/>
    <x v="0"/>
    <x v="0"/>
    <m/>
    <s v="一般马上"/>
    <n v="-27"/>
  </r>
  <r>
    <x v="4"/>
    <x v="108"/>
    <n v="24"/>
    <s v="YJC系统截单，发EDI，邮件HMM(He)【截单时间】"/>
    <x v="113"/>
    <x v="0"/>
    <x v="0"/>
    <m/>
    <s v="注意截单时间"/>
    <n v="-27"/>
  </r>
  <r>
    <x v="4"/>
    <x v="108"/>
    <n v="25"/>
    <s v="发VGM和舱单（亿通，鹏海两次）"/>
    <x v="113"/>
    <x v="0"/>
    <x v="0"/>
    <m/>
    <m/>
    <n v="-27"/>
  </r>
  <r>
    <x v="4"/>
    <x v="108"/>
    <n v="26"/>
    <s v="做报关资料，扫描发报关行(罗运生)QQ，要校对稿"/>
    <x v="113"/>
    <x v="0"/>
    <x v="0"/>
    <m/>
    <m/>
    <n v="-27"/>
  </r>
  <r>
    <x v="4"/>
    <x v="108"/>
    <n v="27"/>
    <s v="做保函给邹师傅(美国线)"/>
    <x v="165"/>
    <x v="0"/>
    <x v="0"/>
    <m/>
    <m/>
    <n v="-25"/>
  </r>
  <r>
    <x v="4"/>
    <x v="108"/>
    <n v="28"/>
    <s v="做ISF，发国外资料"/>
    <x v="113"/>
    <x v="0"/>
    <x v="0"/>
    <m/>
    <m/>
    <n v="-27"/>
  </r>
  <r>
    <x v="4"/>
    <x v="108"/>
    <n v="29"/>
    <s v="买保险"/>
    <x v="113"/>
    <x v="0"/>
    <x v="0"/>
    <m/>
    <m/>
    <n v="-27"/>
  </r>
  <r>
    <x v="4"/>
    <x v="108"/>
    <n v="31"/>
    <s v="收到HMM(He)生成提单通知"/>
    <x v="113"/>
    <x v="0"/>
    <x v="0"/>
    <m/>
    <s v="一般马上"/>
    <n v="-27"/>
  </r>
  <r>
    <x v="4"/>
    <x v="108"/>
    <n v="32"/>
    <s v="HMM网站核对提单信息"/>
    <x v="113"/>
    <x v="0"/>
    <x v="0"/>
    <m/>
    <m/>
    <n v="-27"/>
  </r>
  <r>
    <x v="4"/>
    <x v="108"/>
    <n v="33"/>
    <s v="盯海关网站舱单"/>
    <x v="113"/>
    <x v="0"/>
    <x v="0"/>
    <m/>
    <s v="一般两小时左右"/>
    <n v="-27"/>
  </r>
  <r>
    <x v="4"/>
    <x v="108"/>
    <n v="34"/>
    <s v="核对舱单信息"/>
    <x v="113"/>
    <x v="0"/>
    <x v="0"/>
    <m/>
    <m/>
    <n v="-27"/>
  </r>
  <r>
    <x v="4"/>
    <x v="108"/>
    <n v="35"/>
    <s v="收到报关行(罗运生)校对稿，邮件发客户(陈云娣)确认"/>
    <x v="164"/>
    <x v="0"/>
    <x v="0"/>
    <m/>
    <s v="一般半天内"/>
    <n v="-26"/>
  </r>
  <r>
    <x v="4"/>
    <x v="108"/>
    <n v="36"/>
    <s v="收到客户(陈云娣)确认校对稿"/>
    <x v="165"/>
    <x v="0"/>
    <x v="0"/>
    <m/>
    <s v="一般马上"/>
    <n v="-25"/>
  </r>
  <r>
    <x v="4"/>
    <x v="108"/>
    <n v="37"/>
    <s v="通知车队(沈丽)可进港"/>
    <x v="113"/>
    <x v="1"/>
    <x v="0"/>
    <m/>
    <m/>
    <n v="-27"/>
  </r>
  <r>
    <x v="4"/>
    <x v="108"/>
    <n v="38"/>
    <s v="盯箱子进港，关注开港时间，有落箱费？"/>
    <x v="164"/>
    <x v="0"/>
    <x v="0"/>
    <m/>
    <m/>
    <n v="-26"/>
  </r>
  <r>
    <x v="4"/>
    <x v="108"/>
    <n v="39"/>
    <s v="核对进港数据"/>
    <x v="164"/>
    <x v="0"/>
    <x v="0"/>
    <m/>
    <m/>
    <n v="-26"/>
  </r>
  <r>
    <x v="4"/>
    <x v="108"/>
    <n v="40"/>
    <s v="通知报关行(罗运生)报关(开港、舱单、校对)（洋山提供装箱单）"/>
    <x v="165"/>
    <x v="0"/>
    <x v="0"/>
    <m/>
    <m/>
    <n v="-25"/>
  </r>
  <r>
    <x v="4"/>
    <x v="108"/>
    <n v="41"/>
    <s v="收到报关成功通知"/>
    <x v="165"/>
    <x v="0"/>
    <x v="0"/>
    <m/>
    <s v="一般下班前"/>
    <n v="-25"/>
  </r>
  <r>
    <x v="4"/>
    <x v="108"/>
    <n v="42"/>
    <s v="盯海放"/>
    <x v="165"/>
    <x v="0"/>
    <x v="0"/>
    <m/>
    <m/>
    <n v="-25"/>
  </r>
  <r>
    <x v="4"/>
    <x v="108"/>
    <n v="43"/>
    <s v="盯码放"/>
    <x v="167"/>
    <x v="0"/>
    <x v="0"/>
    <m/>
    <m/>
    <n v="-24"/>
  </r>
  <r>
    <x v="4"/>
    <x v="108"/>
    <n v="44"/>
    <s v="盯配载"/>
    <x v="167"/>
    <x v="0"/>
    <x v="0"/>
    <m/>
    <m/>
    <n v="-24"/>
  </r>
  <r>
    <x v="4"/>
    <x v="108"/>
    <n v="45"/>
    <s v="做费用(月初等汇率)，发账单给陈吟勇"/>
    <x v="168"/>
    <x v="0"/>
    <x v="0"/>
    <m/>
    <m/>
    <n v="-23"/>
  </r>
  <r>
    <x v="4"/>
    <x v="108"/>
    <n v="46"/>
    <s v="船开"/>
    <x v="179"/>
    <x v="0"/>
    <x v="0"/>
    <m/>
    <m/>
    <n v="-22"/>
  </r>
  <r>
    <x v="4"/>
    <x v="108"/>
    <n v="47"/>
    <s v="放提单（PHISON、陈吟勇提单、陈云娣三单）"/>
    <x v="179"/>
    <x v="0"/>
    <x v="0"/>
    <m/>
    <s v="一般开船后两三天"/>
    <n v="-22"/>
  </r>
  <r>
    <x v="1"/>
    <x v="108"/>
    <n v="1"/>
    <s v="收到客户(孙丹/王珊)发来订舱托书"/>
    <x v="77"/>
    <x v="0"/>
    <x v="0"/>
    <m/>
    <m/>
    <n v="-40"/>
  </r>
  <r>
    <x v="1"/>
    <x v="108"/>
    <n v="2"/>
    <s v="收到CK发来预配(做箱通知，沈丽有收到？)"/>
    <x v="134"/>
    <x v="0"/>
    <x v="0"/>
    <m/>
    <m/>
    <n v="-29"/>
  </r>
  <r>
    <x v="1"/>
    <x v="108"/>
    <n v="3"/>
    <s v="YJC系统生成单子"/>
    <x v="134"/>
    <x v="0"/>
    <x v="0"/>
    <m/>
    <m/>
    <n v="-29"/>
  </r>
  <r>
    <x v="1"/>
    <x v="108"/>
    <n v="4"/>
    <s v="收到包装厂(刘倩梅)发来包装指示书和装箱计划"/>
    <x v="181"/>
    <x v="0"/>
    <x v="0"/>
    <m/>
    <s v="一般周四"/>
    <n v="-28"/>
  </r>
  <r>
    <x v="1"/>
    <x v="108"/>
    <n v="5"/>
    <s v="根据装箱计划汇总包装数据，发各工厂做报关资料"/>
    <x v="181"/>
    <x v="0"/>
    <x v="0"/>
    <m/>
    <m/>
    <n v="-28"/>
  </r>
  <r>
    <x v="1"/>
    <x v="108"/>
    <n v="6"/>
    <s v="做做箱数据，邮件群发(查开港时间，注明做箱时间)"/>
    <x v="181"/>
    <x v="0"/>
    <x v="0"/>
    <m/>
    <m/>
    <n v="-28"/>
  </r>
  <r>
    <x v="1"/>
    <x v="108"/>
    <n v="7"/>
    <s v="收到工厂发来报关资料并完善(代做报关资料跟客户确认)"/>
    <x v="181"/>
    <x v="0"/>
    <x v="0"/>
    <m/>
    <s v="当天至隔天"/>
    <n v="-28"/>
  </r>
  <r>
    <x v="1"/>
    <x v="108"/>
    <n v="8"/>
    <s v="报关资料齐了（光成要素划掉XXX），发报关行(罗运生)"/>
    <x v="181"/>
    <x v="0"/>
    <x v="0"/>
    <m/>
    <m/>
    <n v="-28"/>
  </r>
  <r>
    <x v="1"/>
    <x v="108"/>
    <n v="9"/>
    <s v="收到车队(沈丽)装箱单和洋山提箱截图(如有)，9点前群发，通知发舱单"/>
    <x v="113"/>
    <x v="0"/>
    <x v="0"/>
    <m/>
    <s v="一般KMM五、HMI日"/>
    <n v="-27"/>
  </r>
  <r>
    <x v="1"/>
    <x v="108"/>
    <n v="10"/>
    <s v="【HMI】货运模板/发票/箱单"/>
    <x v="145"/>
    <x v="1"/>
    <x v="0"/>
    <m/>
    <m/>
    <n v="-38"/>
  </r>
  <r>
    <x v="1"/>
    <x v="108"/>
    <n v="11"/>
    <s v="核对舱单"/>
    <x v="113"/>
    <x v="0"/>
    <x v="0"/>
    <m/>
    <m/>
    <n v="-27"/>
  </r>
  <r>
    <x v="1"/>
    <x v="108"/>
    <n v="12"/>
    <s v="报关（洋山发装箱单）"/>
    <x v="113"/>
    <x v="0"/>
    <x v="0"/>
    <m/>
    <s v="调整顺序"/>
    <n v="-27"/>
  </r>
  <r>
    <x v="1"/>
    <x v="108"/>
    <n v="13"/>
    <s v="报关成功"/>
    <x v="113"/>
    <x v="0"/>
    <x v="0"/>
    <m/>
    <s v="调整顺序"/>
    <n v="-27"/>
  </r>
  <r>
    <x v="1"/>
    <x v="108"/>
    <n v="14"/>
    <s v="通知进港"/>
    <x v="113"/>
    <x v="0"/>
    <x v="0"/>
    <m/>
    <s v="调整顺序"/>
    <n v="-27"/>
  </r>
  <r>
    <x v="1"/>
    <x v="108"/>
    <n v="15"/>
    <s v="【HMI】开港"/>
    <x v="145"/>
    <x v="1"/>
    <x v="0"/>
    <m/>
    <m/>
    <n v="-38"/>
  </r>
  <r>
    <x v="1"/>
    <x v="108"/>
    <n v="16"/>
    <s v="进港(核对数据)"/>
    <x v="164"/>
    <x v="0"/>
    <x v="0"/>
    <m/>
    <s v="调整顺序"/>
    <n v="-26"/>
  </r>
  <r>
    <x v="1"/>
    <x v="108"/>
    <n v="17"/>
    <s v="海放"/>
    <x v="164"/>
    <x v="0"/>
    <x v="0"/>
    <m/>
    <m/>
    <n v="-26"/>
  </r>
  <r>
    <x v="1"/>
    <x v="108"/>
    <n v="18"/>
    <s v="码放"/>
    <x v="165"/>
    <x v="0"/>
    <x v="0"/>
    <m/>
    <m/>
    <n v="-25"/>
  </r>
  <r>
    <x v="1"/>
    <x v="108"/>
    <n v="19"/>
    <s v="配载"/>
    <x v="167"/>
    <x v="0"/>
    <x v="0"/>
    <m/>
    <m/>
    <n v="-24"/>
  </r>
  <r>
    <x v="1"/>
    <x v="108"/>
    <n v="20"/>
    <s v="做费用(对账单日期4号)，放公共盘，填月账单表，发孙丹"/>
    <x v="164"/>
    <x v="0"/>
    <x v="0"/>
    <m/>
    <m/>
    <n v="-26"/>
  </r>
  <r>
    <x v="1"/>
    <x v="108"/>
    <n v="21"/>
    <s v="如有额外费用发邮件"/>
    <x v="164"/>
    <x v="0"/>
    <x v="0"/>
    <m/>
    <m/>
    <n v="-26"/>
  </r>
  <r>
    <x v="1"/>
    <x v="108"/>
    <n v="22"/>
    <s v="船开"/>
    <x v="168"/>
    <x v="0"/>
    <x v="0"/>
    <m/>
    <m/>
    <n v="-23"/>
  </r>
  <r>
    <x v="11"/>
    <x v="109"/>
    <n v="1"/>
    <s v="收到托书"/>
    <x v="152"/>
    <x v="0"/>
    <x v="0"/>
    <m/>
    <m/>
    <n v="-31"/>
  </r>
  <r>
    <x v="11"/>
    <x v="109"/>
    <n v="2"/>
    <s v="先跟车队预订车子，确认货好时间"/>
    <x v="134"/>
    <x v="0"/>
    <x v="0"/>
    <m/>
    <m/>
    <n v="-29"/>
  </r>
  <r>
    <x v="11"/>
    <x v="109"/>
    <n v="3"/>
    <s v="1010收到预配，1010YJC生成，1012确认做箱时间1015，1014通知车队"/>
    <x v="113"/>
    <x v="0"/>
    <x v="0"/>
    <m/>
    <m/>
    <n v="-27"/>
  </r>
  <r>
    <x v="11"/>
    <x v="109"/>
    <n v="4"/>
    <s v="1014要数据，1014发沈丽，1014发客户要报关资料"/>
    <x v="165"/>
    <x v="0"/>
    <x v="0"/>
    <m/>
    <m/>
    <n v="-25"/>
  </r>
  <r>
    <x v="11"/>
    <x v="109"/>
    <n v="5"/>
    <s v="1014收报关资料（世钟，延锋），1014发报关行"/>
    <x v="165"/>
    <x v="0"/>
    <x v="0"/>
    <m/>
    <m/>
    <n v="-25"/>
  </r>
  <r>
    <x v="11"/>
    <x v="109"/>
    <n v="6"/>
    <s v="确认做箱时间，通知沈丽"/>
    <x v="113"/>
    <x v="0"/>
    <x v="0"/>
    <m/>
    <m/>
    <n v="-27"/>
  </r>
  <r>
    <x v="11"/>
    <x v="109"/>
    <n v="7"/>
    <s v="1014装箱单，1014转ZHL发舱单，1016核对舱单，1016报关"/>
    <x v="168"/>
    <x v="0"/>
    <x v="0"/>
    <m/>
    <m/>
    <n v="-23"/>
  </r>
  <r>
    <x v="11"/>
    <x v="109"/>
    <n v="8"/>
    <s v="1015进港，1015核对数据"/>
    <x v="168"/>
    <x v="0"/>
    <x v="0"/>
    <m/>
    <m/>
    <n v="-23"/>
  </r>
  <r>
    <x v="11"/>
    <x v="109"/>
    <n v="9"/>
    <s v="1016海放，1017码放，1017配载"/>
    <x v="179"/>
    <x v="0"/>
    <x v="0"/>
    <m/>
    <m/>
    <n v="-22"/>
  </r>
  <r>
    <x v="11"/>
    <x v="109"/>
    <n v="10"/>
    <s v="开船"/>
    <x v="179"/>
    <x v="0"/>
    <x v="0"/>
    <m/>
    <m/>
    <n v="-22"/>
  </r>
  <r>
    <x v="11"/>
    <x v="109"/>
    <n v="11"/>
    <s v="1021收到费用做费用，1021代付，1021费用表和明细发孙丹"/>
    <x v="170"/>
    <x v="0"/>
    <x v="0"/>
    <m/>
    <m/>
    <n v="-18"/>
  </r>
  <r>
    <x v="11"/>
    <x v="109"/>
    <n v="12"/>
    <s v="1023收到发票申通773009858795365，1024Statement，水单"/>
    <x v="183"/>
    <x v="0"/>
    <x v="0"/>
    <m/>
    <m/>
    <n v="-15"/>
  </r>
  <r>
    <x v="13"/>
    <x v="109"/>
    <n v="1"/>
    <s v="收到托书"/>
    <x v="138"/>
    <x v="0"/>
    <x v="0"/>
    <m/>
    <m/>
    <n v="-64"/>
  </r>
  <r>
    <x v="13"/>
    <x v="109"/>
    <n v="2"/>
    <s v="订舱"/>
    <x v="139"/>
    <x v="0"/>
    <x v="0"/>
    <m/>
    <m/>
    <n v="-63"/>
  </r>
  <r>
    <x v="13"/>
    <x v="109"/>
    <n v="3"/>
    <s v="收到MSK 订舱确认邮件"/>
    <x v="139"/>
    <x v="0"/>
    <x v="0"/>
    <m/>
    <m/>
    <n v="-63"/>
  </r>
  <r>
    <x v="13"/>
    <x v="109"/>
    <n v="4"/>
    <s v="发订舱确认邮件给客户"/>
    <x v="139"/>
    <x v="0"/>
    <x v="0"/>
    <m/>
    <m/>
    <n v="-63"/>
  </r>
  <r>
    <x v="13"/>
    <x v="109"/>
    <n v="5"/>
    <s v="收到客户确认订舱信息"/>
    <x v="150"/>
    <x v="1"/>
    <x v="0"/>
    <m/>
    <m/>
    <n v="-51"/>
  </r>
  <r>
    <x v="13"/>
    <x v="109"/>
    <n v="5"/>
    <s v="关注开港时间"/>
    <x v="113"/>
    <x v="0"/>
    <x v="0"/>
    <m/>
    <m/>
    <n v="-27"/>
  </r>
  <r>
    <x v="13"/>
    <x v="109"/>
    <n v="7"/>
    <s v="确认提供资料时间"/>
    <x v="113"/>
    <x v="0"/>
    <x v="0"/>
    <m/>
    <m/>
    <n v="-27"/>
  </r>
  <r>
    <x v="13"/>
    <x v="109"/>
    <n v="8"/>
    <s v="做费用"/>
    <x v="155"/>
    <x v="0"/>
    <x v="0"/>
    <m/>
    <m/>
    <n v="-21"/>
  </r>
  <r>
    <x v="13"/>
    <x v="109"/>
    <n v="9"/>
    <s v="收到截单资料"/>
    <x v="113"/>
    <x v="0"/>
    <x v="0"/>
    <m/>
    <m/>
    <n v="-27"/>
  </r>
  <r>
    <x v="13"/>
    <x v="109"/>
    <n v="10"/>
    <s v="YJC 截单（件毛体、箱封号、HS、唛头）"/>
    <x v="113"/>
    <x v="0"/>
    <x v="0"/>
    <m/>
    <m/>
    <n v="-27"/>
  </r>
  <r>
    <x v="13"/>
    <x v="109"/>
    <n v="11"/>
    <s v="拉账单，打印HBL，发文生然确认"/>
    <x v="113"/>
    <x v="0"/>
    <x v="0"/>
    <m/>
    <m/>
    <n v="-27"/>
  </r>
  <r>
    <x v="13"/>
    <x v="109"/>
    <n v="12"/>
    <s v="文生然确认HBL和费用"/>
    <x v="113"/>
    <x v="0"/>
    <x v="0"/>
    <m/>
    <m/>
    <n v="-27"/>
  </r>
  <r>
    <x v="13"/>
    <x v="109"/>
    <n v="13"/>
    <s v="MSK 录入提单确认内容"/>
    <x v="113"/>
    <x v="0"/>
    <x v="0"/>
    <m/>
    <m/>
    <n v="-27"/>
  </r>
  <r>
    <x v="13"/>
    <x v="109"/>
    <n v="14"/>
    <s v="联合船代发舱单"/>
    <x v="113"/>
    <x v="0"/>
    <x v="0"/>
    <m/>
    <m/>
    <n v="-27"/>
  </r>
  <r>
    <x v="13"/>
    <x v="109"/>
    <n v="15"/>
    <s v="MSK网站下载提单确认件"/>
    <x v="113"/>
    <x v="0"/>
    <x v="0"/>
    <m/>
    <m/>
    <n v="-27"/>
  </r>
  <r>
    <x v="13"/>
    <x v="109"/>
    <n v="16"/>
    <s v="邮件发COPY件、AMS、CREDIT给Wanda"/>
    <x v="113"/>
    <x v="0"/>
    <x v="0"/>
    <m/>
    <m/>
    <n v="-27"/>
  </r>
  <r>
    <x v="13"/>
    <x v="109"/>
    <n v="17"/>
    <s v="有舱单，核对，通知文生然"/>
    <x v="113"/>
    <x v="0"/>
    <x v="0"/>
    <m/>
    <m/>
    <n v="-27"/>
  </r>
  <r>
    <x v="13"/>
    <x v="109"/>
    <n v="18"/>
    <s v="进港，核对数据"/>
    <x v="164"/>
    <x v="0"/>
    <x v="0"/>
    <m/>
    <m/>
    <n v="-26"/>
  </r>
  <r>
    <x v="13"/>
    <x v="109"/>
    <n v="19"/>
    <s v="1013海放，1015码放，1017配载，1018船开，1019通知Wanda"/>
    <x v="155"/>
    <x v="0"/>
    <x v="0"/>
    <m/>
    <m/>
    <n v="-21"/>
  </r>
  <r>
    <x v="13"/>
    <x v="109"/>
    <n v="24"/>
    <s v="收到Wanda付款通知，放单给Wanda"/>
    <x v="171"/>
    <x v="0"/>
    <x v="0"/>
    <m/>
    <m/>
    <n v="-16"/>
  </r>
  <r>
    <x v="17"/>
    <x v="110"/>
    <n v="1"/>
    <s v="1015托书，1015订舱，1015邮件KY，1016KY确认"/>
    <x v="168"/>
    <x v="0"/>
    <x v="0"/>
    <m/>
    <m/>
    <n v="-23"/>
  </r>
  <r>
    <x v="17"/>
    <x v="110"/>
    <n v="2"/>
    <s v="报关资料，取货（17日下午）"/>
    <x v="179"/>
    <x v="0"/>
    <x v="0"/>
    <m/>
    <m/>
    <n v="-22"/>
  </r>
  <r>
    <x v="17"/>
    <x v="110"/>
    <n v="3"/>
    <s v="MBL确认，HBL确认，邮件KY，应付确认，应收确认"/>
    <x v="170"/>
    <x v="0"/>
    <x v="0"/>
    <m/>
    <m/>
    <n v="-18"/>
  </r>
  <r>
    <x v="17"/>
    <x v="110"/>
    <n v="4"/>
    <s v="应付发票、水单"/>
    <x v="170"/>
    <x v="1"/>
    <x v="0"/>
    <m/>
    <m/>
    <n v="-18"/>
  </r>
  <r>
    <x v="17"/>
    <x v="110"/>
    <n v="5"/>
    <s v="船开，放MBL，放HBL，邮件KY"/>
    <x v="170"/>
    <x v="0"/>
    <x v="0"/>
    <m/>
    <m/>
    <n v="-18"/>
  </r>
  <r>
    <x v="4"/>
    <x v="110"/>
    <n v="1"/>
    <s v="收到客户(陈云娣)订舱预报"/>
    <x v="163"/>
    <x v="0"/>
    <x v="0"/>
    <m/>
    <s v="一般周五发隔周"/>
    <n v="-30"/>
  </r>
  <r>
    <x v="4"/>
    <x v="110"/>
    <n v="6"/>
    <s v="公共盘生成提单号(QSWB不要搞错)"/>
    <x v="134"/>
    <x v="0"/>
    <x v="0"/>
    <m/>
    <m/>
    <n v="-29"/>
  </r>
  <r>
    <x v="4"/>
    <x v="110"/>
    <n v="7"/>
    <s v="YJC系统生成单子"/>
    <x v="134"/>
    <x v="0"/>
    <x v="0"/>
    <m/>
    <m/>
    <n v="-29"/>
  </r>
  <r>
    <x v="4"/>
    <x v="110"/>
    <n v="8"/>
    <s v="发EDI"/>
    <x v="134"/>
    <x v="0"/>
    <x v="0"/>
    <m/>
    <m/>
    <n v="-29"/>
  </r>
  <r>
    <x v="4"/>
    <x v="110"/>
    <n v="9"/>
    <s v="邮件申请放舱"/>
    <x v="134"/>
    <x v="0"/>
    <x v="0"/>
    <m/>
    <m/>
    <n v="-29"/>
  </r>
  <r>
    <x v="4"/>
    <x v="110"/>
    <n v="10"/>
    <s v="收到HMM(Abbi) 确认放舱"/>
    <x v="134"/>
    <x v="0"/>
    <x v="0"/>
    <m/>
    <s v="一般半天内"/>
    <n v="-29"/>
  </r>
  <r>
    <x v="4"/>
    <x v="110"/>
    <n v="11"/>
    <s v="HMM网站核对订舱信息"/>
    <x v="134"/>
    <x v="0"/>
    <x v="0"/>
    <m/>
    <m/>
    <n v="-29"/>
  </r>
  <r>
    <x v="4"/>
    <x v="110"/>
    <n v="12"/>
    <s v="收到客户(陈云娣)做箱通知"/>
    <x v="165"/>
    <x v="0"/>
    <x v="0"/>
    <m/>
    <s v="一般做箱头天一早"/>
    <n v="-25"/>
  </r>
  <r>
    <x v="4"/>
    <x v="110"/>
    <n v="13"/>
    <s v="【拆单】公共盘生成提单号"/>
    <x v="165"/>
    <x v="0"/>
    <x v="0"/>
    <m/>
    <m/>
    <n v="-25"/>
  </r>
  <r>
    <x v="4"/>
    <x v="110"/>
    <n v="14"/>
    <s v="发做箱通知邮件给车队(沈丽)（航次要加QL？）"/>
    <x v="165"/>
    <x v="0"/>
    <x v="0"/>
    <m/>
    <m/>
    <n v="-25"/>
  </r>
  <r>
    <x v="4"/>
    <x v="110"/>
    <n v="15"/>
    <s v="【拆单】YJC系统生成单子（QSWB不要搞错）"/>
    <x v="165"/>
    <x v="0"/>
    <x v="0"/>
    <m/>
    <m/>
    <n v="-25"/>
  </r>
  <r>
    <x v="4"/>
    <x v="110"/>
    <n v="16"/>
    <s v="【拆单】发EDI"/>
    <x v="165"/>
    <x v="0"/>
    <x v="0"/>
    <m/>
    <m/>
    <n v="-25"/>
  </r>
  <r>
    <x v="4"/>
    <x v="110"/>
    <n v="17"/>
    <s v="【拆单】邮件申请放单"/>
    <x v="165"/>
    <x v="0"/>
    <x v="0"/>
    <m/>
    <m/>
    <n v="-25"/>
  </r>
  <r>
    <x v="4"/>
    <x v="110"/>
    <n v="18"/>
    <s v="【拆单】收到HMM(Abbi) 加拼放单确认"/>
    <x v="165"/>
    <x v="0"/>
    <x v="0"/>
    <m/>
    <m/>
    <n v="-25"/>
  </r>
  <r>
    <x v="4"/>
    <x v="110"/>
    <n v="19"/>
    <s v="【拆单】HMM网站核对订舱信息"/>
    <x v="165"/>
    <x v="0"/>
    <x v="0"/>
    <m/>
    <m/>
    <n v="-25"/>
  </r>
  <r>
    <x v="4"/>
    <x v="110"/>
    <n v="20"/>
    <s v="收到客户(陈云娣)发来报关资料"/>
    <x v="167"/>
    <x v="0"/>
    <x v="0"/>
    <m/>
    <s v="一般做箱当天一早"/>
    <n v="-24"/>
  </r>
  <r>
    <x v="4"/>
    <x v="110"/>
    <n v="21"/>
    <s v="【加拼】按报关(发票)数生成提单号【如发票数超过提单数】"/>
    <x v="167"/>
    <x v="1"/>
    <x v="0"/>
    <m/>
    <m/>
    <n v="-24"/>
  </r>
  <r>
    <x v="4"/>
    <x v="110"/>
    <n v="22"/>
    <s v="做做箱数据，QQ发车队(沈丽)"/>
    <x v="167"/>
    <x v="0"/>
    <x v="0"/>
    <m/>
    <m/>
    <n v="-24"/>
  </r>
  <r>
    <x v="4"/>
    <x v="110"/>
    <n v="23"/>
    <s v="收到车队(沈丽)装箱单，转发客户（陈云娣）"/>
    <x v="167"/>
    <x v="0"/>
    <x v="0"/>
    <m/>
    <s v="一般马上"/>
    <n v="-24"/>
  </r>
  <r>
    <x v="4"/>
    <x v="110"/>
    <n v="24"/>
    <s v="YJC系统截单，发EDI，邮件HMM(He)【截单时间】"/>
    <x v="167"/>
    <x v="0"/>
    <x v="0"/>
    <m/>
    <s v="注意截单时间"/>
    <n v="-24"/>
  </r>
  <r>
    <x v="4"/>
    <x v="110"/>
    <n v="25"/>
    <s v="发VGM和舱单（亿通，鹏海两次）"/>
    <x v="167"/>
    <x v="0"/>
    <x v="0"/>
    <m/>
    <m/>
    <n v="-24"/>
  </r>
  <r>
    <x v="4"/>
    <x v="110"/>
    <n v="26"/>
    <s v="做报关资料，扫描发报关行(罗运生)QQ，要校对稿"/>
    <x v="167"/>
    <x v="0"/>
    <x v="0"/>
    <m/>
    <m/>
    <n v="-24"/>
  </r>
  <r>
    <x v="4"/>
    <x v="110"/>
    <n v="27"/>
    <s v="做保函给邹师傅(美国线)"/>
    <x v="167"/>
    <x v="0"/>
    <x v="0"/>
    <m/>
    <m/>
    <n v="-24"/>
  </r>
  <r>
    <x v="4"/>
    <x v="110"/>
    <n v="28"/>
    <s v="做ISF，发国外资料"/>
    <x v="167"/>
    <x v="0"/>
    <x v="0"/>
    <m/>
    <m/>
    <n v="-24"/>
  </r>
  <r>
    <x v="4"/>
    <x v="110"/>
    <n v="29"/>
    <s v="买保险"/>
    <x v="167"/>
    <x v="0"/>
    <x v="0"/>
    <m/>
    <m/>
    <n v="-24"/>
  </r>
  <r>
    <x v="4"/>
    <x v="110"/>
    <n v="31"/>
    <s v="收到HMM(He)生成提单通知"/>
    <x v="167"/>
    <x v="0"/>
    <x v="0"/>
    <m/>
    <s v="一般马上"/>
    <n v="-24"/>
  </r>
  <r>
    <x v="4"/>
    <x v="110"/>
    <n v="32"/>
    <s v="HMM网站核对提单信息"/>
    <x v="167"/>
    <x v="0"/>
    <x v="0"/>
    <m/>
    <m/>
    <n v="-24"/>
  </r>
  <r>
    <x v="4"/>
    <x v="110"/>
    <n v="33"/>
    <s v="盯海关网站舱单"/>
    <x v="167"/>
    <x v="0"/>
    <x v="0"/>
    <m/>
    <s v="一般两小时左右"/>
    <n v="-24"/>
  </r>
  <r>
    <x v="4"/>
    <x v="110"/>
    <n v="34"/>
    <s v="核对舱单信息"/>
    <x v="167"/>
    <x v="0"/>
    <x v="0"/>
    <m/>
    <m/>
    <n v="-24"/>
  </r>
  <r>
    <x v="4"/>
    <x v="110"/>
    <n v="35"/>
    <s v="收到报关行(罗运生)校对稿，邮件发客户(陈云娣)确认"/>
    <x v="167"/>
    <x v="0"/>
    <x v="0"/>
    <m/>
    <s v="一般半天内"/>
    <n v="-24"/>
  </r>
  <r>
    <x v="4"/>
    <x v="110"/>
    <n v="36"/>
    <s v="收到客户(陈云娣)确认校对稿"/>
    <x v="167"/>
    <x v="0"/>
    <x v="0"/>
    <m/>
    <s v="一般马上"/>
    <n v="-24"/>
  </r>
  <r>
    <x v="4"/>
    <x v="110"/>
    <n v="37"/>
    <s v="通知报关行(罗运生)报关(开港、舱单、校对)（洋山提供装箱单）"/>
    <x v="167"/>
    <x v="0"/>
    <x v="0"/>
    <m/>
    <m/>
    <n v="-24"/>
  </r>
  <r>
    <x v="4"/>
    <x v="110"/>
    <n v="38"/>
    <s v="收到报关成功通知"/>
    <x v="167"/>
    <x v="0"/>
    <x v="0"/>
    <m/>
    <s v="一般下班前"/>
    <n v="-24"/>
  </r>
  <r>
    <x v="4"/>
    <x v="110"/>
    <n v="39"/>
    <s v="通知车队(沈丽)可进港"/>
    <x v="167"/>
    <x v="0"/>
    <x v="0"/>
    <m/>
    <m/>
    <n v="-24"/>
  </r>
  <r>
    <x v="4"/>
    <x v="110"/>
    <n v="40"/>
    <s v="1016进港，关注开港时间，无落箱费"/>
    <x v="168"/>
    <x v="0"/>
    <x v="0"/>
    <m/>
    <m/>
    <n v="-23"/>
  </r>
  <r>
    <x v="4"/>
    <x v="110"/>
    <n v="41"/>
    <s v="核对进港数据"/>
    <x v="168"/>
    <x v="0"/>
    <x v="0"/>
    <m/>
    <m/>
    <n v="-23"/>
  </r>
  <r>
    <x v="4"/>
    <x v="110"/>
    <n v="42"/>
    <s v="盯海放"/>
    <x v="168"/>
    <x v="0"/>
    <x v="0"/>
    <m/>
    <m/>
    <n v="-23"/>
  </r>
  <r>
    <x v="4"/>
    <x v="110"/>
    <n v="43"/>
    <s v="盯码放"/>
    <x v="179"/>
    <x v="0"/>
    <x v="0"/>
    <m/>
    <m/>
    <n v="-22"/>
  </r>
  <r>
    <x v="4"/>
    <x v="110"/>
    <n v="44"/>
    <s v="盯配载"/>
    <x v="155"/>
    <x v="0"/>
    <x v="0"/>
    <m/>
    <m/>
    <n v="-21"/>
  </r>
  <r>
    <x v="4"/>
    <x v="110"/>
    <n v="45"/>
    <s v="做费用(月初等汇率)，发账单给陈吟勇"/>
    <x v="170"/>
    <x v="0"/>
    <x v="0"/>
    <m/>
    <m/>
    <n v="-18"/>
  </r>
  <r>
    <x v="4"/>
    <x v="110"/>
    <n v="46"/>
    <s v="船开"/>
    <x v="184"/>
    <x v="0"/>
    <x v="0"/>
    <m/>
    <m/>
    <n v="-20"/>
  </r>
  <r>
    <x v="4"/>
    <x v="110"/>
    <n v="47"/>
    <s v="放提单（PHISON、陈吟勇提单、陈云娣三单）"/>
    <x v="170"/>
    <x v="0"/>
    <x v="0"/>
    <m/>
    <s v="一般开船后两三天"/>
    <n v="-18"/>
  </r>
  <r>
    <x v="18"/>
    <x v="111"/>
    <n v="1"/>
    <s v="1015托书，1015订舱，1015取货，1015邮件KY，1016KY确认"/>
    <x v="168"/>
    <x v="0"/>
    <x v="0"/>
    <m/>
    <m/>
    <n v="-23"/>
  </r>
  <r>
    <x v="18"/>
    <x v="111"/>
    <n v="2"/>
    <s v="1015截单16号12点，截货17号18点(1015暂进YJC仓库)"/>
    <x v="168"/>
    <x v="1"/>
    <x v="0"/>
    <m/>
    <m/>
    <n v="-23"/>
  </r>
  <r>
    <x v="18"/>
    <x v="111"/>
    <n v="3"/>
    <s v="MBL确认，HBL确认，应付确认，应收确认"/>
    <x v="155"/>
    <x v="1"/>
    <x v="0"/>
    <m/>
    <m/>
    <n v="-21"/>
  </r>
  <r>
    <x v="18"/>
    <x v="111"/>
    <n v="4"/>
    <s v="应付发票、水单，应收发票、水单"/>
    <x v="155"/>
    <x v="1"/>
    <x v="0"/>
    <m/>
    <m/>
    <n v="-21"/>
  </r>
  <r>
    <x v="18"/>
    <x v="111"/>
    <n v="5"/>
    <s v="船开，放MBL，放HBL，邮件KY"/>
    <x v="170"/>
    <x v="1"/>
    <x v="0"/>
    <m/>
    <m/>
    <n v="-18"/>
  </r>
  <r>
    <x v="19"/>
    <x v="111"/>
    <m/>
    <s v="KMTCSHAE473303 漏装至1027 SUNNY CALLA 1943N"/>
    <x v="170"/>
    <x v="0"/>
    <x v="0"/>
    <m/>
    <m/>
    <n v="-18"/>
  </r>
  <r>
    <x v="19"/>
    <x v="111"/>
    <m/>
    <s v="通知华宝送正本预录单到唐琳80332408"/>
    <x v="170"/>
    <x v="0"/>
    <x v="0"/>
    <m/>
    <m/>
    <n v="-18"/>
  </r>
  <r>
    <x v="19"/>
    <x v="111"/>
    <m/>
    <s v="还要做什么？"/>
    <x v="174"/>
    <x v="0"/>
    <x v="0"/>
    <m/>
    <m/>
    <n v="-13"/>
  </r>
  <r>
    <x v="19"/>
    <x v="111"/>
    <m/>
    <s v="统计费用，做提单"/>
    <x v="174"/>
    <x v="1"/>
    <x v="0"/>
    <m/>
    <m/>
    <n v="-13"/>
  </r>
  <r>
    <x v="7"/>
    <x v="111"/>
    <n v="1"/>
    <s v="1014托书，1014订舱，1014进仓通知，1015邮件KY，1016KY确认"/>
    <x v="168"/>
    <x v="0"/>
    <x v="0"/>
    <m/>
    <m/>
    <n v="-23"/>
  </r>
  <r>
    <x v="7"/>
    <x v="111"/>
    <n v="2"/>
    <s v="1016截单16号12点，1016截货17号18点"/>
    <x v="168"/>
    <x v="0"/>
    <x v="0"/>
    <m/>
    <m/>
    <n v="-23"/>
  </r>
  <r>
    <x v="7"/>
    <x v="111"/>
    <n v="3"/>
    <s v="1016MBL确认，1016HBL确认，1016邮件KY，应付确认，应收确认"/>
    <x v="155"/>
    <x v="1"/>
    <x v="0"/>
    <m/>
    <m/>
    <n v="-21"/>
  </r>
  <r>
    <x v="7"/>
    <x v="111"/>
    <n v="4"/>
    <s v="应付发票、水单，应收发票、水单"/>
    <x v="155"/>
    <x v="1"/>
    <x v="0"/>
    <m/>
    <m/>
    <n v="-21"/>
  </r>
  <r>
    <x v="7"/>
    <x v="111"/>
    <n v="5"/>
    <s v="船开，放MBL，放HBL，邮件KY"/>
    <x v="170"/>
    <x v="1"/>
    <x v="0"/>
    <m/>
    <m/>
    <n v="-18"/>
  </r>
  <r>
    <x v="7"/>
    <x v="111"/>
    <m/>
    <s v="1022付亏舱费，1022通知车队送货，1223送，送到"/>
    <x v="172"/>
    <x v="0"/>
    <x v="3"/>
    <m/>
    <m/>
    <n v="-14"/>
  </r>
  <r>
    <x v="7"/>
    <x v="111"/>
    <m/>
    <s v="跟徐小姐要送货发票，送货750，进仓费190，合940抵扣下一票拼箱"/>
    <x v="67"/>
    <x v="2"/>
    <x v="0"/>
    <m/>
    <m/>
    <n v="3"/>
  </r>
  <r>
    <x v="3"/>
    <x v="112"/>
    <n v="0"/>
    <s v="Abbi确认订舱预报，制作清单流水"/>
    <x v="170"/>
    <x v="0"/>
    <x v="0"/>
    <m/>
    <s v="周一"/>
    <n v="-18"/>
  </r>
  <r>
    <x v="3"/>
    <x v="112"/>
    <n v="1"/>
    <s v="发本周JS mobis的报关单（收件人看陈吟勇邮件）"/>
    <x v="172"/>
    <x v="0"/>
    <x v="0"/>
    <m/>
    <s v="周五"/>
    <n v="-14"/>
  </r>
  <r>
    <x v="3"/>
    <x v="112"/>
    <n v="2"/>
    <s v="下周WEEK"/>
    <x v="174"/>
    <x v="0"/>
    <x v="0"/>
    <m/>
    <m/>
    <n v="-13"/>
  </r>
  <r>
    <x v="3"/>
    <x v="112"/>
    <m/>
    <s v="发票没收到，找黄要92717343"/>
    <x v="171"/>
    <x v="0"/>
    <x v="0"/>
    <m/>
    <m/>
    <n v="-16"/>
  </r>
  <r>
    <x v="3"/>
    <x v="112"/>
    <m/>
    <s v="顾家1016正本提单签好发KOOKYANG，寄客户"/>
    <x v="170"/>
    <x v="0"/>
    <x v="0"/>
    <m/>
    <m/>
    <n v="-18"/>
  </r>
  <r>
    <x v="3"/>
    <x v="112"/>
    <m/>
    <s v="PCLU1943HN4310 PCLU1798PE4310 订舱审核后加拼"/>
    <x v="170"/>
    <x v="0"/>
    <x v="0"/>
    <m/>
    <m/>
    <n v="-18"/>
  </r>
  <r>
    <x v="3"/>
    <x v="112"/>
    <m/>
    <s v="万盛，删预配舱单，找8863姜小姐"/>
    <x v="171"/>
    <x v="0"/>
    <x v="0"/>
    <m/>
    <m/>
    <n v="-16"/>
  </r>
  <r>
    <x v="3"/>
    <x v="112"/>
    <m/>
    <s v="万盛退关，船开了麻烦帮我开下未上船证明，还有正本配舱回单"/>
    <x v="169"/>
    <x v="0"/>
    <x v="0"/>
    <m/>
    <m/>
    <n v="-17"/>
  </r>
  <r>
    <x v="3"/>
    <x v="112"/>
    <m/>
    <s v="YJCSHAN1916618退回来重做费用"/>
    <x v="172"/>
    <x v="0"/>
    <x v="0"/>
    <m/>
    <m/>
    <n v="-14"/>
  </r>
  <r>
    <x v="3"/>
    <x v="112"/>
    <m/>
    <s v="陈赛赛100元现金"/>
    <x v="171"/>
    <x v="0"/>
    <x v="0"/>
    <m/>
    <m/>
    <n v="-16"/>
  </r>
  <r>
    <x v="3"/>
    <x v="112"/>
    <m/>
    <s v="20号KMTC两票做费用，发发票，收水单，放单"/>
    <x v="174"/>
    <x v="0"/>
    <x v="0"/>
    <m/>
    <m/>
    <n v="-13"/>
  </r>
  <r>
    <x v="3"/>
    <x v="112"/>
    <m/>
    <s v="PCLU1942HN4306舱单删除跟踪"/>
    <x v="171"/>
    <x v="0"/>
    <x v="0"/>
    <m/>
    <m/>
    <n v="-16"/>
  </r>
  <r>
    <x v="3"/>
    <x v="112"/>
    <m/>
    <s v="四川近达要英文版的美金账户信息"/>
    <x v="183"/>
    <x v="0"/>
    <x v="0"/>
    <m/>
    <m/>
    <n v="-15"/>
  </r>
  <r>
    <x v="3"/>
    <x v="112"/>
    <m/>
    <s v="伟誉要PO号，1109货好可以配13号船期，要改吗?"/>
    <x v="183"/>
    <x v="0"/>
    <x v="1"/>
    <m/>
    <m/>
    <n v="-15"/>
  </r>
  <r>
    <x v="3"/>
    <x v="112"/>
    <m/>
    <s v="PCLU1944HN4304审核后加拼"/>
    <x v="185"/>
    <x v="2"/>
    <x v="0"/>
    <m/>
    <m/>
    <n v="17"/>
  </r>
  <r>
    <x v="3"/>
    <x v="112"/>
    <m/>
    <s v="KMTCSHAE473303 这个提单怎么没有了"/>
    <x v="183"/>
    <x v="0"/>
    <x v="1"/>
    <m/>
    <m/>
    <n v="-15"/>
  </r>
  <r>
    <x v="6"/>
    <x v="113"/>
    <n v="1"/>
    <s v="收到胡媛媛发来订舱邮件"/>
    <x v="146"/>
    <x v="0"/>
    <x v="0"/>
    <m/>
    <m/>
    <n v="-57"/>
  </r>
  <r>
    <x v="6"/>
    <x v="113"/>
    <n v="2"/>
    <s v="发订舱托书给万恒（翁小姐）"/>
    <x v="146"/>
    <x v="0"/>
    <x v="0"/>
    <m/>
    <m/>
    <n v="-57"/>
  </r>
  <r>
    <x v="6"/>
    <x v="113"/>
    <n v="3"/>
    <s v="收到万恒（翁小姐）预配（中转港必须是LAZARO）"/>
    <x v="149"/>
    <x v="0"/>
    <x v="0"/>
    <m/>
    <s v="一般三小时左右"/>
    <n v="-56"/>
  </r>
  <r>
    <x v="6"/>
    <x v="113"/>
    <n v="5"/>
    <s v="发做箱通知邮件给车队(沈丽)，通知做箱时间"/>
    <x v="149"/>
    <x v="0"/>
    <x v="0"/>
    <m/>
    <m/>
    <n v="-56"/>
  </r>
  <r>
    <x v="6"/>
    <x v="113"/>
    <n v="6"/>
    <s v="通知胡媛媛订舱成功和做箱时间"/>
    <x v="149"/>
    <x v="0"/>
    <x v="0"/>
    <m/>
    <m/>
    <n v="-56"/>
  </r>
  <r>
    <x v="6"/>
    <x v="113"/>
    <n v="7"/>
    <s v="跟客户确认发报关资料OK 和1017做箱时间"/>
    <x v="179"/>
    <x v="0"/>
    <x v="0"/>
    <m/>
    <s v="截单前三天"/>
    <n v="-22"/>
  </r>
  <r>
    <x v="6"/>
    <x v="113"/>
    <n v="8"/>
    <s v="收到胡媛媛发来报关资料"/>
    <x v="134"/>
    <x v="0"/>
    <x v="0"/>
    <m/>
    <s v="船开前一周？"/>
    <n v="-29"/>
  </r>
  <r>
    <x v="6"/>
    <x v="113"/>
    <n v="9"/>
    <s v="完善报关资料发报关行（罗运生），要校对稿，做箱数据给沈丽，更新系统件毛体"/>
    <x v="134"/>
    <x v="0"/>
    <x v="2"/>
    <m/>
    <m/>
    <n v="-29"/>
  </r>
  <r>
    <x v="6"/>
    <x v="113"/>
    <n v="10"/>
    <s v="买保险"/>
    <x v="164"/>
    <x v="0"/>
    <x v="0"/>
    <m/>
    <m/>
    <n v="-26"/>
  </r>
  <r>
    <x v="6"/>
    <x v="113"/>
    <n v="11"/>
    <s v="做异地付款保函，发胡媛媛确认盖章回传"/>
    <x v="134"/>
    <x v="0"/>
    <x v="0"/>
    <m/>
    <m/>
    <n v="-29"/>
  </r>
  <r>
    <x v="6"/>
    <x v="113"/>
    <n v="12"/>
    <s v="收到客户（胡媛媛）发来保函扫描件"/>
    <x v="181"/>
    <x v="0"/>
    <x v="2"/>
    <m/>
    <s v="一般马上"/>
    <n v="-28"/>
  </r>
  <r>
    <x v="6"/>
    <x v="113"/>
    <n v="13"/>
    <s v="收到罗运生校对稿，发客户（胡媛媛）确认"/>
    <x v="113"/>
    <x v="0"/>
    <x v="0"/>
    <m/>
    <s v="一般半天内"/>
    <n v="-27"/>
  </r>
  <r>
    <x v="6"/>
    <x v="113"/>
    <n v="14"/>
    <s v="收到客户（胡媛媛）确认校对稿OK"/>
    <x v="113"/>
    <x v="0"/>
    <x v="0"/>
    <m/>
    <s v="一般马上"/>
    <n v="-27"/>
  </r>
  <r>
    <x v="6"/>
    <x v="113"/>
    <n v="15"/>
    <s v="关注开港时间，跟车队(沈丽)确认做箱时间，如有变动通知胡媛媛"/>
    <x v="179"/>
    <x v="0"/>
    <x v="0"/>
    <m/>
    <s v="截单前一天"/>
    <n v="-22"/>
  </r>
  <r>
    <x v="6"/>
    <x v="113"/>
    <n v="16"/>
    <s v="收到沈丽发来装箱单"/>
    <x v="155"/>
    <x v="0"/>
    <x v="0"/>
    <m/>
    <s v="截单当天"/>
    <n v="-21"/>
  </r>
  <r>
    <x v="6"/>
    <x v="113"/>
    <n v="17"/>
    <s v="完善截单资料发万恒（翁小姐），请求发舱单"/>
    <x v="155"/>
    <x v="0"/>
    <x v="0"/>
    <m/>
    <m/>
    <n v="-21"/>
  </r>
  <r>
    <x v="6"/>
    <x v="113"/>
    <n v="18"/>
    <s v="收到舱单发送通知，核对舱单，装箱单发报关行报关"/>
    <x v="155"/>
    <x v="0"/>
    <x v="0"/>
    <m/>
    <m/>
    <n v="-21"/>
  </r>
  <r>
    <x v="6"/>
    <x v="113"/>
    <n v="19"/>
    <s v="请求万恒（翁小姐）发提单样本"/>
    <x v="155"/>
    <x v="0"/>
    <x v="0"/>
    <m/>
    <m/>
    <n v="-21"/>
  </r>
  <r>
    <x v="6"/>
    <x v="113"/>
    <n v="20"/>
    <s v="收到万恒（翁小姐）发来提单样本，发胡媛媛确认"/>
    <x v="155"/>
    <x v="0"/>
    <x v="0"/>
    <m/>
    <m/>
    <n v="-21"/>
  </r>
  <r>
    <x v="6"/>
    <x v="113"/>
    <n v="21"/>
    <s v="收到胡媛媛提单确认"/>
    <x v="155"/>
    <x v="0"/>
    <x v="0"/>
    <m/>
    <m/>
    <n v="-21"/>
  </r>
  <r>
    <x v="6"/>
    <x v="113"/>
    <n v="22"/>
    <s v="收到报关成功通知，通知车队可进港 "/>
    <x v="155"/>
    <x v="0"/>
    <x v="0"/>
    <m/>
    <m/>
    <n v="-21"/>
  </r>
  <r>
    <x v="6"/>
    <x v="113"/>
    <n v="23"/>
    <s v="1018进港，1019核数据，1019海放，1023码放，配载"/>
    <x v="183"/>
    <x v="0"/>
    <x v="0"/>
    <m/>
    <m/>
    <n v="-15"/>
  </r>
  <r>
    <x v="6"/>
    <x v="113"/>
    <n v="27"/>
    <s v="开船"/>
    <x v="172"/>
    <x v="0"/>
    <x v="0"/>
    <m/>
    <m/>
    <n v="-14"/>
  </r>
  <r>
    <x v="6"/>
    <x v="113"/>
    <n v="28"/>
    <s v="收到万恒账单，做费用，发账单给陈吟勇"/>
    <x v="172"/>
    <x v="0"/>
    <x v="0"/>
    <m/>
    <m/>
    <n v="-14"/>
  </r>
  <r>
    <x v="6"/>
    <x v="113"/>
    <n v="29"/>
    <s v="收到万恒（翁小姐）提单，放提单和预录单给胡媛媛"/>
    <x v="172"/>
    <x v="0"/>
    <x v="0"/>
    <m/>
    <m/>
    <n v="-14"/>
  </r>
  <r>
    <x v="4"/>
    <x v="114"/>
    <n v="0"/>
    <s v="精减流水，整理此票流水"/>
    <x v="164"/>
    <x v="0"/>
    <x v="0"/>
    <m/>
    <m/>
    <n v="-26"/>
  </r>
  <r>
    <x v="4"/>
    <x v="114"/>
    <n v="1"/>
    <s v="1011订舱预报，1015YJC生成，1015EDI，1015邮件Abbi，1017核对"/>
    <x v="179"/>
    <x v="0"/>
    <x v="0"/>
    <m/>
    <m/>
    <n v="-22"/>
  </r>
  <r>
    <x v="4"/>
    <x v="114"/>
    <n v="2"/>
    <s v="1017做箱时间，1017做箱通知，1017提单加拼EDI邮件Abbi，1017通知沈丽，1017加拼核对"/>
    <x v="179"/>
    <x v="0"/>
    <x v="0"/>
    <m/>
    <m/>
    <n v="-22"/>
  </r>
  <r>
    <x v="4"/>
    <x v="114"/>
    <n v="3"/>
    <s v="1018报关资料，NO报关加拼，1018做箱数据，1018邮件沈丽，1018装箱单，1018转客户"/>
    <x v="155"/>
    <x v="0"/>
    <x v="0"/>
    <m/>
    <m/>
    <n v="-21"/>
  </r>
  <r>
    <x v="4"/>
    <x v="114"/>
    <n v="4"/>
    <s v="1018做报关资料，1018发报关行，核注清单，确认，校对稿，确认"/>
    <x v="184"/>
    <x v="0"/>
    <x v="0"/>
    <m/>
    <m/>
    <n v="-20"/>
  </r>
  <r>
    <x v="4"/>
    <x v="114"/>
    <n v="5"/>
    <s v="1018YJC截单，1020ESI，1020邮件He，1021校对COPY"/>
    <x v="170"/>
    <x v="0"/>
    <x v="0"/>
    <m/>
    <m/>
    <n v="-18"/>
  </r>
  <r>
    <x v="4"/>
    <x v="114"/>
    <n v="6"/>
    <s v="1018保函邹(Abbi电话)，1019ISF，1019保险"/>
    <x v="184"/>
    <x v="0"/>
    <x v="0"/>
    <m/>
    <m/>
    <n v="-20"/>
  </r>
  <r>
    <x v="4"/>
    <x v="114"/>
    <n v="7"/>
    <s v="1018VGM，1018亿通鹏海舱单，1020核舱单"/>
    <x v="155"/>
    <x v="0"/>
    <x v="0"/>
    <m/>
    <m/>
    <n v="-21"/>
  </r>
  <r>
    <x v="4"/>
    <x v="114"/>
    <n v="8"/>
    <s v="【洋山】发装箱单报关，成功，进港(落箱费?)，核数据"/>
    <x v="155"/>
    <x v="1"/>
    <x v="0"/>
    <m/>
    <m/>
    <n v="-21"/>
  </r>
  <r>
    <x v="4"/>
    <x v="114"/>
    <n v="9"/>
    <s v="【外港】1021进港(落箱费?)，1021核数据，1021报关，1021成功"/>
    <x v="170"/>
    <x v="0"/>
    <x v="0"/>
    <m/>
    <m/>
    <n v="-18"/>
  </r>
  <r>
    <x v="4"/>
    <x v="114"/>
    <n v="10"/>
    <s v="1021海放，1023码放，1024配载，1024费用发陈吟勇石磊，船开"/>
    <x v="172"/>
    <x v="0"/>
    <x v="0"/>
    <m/>
    <m/>
    <n v="-14"/>
  </r>
  <r>
    <x v="4"/>
    <x v="114"/>
    <n v="11"/>
    <s v="放提单（PHISON、陈吟勇提单、陈云娣）"/>
    <x v="172"/>
    <x v="0"/>
    <x v="3"/>
    <m/>
    <m/>
    <n v="-14"/>
  </r>
  <r>
    <x v="1"/>
    <x v="114"/>
    <n v="1"/>
    <s v="收到客户(孙丹/王珊)发来订舱托书"/>
    <x v="134"/>
    <x v="0"/>
    <x v="0"/>
    <m/>
    <m/>
    <n v="-29"/>
  </r>
  <r>
    <x v="1"/>
    <x v="114"/>
    <n v="1"/>
    <s v="1010托书，1015预配(沈丽)，1015YJC生成"/>
    <x v="167"/>
    <x v="0"/>
    <x v="0"/>
    <m/>
    <m/>
    <n v="-24"/>
  </r>
  <r>
    <x v="1"/>
    <x v="114"/>
    <n v="2"/>
    <s v="收到CK发来预配(做箱通知，沈丽有收到？)"/>
    <x v="168"/>
    <x v="1"/>
    <x v="0"/>
    <m/>
    <m/>
    <n v="-23"/>
  </r>
  <r>
    <x v="1"/>
    <x v="114"/>
    <n v="2"/>
    <s v="1017包装指示书，汇总，发工厂，做箱数据，群发"/>
    <x v="179"/>
    <x v="0"/>
    <x v="0"/>
    <m/>
    <s v="一般周四"/>
    <n v="-22"/>
  </r>
  <r>
    <x v="1"/>
    <x v="114"/>
    <n v="3"/>
    <s v="YJC系统生成单子"/>
    <x v="168"/>
    <x v="1"/>
    <x v="0"/>
    <m/>
    <m/>
    <n v="-23"/>
  </r>
  <r>
    <x v="1"/>
    <x v="114"/>
    <n v="3"/>
    <s v="1017收做资料(代做确认)，1017发报关行，【HMI】货运模板"/>
    <x v="179"/>
    <x v="0"/>
    <x v="0"/>
    <m/>
    <s v="当天至隔天"/>
    <n v="-22"/>
  </r>
  <r>
    <x v="1"/>
    <x v="114"/>
    <n v="4"/>
    <s v="收到包装厂(刘倩梅)发来包装指示书和装箱计划"/>
    <x v="179"/>
    <x v="1"/>
    <x v="0"/>
    <m/>
    <s v="一般周四"/>
    <n v="-22"/>
  </r>
  <r>
    <x v="1"/>
    <x v="114"/>
    <n v="4"/>
    <s v="1018装箱单(洋提)，1018群发，1018发舱单，1018核舱单"/>
    <x v="155"/>
    <x v="0"/>
    <x v="0"/>
    <m/>
    <s v="一般KMM五、HMI日"/>
    <n v="-21"/>
  </r>
  <r>
    <x v="1"/>
    <x v="114"/>
    <n v="5"/>
    <s v="根据装箱计划汇总包装数据，发各工厂做报关资料"/>
    <x v="179"/>
    <x v="1"/>
    <x v="0"/>
    <m/>
    <m/>
    <n v="-22"/>
  </r>
  <r>
    <x v="1"/>
    <x v="114"/>
    <n v="5"/>
    <s v="【HMI】开港，进港，核数据，报关"/>
    <x v="155"/>
    <x v="1"/>
    <x v="0"/>
    <m/>
    <s v="调整顺序"/>
    <n v="-21"/>
  </r>
  <r>
    <x v="1"/>
    <x v="114"/>
    <n v="6"/>
    <s v="做做箱数据，邮件群发(查开港时间，注明做箱时间)"/>
    <x v="179"/>
    <x v="1"/>
    <x v="0"/>
    <m/>
    <m/>
    <n v="-22"/>
  </r>
  <r>
    <x v="1"/>
    <x v="114"/>
    <n v="6"/>
    <s v="【KMM】1018报关，1018成功，1018进港，1019核数据"/>
    <x v="184"/>
    <x v="0"/>
    <x v="0"/>
    <m/>
    <m/>
    <n v="-20"/>
  </r>
  <r>
    <x v="1"/>
    <x v="114"/>
    <n v="7"/>
    <s v="收到车队(沈丽)装箱单和洋山提箱截图(如有)，9点前群发，通知发舱单"/>
    <x v="155"/>
    <x v="1"/>
    <x v="0"/>
    <m/>
    <s v="一般KMM五、HMI日"/>
    <n v="-21"/>
  </r>
  <r>
    <x v="1"/>
    <x v="114"/>
    <n v="7"/>
    <s v="1018海放，1022码放，1023配载，1023开船"/>
    <x v="183"/>
    <x v="0"/>
    <x v="0"/>
    <m/>
    <m/>
    <n v="-15"/>
  </r>
  <r>
    <x v="1"/>
    <x v="114"/>
    <n v="8"/>
    <s v="收到工厂发来报关资料并完善(代做报关资料跟客户确认)"/>
    <x v="155"/>
    <x v="1"/>
    <x v="0"/>
    <m/>
    <s v="当天至隔天"/>
    <n v="-21"/>
  </r>
  <r>
    <x v="1"/>
    <x v="114"/>
    <n v="8"/>
    <s v="费用（4号 公共盘 月账单表 发孙丹），额外费用邮件"/>
    <x v="170"/>
    <x v="0"/>
    <x v="0"/>
    <m/>
    <m/>
    <n v="-18"/>
  </r>
  <r>
    <x v="1"/>
    <x v="114"/>
    <n v="9"/>
    <s v="报关资料齐了（光成要素划掉XXX），发报关行(罗运生)"/>
    <x v="155"/>
    <x v="1"/>
    <x v="0"/>
    <m/>
    <m/>
    <n v="-21"/>
  </r>
  <r>
    <x v="1"/>
    <x v="114"/>
    <n v="10"/>
    <s v="【HMI】货运模板/发票/箱单"/>
    <x v="155"/>
    <x v="1"/>
    <x v="0"/>
    <m/>
    <m/>
    <n v="-21"/>
  </r>
  <r>
    <x v="1"/>
    <x v="114"/>
    <n v="11"/>
    <s v="收到舱单发送成功通知，核对舱单信息"/>
    <x v="155"/>
    <x v="1"/>
    <x v="0"/>
    <m/>
    <m/>
    <n v="-21"/>
  </r>
  <r>
    <x v="1"/>
    <x v="114"/>
    <n v="12"/>
    <s v="通知报关（洋山发装箱单）"/>
    <x v="155"/>
    <x v="1"/>
    <x v="0"/>
    <m/>
    <s v="调整顺序"/>
    <n v="-21"/>
  </r>
  <r>
    <x v="1"/>
    <x v="114"/>
    <n v="13"/>
    <s v="报关成功"/>
    <x v="155"/>
    <x v="1"/>
    <x v="0"/>
    <m/>
    <s v="调整顺序"/>
    <n v="-21"/>
  </r>
  <r>
    <x v="1"/>
    <x v="114"/>
    <n v="14"/>
    <s v="【HMI】开港"/>
    <x v="155"/>
    <x v="1"/>
    <x v="0"/>
    <m/>
    <m/>
    <n v="-21"/>
  </r>
  <r>
    <x v="1"/>
    <x v="114"/>
    <n v="15"/>
    <s v="通知进港"/>
    <x v="155"/>
    <x v="1"/>
    <x v="0"/>
    <m/>
    <s v="调整顺序"/>
    <n v="-21"/>
  </r>
  <r>
    <x v="1"/>
    <x v="114"/>
    <n v="16"/>
    <s v="进港(核对数据)"/>
    <x v="184"/>
    <x v="1"/>
    <x v="0"/>
    <m/>
    <s v="调整顺序"/>
    <n v="-20"/>
  </r>
  <r>
    <x v="1"/>
    <x v="114"/>
    <n v="17"/>
    <s v="海放"/>
    <x v="184"/>
    <x v="1"/>
    <x v="0"/>
    <m/>
    <m/>
    <n v="-20"/>
  </r>
  <r>
    <x v="1"/>
    <x v="114"/>
    <n v="18"/>
    <s v="码放"/>
    <x v="169"/>
    <x v="1"/>
    <x v="0"/>
    <m/>
    <m/>
    <n v="-17"/>
  </r>
  <r>
    <x v="1"/>
    <x v="114"/>
    <n v="19"/>
    <s v="配载"/>
    <x v="169"/>
    <x v="1"/>
    <x v="0"/>
    <m/>
    <m/>
    <n v="-17"/>
  </r>
  <r>
    <x v="1"/>
    <x v="114"/>
    <n v="20"/>
    <s v="做费用(对账单日期4号)，放公共盘，填月账单表，发孙丹"/>
    <x v="169"/>
    <x v="1"/>
    <x v="0"/>
    <m/>
    <m/>
    <n v="-17"/>
  </r>
  <r>
    <x v="1"/>
    <x v="114"/>
    <n v="21"/>
    <s v="如有额外费用发邮件"/>
    <x v="169"/>
    <x v="1"/>
    <x v="0"/>
    <m/>
    <m/>
    <n v="-17"/>
  </r>
  <r>
    <x v="1"/>
    <x v="114"/>
    <n v="22"/>
    <s v="船开"/>
    <x v="171"/>
    <x v="1"/>
    <x v="0"/>
    <m/>
    <m/>
    <n v="-16"/>
  </r>
  <r>
    <x v="13"/>
    <x v="115"/>
    <n v="1"/>
    <s v="收到托书"/>
    <x v="138"/>
    <x v="0"/>
    <x v="0"/>
    <m/>
    <m/>
    <n v="-64"/>
  </r>
  <r>
    <x v="13"/>
    <x v="115"/>
    <n v="2"/>
    <s v="订舱"/>
    <x v="139"/>
    <x v="0"/>
    <x v="0"/>
    <m/>
    <m/>
    <n v="-63"/>
  </r>
  <r>
    <x v="13"/>
    <x v="115"/>
    <n v="2"/>
    <s v="1018开港时间，1018资料时间，做费用"/>
    <x v="170"/>
    <x v="1"/>
    <x v="0"/>
    <m/>
    <m/>
    <n v="-18"/>
  </r>
  <r>
    <x v="13"/>
    <x v="115"/>
    <n v="3"/>
    <s v="收到MSK 订舱确认邮件"/>
    <x v="139"/>
    <x v="0"/>
    <x v="0"/>
    <m/>
    <m/>
    <n v="-63"/>
  </r>
  <r>
    <x v="13"/>
    <x v="115"/>
    <n v="3"/>
    <s v="资料，YJC截，HCP/INV确认，联代舱单，MSK截，核舱单"/>
    <x v="170"/>
    <x v="1"/>
    <x v="0"/>
    <m/>
    <s v="件毛体箱封号唛头"/>
    <n v="-18"/>
  </r>
  <r>
    <x v="13"/>
    <x v="115"/>
    <n v="4"/>
    <s v="发订舱确认邮件给客户"/>
    <x v="139"/>
    <x v="0"/>
    <x v="0"/>
    <m/>
    <m/>
    <n v="-63"/>
  </r>
  <r>
    <x v="13"/>
    <x v="115"/>
    <n v="4"/>
    <s v="2COPY/AMS/DEBIT邮件Wanda"/>
    <x v="170"/>
    <x v="1"/>
    <x v="0"/>
    <m/>
    <m/>
    <n v="-18"/>
  </r>
  <r>
    <x v="13"/>
    <x v="115"/>
    <n v="5"/>
    <s v="收到客户确认订舱信息"/>
    <x v="150"/>
    <x v="1"/>
    <x v="0"/>
    <m/>
    <m/>
    <n v="-51"/>
  </r>
  <r>
    <x v="13"/>
    <x v="115"/>
    <n v="5"/>
    <s v="进港，核数据"/>
    <x v="169"/>
    <x v="1"/>
    <x v="0"/>
    <m/>
    <m/>
    <n v="-17"/>
  </r>
  <r>
    <x v="13"/>
    <x v="115"/>
    <n v="6"/>
    <s v="关注开港时间"/>
    <x v="155"/>
    <x v="1"/>
    <x v="0"/>
    <m/>
    <m/>
    <n v="-21"/>
  </r>
  <r>
    <x v="13"/>
    <x v="115"/>
    <n v="6"/>
    <s v="海放，码放，配载，开船，通知Wanda"/>
    <x v="169"/>
    <x v="1"/>
    <x v="0"/>
    <m/>
    <m/>
    <n v="-17"/>
  </r>
  <r>
    <x v="13"/>
    <x v="115"/>
    <n v="7"/>
    <s v="确认提供资料时间"/>
    <x v="155"/>
    <x v="1"/>
    <x v="0"/>
    <m/>
    <m/>
    <n v="-21"/>
  </r>
  <r>
    <x v="13"/>
    <x v="115"/>
    <n v="7"/>
    <s v="Wanda付款通知，放单给Wanda"/>
    <x v="172"/>
    <x v="1"/>
    <x v="0"/>
    <m/>
    <m/>
    <n v="-14"/>
  </r>
  <r>
    <x v="13"/>
    <x v="115"/>
    <n v="8"/>
    <s v="做费用"/>
    <x v="155"/>
    <x v="1"/>
    <x v="0"/>
    <m/>
    <m/>
    <n v="-21"/>
  </r>
  <r>
    <x v="13"/>
    <x v="115"/>
    <n v="9"/>
    <s v="收到截单资料"/>
    <x v="170"/>
    <x v="1"/>
    <x v="0"/>
    <m/>
    <m/>
    <n v="-18"/>
  </r>
  <r>
    <x v="13"/>
    <x v="115"/>
    <n v="10"/>
    <s v="YJC 截单（件毛体、箱封号、HS、唛头）"/>
    <x v="170"/>
    <x v="1"/>
    <x v="0"/>
    <m/>
    <m/>
    <n v="-18"/>
  </r>
  <r>
    <x v="13"/>
    <x v="115"/>
    <n v="11"/>
    <s v="拉账单，打印HBL，发文生然确认"/>
    <x v="170"/>
    <x v="1"/>
    <x v="0"/>
    <m/>
    <m/>
    <n v="-18"/>
  </r>
  <r>
    <x v="13"/>
    <x v="115"/>
    <n v="12"/>
    <s v="文生然确认HBL和费用"/>
    <x v="170"/>
    <x v="1"/>
    <x v="0"/>
    <m/>
    <m/>
    <n v="-18"/>
  </r>
  <r>
    <x v="13"/>
    <x v="115"/>
    <n v="13"/>
    <s v="MSK 录入提单确认内容"/>
    <x v="170"/>
    <x v="1"/>
    <x v="0"/>
    <m/>
    <m/>
    <n v="-18"/>
  </r>
  <r>
    <x v="13"/>
    <x v="115"/>
    <n v="14"/>
    <s v="联合船代发舱单"/>
    <x v="170"/>
    <x v="1"/>
    <x v="0"/>
    <m/>
    <m/>
    <n v="-18"/>
  </r>
  <r>
    <x v="13"/>
    <x v="115"/>
    <n v="15"/>
    <s v="MSK网站下载提单确认件"/>
    <x v="170"/>
    <x v="1"/>
    <x v="0"/>
    <m/>
    <m/>
    <n v="-18"/>
  </r>
  <r>
    <x v="13"/>
    <x v="115"/>
    <n v="16"/>
    <s v="邮件发COPY件、AMS、CREDIT给Wanda"/>
    <x v="170"/>
    <x v="1"/>
    <x v="0"/>
    <m/>
    <m/>
    <n v="-18"/>
  </r>
  <r>
    <x v="13"/>
    <x v="115"/>
    <n v="17"/>
    <s v="有舱单，核对，通知文生然"/>
    <x v="170"/>
    <x v="1"/>
    <x v="0"/>
    <m/>
    <m/>
    <n v="-18"/>
  </r>
  <r>
    <x v="13"/>
    <x v="115"/>
    <n v="18"/>
    <s v="进港，核对数据"/>
    <x v="169"/>
    <x v="1"/>
    <x v="0"/>
    <m/>
    <m/>
    <n v="-17"/>
  </r>
  <r>
    <x v="13"/>
    <x v="115"/>
    <n v="19"/>
    <s v="海放"/>
    <x v="169"/>
    <x v="1"/>
    <x v="0"/>
    <m/>
    <m/>
    <n v="-17"/>
  </r>
  <r>
    <x v="13"/>
    <x v="115"/>
    <n v="20"/>
    <s v="码放"/>
    <x v="171"/>
    <x v="1"/>
    <x v="0"/>
    <m/>
    <m/>
    <n v="-16"/>
  </r>
  <r>
    <x v="13"/>
    <x v="115"/>
    <n v="21"/>
    <s v="配载"/>
    <x v="171"/>
    <x v="1"/>
    <x v="0"/>
    <m/>
    <m/>
    <n v="-16"/>
  </r>
  <r>
    <x v="13"/>
    <x v="115"/>
    <n v="22"/>
    <s v="船开"/>
    <x v="183"/>
    <x v="1"/>
    <x v="0"/>
    <m/>
    <m/>
    <n v="-15"/>
  </r>
  <r>
    <x v="13"/>
    <x v="115"/>
    <n v="23"/>
    <s v="邮件发开船通知给Wanda"/>
    <x v="183"/>
    <x v="1"/>
    <x v="0"/>
    <m/>
    <m/>
    <n v="-15"/>
  </r>
  <r>
    <x v="13"/>
    <x v="115"/>
    <n v="24"/>
    <s v="收到Wanda付款通知"/>
    <x v="177"/>
    <x v="1"/>
    <x v="0"/>
    <m/>
    <m/>
    <n v="-11"/>
  </r>
  <r>
    <x v="13"/>
    <x v="115"/>
    <n v="25"/>
    <s v="发SWB、HBL给Wanda"/>
    <x v="177"/>
    <x v="1"/>
    <x v="0"/>
    <m/>
    <m/>
    <n v="-11"/>
  </r>
  <r>
    <x v="20"/>
    <x v="116"/>
    <n v="1"/>
    <s v="1015托书，1022订舱"/>
    <x v="169"/>
    <x v="0"/>
    <x v="0"/>
    <m/>
    <m/>
    <n v="-17"/>
  </r>
  <r>
    <x v="20"/>
    <x v="116"/>
    <n v="2"/>
    <s v="1023做箱，1023截单"/>
    <x v="171"/>
    <x v="0"/>
    <x v="0"/>
    <m/>
    <m/>
    <n v="-16"/>
  </r>
  <r>
    <x v="20"/>
    <x v="116"/>
    <n v="3"/>
    <s v="1025MBL确认，1025HBL确认，1025邮件KY"/>
    <x v="172"/>
    <x v="0"/>
    <x v="0"/>
    <m/>
    <m/>
    <n v="-14"/>
  </r>
  <r>
    <x v="20"/>
    <x v="116"/>
    <n v="4"/>
    <s v="OK应付确认，应付发票（月结），应付水单（月结）"/>
    <x v="175"/>
    <x v="0"/>
    <x v="0"/>
    <m/>
    <m/>
    <n v="-9"/>
  </r>
  <r>
    <x v="20"/>
    <x v="116"/>
    <n v="5"/>
    <s v="1025应收确认，OK应收发票，OK应收水单，OK放HBL，ok退费"/>
    <x v="119"/>
    <x v="0"/>
    <x v="0"/>
    <m/>
    <m/>
    <n v="-7"/>
  </r>
  <r>
    <x v="20"/>
    <x v="116"/>
    <n v="6"/>
    <s v="1026船开，1028发DBN，1029放MBL"/>
    <x v="176"/>
    <x v="0"/>
    <x v="0"/>
    <m/>
    <m/>
    <n v="-10"/>
  </r>
  <r>
    <x v="4"/>
    <x v="116"/>
    <n v="0"/>
    <s v="精减流水，整理此票流水"/>
    <x v="164"/>
    <x v="0"/>
    <x v="0"/>
    <m/>
    <m/>
    <n v="-26"/>
  </r>
  <r>
    <x v="4"/>
    <x v="116"/>
    <n v="1"/>
    <s v="1011订舱预报，1015YJC生成，1015EDI，1015邮件Abbi，1017核对"/>
    <x v="179"/>
    <x v="0"/>
    <x v="0"/>
    <m/>
    <m/>
    <n v="-22"/>
  </r>
  <r>
    <x v="4"/>
    <x v="116"/>
    <n v="2"/>
    <s v="1021做箱时间，1021做箱通知，1021提单加拼EDI邮件Abbi，1021通知沈丽，加拼核对"/>
    <x v="169"/>
    <x v="0"/>
    <x v="0"/>
    <m/>
    <m/>
    <n v="-17"/>
  </r>
  <r>
    <x v="4"/>
    <x v="116"/>
    <n v="3"/>
    <s v="1022报关资料，1022做箱数据，1022邮件沈丽，装箱单，转客户"/>
    <x v="169"/>
    <x v="0"/>
    <x v="0"/>
    <m/>
    <m/>
    <n v="-17"/>
  </r>
  <r>
    <x v="4"/>
    <x v="116"/>
    <n v="4"/>
    <s v="1022做报关资料，1022发报关行，1022核注清单，1022确认，1022校对稿，1022确认"/>
    <x v="169"/>
    <x v="0"/>
    <x v="0"/>
    <m/>
    <m/>
    <n v="-17"/>
  </r>
  <r>
    <x v="4"/>
    <x v="116"/>
    <n v="5"/>
    <s v="1022YJC截单，1022ESI，1022邮件He，校对COPY"/>
    <x v="169"/>
    <x v="0"/>
    <x v="0"/>
    <m/>
    <m/>
    <n v="-17"/>
  </r>
  <r>
    <x v="4"/>
    <x v="116"/>
    <n v="6"/>
    <s v="1022保函邹(Abbi电话)，1022ISF，1022保险"/>
    <x v="169"/>
    <x v="0"/>
    <x v="0"/>
    <m/>
    <m/>
    <n v="-17"/>
  </r>
  <r>
    <x v="4"/>
    <x v="116"/>
    <n v="7"/>
    <s v="1022VGM，1022亿通鹏海舱单，1022核舱单"/>
    <x v="169"/>
    <x v="0"/>
    <x v="0"/>
    <m/>
    <m/>
    <n v="-17"/>
  </r>
  <r>
    <x v="4"/>
    <x v="116"/>
    <n v="8"/>
    <s v="【洋山】1022发装箱单报关，1022成功，进港(落箱费?)，核数据"/>
    <x v="171"/>
    <x v="0"/>
    <x v="0"/>
    <m/>
    <m/>
    <n v="-16"/>
  </r>
  <r>
    <x v="4"/>
    <x v="116"/>
    <n v="9"/>
    <s v="【外港】进港(落箱费?)，核数据，报关，成功"/>
    <x v="169"/>
    <x v="1"/>
    <x v="0"/>
    <m/>
    <m/>
    <n v="-17"/>
  </r>
  <r>
    <x v="4"/>
    <x v="116"/>
    <n v="10"/>
    <s v="1023海放，1024码放，1026配载，1024费用发陈吟勇石磊，1026船开"/>
    <x v="174"/>
    <x v="0"/>
    <x v="0"/>
    <m/>
    <m/>
    <n v="-13"/>
  </r>
  <r>
    <x v="4"/>
    <x v="116"/>
    <n v="11"/>
    <s v="放提单（PHISON、陈吟勇提单、陈云娣）"/>
    <x v="177"/>
    <x v="0"/>
    <x v="0"/>
    <m/>
    <m/>
    <n v="-11"/>
  </r>
  <r>
    <x v="21"/>
    <x v="116"/>
    <n v="1"/>
    <s v="1018托书，1021订舱，1021进仓通知，1021邮件KY，KY确认"/>
    <x v="169"/>
    <x v="0"/>
    <x v="0"/>
    <m/>
    <m/>
    <n v="-17"/>
  </r>
  <r>
    <x v="21"/>
    <x v="116"/>
    <n v="2"/>
    <s v="1021截单，截货"/>
    <x v="169"/>
    <x v="0"/>
    <x v="0"/>
    <m/>
    <m/>
    <n v="-17"/>
  </r>
  <r>
    <x v="21"/>
    <x v="116"/>
    <n v="3"/>
    <s v="1022MBL确认，1022HBL确认，CEL邮件KY，1022应付确认，OKCODE"/>
    <x v="176"/>
    <x v="0"/>
    <x v="1"/>
    <m/>
    <m/>
    <n v="-10"/>
  </r>
  <r>
    <x v="21"/>
    <x v="116"/>
    <n v="4"/>
    <s v="1024应付发票，应付水单，OK应收确认，OK发票，应收水单，放HBL"/>
    <x v="67"/>
    <x v="2"/>
    <x v="0"/>
    <m/>
    <m/>
    <n v="3"/>
  </r>
  <r>
    <x v="21"/>
    <x v="116"/>
    <n v="5"/>
    <s v="1026船开，1024放MBL，1024邮件KY"/>
    <x v="174"/>
    <x v="0"/>
    <x v="0"/>
    <m/>
    <m/>
    <n v="-13"/>
  </r>
  <r>
    <x v="0"/>
    <x v="117"/>
    <n v="1"/>
    <s v="收到客户(孙丹/王珊)发来订舱托书"/>
    <x v="181"/>
    <x v="0"/>
    <x v="0"/>
    <m/>
    <m/>
    <n v="-28"/>
  </r>
  <r>
    <x v="0"/>
    <x v="117"/>
    <n v="2"/>
    <s v="收到CK发来预配(做箱通知，沈丽有收到？)"/>
    <x v="168"/>
    <x v="0"/>
    <x v="0"/>
    <m/>
    <m/>
    <n v="-23"/>
  </r>
  <r>
    <x v="0"/>
    <x v="117"/>
    <n v="3"/>
    <s v="YJC系统生成单子"/>
    <x v="168"/>
    <x v="0"/>
    <x v="0"/>
    <m/>
    <m/>
    <n v="-23"/>
  </r>
  <r>
    <x v="0"/>
    <x v="117"/>
    <n v="4"/>
    <s v="收到包装厂(刘倩梅)发来包装指示书和装箱计划"/>
    <x v="155"/>
    <x v="0"/>
    <x v="0"/>
    <m/>
    <s v="一般周四"/>
    <n v="-21"/>
  </r>
  <r>
    <x v="0"/>
    <x v="117"/>
    <n v="5"/>
    <s v="根据装箱计划汇总包装数据，发各工厂做报关资料"/>
    <x v="184"/>
    <x v="0"/>
    <x v="0"/>
    <m/>
    <m/>
    <n v="-20"/>
  </r>
  <r>
    <x v="0"/>
    <x v="117"/>
    <n v="6"/>
    <s v="做做箱数据，邮件群发(查开港时间，注明做箱时间)"/>
    <x v="184"/>
    <x v="0"/>
    <x v="0"/>
    <m/>
    <m/>
    <n v="-20"/>
  </r>
  <r>
    <x v="0"/>
    <x v="117"/>
    <n v="7"/>
    <s v="收到车队(沈丽)装箱单和洋山提箱截图(如有)，9点前群发，通知发舱单【HMI总货值】"/>
    <x v="169"/>
    <x v="0"/>
    <x v="0"/>
    <m/>
    <s v="一般KMM五、HMI日"/>
    <n v="-17"/>
  </r>
  <r>
    <x v="0"/>
    <x v="117"/>
    <n v="8"/>
    <s v="收到工厂发来报关资料并完善(代做报关资料跟客户确认)"/>
    <x v="184"/>
    <x v="0"/>
    <x v="0"/>
    <m/>
    <s v="当天至隔天"/>
    <n v="-20"/>
  </r>
  <r>
    <x v="0"/>
    <x v="117"/>
    <n v="9"/>
    <s v="1022报关资料齐了（光成要素划掉XXX），发报关行(罗运生)"/>
    <x v="169"/>
    <x v="0"/>
    <x v="0"/>
    <m/>
    <m/>
    <n v="-17"/>
  </r>
  <r>
    <x v="0"/>
    <x v="117"/>
    <n v="10"/>
    <s v="【HMI】货运模板/发票/箱单"/>
    <x v="170"/>
    <x v="0"/>
    <x v="0"/>
    <m/>
    <m/>
    <n v="-18"/>
  </r>
  <r>
    <x v="0"/>
    <x v="117"/>
    <n v="11"/>
    <s v="收到舱单发送成功通知，核对舱单信息"/>
    <x v="169"/>
    <x v="0"/>
    <x v="0"/>
    <m/>
    <m/>
    <n v="-17"/>
  </r>
  <r>
    <x v="0"/>
    <x v="117"/>
    <n v="12"/>
    <s v="通知进港"/>
    <x v="169"/>
    <x v="0"/>
    <x v="0"/>
    <m/>
    <s v="调整顺序"/>
    <n v="-17"/>
  </r>
  <r>
    <x v="0"/>
    <x v="117"/>
    <n v="13"/>
    <s v="【HMI】开港"/>
    <x v="168"/>
    <x v="0"/>
    <x v="0"/>
    <m/>
    <m/>
    <n v="-23"/>
  </r>
  <r>
    <x v="0"/>
    <x v="117"/>
    <n v="14"/>
    <s v="1022进港，1023核数据，1022报关，1022成功，1022海放"/>
    <x v="169"/>
    <x v="0"/>
    <x v="0"/>
    <m/>
    <s v="调整顺序"/>
    <n v="-17"/>
  </r>
  <r>
    <x v="0"/>
    <x v="117"/>
    <n v="18"/>
    <s v="码放"/>
    <x v="174"/>
    <x v="0"/>
    <x v="0"/>
    <m/>
    <m/>
    <n v="-13"/>
  </r>
  <r>
    <x v="0"/>
    <x v="117"/>
    <n v="19"/>
    <s v="配载"/>
    <x v="174"/>
    <x v="0"/>
    <x v="0"/>
    <m/>
    <m/>
    <n v="-13"/>
  </r>
  <r>
    <x v="0"/>
    <x v="117"/>
    <n v="20"/>
    <s v="做费用(对账单日期4号)，放公共盘，填月账单表，发孙丹"/>
    <x v="178"/>
    <x v="0"/>
    <x v="0"/>
    <m/>
    <m/>
    <n v="-12"/>
  </r>
  <r>
    <x v="0"/>
    <x v="117"/>
    <n v="21"/>
    <s v="如有额外费用发邮件"/>
    <x v="178"/>
    <x v="0"/>
    <x v="0"/>
    <m/>
    <m/>
    <n v="-12"/>
  </r>
  <r>
    <x v="0"/>
    <x v="117"/>
    <n v="22"/>
    <s v="船开"/>
    <x v="178"/>
    <x v="0"/>
    <x v="0"/>
    <m/>
    <m/>
    <n v="-12"/>
  </r>
  <r>
    <x v="13"/>
    <x v="118"/>
    <n v="0"/>
    <s v="流水"/>
    <x v="164"/>
    <x v="0"/>
    <x v="0"/>
    <m/>
    <m/>
    <n v="-26"/>
  </r>
  <r>
    <x v="13"/>
    <x v="118"/>
    <n v="1"/>
    <s v="1008托书，1012订舱，1012邮件Wanda，1012通知客户，1014确认"/>
    <x v="165"/>
    <x v="0"/>
    <x v="0"/>
    <m/>
    <m/>
    <n v="-25"/>
  </r>
  <r>
    <x v="13"/>
    <x v="118"/>
    <n v="2"/>
    <s v="1022开港时间，1022资料时间，1024做费用"/>
    <x v="183"/>
    <x v="0"/>
    <x v="0"/>
    <m/>
    <m/>
    <n v="-15"/>
  </r>
  <r>
    <x v="13"/>
    <x v="118"/>
    <n v="3"/>
    <s v="1024资料，1024YJC截，1024HCP/INV确认，1024联代舱单，1024MSK截，核舱单"/>
    <x v="183"/>
    <x v="0"/>
    <x v="0"/>
    <m/>
    <s v="件毛体箱封号唛头"/>
    <n v="-15"/>
  </r>
  <r>
    <x v="13"/>
    <x v="118"/>
    <n v="4"/>
    <s v="2COPY/AMS/DEBIT邮件Wanda"/>
    <x v="183"/>
    <x v="0"/>
    <x v="0"/>
    <m/>
    <m/>
    <n v="-15"/>
  </r>
  <r>
    <x v="13"/>
    <x v="118"/>
    <n v="5"/>
    <s v="进港，核数据"/>
    <x v="172"/>
    <x v="0"/>
    <x v="0"/>
    <m/>
    <m/>
    <n v="-14"/>
  </r>
  <r>
    <x v="13"/>
    <x v="118"/>
    <n v="6"/>
    <s v="1024海放，1103码放，1103配载，1104开船，1105通知Wanda"/>
    <x v="186"/>
    <x v="0"/>
    <x v="0"/>
    <m/>
    <s v="MAERSK SYDNEY V. 944E"/>
    <n v="-3"/>
  </r>
  <r>
    <x v="13"/>
    <x v="118"/>
    <n v="7"/>
    <s v="Wanda付款通知，放单给Wanda"/>
    <x v="187"/>
    <x v="0"/>
    <x v="0"/>
    <m/>
    <s v="MAERSK SYDNEY V. 944E"/>
    <n v="0"/>
  </r>
  <r>
    <x v="9"/>
    <x v="118"/>
    <n v="1"/>
    <s v="托书，订舱，发确认给Wanda，1011改10-24船期"/>
    <x v="163"/>
    <x v="0"/>
    <x v="0"/>
    <m/>
    <m/>
    <n v="-30"/>
  </r>
  <r>
    <x v="9"/>
    <x v="118"/>
    <n v="2"/>
    <s v="做箱通知给沈丽，通知客户做箱时间，确认开港和做箱时间"/>
    <x v="181"/>
    <x v="0"/>
    <x v="0"/>
    <m/>
    <m/>
    <n v="-28"/>
  </r>
  <r>
    <x v="9"/>
    <x v="118"/>
    <n v="3"/>
    <s v="1018跟客户确认资料好的时间，做费用"/>
    <x v="171"/>
    <x v="0"/>
    <x v="0"/>
    <m/>
    <m/>
    <n v="-16"/>
  </r>
  <r>
    <x v="9"/>
    <x v="118"/>
    <n v="4"/>
    <s v="1018收报关资料，1023做做箱数据发车队（约号改不了外港提箱），1023资料发报关行"/>
    <x v="171"/>
    <x v="0"/>
    <x v="0"/>
    <m/>
    <m/>
    <n v="-16"/>
  </r>
  <r>
    <x v="9"/>
    <x v="118"/>
    <n v="5"/>
    <s v="邮件请MSK代发AMS，要HBL no"/>
    <x v="171"/>
    <x v="0"/>
    <x v="0"/>
    <m/>
    <m/>
    <n v="-16"/>
  </r>
  <r>
    <x v="9"/>
    <x v="118"/>
    <n v="6"/>
    <s v="收装箱单，截单（收货人通知人使用新的，让康跟国外确认）参考0730ROADSUN截图"/>
    <x v="171"/>
    <x v="0"/>
    <x v="0"/>
    <m/>
    <m/>
    <n v="-16"/>
  </r>
  <r>
    <x v="9"/>
    <x v="118"/>
    <n v="7"/>
    <s v="发HBL COPY、MBL COPY、AMS、CREDIT给Wanda确认"/>
    <x v="171"/>
    <x v="0"/>
    <x v="0"/>
    <m/>
    <m/>
    <n v="-16"/>
  </r>
  <r>
    <x v="9"/>
    <x v="118"/>
    <n v="8"/>
    <s v="发舱单，核舱单，报关，发VGM，参考0730ROADSUN截图"/>
    <x v="171"/>
    <x v="0"/>
    <x v="0"/>
    <m/>
    <m/>
    <n v="-16"/>
  </r>
  <r>
    <x v="9"/>
    <x v="118"/>
    <n v="9"/>
    <s v="1024进港，1024核数据，1024查验，1024海放，1103码放，1104配载"/>
    <x v="166"/>
    <x v="0"/>
    <x v="0"/>
    <m/>
    <s v="MAERSK SYDNEY V. 944E"/>
    <n v="-4"/>
  </r>
  <r>
    <x v="9"/>
    <x v="118"/>
    <n v="10"/>
    <s v="1025对账，1025APP，(要350发票)开票寄陈强英1028 772002999977725"/>
    <x v="176"/>
    <x v="0"/>
    <x v="0"/>
    <m/>
    <m/>
    <n v="-10"/>
  </r>
  <r>
    <x v="9"/>
    <x v="118"/>
    <n v="11"/>
    <s v="开船"/>
    <x v="186"/>
    <x v="0"/>
    <x v="0"/>
    <m/>
    <s v="MAERSK SYDNEY V. 944E"/>
    <n v="-3"/>
  </r>
  <r>
    <x v="9"/>
    <x v="118"/>
    <n v="12"/>
    <s v="1107水单，放提单、OK预录单、OK放行单"/>
    <x v="187"/>
    <x v="0"/>
    <x v="0"/>
    <m/>
    <s v="MAERSK SYDNEY V. 944E"/>
    <n v="0"/>
  </r>
  <r>
    <x v="9"/>
    <x v="118"/>
    <m/>
    <s v="YJCSHAN1916595 AMS单证费邮件里写了S/C方承担 190元AMS单证费付款后要发票"/>
    <x v="183"/>
    <x v="1"/>
    <x v="0"/>
    <m/>
    <m/>
    <n v="-15"/>
  </r>
  <r>
    <x v="9"/>
    <x v="118"/>
    <m/>
    <s v="查验封号改好了？"/>
    <x v="183"/>
    <x v="0"/>
    <x v="0"/>
    <m/>
    <m/>
    <n v="-15"/>
  </r>
  <r>
    <x v="3"/>
    <x v="118"/>
    <n v="0"/>
    <s v="Abbi确认订舱预报，制作清单流水"/>
    <x v="176"/>
    <x v="0"/>
    <x v="0"/>
    <m/>
    <s v="周一"/>
    <n v="-10"/>
  </r>
  <r>
    <x v="3"/>
    <x v="118"/>
    <n v="1"/>
    <s v="发本周JS mobis的报关单（收件人看陈吟勇邮件）"/>
    <x v="159"/>
    <x v="0"/>
    <x v="0"/>
    <m/>
    <s v="周五"/>
    <n v="-8"/>
  </r>
  <r>
    <x v="3"/>
    <x v="118"/>
    <n v="2"/>
    <s v="下周WEEK"/>
    <x v="173"/>
    <x v="0"/>
    <x v="0"/>
    <m/>
    <m/>
    <n v="-6"/>
  </r>
  <r>
    <x v="3"/>
    <x v="118"/>
    <m/>
    <s v="伟誉1113 PCLU1800PE4302 提请拒绝"/>
    <x v="188"/>
    <x v="0"/>
    <x v="0"/>
    <m/>
    <m/>
    <n v="-2"/>
  </r>
  <r>
    <x v="0"/>
    <x v="119"/>
    <n v="1"/>
    <s v="1017托书，预配(沈丽)，YJC生成"/>
    <x v="171"/>
    <x v="0"/>
    <x v="0"/>
    <m/>
    <m/>
    <n v="-16"/>
  </r>
  <r>
    <x v="0"/>
    <x v="119"/>
    <n v="2"/>
    <s v="包装指示书，汇总，发工厂，做箱数据，发订舱口"/>
    <x v="172"/>
    <x v="0"/>
    <x v="0"/>
    <m/>
    <m/>
    <n v="-14"/>
  </r>
  <r>
    <x v="0"/>
    <x v="119"/>
    <n v="3"/>
    <s v="收做资料(代做确认)，发报关行，【HMI】货运模板"/>
    <x v="172"/>
    <x v="0"/>
    <x v="0"/>
    <m/>
    <m/>
    <n v="-14"/>
  </r>
  <r>
    <x v="0"/>
    <x v="119"/>
    <n v="4"/>
    <s v="1027装箱单(洋提)，1027群发，发舱单，核舱单"/>
    <x v="177"/>
    <x v="0"/>
    <x v="0"/>
    <m/>
    <m/>
    <n v="-11"/>
  </r>
  <r>
    <x v="0"/>
    <x v="119"/>
    <n v="5"/>
    <s v="【HMI】1027开港，1027进港，1028核数据，报关"/>
    <x v="177"/>
    <x v="0"/>
    <x v="0"/>
    <m/>
    <m/>
    <n v="-11"/>
  </r>
  <r>
    <x v="0"/>
    <x v="119"/>
    <n v="6"/>
    <s v="【KMM】报关，成功，进港，核数据"/>
    <x v="178"/>
    <x v="1"/>
    <x v="0"/>
    <m/>
    <m/>
    <n v="-12"/>
  </r>
  <r>
    <x v="0"/>
    <x v="119"/>
    <n v="7"/>
    <s v="OK海放，1029码放，1030配载，开船"/>
    <x v="159"/>
    <x v="0"/>
    <x v="0"/>
    <m/>
    <m/>
    <n v="-8"/>
  </r>
  <r>
    <x v="0"/>
    <x v="119"/>
    <n v="8"/>
    <s v="费用（4号 公共盘 月账单表 发孙丹），额外费用邮件"/>
    <x v="176"/>
    <x v="0"/>
    <x v="0"/>
    <m/>
    <s v="28号给"/>
    <n v="-10"/>
  </r>
  <r>
    <x v="0"/>
    <x v="119"/>
    <m/>
    <s v="HDMUQSII8489162成份含量 北京光成"/>
    <x v="177"/>
    <x v="0"/>
    <x v="0"/>
    <m/>
    <m/>
    <n v="-11"/>
  </r>
  <r>
    <x v="4"/>
    <x v="119"/>
    <n v="1"/>
    <s v="1021订舱预报，1021YJC生成，1021EDI，1021邮件Abbi，核对"/>
    <x v="169"/>
    <x v="0"/>
    <x v="0"/>
    <m/>
    <m/>
    <n v="-17"/>
  </r>
  <r>
    <x v="4"/>
    <x v="119"/>
    <n v="2"/>
    <s v="做箱时间，做箱通知，提单加拼EDI邮件Abbi，通知沈丽，加拼核对"/>
    <x v="183"/>
    <x v="1"/>
    <x v="0"/>
    <m/>
    <s v="晚开至11月3日"/>
    <n v="-15"/>
  </r>
  <r>
    <x v="4"/>
    <x v="119"/>
    <n v="3"/>
    <s v="报关资料，报关加拼，做箱数据，邮件沈丽，装箱单，转客户"/>
    <x v="172"/>
    <x v="1"/>
    <x v="0"/>
    <m/>
    <m/>
    <n v="-14"/>
  </r>
  <r>
    <x v="4"/>
    <x v="119"/>
    <n v="4"/>
    <s v="做报关资料，发报关行，核注清单，确认，校对稿，确认"/>
    <x v="172"/>
    <x v="1"/>
    <x v="0"/>
    <m/>
    <m/>
    <n v="-14"/>
  </r>
  <r>
    <x v="4"/>
    <x v="119"/>
    <n v="5"/>
    <s v="YJC截单，ESI，邮件He，校对COPY"/>
    <x v="172"/>
    <x v="1"/>
    <x v="0"/>
    <m/>
    <m/>
    <n v="-14"/>
  </r>
  <r>
    <x v="4"/>
    <x v="119"/>
    <n v="6"/>
    <s v="保函邹(Abbi电话)，ISF，保险"/>
    <x v="172"/>
    <x v="1"/>
    <x v="0"/>
    <m/>
    <m/>
    <n v="-14"/>
  </r>
  <r>
    <x v="4"/>
    <x v="119"/>
    <n v="7"/>
    <s v="VGM，亿通鹏海舱单，核舱单"/>
    <x v="172"/>
    <x v="1"/>
    <x v="0"/>
    <m/>
    <m/>
    <n v="-14"/>
  </r>
  <r>
    <x v="4"/>
    <x v="119"/>
    <n v="8"/>
    <s v="【洋山】发装箱单报关，成功，进港(落箱费?)，核数据"/>
    <x v="172"/>
    <x v="1"/>
    <x v="0"/>
    <m/>
    <m/>
    <n v="-14"/>
  </r>
  <r>
    <x v="4"/>
    <x v="119"/>
    <n v="9"/>
    <s v="【外港】进港(落箱费?)，核数据，报关，成功"/>
    <x v="174"/>
    <x v="1"/>
    <x v="0"/>
    <m/>
    <m/>
    <n v="-13"/>
  </r>
  <r>
    <x v="4"/>
    <x v="119"/>
    <n v="10"/>
    <s v="海放，码放，配载，费用发陈吟勇石磊，船开"/>
    <x v="174"/>
    <x v="1"/>
    <x v="0"/>
    <m/>
    <m/>
    <n v="-13"/>
  </r>
  <r>
    <x v="4"/>
    <x v="119"/>
    <n v="11"/>
    <s v="放提单（PHISON、陈吟勇提单、陈云娣）"/>
    <x v="175"/>
    <x v="1"/>
    <x v="0"/>
    <m/>
    <m/>
    <n v="-9"/>
  </r>
  <r>
    <x v="1"/>
    <x v="119"/>
    <n v="1"/>
    <s v="1017托书，预配(沈丽)，1024YJC生成"/>
    <x v="183"/>
    <x v="0"/>
    <x v="1"/>
    <m/>
    <m/>
    <n v="-15"/>
  </r>
  <r>
    <x v="1"/>
    <x v="119"/>
    <n v="2"/>
    <s v="包装指示书，汇总，发工厂，做箱数据，发订舱口"/>
    <x v="183"/>
    <x v="0"/>
    <x v="0"/>
    <m/>
    <m/>
    <n v="-15"/>
  </r>
  <r>
    <x v="1"/>
    <x v="119"/>
    <n v="3"/>
    <s v="收做资料(代做确认)，发报关行，【HMI】货运模板"/>
    <x v="183"/>
    <x v="0"/>
    <x v="0"/>
    <m/>
    <m/>
    <n v="-15"/>
  </r>
  <r>
    <x v="1"/>
    <x v="119"/>
    <n v="4"/>
    <s v="1025装箱单(洋提)，1025群发，1025发舱单，核舱单"/>
    <x v="172"/>
    <x v="0"/>
    <x v="0"/>
    <m/>
    <m/>
    <n v="-14"/>
  </r>
  <r>
    <x v="1"/>
    <x v="119"/>
    <n v="5"/>
    <s v="【HMI】开港，进港，核数据，报关"/>
    <x v="172"/>
    <x v="0"/>
    <x v="0"/>
    <m/>
    <m/>
    <n v="-14"/>
  </r>
  <r>
    <x v="1"/>
    <x v="119"/>
    <n v="6"/>
    <s v="【KMM】1025报关，1025成功，1026进港，1026核数据"/>
    <x v="174"/>
    <x v="0"/>
    <x v="0"/>
    <m/>
    <m/>
    <n v="-13"/>
  </r>
  <r>
    <x v="1"/>
    <x v="119"/>
    <n v="7"/>
    <s v="1025海放，1029码放，1030配载，开船"/>
    <x v="159"/>
    <x v="0"/>
    <x v="0"/>
    <m/>
    <m/>
    <n v="-8"/>
  </r>
  <r>
    <x v="1"/>
    <x v="119"/>
    <n v="8"/>
    <s v="费用（4号 公共盘 月账单表 发孙丹），额外费用邮件"/>
    <x v="176"/>
    <x v="0"/>
    <x v="0"/>
    <m/>
    <m/>
    <n v="-10"/>
  </r>
  <r>
    <x v="4"/>
    <x v="120"/>
    <n v="1"/>
    <s v="1021订舱预报，1021YJC生成，1021EDI，1021邮件Abbi，核对"/>
    <x v="169"/>
    <x v="0"/>
    <x v="0"/>
    <m/>
    <m/>
    <n v="-17"/>
  </r>
  <r>
    <x v="4"/>
    <x v="120"/>
    <n v="2"/>
    <s v="OK做箱时间，OK做箱通知，OK提单加拼EDI邮件Abbi，OK通知沈丽，加拼核对"/>
    <x v="177"/>
    <x v="0"/>
    <x v="0"/>
    <m/>
    <m/>
    <n v="-11"/>
  </r>
  <r>
    <x v="4"/>
    <x v="120"/>
    <n v="3"/>
    <s v="报关资料，报关加拼，做箱数据，邮件沈丽，装箱单，转客户"/>
    <x v="176"/>
    <x v="0"/>
    <x v="0"/>
    <m/>
    <m/>
    <n v="-10"/>
  </r>
  <r>
    <x v="4"/>
    <x v="120"/>
    <n v="4"/>
    <s v="OK做报关资料，OK发报关行，OK核注清单，OK确认，OK校对稿，确认"/>
    <x v="176"/>
    <x v="0"/>
    <x v="0"/>
    <m/>
    <m/>
    <n v="-10"/>
  </r>
  <r>
    <x v="4"/>
    <x v="120"/>
    <n v="5"/>
    <s v="OKYJC截单，OKESI，OK邮件He，1029校对COPY"/>
    <x v="176"/>
    <x v="0"/>
    <x v="0"/>
    <m/>
    <m/>
    <n v="-10"/>
  </r>
  <r>
    <x v="4"/>
    <x v="120"/>
    <n v="6"/>
    <s v="保函邹(Abbi电话)，ISF，保险"/>
    <x v="176"/>
    <x v="0"/>
    <x v="0"/>
    <m/>
    <m/>
    <n v="-10"/>
  </r>
  <r>
    <x v="4"/>
    <x v="120"/>
    <n v="7"/>
    <s v="VGM，亿通鹏海舱单，核舱单"/>
    <x v="176"/>
    <x v="0"/>
    <x v="0"/>
    <m/>
    <m/>
    <n v="-10"/>
  </r>
  <r>
    <x v="4"/>
    <x v="120"/>
    <n v="8"/>
    <s v="【洋山】1029发装箱单报关，1029成功，1030进港，1031核数据"/>
    <x v="175"/>
    <x v="0"/>
    <x v="0"/>
    <m/>
    <m/>
    <n v="-9"/>
  </r>
  <r>
    <x v="4"/>
    <x v="120"/>
    <n v="9"/>
    <s v="【外港】进港(落箱费?)，核数据，报关，成功"/>
    <x v="177"/>
    <x v="1"/>
    <x v="0"/>
    <m/>
    <m/>
    <n v="-11"/>
  </r>
  <r>
    <x v="4"/>
    <x v="120"/>
    <n v="10"/>
    <s v="1030海放，1031码放，1101配载，1101费用发陈吟勇石磊，船开"/>
    <x v="173"/>
    <x v="0"/>
    <x v="0"/>
    <m/>
    <m/>
    <n v="-6"/>
  </r>
  <r>
    <x v="4"/>
    <x v="120"/>
    <n v="11"/>
    <s v="放提单（PHISON、陈吟勇提单、陈云娣）"/>
    <x v="166"/>
    <x v="0"/>
    <x v="0"/>
    <m/>
    <m/>
    <n v="-4"/>
  </r>
  <r>
    <x v="2"/>
    <x v="120"/>
    <n v="1"/>
    <s v="本月所有WORKING PROCESS/WEEKLY REPORT日程"/>
    <x v="174"/>
    <x v="0"/>
    <x v="0"/>
    <m/>
    <s v="NOW"/>
    <n v="-13"/>
  </r>
  <r>
    <x v="2"/>
    <x v="120"/>
    <n v="2"/>
    <s v="本月所有PANCON提单领取单/拿到SWB日程"/>
    <x v="174"/>
    <x v="0"/>
    <x v="0"/>
    <m/>
    <s v="NOW"/>
    <n v="-13"/>
  </r>
  <r>
    <x v="2"/>
    <x v="120"/>
    <n v="3"/>
    <s v="本月所有PANCON出运清单文件"/>
    <x v="174"/>
    <x v="0"/>
    <x v="0"/>
    <m/>
    <s v="NOW"/>
    <n v="-13"/>
  </r>
  <r>
    <x v="2"/>
    <x v="120"/>
    <n v="4"/>
    <s v="WORKING PROCESS"/>
    <x v="159"/>
    <x v="0"/>
    <x v="0"/>
    <m/>
    <m/>
    <n v="-8"/>
  </r>
  <r>
    <x v="2"/>
    <x v="120"/>
    <n v="5"/>
    <s v="ETD1103 1029确认订舱，1101出运清单，1105提单领取单，SWB"/>
    <x v="186"/>
    <x v="0"/>
    <x v="4"/>
    <m/>
    <m/>
    <n v="-3"/>
  </r>
  <r>
    <x v="2"/>
    <x v="120"/>
    <n v="6"/>
    <s v="汇率有了改下当月所有单子的汇率"/>
    <x v="119"/>
    <x v="0"/>
    <x v="0"/>
    <m/>
    <s v="1日"/>
    <n v="-7"/>
  </r>
  <r>
    <x v="2"/>
    <x v="120"/>
    <n v="7"/>
    <s v="WORKING PROCESS/WEEKLY REPORT"/>
    <x v="166"/>
    <x v="0"/>
    <x v="0"/>
    <m/>
    <m/>
    <n v="-4"/>
  </r>
  <r>
    <x v="2"/>
    <x v="120"/>
    <n v="8"/>
    <s v="ETD1106 1031确认订舱，1104出运清单，OK提单领取单，SWB"/>
    <x v="189"/>
    <x v="0"/>
    <x v="4"/>
    <m/>
    <m/>
    <n v="-1"/>
  </r>
  <r>
    <x v="2"/>
    <x v="120"/>
    <n v="9"/>
    <s v="WORKING PROCESS"/>
    <x v="188"/>
    <x v="0"/>
    <x v="0"/>
    <m/>
    <m/>
    <n v="-2"/>
  </r>
  <r>
    <x v="2"/>
    <x v="120"/>
    <n v="10"/>
    <s v="核查JS mobis上月舱单，确认没有垃圾舱单（收件人看陈吟勇邮件）"/>
    <x v="187"/>
    <x v="0"/>
    <x v="0"/>
    <m/>
    <s v="每月第一个周五"/>
    <n v="0"/>
  </r>
  <r>
    <x v="2"/>
    <x v="120"/>
    <n v="11"/>
    <s v="WORKING PROCESS"/>
    <x v="187"/>
    <x v="0"/>
    <x v="0"/>
    <m/>
    <m/>
    <n v="0"/>
  </r>
  <r>
    <x v="2"/>
    <x v="120"/>
    <n v="12"/>
    <s v="ETD1110 1105确认订舱，1108出运清单，提单领取单，SWB"/>
    <x v="67"/>
    <x v="2"/>
    <x v="0"/>
    <m/>
    <m/>
    <n v="3"/>
  </r>
  <r>
    <x v="2"/>
    <x v="120"/>
    <n v="13"/>
    <s v="WORKING PROCESS/WEEKLY REPORT"/>
    <x v="67"/>
    <x v="2"/>
    <x v="0"/>
    <m/>
    <m/>
    <n v="3"/>
  </r>
  <r>
    <x v="2"/>
    <x v="120"/>
    <n v="14"/>
    <s v="ETD1113 1106确认订舱，出运清单，提单领取单，SWB"/>
    <x v="67"/>
    <x v="2"/>
    <x v="0"/>
    <m/>
    <m/>
    <n v="3"/>
  </r>
  <r>
    <x v="2"/>
    <x v="120"/>
    <n v="15"/>
    <s v="WORKING PROCESS"/>
    <x v="190"/>
    <x v="2"/>
    <x v="0"/>
    <m/>
    <m/>
    <n v="5"/>
  </r>
  <r>
    <x v="2"/>
    <x v="120"/>
    <n v="16"/>
    <s v="WORKING PROCESS"/>
    <x v="191"/>
    <x v="2"/>
    <x v="0"/>
    <m/>
    <m/>
    <n v="7"/>
  </r>
  <r>
    <x v="2"/>
    <x v="120"/>
    <n v="17"/>
    <s v="ETD1117 确认订舱，出运清单，提单领取单，SWB"/>
    <x v="192"/>
    <x v="2"/>
    <x v="0"/>
    <m/>
    <m/>
    <n v="4"/>
  </r>
  <r>
    <x v="2"/>
    <x v="120"/>
    <n v="18"/>
    <s v="WORKING PROCESS/WEEKLY REPORT"/>
    <x v="193"/>
    <x v="2"/>
    <x v="0"/>
    <m/>
    <m/>
    <n v="10"/>
  </r>
  <r>
    <x v="2"/>
    <x v="120"/>
    <n v="19"/>
    <s v="ETD1120 确认订舱，出运清单，提单领取单，SWB"/>
    <x v="194"/>
    <x v="2"/>
    <x v="0"/>
    <m/>
    <m/>
    <n v="6"/>
  </r>
  <r>
    <x v="2"/>
    <x v="120"/>
    <n v="20"/>
    <s v="WORKING PROCESS"/>
    <x v="195"/>
    <x v="2"/>
    <x v="0"/>
    <m/>
    <m/>
    <n v="12"/>
  </r>
  <r>
    <x v="2"/>
    <x v="120"/>
    <n v="21"/>
    <s v="WORKING PROCESS"/>
    <x v="196"/>
    <x v="2"/>
    <x v="0"/>
    <m/>
    <m/>
    <n v="14"/>
  </r>
  <r>
    <x v="2"/>
    <x v="120"/>
    <n v="22"/>
    <s v="ETD1124 确认订舱，出运清单，提单领取单，SWB"/>
    <x v="197"/>
    <x v="2"/>
    <x v="0"/>
    <m/>
    <m/>
    <n v="11"/>
  </r>
  <r>
    <x v="2"/>
    <x v="120"/>
    <n v="23"/>
    <s v="ROADSUN对账，开票，快递"/>
    <x v="198"/>
    <x v="2"/>
    <x v="0"/>
    <m/>
    <s v="25日 参考路递申月结流程"/>
    <n v="15"/>
  </r>
  <r>
    <x v="2"/>
    <x v="120"/>
    <n v="24"/>
    <s v="华宝本月所有发票按明细开好后快递客户（28号前要收到），水单，1027两票1030一票本月结算"/>
    <x v="198"/>
    <x v="2"/>
    <x v="0"/>
    <m/>
    <s v="25日"/>
    <n v="15"/>
  </r>
  <r>
    <x v="2"/>
    <x v="120"/>
    <n v="25"/>
    <s v="SHGLV家居每两个月结一次操作费，小柜$10大柜$15，参考上次结的时间"/>
    <x v="198"/>
    <x v="2"/>
    <x v="0"/>
    <m/>
    <s v="25日"/>
    <n v="15"/>
  </r>
  <r>
    <x v="2"/>
    <x v="120"/>
    <n v="26"/>
    <s v="雅家居月结"/>
    <x v="198"/>
    <x v="2"/>
    <x v="0"/>
    <m/>
    <s v="月底"/>
    <n v="15"/>
  </r>
  <r>
    <x v="2"/>
    <x v="120"/>
    <n v="27"/>
    <s v="WORKING PROCESS/WEEKLY REPORT"/>
    <x v="185"/>
    <x v="2"/>
    <x v="0"/>
    <m/>
    <m/>
    <n v="17"/>
  </r>
  <r>
    <x v="2"/>
    <x v="120"/>
    <n v="28"/>
    <s v="ETD1127 确认订舱，出运清单，提单领取单，SWB"/>
    <x v="199"/>
    <x v="2"/>
    <x v="0"/>
    <m/>
    <m/>
    <n v="13"/>
  </r>
  <r>
    <x v="2"/>
    <x v="120"/>
    <n v="29"/>
    <s v="家居本月GLV月结的账单全部发给金娥善"/>
    <x v="200"/>
    <x v="2"/>
    <x v="0"/>
    <m/>
    <s v="25日"/>
    <n v="18"/>
  </r>
  <r>
    <x v="2"/>
    <x v="120"/>
    <n v="30"/>
    <s v="下月 MONTH"/>
    <x v="201"/>
    <x v="2"/>
    <x v="0"/>
    <m/>
    <s v="28日"/>
    <n v="19"/>
  </r>
  <r>
    <x v="2"/>
    <x v="120"/>
    <n v="31"/>
    <s v="WORKING PROCESS"/>
    <x v="201"/>
    <x v="2"/>
    <x v="0"/>
    <m/>
    <m/>
    <n v="19"/>
  </r>
  <r>
    <x v="2"/>
    <x v="120"/>
    <n v="32"/>
    <s v="JS mobis本月车队费用邮件发给汤爱华"/>
    <x v="202"/>
    <x v="2"/>
    <x v="0"/>
    <m/>
    <s v="28日"/>
    <n v="20"/>
  </r>
  <r>
    <x v="2"/>
    <x v="120"/>
    <n v="33"/>
    <s v="WORKING PROCESS"/>
    <x v="203"/>
    <x v="2"/>
    <x v="0"/>
    <m/>
    <m/>
    <n v="21"/>
  </r>
  <r>
    <x v="22"/>
    <x v="121"/>
    <n v="1"/>
    <s v="1030托书，1030订舱，1030进仓通知，1030邮件KY，KY确认"/>
    <x v="67"/>
    <x v="2"/>
    <x v="0"/>
    <m/>
    <m/>
    <n v="3"/>
  </r>
  <r>
    <x v="22"/>
    <x v="121"/>
    <n v="2"/>
    <s v="1031截单，1031截货"/>
    <x v="159"/>
    <x v="0"/>
    <x v="0"/>
    <m/>
    <m/>
    <n v="-8"/>
  </r>
  <r>
    <x v="22"/>
    <x v="121"/>
    <n v="3"/>
    <s v="1031MBL确认，1101应付确认，1104应付发票，应付水单"/>
    <x v="67"/>
    <x v="2"/>
    <x v="0"/>
    <m/>
    <m/>
    <n v="3"/>
  </r>
  <r>
    <x v="22"/>
    <x v="121"/>
    <n v="4"/>
    <s v="1101CODE，1031HBL确认，1102应收确认，1104应收发票，应收水单，放HBL"/>
    <x v="67"/>
    <x v="2"/>
    <x v="0"/>
    <m/>
    <m/>
    <n v="3"/>
  </r>
  <r>
    <x v="22"/>
    <x v="121"/>
    <n v="5"/>
    <s v="1105船开，1104放MBL，放HBL"/>
    <x v="67"/>
    <x v="2"/>
    <x v="0"/>
    <m/>
    <m/>
    <n v="3"/>
  </r>
  <r>
    <x v="13"/>
    <x v="121"/>
    <n v="0"/>
    <s v="流水"/>
    <x v="164"/>
    <x v="0"/>
    <x v="0"/>
    <m/>
    <m/>
    <n v="-26"/>
  </r>
  <r>
    <x v="13"/>
    <x v="121"/>
    <n v="1"/>
    <s v="1008托书，1012订舱，1012邮件Wanda，1012通知客户，1014确认"/>
    <x v="165"/>
    <x v="0"/>
    <x v="0"/>
    <m/>
    <m/>
    <n v="-25"/>
  </r>
  <r>
    <x v="13"/>
    <x v="121"/>
    <n v="2"/>
    <s v="开港时间，资料时间，做费用"/>
    <x v="175"/>
    <x v="1"/>
    <x v="0"/>
    <m/>
    <m/>
    <n v="-9"/>
  </r>
  <r>
    <x v="13"/>
    <x v="121"/>
    <n v="3"/>
    <s v="资料，YJC截，HCP/INV确认，联代舱单，MSK截，核舱单"/>
    <x v="159"/>
    <x v="1"/>
    <x v="0"/>
    <m/>
    <s v="件毛体箱封号唛头"/>
    <n v="-8"/>
  </r>
  <r>
    <x v="13"/>
    <x v="121"/>
    <n v="4"/>
    <s v="2COPY/AMS/DEBIT邮件Wanda"/>
    <x v="159"/>
    <x v="1"/>
    <x v="0"/>
    <m/>
    <m/>
    <n v="-8"/>
  </r>
  <r>
    <x v="13"/>
    <x v="121"/>
    <n v="5"/>
    <s v="进港，核数据"/>
    <x v="119"/>
    <x v="1"/>
    <x v="0"/>
    <m/>
    <m/>
    <n v="-7"/>
  </r>
  <r>
    <x v="13"/>
    <x v="121"/>
    <n v="6"/>
    <s v="海放，码放，配载，开船，通知Wanda"/>
    <x v="119"/>
    <x v="1"/>
    <x v="0"/>
    <m/>
    <m/>
    <n v="-7"/>
  </r>
  <r>
    <x v="13"/>
    <x v="121"/>
    <n v="7"/>
    <s v="Wanda付款通知，放单给Wanda"/>
    <x v="189"/>
    <x v="1"/>
    <x v="0"/>
    <m/>
    <m/>
    <n v="-1"/>
  </r>
  <r>
    <x v="3"/>
    <x v="122"/>
    <m/>
    <s v="TCL 月结协议，1105快递772003031162673"/>
    <x v="188"/>
    <x v="0"/>
    <x v="0"/>
    <m/>
    <m/>
    <n v="-2"/>
  </r>
  <r>
    <x v="6"/>
    <x v="123"/>
    <n v="1"/>
    <s v="收到胡媛媛发来订舱邮件"/>
    <x v="181"/>
    <x v="0"/>
    <x v="0"/>
    <m/>
    <m/>
    <n v="-28"/>
  </r>
  <r>
    <x v="6"/>
    <x v="123"/>
    <n v="2"/>
    <s v="发订舱托书给万恒（翁小姐）"/>
    <x v="181"/>
    <x v="0"/>
    <x v="0"/>
    <m/>
    <m/>
    <n v="-28"/>
  </r>
  <r>
    <x v="6"/>
    <x v="123"/>
    <n v="3"/>
    <s v="收到万恒（翁小姐）预配（中转港必须是LAZARO）"/>
    <x v="181"/>
    <x v="0"/>
    <x v="0"/>
    <m/>
    <s v="一般三小时左右"/>
    <n v="-28"/>
  </r>
  <r>
    <x v="6"/>
    <x v="123"/>
    <n v="5"/>
    <s v="发做箱通知邮件给车队(沈丽)，通知做箱时间"/>
    <x v="181"/>
    <x v="0"/>
    <x v="0"/>
    <m/>
    <m/>
    <n v="-28"/>
  </r>
  <r>
    <x v="6"/>
    <x v="123"/>
    <n v="6"/>
    <s v="通知胡媛媛订舱成功和做箱时间"/>
    <x v="181"/>
    <x v="0"/>
    <x v="0"/>
    <m/>
    <m/>
    <n v="-28"/>
  </r>
  <r>
    <x v="6"/>
    <x v="123"/>
    <n v="7"/>
    <s v="1028跟客户确认发报关资料和做箱时间"/>
    <x v="176"/>
    <x v="0"/>
    <x v="3"/>
    <m/>
    <s v="截单前三天"/>
    <n v="-10"/>
  </r>
  <r>
    <x v="6"/>
    <x v="123"/>
    <n v="8"/>
    <s v="收到胡媛媛发来报关资料"/>
    <x v="177"/>
    <x v="0"/>
    <x v="0"/>
    <m/>
    <s v="船开前一周？"/>
    <n v="-11"/>
  </r>
  <r>
    <x v="6"/>
    <x v="123"/>
    <n v="9"/>
    <s v="1029报关资料发报关行，1029校对稿，OK做箱数据给沈丽，1029更新系统件毛体"/>
    <x v="176"/>
    <x v="0"/>
    <x v="0"/>
    <m/>
    <m/>
    <n v="-10"/>
  </r>
  <r>
    <x v="6"/>
    <x v="123"/>
    <n v="10"/>
    <s v="买保险"/>
    <x v="176"/>
    <x v="0"/>
    <x v="0"/>
    <m/>
    <m/>
    <n v="-10"/>
  </r>
  <r>
    <x v="6"/>
    <x v="123"/>
    <n v="11"/>
    <s v="做异地付款保函，发胡媛媛确认盖章回传"/>
    <x v="176"/>
    <x v="0"/>
    <x v="0"/>
    <m/>
    <m/>
    <n v="-10"/>
  </r>
  <r>
    <x v="6"/>
    <x v="123"/>
    <n v="12"/>
    <s v="收到客户（胡媛媛）发来保函扫描件"/>
    <x v="176"/>
    <x v="0"/>
    <x v="0"/>
    <m/>
    <s v="一般马上"/>
    <n v="-10"/>
  </r>
  <r>
    <x v="6"/>
    <x v="123"/>
    <n v="13"/>
    <s v="收到罗运生校对稿，发客户（胡媛媛）确认"/>
    <x v="176"/>
    <x v="0"/>
    <x v="0"/>
    <m/>
    <s v="一般半天内"/>
    <n v="-10"/>
  </r>
  <r>
    <x v="6"/>
    <x v="123"/>
    <n v="14"/>
    <s v="收到客户（胡媛媛）确认校对稿OK"/>
    <x v="176"/>
    <x v="0"/>
    <x v="0"/>
    <m/>
    <s v="一般马上"/>
    <n v="-10"/>
  </r>
  <r>
    <x v="6"/>
    <x v="123"/>
    <n v="15"/>
    <s v="关注开港时间，跟车队(沈丽)确认做箱时间，如有变动通知胡媛媛"/>
    <x v="159"/>
    <x v="1"/>
    <x v="0"/>
    <m/>
    <s v="截单前一天"/>
    <n v="-8"/>
  </r>
  <r>
    <x v="6"/>
    <x v="123"/>
    <n v="16"/>
    <s v="收到沈丽发来装箱单"/>
    <x v="119"/>
    <x v="0"/>
    <x v="0"/>
    <m/>
    <s v="截单当天"/>
    <n v="-7"/>
  </r>
  <r>
    <x v="6"/>
    <x v="123"/>
    <n v="17"/>
    <s v="完善截单资料发万恒（翁小姐），请求发舱单"/>
    <x v="119"/>
    <x v="0"/>
    <x v="0"/>
    <m/>
    <m/>
    <n v="-7"/>
  </r>
  <r>
    <x v="6"/>
    <x v="123"/>
    <n v="18"/>
    <s v="收到舱单发送通知，核对舱单，装箱单发报关行报关"/>
    <x v="119"/>
    <x v="0"/>
    <x v="0"/>
    <m/>
    <m/>
    <n v="-7"/>
  </r>
  <r>
    <x v="6"/>
    <x v="123"/>
    <n v="19"/>
    <s v="请求万恒（翁小姐）发提单样本"/>
    <x v="166"/>
    <x v="0"/>
    <x v="0"/>
    <m/>
    <m/>
    <n v="-4"/>
  </r>
  <r>
    <x v="6"/>
    <x v="123"/>
    <n v="20"/>
    <s v="收到万恒（翁小姐）发来提单样本，发胡媛媛确认"/>
    <x v="166"/>
    <x v="0"/>
    <x v="0"/>
    <m/>
    <m/>
    <n v="-4"/>
  </r>
  <r>
    <x v="6"/>
    <x v="123"/>
    <n v="21"/>
    <s v="收到胡媛媛提单确认"/>
    <x v="166"/>
    <x v="0"/>
    <x v="0"/>
    <m/>
    <m/>
    <n v="-4"/>
  </r>
  <r>
    <x v="6"/>
    <x v="123"/>
    <n v="22"/>
    <s v="收到报关成功通知，通知车队可进港 "/>
    <x v="119"/>
    <x v="0"/>
    <x v="0"/>
    <m/>
    <m/>
    <n v="-7"/>
  </r>
  <r>
    <x v="6"/>
    <x v="123"/>
    <n v="23"/>
    <s v="进港，核对数据"/>
    <x v="173"/>
    <x v="0"/>
    <x v="0"/>
    <m/>
    <m/>
    <n v="-6"/>
  </r>
  <r>
    <x v="6"/>
    <x v="123"/>
    <n v="24"/>
    <s v="海放"/>
    <x v="173"/>
    <x v="0"/>
    <x v="0"/>
    <m/>
    <m/>
    <n v="-6"/>
  </r>
  <r>
    <x v="6"/>
    <x v="123"/>
    <n v="25"/>
    <s v="码放，配载"/>
    <x v="188"/>
    <x v="0"/>
    <x v="0"/>
    <m/>
    <m/>
    <n v="-2"/>
  </r>
  <r>
    <x v="6"/>
    <x v="123"/>
    <n v="26"/>
    <s v="配载"/>
    <x v="186"/>
    <x v="1"/>
    <x v="0"/>
    <m/>
    <m/>
    <n v="-3"/>
  </r>
  <r>
    <x v="6"/>
    <x v="123"/>
    <n v="27"/>
    <s v="开船"/>
    <x v="189"/>
    <x v="0"/>
    <x v="0"/>
    <m/>
    <m/>
    <n v="-1"/>
  </r>
  <r>
    <x v="6"/>
    <x v="123"/>
    <n v="28"/>
    <s v="收到万恒账单，做费用，发账单给陈吟勇"/>
    <x v="189"/>
    <x v="0"/>
    <x v="0"/>
    <m/>
    <m/>
    <n v="-1"/>
  </r>
  <r>
    <x v="6"/>
    <x v="123"/>
    <n v="29"/>
    <s v="收到万恒（翁小姐）提单，放提单和预录单给胡媛媛，提单发陈吟勇和石磊"/>
    <x v="187"/>
    <x v="0"/>
    <x v="0"/>
    <m/>
    <m/>
    <n v="0"/>
  </r>
  <r>
    <x v="0"/>
    <x v="124"/>
    <n v="1"/>
    <s v="1025托书，预配(沈丽)，YJC生成"/>
    <x v="175"/>
    <x v="0"/>
    <x v="0"/>
    <m/>
    <m/>
    <n v="-9"/>
  </r>
  <r>
    <x v="0"/>
    <x v="124"/>
    <n v="2"/>
    <s v="包装指示书，汇总，发工厂，做箱数据，发订舱口"/>
    <x v="159"/>
    <x v="0"/>
    <x v="0"/>
    <m/>
    <m/>
    <n v="-8"/>
  </r>
  <r>
    <x v="0"/>
    <x v="124"/>
    <n v="3"/>
    <s v="收做资料(代做确认)，发报关行，【HMI】货运模板"/>
    <x v="119"/>
    <x v="0"/>
    <x v="0"/>
    <m/>
    <m/>
    <n v="-7"/>
  </r>
  <r>
    <x v="0"/>
    <x v="124"/>
    <n v="4"/>
    <s v="1103装箱单(洋提)，1104群发，核舱单"/>
    <x v="166"/>
    <x v="0"/>
    <x v="0"/>
    <m/>
    <m/>
    <n v="-4"/>
  </r>
  <r>
    <x v="0"/>
    <x v="124"/>
    <n v="5"/>
    <s v="【HMI】OK开港，1103进港，1104核数据，报关"/>
    <x v="166"/>
    <x v="0"/>
    <x v="0"/>
    <m/>
    <m/>
    <n v="-4"/>
  </r>
  <r>
    <x v="0"/>
    <x v="124"/>
    <n v="6"/>
    <s v="【KMM】报关，成功，进港，核数据"/>
    <x v="204"/>
    <x v="1"/>
    <x v="0"/>
    <m/>
    <m/>
    <n v="-5"/>
  </r>
  <r>
    <x v="0"/>
    <x v="124"/>
    <n v="7"/>
    <s v="OK海放，OK码放，1105配载，开船"/>
    <x v="188"/>
    <x v="0"/>
    <x v="3"/>
    <m/>
    <m/>
    <n v="-2"/>
  </r>
  <r>
    <x v="0"/>
    <x v="124"/>
    <n v="8"/>
    <s v="费用（4号 公共盘 月账单表 发孙丹），额外费用邮件"/>
    <x v="188"/>
    <x v="0"/>
    <x v="0"/>
    <m/>
    <m/>
    <n v="-2"/>
  </r>
  <r>
    <x v="4"/>
    <x v="124"/>
    <n v="1"/>
    <s v="1028订舱预报，1029YJC生成，1029EDI，1029邮件Abbi，核对"/>
    <x v="176"/>
    <x v="0"/>
    <x v="0"/>
    <m/>
    <m/>
    <n v="-10"/>
  </r>
  <r>
    <x v="4"/>
    <x v="124"/>
    <n v="2"/>
    <s v="做箱时间，做箱通知，提单加拼EDI邮件Abbi，通知沈丽，加拼核对"/>
    <x v="159"/>
    <x v="1"/>
    <x v="0"/>
    <m/>
    <m/>
    <n v="-8"/>
  </r>
  <r>
    <x v="4"/>
    <x v="124"/>
    <n v="3"/>
    <s v="报关资料，报关加拼，做箱数据，邮件沈丽，装箱单，转客户"/>
    <x v="119"/>
    <x v="1"/>
    <x v="0"/>
    <m/>
    <m/>
    <n v="-7"/>
  </r>
  <r>
    <x v="4"/>
    <x v="124"/>
    <n v="4"/>
    <s v="做报关资料，发报关行，核注清单，确认，校对稿，确认"/>
    <x v="119"/>
    <x v="1"/>
    <x v="0"/>
    <m/>
    <m/>
    <n v="-7"/>
  </r>
  <r>
    <x v="4"/>
    <x v="124"/>
    <n v="5"/>
    <s v="YJC截单，ESI，邮件He，校对COPY"/>
    <x v="119"/>
    <x v="1"/>
    <x v="0"/>
    <m/>
    <m/>
    <n v="-7"/>
  </r>
  <r>
    <x v="4"/>
    <x v="124"/>
    <n v="6"/>
    <s v="保函邹(Abbi电话)，ISF，保险"/>
    <x v="119"/>
    <x v="1"/>
    <x v="0"/>
    <m/>
    <m/>
    <n v="-7"/>
  </r>
  <r>
    <x v="4"/>
    <x v="124"/>
    <n v="7"/>
    <s v="VGM，亿通鹏海舱单，核舱单"/>
    <x v="119"/>
    <x v="1"/>
    <x v="0"/>
    <m/>
    <m/>
    <n v="-7"/>
  </r>
  <r>
    <x v="4"/>
    <x v="124"/>
    <n v="8"/>
    <s v="【洋山】发装箱单报关，成功，进港(落箱费?)，核数据"/>
    <x v="119"/>
    <x v="1"/>
    <x v="0"/>
    <m/>
    <m/>
    <n v="-7"/>
  </r>
  <r>
    <x v="4"/>
    <x v="124"/>
    <n v="9"/>
    <s v="【外港】进港(落箱费?)，核数据，报关，成功"/>
    <x v="173"/>
    <x v="1"/>
    <x v="0"/>
    <m/>
    <m/>
    <n v="-6"/>
  </r>
  <r>
    <x v="4"/>
    <x v="124"/>
    <n v="10"/>
    <s v="海放，码放，配载，费用发陈吟勇石磊，船开"/>
    <x v="166"/>
    <x v="1"/>
    <x v="0"/>
    <m/>
    <m/>
    <n v="-4"/>
  </r>
  <r>
    <x v="4"/>
    <x v="124"/>
    <n v="11"/>
    <s v="放提单（PHISON、陈吟勇提单、陈云娣）"/>
    <x v="189"/>
    <x v="1"/>
    <x v="0"/>
    <m/>
    <m/>
    <n v="-1"/>
  </r>
  <r>
    <x v="1"/>
    <x v="124"/>
    <n v="1"/>
    <s v="1023托书，预配(沈丽)，YJC生成"/>
    <x v="175"/>
    <x v="0"/>
    <x v="0"/>
    <m/>
    <m/>
    <n v="-9"/>
  </r>
  <r>
    <x v="1"/>
    <x v="124"/>
    <n v="2"/>
    <s v="包装指示书，汇总，发工厂，做箱数据，发订舱口"/>
    <x v="159"/>
    <x v="0"/>
    <x v="0"/>
    <m/>
    <m/>
    <n v="-8"/>
  </r>
  <r>
    <x v="1"/>
    <x v="124"/>
    <n v="3"/>
    <s v="收做资料(代做确认)，发报关行"/>
    <x v="119"/>
    <x v="0"/>
    <x v="0"/>
    <m/>
    <m/>
    <n v="-7"/>
  </r>
  <r>
    <x v="1"/>
    <x v="124"/>
    <n v="4"/>
    <s v="1101装箱单(洋提)，1101群发，发舱单，核舱单"/>
    <x v="119"/>
    <x v="0"/>
    <x v="0"/>
    <m/>
    <m/>
    <n v="-7"/>
  </r>
  <r>
    <x v="1"/>
    <x v="124"/>
    <n v="5"/>
    <s v="【HMI】开港，进港，核数据，报关"/>
    <x v="119"/>
    <x v="1"/>
    <x v="0"/>
    <m/>
    <m/>
    <n v="-7"/>
  </r>
  <r>
    <x v="1"/>
    <x v="124"/>
    <n v="6"/>
    <s v="【KMM】1101报关，1101成功，1102进港，1101核数据，发两家报关单和放行单"/>
    <x v="186"/>
    <x v="0"/>
    <x v="0"/>
    <m/>
    <m/>
    <n v="-3"/>
  </r>
  <r>
    <x v="1"/>
    <x v="124"/>
    <n v="7"/>
    <s v="1102海放，OK码放，OK配载，开船"/>
    <x v="189"/>
    <x v="0"/>
    <x v="0"/>
    <m/>
    <m/>
    <n v="-1"/>
  </r>
  <r>
    <x v="1"/>
    <x v="124"/>
    <n v="8"/>
    <s v="费用（4号 公共盘 月账单表 发孙丹），额外费用邮件"/>
    <x v="188"/>
    <x v="0"/>
    <x v="0"/>
    <m/>
    <m/>
    <n v="-2"/>
  </r>
  <r>
    <x v="11"/>
    <x v="125"/>
    <n v="1"/>
    <s v="1018托书，1025预配，1027YJC生成，OK做箱时间，OK订车，OK回孙丹"/>
    <x v="159"/>
    <x v="0"/>
    <x v="0"/>
    <m/>
    <m/>
    <n v="-8"/>
  </r>
  <r>
    <x v="11"/>
    <x v="125"/>
    <n v="2"/>
    <s v="数据，发沈丽，要报关资料，发报关行"/>
    <x v="166"/>
    <x v="0"/>
    <x v="0"/>
    <m/>
    <m/>
    <n v="-4"/>
  </r>
  <r>
    <x v="11"/>
    <x v="125"/>
    <n v="3"/>
    <s v="1104装箱单，1104转ZHL发舱单，核舱单"/>
    <x v="186"/>
    <x v="0"/>
    <x v="0"/>
    <m/>
    <m/>
    <n v="-3"/>
  </r>
  <r>
    <x v="11"/>
    <x v="125"/>
    <n v="4"/>
    <s v="1105进港，1105核数据，1105报关，4532查验，海放"/>
    <x v="189"/>
    <x v="0"/>
    <x v="3"/>
    <m/>
    <m/>
    <n v="-1"/>
  </r>
  <r>
    <x v="11"/>
    <x v="125"/>
    <n v="5"/>
    <s v="1107码放，1107配载，开船"/>
    <x v="187"/>
    <x v="0"/>
    <x v="0"/>
    <m/>
    <m/>
    <n v="0"/>
  </r>
  <r>
    <x v="11"/>
    <x v="125"/>
    <n v="6"/>
    <s v="【应付】确认账单，发票，水单"/>
    <x v="67"/>
    <x v="2"/>
    <x v="0"/>
    <m/>
    <m/>
    <n v="3"/>
  </r>
  <r>
    <x v="11"/>
    <x v="125"/>
    <n v="7"/>
    <s v="【应收】费用表和明细发孙丹"/>
    <x v="67"/>
    <x v="2"/>
    <x v="0"/>
    <m/>
    <m/>
    <n v="3"/>
  </r>
  <r>
    <x v="0"/>
    <x v="126"/>
    <n v="1"/>
    <s v="1028托书，预配(沈丽)，YJC生成"/>
    <x v="159"/>
    <x v="0"/>
    <x v="0"/>
    <m/>
    <m/>
    <n v="-8"/>
  </r>
  <r>
    <x v="0"/>
    <x v="126"/>
    <n v="2"/>
    <s v="包装指示书，汇总，发工厂，做箱数据，发订舱口"/>
    <x v="166"/>
    <x v="0"/>
    <x v="0"/>
    <m/>
    <m/>
    <n v="-4"/>
  </r>
  <r>
    <x v="0"/>
    <x v="126"/>
    <n v="3"/>
    <s v="收做资料(代做确认)，发报关行，【HMI】货运模板"/>
    <x v="186"/>
    <x v="0"/>
    <x v="0"/>
    <m/>
    <m/>
    <n v="-3"/>
  </r>
  <r>
    <x v="0"/>
    <x v="126"/>
    <n v="4"/>
    <s v="1106装箱单(洋提)，1106群发，发舱单，核舱单"/>
    <x v="188"/>
    <x v="0"/>
    <x v="0"/>
    <m/>
    <m/>
    <n v="-2"/>
  </r>
  <r>
    <x v="0"/>
    <x v="126"/>
    <n v="5"/>
    <s v="【HMI】开港，进港，核数据，报关"/>
    <x v="188"/>
    <x v="0"/>
    <x v="0"/>
    <m/>
    <m/>
    <n v="-2"/>
  </r>
  <r>
    <x v="0"/>
    <x v="126"/>
    <n v="6"/>
    <s v="【KMM】报关，成功，进港，核数据"/>
    <x v="175"/>
    <x v="1"/>
    <x v="0"/>
    <m/>
    <m/>
    <n v="-9"/>
  </r>
  <r>
    <x v="0"/>
    <x v="126"/>
    <n v="7"/>
    <s v="1107海放，1108码放，配载，开船"/>
    <x v="205"/>
    <x v="2"/>
    <x v="0"/>
    <m/>
    <m/>
    <n v="2"/>
  </r>
  <r>
    <x v="0"/>
    <x v="126"/>
    <n v="8"/>
    <s v="费用（4号 公共盘 月账单表 发孙丹），额外费用邮件"/>
    <x v="205"/>
    <x v="2"/>
    <x v="0"/>
    <m/>
    <m/>
    <n v="2"/>
  </r>
  <r>
    <x v="4"/>
    <x v="127"/>
    <n v="1"/>
    <s v="1028订舱预报，1029YJC生成，1029EDI，1029邮件Abbi，核对"/>
    <x v="176"/>
    <x v="0"/>
    <x v="0"/>
    <m/>
    <m/>
    <n v="-10"/>
  </r>
  <r>
    <x v="4"/>
    <x v="127"/>
    <n v="2"/>
    <s v="做箱时间，做箱通知，提单加拼EDI邮件Abbi，通知沈丽，加拼核对"/>
    <x v="166"/>
    <x v="0"/>
    <x v="0"/>
    <m/>
    <m/>
    <n v="-4"/>
  </r>
  <r>
    <x v="4"/>
    <x v="127"/>
    <n v="3"/>
    <s v="报关资料，报关加拼，做箱数据，邮件沈丽，装箱单，转客户"/>
    <x v="186"/>
    <x v="0"/>
    <x v="0"/>
    <m/>
    <m/>
    <n v="-3"/>
  </r>
  <r>
    <x v="4"/>
    <x v="127"/>
    <n v="4"/>
    <s v="做报关资料，发报关行，核注清单，确认，校对稿，确认"/>
    <x v="186"/>
    <x v="0"/>
    <x v="0"/>
    <m/>
    <m/>
    <n v="-3"/>
  </r>
  <r>
    <x v="4"/>
    <x v="127"/>
    <n v="5"/>
    <s v="YJC截单，ESI，邮件He，校对COPY"/>
    <x v="186"/>
    <x v="0"/>
    <x v="0"/>
    <m/>
    <m/>
    <n v="-3"/>
  </r>
  <r>
    <x v="4"/>
    <x v="127"/>
    <n v="6"/>
    <s v="保函邹(Abbi电话)，ISF，保险"/>
    <x v="186"/>
    <x v="0"/>
    <x v="0"/>
    <m/>
    <m/>
    <n v="-3"/>
  </r>
  <r>
    <x v="4"/>
    <x v="127"/>
    <n v="7"/>
    <s v="VGM，亿通鹏海舱单，核舱单"/>
    <x v="186"/>
    <x v="0"/>
    <x v="0"/>
    <m/>
    <m/>
    <n v="-3"/>
  </r>
  <r>
    <x v="4"/>
    <x v="127"/>
    <n v="8"/>
    <s v="【洋山】1105发装箱单报关，成功，进港(落箱费?)，核数据"/>
    <x v="188"/>
    <x v="0"/>
    <x v="0"/>
    <m/>
    <m/>
    <n v="-2"/>
  </r>
  <r>
    <x v="4"/>
    <x v="127"/>
    <n v="9"/>
    <s v="【外港】进港(落箱费?)，核数据，报关，成功"/>
    <x v="186"/>
    <x v="1"/>
    <x v="0"/>
    <m/>
    <m/>
    <n v="-3"/>
  </r>
  <r>
    <x v="4"/>
    <x v="127"/>
    <n v="10"/>
    <s v="OK海放，1107码放，1108配载，费用发陈吟勇石磊，船开"/>
    <x v="206"/>
    <x v="2"/>
    <x v="0"/>
    <m/>
    <m/>
    <n v="1"/>
  </r>
  <r>
    <x v="4"/>
    <x v="127"/>
    <n v="11"/>
    <s v="放提单（PHISON、陈吟勇提单、陈云娣）"/>
    <x v="205"/>
    <x v="2"/>
    <x v="0"/>
    <m/>
    <m/>
    <n v="2"/>
  </r>
  <r>
    <x v="13"/>
    <x v="128"/>
    <n v="0"/>
    <s v="流水"/>
    <x v="164"/>
    <x v="0"/>
    <x v="0"/>
    <m/>
    <m/>
    <n v="-26"/>
  </r>
  <r>
    <x v="13"/>
    <x v="128"/>
    <n v="1"/>
    <s v="1008托书，1012订舱，1012邮件Wanda，1012通知客户，1014确认"/>
    <x v="165"/>
    <x v="0"/>
    <x v="0"/>
    <m/>
    <m/>
    <n v="-25"/>
  </r>
  <r>
    <x v="13"/>
    <x v="128"/>
    <n v="2"/>
    <s v="开港时间，资料时间，做费用"/>
    <x v="186"/>
    <x v="1"/>
    <x v="0"/>
    <m/>
    <m/>
    <n v="-3"/>
  </r>
  <r>
    <x v="13"/>
    <x v="128"/>
    <n v="3"/>
    <s v="资料，YJC截，HCP/INV确认，联代舱单，MSK截，核舱单"/>
    <x v="189"/>
    <x v="1"/>
    <x v="0"/>
    <m/>
    <s v="件毛体箱封号唛头"/>
    <n v="-1"/>
  </r>
  <r>
    <x v="13"/>
    <x v="128"/>
    <n v="4"/>
    <s v="2COPY/AMS/DEBIT邮件Wanda"/>
    <x v="189"/>
    <x v="1"/>
    <x v="0"/>
    <m/>
    <m/>
    <n v="-1"/>
  </r>
  <r>
    <x v="13"/>
    <x v="128"/>
    <n v="5"/>
    <s v="进港，核数据"/>
    <x v="187"/>
    <x v="1"/>
    <x v="0"/>
    <m/>
    <m/>
    <n v="0"/>
  </r>
  <r>
    <x v="13"/>
    <x v="128"/>
    <n v="6"/>
    <s v="海放，码放，配载，开船，通知Wanda"/>
    <x v="187"/>
    <x v="1"/>
    <x v="0"/>
    <m/>
    <m/>
    <n v="0"/>
  </r>
  <r>
    <x v="13"/>
    <x v="128"/>
    <n v="7"/>
    <s v="Wanda付款通知，放单给Wanda"/>
    <x v="194"/>
    <x v="1"/>
    <x v="0"/>
    <m/>
    <m/>
    <n v="6"/>
  </r>
  <r>
    <x v="1"/>
    <x v="129"/>
    <n v="1"/>
    <s v="1031托书，预配(沈丽)，YJC生成"/>
    <x v="159"/>
    <x v="0"/>
    <x v="0"/>
    <m/>
    <m/>
    <n v="-8"/>
  </r>
  <r>
    <x v="1"/>
    <x v="129"/>
    <n v="2"/>
    <s v="包装指示书，汇总，发工厂，做箱数据，发订舱口"/>
    <x v="188"/>
    <x v="0"/>
    <x v="0"/>
    <m/>
    <m/>
    <n v="-2"/>
  </r>
  <r>
    <x v="1"/>
    <x v="129"/>
    <n v="3"/>
    <s v="收做资料(代做确认)，发报关行，【HMI】货运模板"/>
    <x v="188"/>
    <x v="0"/>
    <x v="0"/>
    <m/>
    <m/>
    <n v="-2"/>
  </r>
  <r>
    <x v="1"/>
    <x v="129"/>
    <n v="4"/>
    <s v="OK装箱单(洋提)，OK群发，发舱单，核舱单"/>
    <x v="187"/>
    <x v="0"/>
    <x v="0"/>
    <m/>
    <m/>
    <n v="0"/>
  </r>
  <r>
    <x v="1"/>
    <x v="129"/>
    <n v="5"/>
    <s v="【HMI】开港，进港，核数据，报关"/>
    <x v="187"/>
    <x v="1"/>
    <x v="0"/>
    <m/>
    <m/>
    <n v="0"/>
  </r>
  <r>
    <x v="1"/>
    <x v="129"/>
    <n v="6"/>
    <s v="【KMM】1108报关，1108成功，进港，核数据，发两家报关单和放行单"/>
    <x v="206"/>
    <x v="2"/>
    <x v="0"/>
    <m/>
    <m/>
    <n v="1"/>
  </r>
  <r>
    <x v="1"/>
    <x v="129"/>
    <n v="7"/>
    <s v="海放，码放，配载，开船"/>
    <x v="206"/>
    <x v="2"/>
    <x v="0"/>
    <m/>
    <m/>
    <n v="1"/>
  </r>
  <r>
    <x v="1"/>
    <x v="129"/>
    <n v="8"/>
    <s v="费用（4号 公共盘 月账单表 发孙丹），额外费用邮件"/>
    <x v="205"/>
    <x v="2"/>
    <x v="0"/>
    <m/>
    <m/>
    <n v="2"/>
  </r>
  <r>
    <x v="13"/>
    <x v="130"/>
    <n v="0"/>
    <s v="流水"/>
    <x v="164"/>
    <x v="0"/>
    <x v="0"/>
    <m/>
    <m/>
    <n v="-26"/>
  </r>
  <r>
    <x v="13"/>
    <x v="130"/>
    <n v="1"/>
    <s v="1008托书，1012订舱，1012邮件Wanda，1012通知客户，1014确认"/>
    <x v="165"/>
    <x v="0"/>
    <x v="0"/>
    <m/>
    <m/>
    <n v="-25"/>
  </r>
  <r>
    <x v="13"/>
    <x v="130"/>
    <n v="2"/>
    <s v="开港时间，资料时间，做费用"/>
    <x v="192"/>
    <x v="2"/>
    <x v="0"/>
    <m/>
    <m/>
    <n v="4"/>
  </r>
  <r>
    <x v="13"/>
    <x v="130"/>
    <n v="3"/>
    <s v="资料，YJC截，HCP/INV确认，联代舱单，MSK截，核舱单"/>
    <x v="190"/>
    <x v="2"/>
    <x v="0"/>
    <m/>
    <s v="件毛体箱封号唛头"/>
    <n v="5"/>
  </r>
  <r>
    <x v="13"/>
    <x v="130"/>
    <n v="4"/>
    <s v="2COPY/AMS/DEBIT邮件Wanda"/>
    <x v="190"/>
    <x v="2"/>
    <x v="0"/>
    <m/>
    <m/>
    <n v="5"/>
  </r>
  <r>
    <x v="13"/>
    <x v="130"/>
    <n v="5"/>
    <s v="进港，核数据"/>
    <x v="194"/>
    <x v="2"/>
    <x v="0"/>
    <m/>
    <m/>
    <n v="6"/>
  </r>
  <r>
    <x v="13"/>
    <x v="130"/>
    <n v="6"/>
    <s v="海放，码放，配载，开船，通知Wanda"/>
    <x v="194"/>
    <x v="2"/>
    <x v="0"/>
    <m/>
    <m/>
    <n v="6"/>
  </r>
  <r>
    <x v="13"/>
    <x v="130"/>
    <n v="7"/>
    <s v="Wanda付款通知，放单给Wanda"/>
    <x v="195"/>
    <x v="2"/>
    <x v="0"/>
    <m/>
    <m/>
    <n v="12"/>
  </r>
  <r>
    <x v="6"/>
    <x v="131"/>
    <n v="1"/>
    <s v="收到胡媛媛发来订舱邮件"/>
    <x v="168"/>
    <x v="0"/>
    <x v="0"/>
    <m/>
    <m/>
    <n v="-23"/>
  </r>
  <r>
    <x v="6"/>
    <x v="131"/>
    <n v="2"/>
    <s v="发订舱托书给万恒（翁小姐）"/>
    <x v="168"/>
    <x v="0"/>
    <x v="0"/>
    <m/>
    <m/>
    <n v="-23"/>
  </r>
  <r>
    <x v="6"/>
    <x v="131"/>
    <n v="3"/>
    <s v="收到万恒（翁小姐）预配（中转港必须是LAZARO）"/>
    <x v="183"/>
    <x v="0"/>
    <x v="0"/>
    <m/>
    <s v="一般三小时左右"/>
    <n v="-15"/>
  </r>
  <r>
    <x v="6"/>
    <x v="131"/>
    <n v="5"/>
    <s v="发做箱通知邮件给车队(沈丽)，通知做箱时间"/>
    <x v="119"/>
    <x v="0"/>
    <x v="0"/>
    <m/>
    <m/>
    <n v="-7"/>
  </r>
  <r>
    <x v="6"/>
    <x v="131"/>
    <n v="6"/>
    <s v="通知胡媛媛订舱成功和做箱时间"/>
    <x v="119"/>
    <x v="0"/>
    <x v="0"/>
    <m/>
    <m/>
    <n v="-7"/>
  </r>
  <r>
    <x v="6"/>
    <x v="131"/>
    <n v="7"/>
    <s v="跟客户确认发报关资料和做箱时间"/>
    <x v="192"/>
    <x v="2"/>
    <x v="0"/>
    <m/>
    <s v="截单前三天"/>
    <n v="4"/>
  </r>
  <r>
    <x v="6"/>
    <x v="131"/>
    <n v="8"/>
    <s v="收到胡媛媛发来报关资料"/>
    <x v="192"/>
    <x v="2"/>
    <x v="0"/>
    <m/>
    <s v="船开前一周？"/>
    <n v="4"/>
  </r>
  <r>
    <x v="6"/>
    <x v="131"/>
    <n v="9"/>
    <s v="完善报关资料发报关行（罗运生），要校对稿，做箱数据给沈丽，更新系统件毛体"/>
    <x v="192"/>
    <x v="2"/>
    <x v="0"/>
    <m/>
    <m/>
    <n v="4"/>
  </r>
  <r>
    <x v="6"/>
    <x v="131"/>
    <n v="10"/>
    <s v="买保险"/>
    <x v="192"/>
    <x v="2"/>
    <x v="0"/>
    <m/>
    <m/>
    <n v="4"/>
  </r>
  <r>
    <x v="6"/>
    <x v="131"/>
    <n v="11"/>
    <s v="做异地付款保函，发胡媛媛确认盖章回传"/>
    <x v="192"/>
    <x v="2"/>
    <x v="0"/>
    <m/>
    <m/>
    <n v="4"/>
  </r>
  <r>
    <x v="6"/>
    <x v="131"/>
    <n v="12"/>
    <s v="收到客户（胡媛媛）发来保函扫描件"/>
    <x v="192"/>
    <x v="2"/>
    <x v="0"/>
    <m/>
    <s v="一般马上"/>
    <n v="4"/>
  </r>
  <r>
    <x v="6"/>
    <x v="131"/>
    <n v="13"/>
    <s v="收到罗运生校对稿，发客户（胡媛媛）确认"/>
    <x v="192"/>
    <x v="2"/>
    <x v="0"/>
    <m/>
    <s v="一般半天内"/>
    <n v="4"/>
  </r>
  <r>
    <x v="6"/>
    <x v="131"/>
    <n v="14"/>
    <s v="收到客户（胡媛媛）确认校对稿OK"/>
    <x v="192"/>
    <x v="2"/>
    <x v="0"/>
    <m/>
    <s v="一般马上"/>
    <n v="4"/>
  </r>
  <r>
    <x v="6"/>
    <x v="131"/>
    <n v="15"/>
    <s v="关注开港时间，跟车队(沈丽)确认做箱时间，如有变动通知胡媛媛"/>
    <x v="192"/>
    <x v="2"/>
    <x v="0"/>
    <m/>
    <s v="截单前一天"/>
    <n v="4"/>
  </r>
  <r>
    <x v="6"/>
    <x v="131"/>
    <n v="16"/>
    <s v="收到沈丽发来装箱单"/>
    <x v="192"/>
    <x v="2"/>
    <x v="0"/>
    <m/>
    <s v="截单当天"/>
    <n v="4"/>
  </r>
  <r>
    <x v="6"/>
    <x v="131"/>
    <n v="17"/>
    <s v="完善截单资料发万恒（翁小姐），请求发舱单"/>
    <x v="192"/>
    <x v="2"/>
    <x v="0"/>
    <m/>
    <m/>
    <n v="4"/>
  </r>
  <r>
    <x v="6"/>
    <x v="131"/>
    <n v="18"/>
    <s v="收到舱单发送通知，核对舱单，装箱单发报关行报关"/>
    <x v="192"/>
    <x v="2"/>
    <x v="0"/>
    <m/>
    <m/>
    <n v="4"/>
  </r>
  <r>
    <x v="6"/>
    <x v="131"/>
    <n v="19"/>
    <s v="请求万恒（翁小姐）发提单样本"/>
    <x v="192"/>
    <x v="2"/>
    <x v="0"/>
    <m/>
    <m/>
    <n v="4"/>
  </r>
  <r>
    <x v="6"/>
    <x v="131"/>
    <n v="20"/>
    <s v="收到万恒（翁小姐）发来提单样本，发胡媛媛确认"/>
    <x v="192"/>
    <x v="2"/>
    <x v="0"/>
    <m/>
    <m/>
    <n v="4"/>
  </r>
  <r>
    <x v="6"/>
    <x v="131"/>
    <n v="21"/>
    <s v="收到胡媛媛提单确认"/>
    <x v="192"/>
    <x v="2"/>
    <x v="0"/>
    <m/>
    <m/>
    <n v="4"/>
  </r>
  <r>
    <x v="6"/>
    <x v="131"/>
    <n v="22"/>
    <s v="收到报关成功通知，通知车队可进港 "/>
    <x v="192"/>
    <x v="2"/>
    <x v="0"/>
    <m/>
    <m/>
    <n v="4"/>
  </r>
  <r>
    <x v="6"/>
    <x v="131"/>
    <n v="23"/>
    <s v="进港，核对数据"/>
    <x v="192"/>
    <x v="2"/>
    <x v="0"/>
    <m/>
    <m/>
    <n v="4"/>
  </r>
  <r>
    <x v="6"/>
    <x v="131"/>
    <n v="24"/>
    <s v="海放"/>
    <x v="192"/>
    <x v="2"/>
    <x v="0"/>
    <m/>
    <m/>
    <n v="4"/>
  </r>
  <r>
    <x v="6"/>
    <x v="131"/>
    <n v="25"/>
    <s v="码放"/>
    <x v="197"/>
    <x v="2"/>
    <x v="0"/>
    <m/>
    <m/>
    <n v="11"/>
  </r>
  <r>
    <x v="6"/>
    <x v="131"/>
    <n v="26"/>
    <s v="配载"/>
    <x v="197"/>
    <x v="2"/>
    <x v="0"/>
    <m/>
    <m/>
    <n v="11"/>
  </r>
  <r>
    <x v="6"/>
    <x v="131"/>
    <n v="27"/>
    <s v="开船"/>
    <x v="195"/>
    <x v="2"/>
    <x v="0"/>
    <m/>
    <m/>
    <n v="12"/>
  </r>
  <r>
    <x v="6"/>
    <x v="131"/>
    <n v="28"/>
    <s v="收到万恒账单，做费用，发账单给陈吟勇"/>
    <x v="199"/>
    <x v="2"/>
    <x v="0"/>
    <m/>
    <m/>
    <n v="13"/>
  </r>
  <r>
    <x v="6"/>
    <x v="131"/>
    <n v="29"/>
    <s v="收到万恒（翁小姐）提单，放提单和预录单给胡媛媛，提单发陈吟勇和石磊"/>
    <x v="199"/>
    <x v="2"/>
    <x v="0"/>
    <m/>
    <m/>
    <n v="13"/>
  </r>
  <r>
    <x v="0"/>
    <x v="124"/>
    <m/>
    <s v="万都箱单发票有问题"/>
    <x v="166"/>
    <x v="0"/>
    <x v="0"/>
    <m/>
    <m/>
    <n v="-4"/>
  </r>
  <r>
    <x v="3"/>
    <x v="122"/>
    <n v="0"/>
    <s v="Abbi确认订舱预报，制作清单流水"/>
    <x v="186"/>
    <x v="0"/>
    <x v="0"/>
    <m/>
    <s v="周一"/>
    <n v="-3"/>
  </r>
  <r>
    <x v="3"/>
    <x v="122"/>
    <n v="1"/>
    <s v="发本周JS mobis的报关单（收件人看陈吟勇邮件）"/>
    <x v="187"/>
    <x v="0"/>
    <x v="0"/>
    <m/>
    <s v="周五"/>
    <n v="0"/>
  </r>
  <r>
    <x v="3"/>
    <x v="122"/>
    <n v="2"/>
    <s v="下周WEEK"/>
    <x v="187"/>
    <x v="0"/>
    <x v="0"/>
    <m/>
    <m/>
    <n v="0"/>
  </r>
  <r>
    <x v="3"/>
    <x v="122"/>
    <m/>
    <s v="ETD1030华达利和顾家提单寄反了，华寄回776001403693338"/>
    <x v="186"/>
    <x v="0"/>
    <x v="0"/>
    <m/>
    <m/>
    <n v="-3"/>
  </r>
  <r>
    <x v="3"/>
    <x v="122"/>
    <m/>
    <s v="悦达数据不对"/>
    <x v="186"/>
    <x v="0"/>
    <x v="0"/>
    <m/>
    <m/>
    <n v="-3"/>
  </r>
  <r>
    <x v="4"/>
    <x v="129"/>
    <n v="1"/>
    <s v="订舱预报，YJC生成，EDI，邮件Abbi，核对"/>
    <x v="186"/>
    <x v="0"/>
    <x v="0"/>
    <m/>
    <m/>
    <n v="-3"/>
  </r>
  <r>
    <x v="4"/>
    <x v="129"/>
    <n v="2"/>
    <s v="做箱时间，做箱通知，提单加拼EDI邮件Abbi，通知沈丽，加拼核对"/>
    <x v="189"/>
    <x v="0"/>
    <x v="0"/>
    <m/>
    <m/>
    <n v="-1"/>
  </r>
  <r>
    <x v="4"/>
    <x v="129"/>
    <n v="3"/>
    <s v="报关资料，报关加拼，做箱数据，邮件沈丽，装箱单，转客户"/>
    <x v="187"/>
    <x v="0"/>
    <x v="0"/>
    <m/>
    <m/>
    <n v="0"/>
  </r>
  <r>
    <x v="4"/>
    <x v="129"/>
    <n v="4"/>
    <s v="OK做报关资料，OK发报关行，OK核注清单，OK确认，校对稿，确认"/>
    <x v="187"/>
    <x v="0"/>
    <x v="0"/>
    <m/>
    <m/>
    <n v="0"/>
  </r>
  <r>
    <x v="4"/>
    <x v="129"/>
    <n v="5"/>
    <s v="YJC截单，ESI，邮件He，校对COPY"/>
    <x v="187"/>
    <x v="0"/>
    <x v="0"/>
    <m/>
    <m/>
    <n v="0"/>
  </r>
  <r>
    <x v="4"/>
    <x v="129"/>
    <n v="6"/>
    <s v="保函邹(Abbi电话)，ISF，保险"/>
    <x v="187"/>
    <x v="0"/>
    <x v="0"/>
    <m/>
    <m/>
    <n v="0"/>
  </r>
  <r>
    <x v="4"/>
    <x v="129"/>
    <n v="7"/>
    <s v="VGM，亿通鹏海舱单，核舱单"/>
    <x v="187"/>
    <x v="0"/>
    <x v="0"/>
    <m/>
    <m/>
    <n v="0"/>
  </r>
  <r>
    <x v="4"/>
    <x v="129"/>
    <n v="8"/>
    <s v="【洋山】发装箱单报关，成功，进港(落箱费?)，核数据"/>
    <x v="187"/>
    <x v="1"/>
    <x v="0"/>
    <m/>
    <m/>
    <n v="0"/>
  </r>
  <r>
    <x v="4"/>
    <x v="129"/>
    <n v="9"/>
    <s v="【外港】进港(落箱费?)，核数据，报关，成功"/>
    <x v="206"/>
    <x v="2"/>
    <x v="0"/>
    <m/>
    <m/>
    <n v="1"/>
  </r>
  <r>
    <x v="4"/>
    <x v="129"/>
    <n v="10"/>
    <s v="海放，码放，配载，费用发陈吟勇石磊，船开"/>
    <x v="206"/>
    <x v="2"/>
    <x v="0"/>
    <m/>
    <m/>
    <n v="1"/>
  </r>
  <r>
    <x v="4"/>
    <x v="129"/>
    <n v="11"/>
    <s v="放提单（PHISON、陈吟勇提单、陈云娣）"/>
    <x v="194"/>
    <x v="2"/>
    <x v="0"/>
    <m/>
    <m/>
    <n v="6"/>
  </r>
  <r>
    <x v="4"/>
    <x v="132"/>
    <n v="1"/>
    <s v="订舱预报，YJC生成，EDI，邮件Abbi，核对"/>
    <x v="186"/>
    <x v="0"/>
    <x v="0"/>
    <m/>
    <m/>
    <n v="-3"/>
  </r>
  <r>
    <x v="4"/>
    <x v="132"/>
    <n v="2"/>
    <s v="做箱时间，做箱通知，提单加拼EDI邮件Abbi，通知沈丽，加拼核对"/>
    <x v="67"/>
    <x v="2"/>
    <x v="0"/>
    <m/>
    <m/>
    <n v="3"/>
  </r>
  <r>
    <x v="4"/>
    <x v="132"/>
    <n v="3"/>
    <s v="报关资料，报关加拼，做箱数据，邮件沈丽，装箱单，转客户"/>
    <x v="192"/>
    <x v="2"/>
    <x v="0"/>
    <m/>
    <m/>
    <n v="4"/>
  </r>
  <r>
    <x v="4"/>
    <x v="132"/>
    <n v="4"/>
    <s v="做报关资料，发报关行，核注清单，确认，校对稿，确认"/>
    <x v="192"/>
    <x v="2"/>
    <x v="0"/>
    <m/>
    <m/>
    <n v="4"/>
  </r>
  <r>
    <x v="4"/>
    <x v="132"/>
    <n v="5"/>
    <s v="YJC截单，ESI，邮件He，校对COPY"/>
    <x v="192"/>
    <x v="2"/>
    <x v="0"/>
    <m/>
    <m/>
    <n v="4"/>
  </r>
  <r>
    <x v="4"/>
    <x v="132"/>
    <n v="6"/>
    <s v="保函邹(Abbi电话)，ISF，保险"/>
    <x v="192"/>
    <x v="2"/>
    <x v="0"/>
    <m/>
    <m/>
    <n v="4"/>
  </r>
  <r>
    <x v="4"/>
    <x v="132"/>
    <n v="7"/>
    <s v="VGM，亿通鹏海舱单，核舱单"/>
    <x v="192"/>
    <x v="2"/>
    <x v="0"/>
    <m/>
    <m/>
    <n v="4"/>
  </r>
  <r>
    <x v="4"/>
    <x v="132"/>
    <n v="8"/>
    <s v="【洋山】发装箱单报关，成功，进港(落箱费?)，核数据"/>
    <x v="192"/>
    <x v="2"/>
    <x v="0"/>
    <m/>
    <m/>
    <n v="4"/>
  </r>
  <r>
    <x v="4"/>
    <x v="132"/>
    <n v="9"/>
    <s v="【外港】进港(落箱费?)，核数据，报关，成功"/>
    <x v="192"/>
    <x v="1"/>
    <x v="0"/>
    <m/>
    <m/>
    <n v="4"/>
  </r>
  <r>
    <x v="4"/>
    <x v="132"/>
    <n v="10"/>
    <s v="海放，码放，配载，费用发陈吟勇石磊，船开"/>
    <x v="190"/>
    <x v="2"/>
    <x v="0"/>
    <m/>
    <m/>
    <n v="5"/>
  </r>
  <r>
    <x v="4"/>
    <x v="132"/>
    <n v="11"/>
    <s v="放提单（PHISON、陈吟勇提单、陈云娣）"/>
    <x v="193"/>
    <x v="2"/>
    <x v="0"/>
    <m/>
    <m/>
    <n v="10"/>
  </r>
  <r>
    <x v="11"/>
    <x v="133"/>
    <n v="1"/>
    <s v="1104托书，1106预配，1106YJC生成，做箱时间，订车，回孙丹"/>
    <x v="190"/>
    <x v="2"/>
    <x v="0"/>
    <m/>
    <m/>
    <n v="5"/>
  </r>
  <r>
    <x v="11"/>
    <x v="133"/>
    <n v="2"/>
    <s v="数据，发沈丽，要报关资料，发报关行"/>
    <x v="194"/>
    <x v="2"/>
    <x v="0"/>
    <m/>
    <m/>
    <n v="6"/>
  </r>
  <r>
    <x v="11"/>
    <x v="133"/>
    <n v="3"/>
    <s v="装箱单，转ZHL发舱单，核舱单"/>
    <x v="191"/>
    <x v="2"/>
    <x v="0"/>
    <m/>
    <m/>
    <n v="7"/>
  </r>
  <r>
    <x v="11"/>
    <x v="133"/>
    <n v="4"/>
    <s v="进港，核数据，报关，查验，海放"/>
    <x v="207"/>
    <x v="2"/>
    <x v="0"/>
    <m/>
    <m/>
    <n v="8"/>
  </r>
  <r>
    <x v="11"/>
    <x v="133"/>
    <n v="5"/>
    <s v="码放，配载，开船"/>
    <x v="207"/>
    <x v="2"/>
    <x v="0"/>
    <m/>
    <m/>
    <n v="8"/>
  </r>
  <r>
    <x v="11"/>
    <x v="133"/>
    <n v="6"/>
    <s v="【应付】确认账单，发票，水单"/>
    <x v="199"/>
    <x v="2"/>
    <x v="0"/>
    <m/>
    <m/>
    <n v="13"/>
  </r>
  <r>
    <x v="11"/>
    <x v="133"/>
    <n v="7"/>
    <s v="【应收】费用表和明细发孙丹"/>
    <x v="199"/>
    <x v="2"/>
    <x v="0"/>
    <m/>
    <m/>
    <n v="13"/>
  </r>
  <r>
    <x v="8"/>
    <x v="134"/>
    <n v="1"/>
    <s v="1104托书，1108预配，YJC生成，做箱时间，订车，回孙丹"/>
    <x v="67"/>
    <x v="2"/>
    <x v="0"/>
    <m/>
    <m/>
    <n v="3"/>
  </r>
  <r>
    <x v="8"/>
    <x v="134"/>
    <n v="2"/>
    <s v="数据，发沈丽，要报关资料，发报关行"/>
    <x v="67"/>
    <x v="2"/>
    <x v="0"/>
    <m/>
    <m/>
    <n v="3"/>
  </r>
  <r>
    <x v="8"/>
    <x v="134"/>
    <n v="3"/>
    <s v="装箱单，转ZHL发舱单，核舱单"/>
    <x v="192"/>
    <x v="2"/>
    <x v="0"/>
    <m/>
    <m/>
    <n v="4"/>
  </r>
  <r>
    <x v="8"/>
    <x v="134"/>
    <n v="4"/>
    <s v="进港，核数据，报关，查验，海放"/>
    <x v="192"/>
    <x v="2"/>
    <x v="0"/>
    <m/>
    <m/>
    <n v="4"/>
  </r>
  <r>
    <x v="8"/>
    <x v="134"/>
    <n v="5"/>
    <s v="码放，配载，开船"/>
    <x v="208"/>
    <x v="2"/>
    <x v="0"/>
    <m/>
    <m/>
    <n v="9"/>
  </r>
  <r>
    <x v="8"/>
    <x v="134"/>
    <n v="6"/>
    <s v="【应付】确认账单，发票，水单"/>
    <x v="193"/>
    <x v="2"/>
    <x v="0"/>
    <m/>
    <m/>
    <n v="10"/>
  </r>
  <r>
    <x v="8"/>
    <x v="134"/>
    <n v="7"/>
    <s v="【应收】费用表和明细发孙丹"/>
    <x v="193"/>
    <x v="2"/>
    <x v="0"/>
    <m/>
    <m/>
    <n v="10"/>
  </r>
  <r>
    <x v="13"/>
    <x v="135"/>
    <n v="1"/>
    <s v="1104托书，1106订舱，邮件Wanda，通知客户，确认"/>
    <x v="188"/>
    <x v="0"/>
    <x v="0"/>
    <m/>
    <m/>
    <n v="-2"/>
  </r>
  <r>
    <x v="13"/>
    <x v="135"/>
    <n v="2"/>
    <s v="开港时间，资料时间，做费用"/>
    <x v="195"/>
    <x v="2"/>
    <x v="0"/>
    <m/>
    <m/>
    <n v="12"/>
  </r>
  <r>
    <x v="13"/>
    <x v="135"/>
    <n v="3"/>
    <s v="资料，YJC截，HCP/INV确认，联代舱单，MSK截，核舱单"/>
    <x v="199"/>
    <x v="2"/>
    <x v="0"/>
    <m/>
    <s v="件毛体箱封号唛头"/>
    <n v="13"/>
  </r>
  <r>
    <x v="13"/>
    <x v="135"/>
    <n v="4"/>
    <s v="2COPY/AMS/DEBIT邮件Wanda"/>
    <x v="199"/>
    <x v="2"/>
    <x v="0"/>
    <m/>
    <m/>
    <n v="13"/>
  </r>
  <r>
    <x v="13"/>
    <x v="135"/>
    <n v="5"/>
    <s v="进港，核数据"/>
    <x v="199"/>
    <x v="2"/>
    <x v="0"/>
    <m/>
    <m/>
    <n v="13"/>
  </r>
  <r>
    <x v="13"/>
    <x v="135"/>
    <n v="6"/>
    <s v="海放，码放，配载，开船，通知Wanda"/>
    <x v="196"/>
    <x v="2"/>
    <x v="0"/>
    <m/>
    <m/>
    <n v="14"/>
  </r>
  <r>
    <x v="13"/>
    <x v="135"/>
    <n v="7"/>
    <s v="Wanda付款通知，放单给Wanda"/>
    <x v="201"/>
    <x v="2"/>
    <x v="0"/>
    <m/>
    <m/>
    <n v="19"/>
  </r>
  <r>
    <x v="13"/>
    <x v="136"/>
    <n v="1"/>
    <s v="1104托书，1106订舱，邮件Wanda，通知客户，确认"/>
    <x v="188"/>
    <x v="0"/>
    <x v="0"/>
    <m/>
    <m/>
    <n v="-2"/>
  </r>
  <r>
    <x v="13"/>
    <x v="136"/>
    <n v="2"/>
    <s v="开港时间，资料时间，做费用"/>
    <x v="201"/>
    <x v="2"/>
    <x v="0"/>
    <m/>
    <m/>
    <n v="19"/>
  </r>
  <r>
    <x v="13"/>
    <x v="136"/>
    <n v="3"/>
    <s v="资料，YJC截，HCP/INV确认，联代舱单，MSK截，核舱单"/>
    <x v="202"/>
    <x v="2"/>
    <x v="0"/>
    <m/>
    <s v="件毛体箱封号唛头"/>
    <n v="20"/>
  </r>
  <r>
    <x v="13"/>
    <x v="136"/>
    <n v="4"/>
    <s v="2COPY/AMS/DEBIT邮件Wanda"/>
    <x v="202"/>
    <x v="2"/>
    <x v="0"/>
    <m/>
    <m/>
    <n v="20"/>
  </r>
  <r>
    <x v="13"/>
    <x v="136"/>
    <n v="5"/>
    <s v="进港，核数据"/>
    <x v="202"/>
    <x v="2"/>
    <x v="0"/>
    <m/>
    <m/>
    <n v="20"/>
  </r>
  <r>
    <x v="13"/>
    <x v="136"/>
    <n v="6"/>
    <s v="海放，码放，配载，开船，通知Wanda"/>
    <x v="203"/>
    <x v="2"/>
    <x v="0"/>
    <m/>
    <m/>
    <n v="21"/>
  </r>
  <r>
    <x v="13"/>
    <x v="136"/>
    <n v="7"/>
    <s v="Wanda付款通知，放单给Wanda"/>
    <x v="209"/>
    <x v="2"/>
    <x v="0"/>
    <m/>
    <m/>
    <n v="26"/>
  </r>
  <r>
    <x v="13"/>
    <x v="137"/>
    <n v="1"/>
    <s v="1104托书，1106订舱，邮件Wanda，通知客户，确认"/>
    <x v="188"/>
    <x v="0"/>
    <x v="0"/>
    <m/>
    <m/>
    <n v="-2"/>
  </r>
  <r>
    <x v="13"/>
    <x v="137"/>
    <n v="2"/>
    <s v="开港时间，资料时间，做费用"/>
    <x v="209"/>
    <x v="2"/>
    <x v="0"/>
    <m/>
    <m/>
    <n v="26"/>
  </r>
  <r>
    <x v="13"/>
    <x v="137"/>
    <n v="3"/>
    <s v="资料，YJC截，HCP/INV确认，联代舱单，MSK截，核舱单"/>
    <x v="210"/>
    <x v="2"/>
    <x v="0"/>
    <m/>
    <s v="件毛体箱封号唛头"/>
    <n v="27"/>
  </r>
  <r>
    <x v="13"/>
    <x v="137"/>
    <n v="4"/>
    <s v="2COPY/AMS/DEBIT邮件Wanda"/>
    <x v="210"/>
    <x v="2"/>
    <x v="0"/>
    <m/>
    <m/>
    <n v="27"/>
  </r>
  <r>
    <x v="13"/>
    <x v="137"/>
    <n v="5"/>
    <s v="进港，核数据"/>
    <x v="210"/>
    <x v="2"/>
    <x v="0"/>
    <m/>
    <m/>
    <n v="27"/>
  </r>
  <r>
    <x v="13"/>
    <x v="137"/>
    <n v="6"/>
    <s v="海放，码放，配载，开船，通知Wanda"/>
    <x v="211"/>
    <x v="2"/>
    <x v="0"/>
    <m/>
    <m/>
    <n v="28"/>
  </r>
  <r>
    <x v="13"/>
    <x v="137"/>
    <n v="7"/>
    <s v="Wanda付款通知，放单给Wanda"/>
    <x v="212"/>
    <x v="2"/>
    <x v="0"/>
    <m/>
    <m/>
    <n v="33"/>
  </r>
  <r>
    <x v="13"/>
    <x v="138"/>
    <n v="1"/>
    <s v="1104托书，1106订舱，邮件Wanda，通知客户，确认"/>
    <x v="188"/>
    <x v="0"/>
    <x v="0"/>
    <m/>
    <m/>
    <n v="-2"/>
  </r>
  <r>
    <x v="13"/>
    <x v="138"/>
    <n v="2"/>
    <s v="开港时间，资料时间，做费用"/>
    <x v="212"/>
    <x v="2"/>
    <x v="0"/>
    <m/>
    <m/>
    <n v="33"/>
  </r>
  <r>
    <x v="13"/>
    <x v="138"/>
    <n v="3"/>
    <s v="资料，YJC截，HCP/INV确认，联代舱单，MSK截，核舱单"/>
    <x v="213"/>
    <x v="2"/>
    <x v="0"/>
    <m/>
    <s v="件毛体箱封号唛头"/>
    <n v="34"/>
  </r>
  <r>
    <x v="13"/>
    <x v="138"/>
    <n v="4"/>
    <s v="2COPY/AMS/DEBIT邮件Wanda"/>
    <x v="213"/>
    <x v="2"/>
    <x v="0"/>
    <m/>
    <m/>
    <n v="34"/>
  </r>
  <r>
    <x v="13"/>
    <x v="138"/>
    <n v="5"/>
    <s v="进港，核数据"/>
    <x v="213"/>
    <x v="2"/>
    <x v="0"/>
    <m/>
    <m/>
    <n v="34"/>
  </r>
  <r>
    <x v="13"/>
    <x v="138"/>
    <n v="6"/>
    <s v="海放，码放，配载，开船，通知Wanda"/>
    <x v="214"/>
    <x v="2"/>
    <x v="0"/>
    <m/>
    <m/>
    <n v="35"/>
  </r>
  <r>
    <x v="13"/>
    <x v="138"/>
    <n v="7"/>
    <s v="Wanda付款通知，放单给Wanda"/>
    <x v="215"/>
    <x v="2"/>
    <x v="0"/>
    <m/>
    <m/>
    <n v="42"/>
  </r>
  <r>
    <x v="1"/>
    <x v="131"/>
    <n v="1"/>
    <s v="1107托书，预配(沈丽)，YJC生成"/>
    <x v="189"/>
    <x v="0"/>
    <x v="0"/>
    <m/>
    <m/>
    <n v="-1"/>
  </r>
  <r>
    <x v="1"/>
    <x v="131"/>
    <n v="2"/>
    <s v="包装指示书，汇总，发工厂，做箱数据，发订舱口"/>
    <x v="194"/>
    <x v="2"/>
    <x v="0"/>
    <m/>
    <m/>
    <n v="6"/>
  </r>
  <r>
    <x v="1"/>
    <x v="131"/>
    <n v="3"/>
    <s v="收做资料(代做确认)，发报关行，【HMI】货运模板"/>
    <x v="194"/>
    <x v="2"/>
    <x v="0"/>
    <m/>
    <m/>
    <n v="6"/>
  </r>
  <r>
    <x v="1"/>
    <x v="131"/>
    <n v="4"/>
    <s v="装箱单(洋提)，群发，发舱单，核舱单"/>
    <x v="191"/>
    <x v="2"/>
    <x v="0"/>
    <m/>
    <m/>
    <n v="7"/>
  </r>
  <r>
    <x v="1"/>
    <x v="131"/>
    <n v="5"/>
    <s v="【HMI】开港，进港，核数据，报关"/>
    <x v="191"/>
    <x v="1"/>
    <x v="0"/>
    <m/>
    <m/>
    <n v="7"/>
  </r>
  <r>
    <x v="1"/>
    <x v="131"/>
    <n v="6"/>
    <s v="【KMM】报关，成功，进港，核数据，发两家报关单和放行单"/>
    <x v="191"/>
    <x v="2"/>
    <x v="0"/>
    <m/>
    <m/>
    <n v="7"/>
  </r>
  <r>
    <x v="1"/>
    <x v="131"/>
    <n v="7"/>
    <s v="海放，码放，配载，开船"/>
    <x v="207"/>
    <x v="2"/>
    <x v="0"/>
    <m/>
    <m/>
    <n v="8"/>
  </r>
  <r>
    <x v="1"/>
    <x v="131"/>
    <n v="8"/>
    <s v="费用（4号 公共盘 月账单表 发孙丹），额外费用邮件"/>
    <x v="197"/>
    <x v="2"/>
    <x v="0"/>
    <m/>
    <m/>
    <n v="11"/>
  </r>
  <r>
    <x v="3"/>
    <x v="139"/>
    <m/>
    <s v="PCLU1802PE4302 审核后改两个"/>
    <x v="194"/>
    <x v="2"/>
    <x v="0"/>
    <m/>
    <m/>
    <n v="6"/>
  </r>
  <r>
    <x v="0"/>
    <x v="131"/>
    <n v="1"/>
    <s v="1107托书，预配(沈丽)，YJC生成"/>
    <x v="190"/>
    <x v="2"/>
    <x v="0"/>
    <m/>
    <m/>
    <n v="5"/>
  </r>
  <r>
    <x v="0"/>
    <x v="131"/>
    <n v="2"/>
    <s v="包装指示书，汇总，发工厂，做箱数据，发订舱口"/>
    <x v="194"/>
    <x v="2"/>
    <x v="0"/>
    <m/>
    <m/>
    <n v="6"/>
  </r>
  <r>
    <x v="0"/>
    <x v="131"/>
    <n v="3"/>
    <s v="收做资料(代做确认)，发报关行，【HMI】货运模板"/>
    <x v="191"/>
    <x v="2"/>
    <x v="0"/>
    <m/>
    <m/>
    <n v="7"/>
  </r>
  <r>
    <x v="0"/>
    <x v="131"/>
    <n v="4"/>
    <s v="装箱单(洋提)，群发，发舱单，核舱单"/>
    <x v="191"/>
    <x v="2"/>
    <x v="0"/>
    <m/>
    <m/>
    <n v="7"/>
  </r>
  <r>
    <x v="0"/>
    <x v="131"/>
    <n v="5"/>
    <s v="【HMI】开港，进港，核数据，报关"/>
    <x v="191"/>
    <x v="2"/>
    <x v="0"/>
    <m/>
    <m/>
    <n v="7"/>
  </r>
  <r>
    <x v="0"/>
    <x v="131"/>
    <n v="6"/>
    <s v="【KMM】报关，成功，进港，核数据，发两家报关单和放行单"/>
    <x v="191"/>
    <x v="1"/>
    <x v="0"/>
    <m/>
    <m/>
    <n v="7"/>
  </r>
  <r>
    <x v="0"/>
    <x v="131"/>
    <n v="7"/>
    <s v="海放，码放，配载，开船"/>
    <x v="208"/>
    <x v="2"/>
    <x v="0"/>
    <m/>
    <m/>
    <n v="9"/>
  </r>
  <r>
    <x v="0"/>
    <x v="131"/>
    <n v="8"/>
    <s v="费用（4号 公共盘 月账单表 发孙丹），额外费用邮件"/>
    <x v="197"/>
    <x v="2"/>
    <x v="0"/>
    <m/>
    <m/>
    <n v="11"/>
  </r>
  <r>
    <x v="3"/>
    <x v="139"/>
    <n v="0"/>
    <s v="Abbi确认订舱预报，制作清单流水"/>
    <x v="67"/>
    <x v="2"/>
    <x v="0"/>
    <m/>
    <s v="周一"/>
    <n v="3"/>
  </r>
  <r>
    <x v="3"/>
    <x v="139"/>
    <n v="1"/>
    <s v="发本周JS mobis的报关单（收件人看陈吟勇邮件）"/>
    <x v="191"/>
    <x v="2"/>
    <x v="0"/>
    <m/>
    <s v="周五"/>
    <n v="7"/>
  </r>
  <r>
    <x v="3"/>
    <x v="139"/>
    <n v="2"/>
    <s v="下周WEEK"/>
    <x v="191"/>
    <x v="2"/>
    <x v="0"/>
    <m/>
    <m/>
    <n v="7"/>
  </r>
  <r>
    <x v="3"/>
    <x v="139"/>
    <m/>
    <s v="永艺1106提单更改保函，换签"/>
    <x v="67"/>
    <x v="2"/>
    <x v="0"/>
    <m/>
    <m/>
    <n v="3"/>
  </r>
  <r>
    <x v="3"/>
    <x v="139"/>
    <m/>
    <s v="把27 29跟12月的舱位预报都发给HMM，看船公司怎么处理"/>
    <x v="191"/>
    <x v="2"/>
    <x v="0"/>
    <m/>
    <m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7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6" firstHeaderRow="1" firstDataRow="2" firstDataCol="1" rowPageCount="2" colPageCount="1"/>
  <pivotFields count="10">
    <pivotField axis="axisRow" subtotalTop="0" showAll="0" sortType="ascending" defaultSubtotal="0">
      <items count="40">
        <item m="1" x="26"/>
        <item m="1" x="29"/>
        <item x="11"/>
        <item m="1" x="35"/>
        <item m="1" x="39"/>
        <item x="20"/>
        <item x="18"/>
        <item x="12"/>
        <item m="1" x="27"/>
        <item m="1" x="30"/>
        <item m="1" x="24"/>
        <item x="8"/>
        <item x="14"/>
        <item m="1" x="36"/>
        <item x="0"/>
        <item x="17"/>
        <item x="19"/>
        <item x="15"/>
        <item x="4"/>
        <item m="1" x="32"/>
        <item x="1"/>
        <item x="16"/>
        <item m="1" x="34"/>
        <item x="2"/>
        <item x="22"/>
        <item x="13"/>
        <item x="9"/>
        <item x="5"/>
        <item x="10"/>
        <item x="21"/>
        <item m="1" x="38"/>
        <item x="7"/>
        <item m="1" x="31"/>
        <item x="3"/>
        <item x="6"/>
        <item m="1" x="28"/>
        <item m="1" x="37"/>
        <item m="1" x="25"/>
        <item m="1" x="3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0">
        <item m="1" x="154"/>
        <item m="1" x="150"/>
        <item x="0"/>
        <item x="1"/>
        <item x="2"/>
        <item x="3"/>
        <item x="4"/>
        <item m="1" x="156"/>
        <item x="5"/>
        <item x="6"/>
        <item x="7"/>
        <item x="8"/>
        <item x="9"/>
        <item x="10"/>
        <item x="11"/>
        <item m="1" x="152"/>
        <item x="12"/>
        <item x="13"/>
        <item m="1" x="140"/>
        <item x="14"/>
        <item x="15"/>
        <item x="16"/>
        <item x="17"/>
        <item x="18"/>
        <item x="19"/>
        <item m="1" x="14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44"/>
        <item x="35"/>
        <item x="36"/>
        <item x="37"/>
        <item x="38"/>
        <item m="1" x="145"/>
        <item x="39"/>
        <item x="40"/>
        <item x="41"/>
        <item x="42"/>
        <item m="1" x="14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4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41"/>
        <item m="1" x="142"/>
        <item x="75"/>
        <item x="76"/>
        <item x="77"/>
        <item x="78"/>
        <item x="79"/>
        <item x="80"/>
        <item m="1" x="155"/>
        <item x="81"/>
        <item x="82"/>
        <item x="83"/>
        <item x="84"/>
        <item x="85"/>
        <item m="1" x="151"/>
        <item m="1" x="153"/>
        <item x="86"/>
        <item x="87"/>
        <item x="88"/>
        <item x="89"/>
        <item x="90"/>
        <item x="91"/>
        <item m="1" x="148"/>
        <item x="92"/>
        <item x="93"/>
        <item x="94"/>
        <item m="1" x="149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59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57"/>
        <item x="118"/>
        <item x="119"/>
        <item x="120"/>
        <item x="121"/>
        <item x="122"/>
        <item x="123"/>
        <item x="124"/>
        <item x="125"/>
        <item x="127"/>
        <item x="126"/>
        <item x="128"/>
        <item x="139"/>
        <item x="129"/>
        <item x="132"/>
        <item x="130"/>
        <item x="134"/>
        <item x="131"/>
        <item x="133"/>
        <item x="135"/>
        <item m="1" x="158"/>
        <item x="136"/>
        <item x="137"/>
        <item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216"/>
        <item m="1" x="218"/>
        <item m="1" x="220"/>
        <item m="1" x="217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1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80"/>
        <item x="158"/>
        <item x="152"/>
        <item x="163"/>
        <item x="134"/>
        <item x="181"/>
        <item x="113"/>
        <item x="164"/>
        <item x="165"/>
        <item x="167"/>
        <item x="168"/>
        <item x="179"/>
        <item x="155"/>
        <item x="184"/>
        <item x="182"/>
        <item x="170"/>
        <item x="169"/>
        <item x="171"/>
        <item x="183"/>
        <item x="172"/>
        <item x="174"/>
        <item x="178"/>
        <item x="177"/>
        <item x="176"/>
        <item x="175"/>
        <item x="159"/>
        <item x="119"/>
        <item x="173"/>
        <item x="204"/>
        <item x="166"/>
        <item x="186"/>
        <item x="188"/>
        <item x="189"/>
        <item x="187"/>
        <item x="206"/>
        <item x="205"/>
        <item x="67"/>
        <item x="192"/>
        <item x="190"/>
        <item x="194"/>
        <item x="191"/>
        <item x="207"/>
        <item x="208"/>
        <item x="193"/>
        <item x="197"/>
        <item x="195"/>
        <item x="199"/>
        <item x="196"/>
        <item x="198"/>
        <item x="185"/>
        <item x="200"/>
        <item x="201"/>
        <item x="202"/>
        <item x="203"/>
        <item x="209"/>
        <item x="210"/>
        <item x="211"/>
        <item x="212"/>
        <item x="213"/>
        <item x="214"/>
        <item x="2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6">
    <i>
      <x v="18"/>
    </i>
    <i r="1">
      <x v="145"/>
    </i>
    <i r="1">
      <x v="149"/>
    </i>
    <i>
      <x v="20"/>
    </i>
    <i r="1">
      <x v="149"/>
    </i>
    <i t="grand">
      <x/>
    </i>
  </rowItems>
  <colFields count="1">
    <field x="4"/>
  </colFields>
  <colItems count="1">
    <i>
      <x v="19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thisWeek" evalOrder="-1" id="962">
      <autoFilter ref="A1">
        <filterColumn colId="0">
          <dynamicFilter type="thisWeek" val="43772" maxVal="4377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6"/>
    <tableColumn id="3" xr3:uid="{8026D164-3541-42B5-83CE-43BB0206CD86}" name="拖车" dataDxfId="105"/>
    <tableColumn id="4" xr3:uid="{EB7261FF-C46B-459E-9894-76444A18B26D}" name="报关" dataDxfId="104"/>
    <tableColumn id="5" xr3:uid="{D60C48AD-1262-485B-B3B5-A1ED65A13136}" name="保险" dataDxfId="103"/>
    <tableColumn id="6" xr3:uid="{2DAF91A5-B90D-47DA-A2F8-2054ECA4FF7B}" name="备注" dataDxfId="10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3" totalsRowShown="0" headerRowDxfId="101" dataDxfId="100">
  <autoFilter ref="A1:I183" xr:uid="{00000000-0009-0000-0100-000001000000}">
    <filterColumn colId="0">
      <filters>
        <filter val="WEEK"/>
      </filters>
    </filterColumn>
  </autoFilter>
  <sortState ref="A25:I32">
    <sortCondition ref="C28"/>
  </sortState>
  <tableColumns count="9">
    <tableColumn id="1" xr3:uid="{00000000-0010-0000-0100-000001000000}" name="项目" dataDxfId="99"/>
    <tableColumn id="2" xr3:uid="{00000000-0010-0000-0100-000002000000}" name="ETD" dataDxfId="98"/>
    <tableColumn id="8" xr3:uid="{00000000-0010-0000-0100-000008000000}" name="顺序" dataDxfId="97"/>
    <tableColumn id="4" xr3:uid="{00000000-0010-0000-0100-000004000000}" name="内容" dataDxfId="96"/>
    <tableColumn id="5" xr3:uid="{00000000-0010-0000-0100-000005000000}" name="日期" dataDxfId="95"/>
    <tableColumn id="6" xr3:uid="{00000000-0010-0000-0100-000006000000}" name="状态" dataDxfId="94"/>
    <tableColumn id="3" xr3:uid="{39B09608-8898-46BE-814D-5F316AE18DE2}" name="时段" dataDxfId="93"/>
    <tableColumn id="9" xr3:uid="{A68E67D6-0921-4A34-8238-E2CF141D8B74}" name="对象" dataDxfId="92"/>
    <tableColumn id="7" xr3:uid="{00000000-0010-0000-0100-000007000000}" name="备注" dataDxfId="9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868" totalsRowShown="0" headerRowDxfId="75" dataDxfId="74">
  <autoFilter ref="A1:J5868" xr:uid="{00000000-0009-0000-0100-000003000000}">
    <filterColumn colId="4">
      <filters>
        <dateGroupItem year="2019" month="11" day="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3"/>
    <tableColumn id="2" xr3:uid="{00000000-0010-0000-0200-000002000000}" name="ETD" dataDxfId="72"/>
    <tableColumn id="3" xr3:uid="{00000000-0010-0000-0200-000003000000}" name="顺序" dataDxfId="71"/>
    <tableColumn id="5" xr3:uid="{00000000-0010-0000-0200-000005000000}" name="内容" dataDxfId="70"/>
    <tableColumn id="6" xr3:uid="{00000000-0010-0000-0200-000006000000}" name="日期" dataDxfId="69"/>
    <tableColumn id="7" xr3:uid="{00000000-0010-0000-0200-000007000000}" name="状态" dataDxfId="68"/>
    <tableColumn id="13" xr3:uid="{BEF5274B-4745-426A-B158-9E36815BA59D}" name="时段" dataDxfId="67"/>
    <tableColumn id="4" xr3:uid="{94A339CB-F3B6-49B8-8FF8-DA57347D7B13}" name="对象" dataDxfId="66"/>
    <tableColumn id="8" xr3:uid="{00000000-0010-0000-0200-000008000000}" name="备注" dataDxfId="65"/>
    <tableColumn id="9" xr3:uid="{00000000-0010-0000-0200-000009000000}" name="列2" dataDxfId="64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55" totalsRowShown="0" headerRowDxfId="62">
  <autoFilter ref="A1:O155" xr:uid="{00000000-0009-0000-0100-000004000000}">
    <filterColumn colId="0">
      <filters>
        <filter val="CNA"/>
      </filters>
    </filterColumn>
    <filterColumn colId="1">
      <filters>
        <dateGroupItem year="2019" month="11" day="18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1"/>
    <tableColumn id="6" xr3:uid="{00000000-0010-0000-0000-000006000000}" name="20GP" dataDxfId="60"/>
    <tableColumn id="7" xr3:uid="{00000000-0010-0000-0000-000007000000}" name="40GP" dataDxfId="59"/>
    <tableColumn id="8" xr3:uid="{00000000-0010-0000-0000-000008000000}" name="40HQ" dataDxfId="58"/>
    <tableColumn id="24" xr3:uid="{CF6B491C-AEE1-4D18-B75A-038A289B1661}" name="LCL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39" totalsRowShown="0">
  <autoFilter ref="A1:E539" xr:uid="{00000000-0009-0000-0100-000002000000}">
    <filterColumn colId="0">
      <filters>
        <filter val="HMI"/>
      </filters>
    </filterColumn>
    <filterColumn colId="1">
      <filters>
        <dateGroupItem year="2019" month="11" day="9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G29" sqref="G29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695</v>
      </c>
      <c r="C1" t="s">
        <v>696</v>
      </c>
      <c r="D1" t="s">
        <v>697</v>
      </c>
      <c r="E1" t="s">
        <v>698</v>
      </c>
      <c r="F1" t="s">
        <v>753</v>
      </c>
    </row>
    <row r="2" spans="1:6" ht="28.5" x14ac:dyDescent="0.2">
      <c r="A2" t="s">
        <v>2831</v>
      </c>
      <c r="B2" s="13" t="s">
        <v>553</v>
      </c>
      <c r="C2" s="13"/>
      <c r="D2" s="13"/>
      <c r="E2" s="13"/>
      <c r="F2" s="21" t="s">
        <v>1599</v>
      </c>
    </row>
    <row r="3" spans="1:6" ht="28.5" x14ac:dyDescent="0.2">
      <c r="A3" t="s">
        <v>3</v>
      </c>
      <c r="B3" s="13" t="s">
        <v>553</v>
      </c>
      <c r="C3" s="13" t="s">
        <v>553</v>
      </c>
      <c r="D3" s="13" t="s">
        <v>553</v>
      </c>
      <c r="E3" s="13" t="s">
        <v>553</v>
      </c>
      <c r="F3" s="21" t="s">
        <v>2549</v>
      </c>
    </row>
    <row r="4" spans="1:6" x14ac:dyDescent="0.2">
      <c r="A4" t="s">
        <v>149</v>
      </c>
      <c r="B4" s="13" t="s">
        <v>1420</v>
      </c>
      <c r="C4" s="13" t="s">
        <v>553</v>
      </c>
      <c r="D4" s="13" t="s">
        <v>553</v>
      </c>
      <c r="E4" s="13"/>
      <c r="F4" s="21" t="s">
        <v>2500</v>
      </c>
    </row>
    <row r="5" spans="1:6" x14ac:dyDescent="0.2">
      <c r="A5" t="s">
        <v>146</v>
      </c>
      <c r="B5" s="13" t="s">
        <v>1420</v>
      </c>
      <c r="C5" s="13" t="s">
        <v>553</v>
      </c>
      <c r="D5" s="13" t="s">
        <v>553</v>
      </c>
      <c r="E5" s="13"/>
      <c r="F5" s="21" t="s">
        <v>2501</v>
      </c>
    </row>
    <row r="6" spans="1:6" ht="28.5" x14ac:dyDescent="0.2">
      <c r="A6" t="s">
        <v>154</v>
      </c>
      <c r="B6" s="13" t="s">
        <v>553</v>
      </c>
      <c r="C6" s="13" t="s">
        <v>553</v>
      </c>
      <c r="D6" s="13" t="s">
        <v>553</v>
      </c>
      <c r="E6" s="13" t="s">
        <v>553</v>
      </c>
      <c r="F6" s="21" t="s">
        <v>2341</v>
      </c>
    </row>
    <row r="7" spans="1:6" x14ac:dyDescent="0.2">
      <c r="A7" t="s">
        <v>167</v>
      </c>
      <c r="B7" s="13" t="s">
        <v>553</v>
      </c>
      <c r="C7" s="13"/>
      <c r="D7" s="13" t="s">
        <v>553</v>
      </c>
      <c r="E7" s="13"/>
      <c r="F7" s="21"/>
    </row>
    <row r="8" spans="1:6" x14ac:dyDescent="0.2">
      <c r="A8" t="s">
        <v>1632</v>
      </c>
      <c r="B8" s="13" t="s">
        <v>1633</v>
      </c>
      <c r="C8" s="13"/>
      <c r="D8" s="13"/>
      <c r="E8" s="13"/>
      <c r="F8" s="21" t="s">
        <v>1993</v>
      </c>
    </row>
    <row r="9" spans="1:6" x14ac:dyDescent="0.2">
      <c r="A9" t="s">
        <v>725</v>
      </c>
      <c r="B9" s="13" t="s">
        <v>553</v>
      </c>
      <c r="C9" s="13" t="s">
        <v>553</v>
      </c>
      <c r="D9" s="13" t="s">
        <v>553</v>
      </c>
      <c r="E9" s="13"/>
      <c r="F9" s="21" t="s">
        <v>2280</v>
      </c>
    </row>
    <row r="10" spans="1:6" x14ac:dyDescent="0.2">
      <c r="A10" t="s">
        <v>1422</v>
      </c>
      <c r="B10" s="13" t="s">
        <v>1420</v>
      </c>
      <c r="C10" s="13" t="s">
        <v>553</v>
      </c>
      <c r="D10" s="13" t="s">
        <v>1424</v>
      </c>
      <c r="E10" s="13"/>
      <c r="F10" s="21" t="s">
        <v>1511</v>
      </c>
    </row>
    <row r="11" spans="1:6" x14ac:dyDescent="0.2">
      <c r="A11" t="s">
        <v>1421</v>
      </c>
      <c r="B11" s="13" t="s">
        <v>1420</v>
      </c>
      <c r="C11" s="13" t="s">
        <v>1424</v>
      </c>
      <c r="D11" s="13" t="s">
        <v>1424</v>
      </c>
      <c r="E11" s="13"/>
      <c r="F11" s="21" t="s">
        <v>1509</v>
      </c>
    </row>
    <row r="12" spans="1:6" x14ac:dyDescent="0.2">
      <c r="A12" t="s">
        <v>1423</v>
      </c>
      <c r="B12" s="13" t="s">
        <v>1417</v>
      </c>
      <c r="C12" s="13" t="s">
        <v>1424</v>
      </c>
      <c r="D12" s="13" t="s">
        <v>553</v>
      </c>
      <c r="E12" s="13"/>
      <c r="F12" s="21" t="s">
        <v>2273</v>
      </c>
    </row>
    <row r="16" spans="1:6" x14ac:dyDescent="0.2">
      <c r="A16" t="s">
        <v>1163</v>
      </c>
    </row>
    <row r="17" spans="1:3" x14ac:dyDescent="0.2">
      <c r="A17" t="s">
        <v>1168</v>
      </c>
    </row>
    <row r="23" spans="1:3" x14ac:dyDescent="0.2">
      <c r="A23" t="s">
        <v>3137</v>
      </c>
    </row>
    <row r="24" spans="1:3" x14ac:dyDescent="0.2">
      <c r="A24" t="s">
        <v>3191</v>
      </c>
      <c r="B24" t="s">
        <v>3192</v>
      </c>
      <c r="C24" t="s">
        <v>3193</v>
      </c>
    </row>
    <row r="25" spans="1:3" x14ac:dyDescent="0.2">
      <c r="A25" t="s">
        <v>3191</v>
      </c>
      <c r="B25" t="s">
        <v>3194</v>
      </c>
      <c r="C25" t="s">
        <v>3195</v>
      </c>
    </row>
    <row r="26" spans="1:3" x14ac:dyDescent="0.2">
      <c r="A26" t="s">
        <v>3191</v>
      </c>
      <c r="B26" t="s">
        <v>3196</v>
      </c>
      <c r="C26" t="s">
        <v>3823</v>
      </c>
    </row>
    <row r="27" spans="1:3" x14ac:dyDescent="0.2">
      <c r="A27" t="s">
        <v>3191</v>
      </c>
      <c r="B27" t="s">
        <v>3197</v>
      </c>
      <c r="C27" t="s">
        <v>3300</v>
      </c>
    </row>
    <row r="28" spans="1:3" x14ac:dyDescent="0.2">
      <c r="A28" t="s">
        <v>3199</v>
      </c>
      <c r="B28" t="s">
        <v>3198</v>
      </c>
      <c r="C28" t="s">
        <v>3195</v>
      </c>
    </row>
    <row r="31" spans="1:3" x14ac:dyDescent="0.2">
      <c r="A31" t="s">
        <v>3824</v>
      </c>
      <c r="B31">
        <v>7.0437000000000003</v>
      </c>
    </row>
    <row r="32" spans="1:3" x14ac:dyDescent="0.2">
      <c r="A32" t="s">
        <v>3825</v>
      </c>
      <c r="B32">
        <v>7.0533000000000001</v>
      </c>
    </row>
  </sheetData>
  <phoneticPr fontId="1" type="noConversion"/>
  <conditionalFormatting sqref="B2:E12">
    <cfRule type="containsText" dxfId="107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3"/>
  <sheetViews>
    <sheetView workbookViewId="0">
      <pane ySplit="1" topLeftCell="A2" activePane="bottomLeft" state="frozen"/>
      <selection pane="bottomLeft" activeCell="A145" sqref="A145:I182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285</v>
      </c>
      <c r="D1" s="4" t="s">
        <v>6</v>
      </c>
      <c r="E1" s="4" t="s">
        <v>0</v>
      </c>
      <c r="F1" s="4" t="s">
        <v>203</v>
      </c>
      <c r="G1" s="4" t="s">
        <v>1358</v>
      </c>
      <c r="H1" s="4" t="s">
        <v>2859</v>
      </c>
      <c r="I1" s="4" t="s">
        <v>95</v>
      </c>
    </row>
    <row r="2" spans="1:9" hidden="1" x14ac:dyDescent="0.2">
      <c r="A2" s="4" t="s">
        <v>3200</v>
      </c>
      <c r="B2" s="11"/>
      <c r="C2" s="12">
        <v>1</v>
      </c>
      <c r="D2" s="4" t="s">
        <v>1805</v>
      </c>
      <c r="F2" s="4" t="s">
        <v>199</v>
      </c>
    </row>
    <row r="3" spans="1:9" hidden="1" x14ac:dyDescent="0.2">
      <c r="A3" s="4" t="s">
        <v>3200</v>
      </c>
      <c r="B3" s="11"/>
      <c r="C3" s="12">
        <v>2</v>
      </c>
      <c r="D3" s="4" t="s">
        <v>3284</v>
      </c>
      <c r="F3" s="4" t="s">
        <v>199</v>
      </c>
    </row>
    <row r="4" spans="1:9" hidden="1" x14ac:dyDescent="0.2">
      <c r="A4" s="4" t="s">
        <v>3200</v>
      </c>
      <c r="B4" s="11"/>
      <c r="C4" s="12">
        <v>3</v>
      </c>
      <c r="D4" s="4" t="s">
        <v>3292</v>
      </c>
      <c r="F4" s="4" t="s">
        <v>199</v>
      </c>
    </row>
    <row r="5" spans="1:9" hidden="1" x14ac:dyDescent="0.2">
      <c r="A5" s="4" t="s">
        <v>3200</v>
      </c>
      <c r="B5" s="11"/>
      <c r="C5" s="12">
        <v>4</v>
      </c>
      <c r="D5" s="4" t="s">
        <v>3285</v>
      </c>
      <c r="F5" s="4" t="s">
        <v>199</v>
      </c>
    </row>
    <row r="6" spans="1:9" hidden="1" x14ac:dyDescent="0.2">
      <c r="A6" s="4" t="s">
        <v>3200</v>
      </c>
      <c r="B6" s="11"/>
      <c r="C6" s="12">
        <v>5</v>
      </c>
      <c r="D6" s="4" t="s">
        <v>3286</v>
      </c>
      <c r="F6" s="4" t="s">
        <v>199</v>
      </c>
    </row>
    <row r="7" spans="1:9" hidden="1" x14ac:dyDescent="0.2">
      <c r="A7" s="4" t="s">
        <v>3200</v>
      </c>
      <c r="B7" s="11"/>
      <c r="C7" s="12">
        <v>6</v>
      </c>
      <c r="D7" s="4" t="s">
        <v>3287</v>
      </c>
      <c r="F7" s="4" t="s">
        <v>199</v>
      </c>
    </row>
    <row r="8" spans="1:9" hidden="1" x14ac:dyDescent="0.2">
      <c r="A8" s="4" t="s">
        <v>3200</v>
      </c>
      <c r="B8" s="11"/>
      <c r="C8" s="12">
        <v>7</v>
      </c>
      <c r="D8" s="4" t="s">
        <v>3288</v>
      </c>
      <c r="F8" s="4" t="s">
        <v>199</v>
      </c>
    </row>
    <row r="9" spans="1:9" hidden="1" x14ac:dyDescent="0.2">
      <c r="A9" s="4" t="s">
        <v>3200</v>
      </c>
      <c r="B9" s="11"/>
      <c r="C9" s="12">
        <v>8</v>
      </c>
      <c r="D9" s="4" t="s">
        <v>3289</v>
      </c>
      <c r="F9" s="4" t="s">
        <v>199</v>
      </c>
    </row>
    <row r="10" spans="1:9" hidden="1" x14ac:dyDescent="0.2">
      <c r="A10" s="4" t="s">
        <v>3200</v>
      </c>
      <c r="B10" s="11"/>
      <c r="C10" s="12">
        <v>9</v>
      </c>
      <c r="D10" s="4" t="s">
        <v>447</v>
      </c>
      <c r="F10" s="4" t="s">
        <v>199</v>
      </c>
    </row>
    <row r="11" spans="1:9" hidden="1" x14ac:dyDescent="0.2">
      <c r="A11" s="4" t="s">
        <v>3200</v>
      </c>
      <c r="B11" s="11"/>
      <c r="C11" s="12">
        <v>10</v>
      </c>
      <c r="D11" s="4" t="s">
        <v>277</v>
      </c>
      <c r="F11" s="4" t="s">
        <v>199</v>
      </c>
    </row>
    <row r="12" spans="1:9" hidden="1" x14ac:dyDescent="0.2">
      <c r="A12" s="4" t="s">
        <v>3200</v>
      </c>
      <c r="B12" s="11"/>
      <c r="C12" s="12">
        <v>11</v>
      </c>
      <c r="D12" s="4" t="s">
        <v>3290</v>
      </c>
      <c r="F12" s="4" t="s">
        <v>199</v>
      </c>
    </row>
    <row r="13" spans="1:9" hidden="1" x14ac:dyDescent="0.2">
      <c r="A13" s="4" t="s">
        <v>3200</v>
      </c>
      <c r="B13" s="11"/>
      <c r="C13" s="12">
        <v>12</v>
      </c>
      <c r="D13" s="4" t="s">
        <v>3291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3352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3353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3355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3357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3361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3359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3363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3367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3365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3369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3371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3434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3435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3437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3439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3441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3819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3444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3446</v>
      </c>
      <c r="F32" s="4" t="s">
        <v>200</v>
      </c>
    </row>
    <row r="33" spans="1:9" hidden="1" x14ac:dyDescent="0.2">
      <c r="A33" s="4" t="s">
        <v>2846</v>
      </c>
      <c r="B33" s="11"/>
      <c r="C33" s="12">
        <v>0</v>
      </c>
      <c r="D33" s="4" t="s">
        <v>3797</v>
      </c>
      <c r="F33" s="4" t="s">
        <v>3318</v>
      </c>
      <c r="I33" s="4" t="s">
        <v>3320</v>
      </c>
    </row>
    <row r="34" spans="1:9" hidden="1" x14ac:dyDescent="0.2">
      <c r="A34" s="4" t="s">
        <v>2846</v>
      </c>
      <c r="B34" s="11"/>
      <c r="C34" s="12">
        <v>0</v>
      </c>
      <c r="D34" s="4" t="s">
        <v>3798</v>
      </c>
      <c r="F34" s="4" t="s">
        <v>3318</v>
      </c>
      <c r="I34" s="4" t="s">
        <v>3320</v>
      </c>
    </row>
    <row r="35" spans="1:9" hidden="1" x14ac:dyDescent="0.2">
      <c r="A35" s="4" t="s">
        <v>2846</v>
      </c>
      <c r="B35" s="11"/>
      <c r="C35" s="12">
        <v>0</v>
      </c>
      <c r="D35" s="4" t="s">
        <v>3796</v>
      </c>
      <c r="F35" s="4" t="s">
        <v>200</v>
      </c>
      <c r="I35" s="4" t="s">
        <v>3323</v>
      </c>
    </row>
    <row r="36" spans="1:9" hidden="1" x14ac:dyDescent="0.2">
      <c r="A36" s="4" t="s">
        <v>2846</v>
      </c>
      <c r="B36" s="11"/>
      <c r="C36" s="12">
        <v>1</v>
      </c>
      <c r="D36" s="4" t="s">
        <v>3082</v>
      </c>
      <c r="F36" s="4" t="s">
        <v>3080</v>
      </c>
      <c r="I36" s="4" t="s">
        <v>3344</v>
      </c>
    </row>
    <row r="37" spans="1:9" hidden="1" x14ac:dyDescent="0.2">
      <c r="A37" s="4" t="s">
        <v>2846</v>
      </c>
      <c r="B37" s="11"/>
      <c r="C37" s="12">
        <v>3</v>
      </c>
      <c r="D37" s="4" t="s">
        <v>3409</v>
      </c>
      <c r="F37" s="4" t="s">
        <v>3405</v>
      </c>
      <c r="I37" s="4" t="s">
        <v>3406</v>
      </c>
    </row>
    <row r="38" spans="1:9" hidden="1" x14ac:dyDescent="0.2">
      <c r="A38" s="4" t="s">
        <v>2846</v>
      </c>
      <c r="B38" s="11"/>
      <c r="C38" s="12">
        <v>4</v>
      </c>
      <c r="D38" s="4" t="s">
        <v>3335</v>
      </c>
      <c r="F38" s="4" t="s">
        <v>2211</v>
      </c>
      <c r="I38" s="75" t="s">
        <v>3343</v>
      </c>
    </row>
    <row r="39" spans="1:9" hidden="1" x14ac:dyDescent="0.2">
      <c r="A39" s="4" t="s">
        <v>2846</v>
      </c>
      <c r="B39" s="11"/>
      <c r="C39" s="12">
        <v>5</v>
      </c>
      <c r="D39" s="4" t="s">
        <v>1196</v>
      </c>
      <c r="F39" s="4" t="s">
        <v>607</v>
      </c>
      <c r="I39" s="4" t="s">
        <v>3345</v>
      </c>
    </row>
    <row r="40" spans="1:9" hidden="1" x14ac:dyDescent="0.2">
      <c r="A40" s="4" t="s">
        <v>2846</v>
      </c>
      <c r="B40" s="11"/>
      <c r="C40" s="12">
        <v>6</v>
      </c>
      <c r="D40" s="4" t="s">
        <v>568</v>
      </c>
      <c r="F40" s="4" t="s">
        <v>567</v>
      </c>
      <c r="I40" s="75" t="s">
        <v>3341</v>
      </c>
    </row>
    <row r="41" spans="1:9" hidden="1" x14ac:dyDescent="0.2">
      <c r="A41" s="4" t="s">
        <v>2846</v>
      </c>
      <c r="B41" s="11"/>
      <c r="C41" s="12">
        <v>7</v>
      </c>
      <c r="D41" s="4" t="s">
        <v>3808</v>
      </c>
      <c r="F41" s="4" t="s">
        <v>1187</v>
      </c>
      <c r="I41" s="4" t="s">
        <v>3333</v>
      </c>
    </row>
    <row r="42" spans="1:9" hidden="1" x14ac:dyDescent="0.2">
      <c r="A42" s="4" t="s">
        <v>2846</v>
      </c>
      <c r="B42" s="11"/>
      <c r="C42" s="12">
        <v>8</v>
      </c>
      <c r="D42" s="4" t="s">
        <v>3682</v>
      </c>
      <c r="F42" s="4" t="s">
        <v>2977</v>
      </c>
      <c r="I42" s="4" t="s">
        <v>3331</v>
      </c>
    </row>
    <row r="43" spans="1:9" hidden="1" x14ac:dyDescent="0.2">
      <c r="A43" s="4" t="s">
        <v>2846</v>
      </c>
      <c r="B43" s="11"/>
      <c r="C43" s="12">
        <v>9</v>
      </c>
      <c r="D43" s="4" t="s">
        <v>3052</v>
      </c>
      <c r="F43" s="4" t="s">
        <v>3042</v>
      </c>
      <c r="I43" s="4" t="s">
        <v>3331</v>
      </c>
    </row>
    <row r="44" spans="1:9" hidden="1" x14ac:dyDescent="0.2">
      <c r="A44" s="4" t="s">
        <v>1371</v>
      </c>
      <c r="B44" s="11"/>
      <c r="C44" s="12">
        <v>1</v>
      </c>
      <c r="D44" s="4" t="s">
        <v>3317</v>
      </c>
      <c r="E44" s="39"/>
      <c r="F44" s="4" t="s">
        <v>1966</v>
      </c>
    </row>
    <row r="45" spans="1:9" hidden="1" x14ac:dyDescent="0.2">
      <c r="A45" s="4" t="s">
        <v>1371</v>
      </c>
      <c r="B45" s="11"/>
      <c r="C45" s="12">
        <v>2</v>
      </c>
      <c r="D45" s="4" t="s">
        <v>3302</v>
      </c>
      <c r="E45" s="39"/>
      <c r="F45" s="4" t="s">
        <v>1966</v>
      </c>
    </row>
    <row r="46" spans="1:9" hidden="1" x14ac:dyDescent="0.2">
      <c r="A46" s="4" t="s">
        <v>1371</v>
      </c>
      <c r="B46" s="11"/>
      <c r="C46" s="12">
        <v>3</v>
      </c>
      <c r="D46" s="4" t="s">
        <v>3308</v>
      </c>
      <c r="E46" s="39"/>
      <c r="F46" s="4" t="s">
        <v>1966</v>
      </c>
      <c r="I46" s="4" t="s">
        <v>3304</v>
      </c>
    </row>
    <row r="47" spans="1:9" hidden="1" x14ac:dyDescent="0.2">
      <c r="A47" s="4" t="s">
        <v>1371</v>
      </c>
      <c r="B47" s="11"/>
      <c r="C47" s="12">
        <v>4</v>
      </c>
      <c r="D47" s="4" t="s">
        <v>3306</v>
      </c>
      <c r="E47" s="39"/>
      <c r="F47" s="4" t="s">
        <v>200</v>
      </c>
    </row>
    <row r="48" spans="1:9" hidden="1" x14ac:dyDescent="0.2">
      <c r="A48" s="4" t="s">
        <v>1371</v>
      </c>
      <c r="B48" s="11"/>
      <c r="C48" s="12">
        <v>5</v>
      </c>
      <c r="D48" s="4" t="s">
        <v>3310</v>
      </c>
      <c r="E48" s="39"/>
      <c r="F48" s="4" t="s">
        <v>1966</v>
      </c>
    </row>
    <row r="49" spans="1:6" hidden="1" x14ac:dyDescent="0.2">
      <c r="A49" s="4" t="s">
        <v>1371</v>
      </c>
      <c r="B49" s="11"/>
      <c r="C49" s="12">
        <v>6</v>
      </c>
      <c r="D49" s="4" t="s">
        <v>3312</v>
      </c>
      <c r="E49" s="39"/>
      <c r="F49" s="4" t="s">
        <v>1966</v>
      </c>
    </row>
    <row r="50" spans="1:6" hidden="1" x14ac:dyDescent="0.2">
      <c r="A50" s="4" t="s">
        <v>1371</v>
      </c>
      <c r="B50" s="11"/>
      <c r="C50" s="12">
        <v>7</v>
      </c>
      <c r="D50" s="4" t="s">
        <v>3316</v>
      </c>
      <c r="E50" s="39"/>
      <c r="F50" s="4" t="s">
        <v>1966</v>
      </c>
    </row>
    <row r="51" spans="1:6" hidden="1" x14ac:dyDescent="0.2">
      <c r="A51" s="4" t="s">
        <v>702</v>
      </c>
      <c r="B51" s="11"/>
      <c r="C51" s="12">
        <v>1</v>
      </c>
      <c r="D51" s="4" t="s">
        <v>3219</v>
      </c>
      <c r="F51" s="4" t="s">
        <v>1966</v>
      </c>
    </row>
    <row r="52" spans="1:6" hidden="1" x14ac:dyDescent="0.2">
      <c r="A52" s="4" t="s">
        <v>702</v>
      </c>
      <c r="B52" s="11"/>
      <c r="C52" s="12">
        <v>2</v>
      </c>
      <c r="D52" s="4" t="s">
        <v>3218</v>
      </c>
      <c r="F52" s="4" t="s">
        <v>200</v>
      </c>
    </row>
    <row r="53" spans="1:6" hidden="1" x14ac:dyDescent="0.2">
      <c r="A53" s="4" t="s">
        <v>702</v>
      </c>
      <c r="B53" s="11"/>
      <c r="C53" s="12">
        <v>3</v>
      </c>
      <c r="D53" s="4" t="s">
        <v>2021</v>
      </c>
      <c r="F53" s="4" t="s">
        <v>1966</v>
      </c>
    </row>
    <row r="54" spans="1:6" hidden="1" x14ac:dyDescent="0.2">
      <c r="A54" s="4" t="s">
        <v>702</v>
      </c>
      <c r="B54" s="11"/>
      <c r="C54" s="12">
        <v>4</v>
      </c>
      <c r="D54" s="4" t="s">
        <v>3220</v>
      </c>
      <c r="F54" s="4" t="s">
        <v>1966</v>
      </c>
    </row>
    <row r="55" spans="1:6" hidden="1" x14ac:dyDescent="0.2">
      <c r="A55" s="4" t="s">
        <v>702</v>
      </c>
      <c r="B55" s="11"/>
      <c r="C55" s="12">
        <v>5</v>
      </c>
      <c r="D55" s="4" t="s">
        <v>2695</v>
      </c>
      <c r="F55" s="4" t="s">
        <v>2691</v>
      </c>
    </row>
    <row r="56" spans="1:6" hidden="1" x14ac:dyDescent="0.2">
      <c r="A56" s="4" t="s">
        <v>702</v>
      </c>
      <c r="B56" s="11"/>
      <c r="C56" s="12">
        <v>6</v>
      </c>
      <c r="D56" s="4" t="s">
        <v>3222</v>
      </c>
      <c r="F56" s="4" t="s">
        <v>1966</v>
      </c>
    </row>
    <row r="57" spans="1:6" hidden="1" x14ac:dyDescent="0.2">
      <c r="A57" s="4" t="s">
        <v>702</v>
      </c>
      <c r="B57" s="11"/>
      <c r="C57" s="12">
        <v>7</v>
      </c>
      <c r="D57" s="4" t="s">
        <v>2010</v>
      </c>
      <c r="F57" s="4" t="s">
        <v>1966</v>
      </c>
    </row>
    <row r="58" spans="1:6" hidden="1" x14ac:dyDescent="0.2">
      <c r="A58" s="4" t="s">
        <v>702</v>
      </c>
      <c r="B58" s="11"/>
      <c r="C58" s="12">
        <v>8</v>
      </c>
      <c r="D58" s="4" t="s">
        <v>3223</v>
      </c>
      <c r="F58" s="4" t="s">
        <v>1966</v>
      </c>
    </row>
    <row r="59" spans="1:6" hidden="1" x14ac:dyDescent="0.2">
      <c r="A59" s="4" t="s">
        <v>702</v>
      </c>
      <c r="B59" s="11"/>
      <c r="C59" s="12">
        <v>9</v>
      </c>
      <c r="D59" s="4" t="s">
        <v>3224</v>
      </c>
      <c r="F59" s="4" t="s">
        <v>1966</v>
      </c>
    </row>
    <row r="60" spans="1:6" hidden="1" x14ac:dyDescent="0.2">
      <c r="A60" s="4" t="s">
        <v>702</v>
      </c>
      <c r="B60" s="11"/>
      <c r="C60" s="12">
        <v>10</v>
      </c>
      <c r="D60" s="4" t="s">
        <v>3225</v>
      </c>
      <c r="F60" s="4" t="s">
        <v>1966</v>
      </c>
    </row>
    <row r="61" spans="1:6" hidden="1" x14ac:dyDescent="0.2">
      <c r="A61" s="4" t="s">
        <v>702</v>
      </c>
      <c r="B61" s="11"/>
      <c r="C61" s="12">
        <v>11</v>
      </c>
      <c r="D61" s="4" t="s">
        <v>278</v>
      </c>
      <c r="F61" s="4" t="s">
        <v>1966</v>
      </c>
    </row>
    <row r="62" spans="1:6" hidden="1" x14ac:dyDescent="0.2">
      <c r="A62" s="4" t="s">
        <v>702</v>
      </c>
      <c r="B62" s="11"/>
      <c r="C62" s="12">
        <v>12</v>
      </c>
      <c r="D62" s="4" t="s">
        <v>3226</v>
      </c>
      <c r="F62" s="4" t="s">
        <v>2439</v>
      </c>
    </row>
    <row r="63" spans="1:6" hidden="1" x14ac:dyDescent="0.2">
      <c r="A63" s="4" t="s">
        <v>638</v>
      </c>
      <c r="B63" s="11"/>
      <c r="C63" s="12">
        <v>1</v>
      </c>
      <c r="D63" s="4" t="s">
        <v>583</v>
      </c>
      <c r="F63" s="4" t="s">
        <v>199</v>
      </c>
    </row>
    <row r="64" spans="1:6" hidden="1" x14ac:dyDescent="0.2">
      <c r="A64" s="4" t="s">
        <v>639</v>
      </c>
      <c r="B64" s="11"/>
      <c r="C64" s="12">
        <v>2</v>
      </c>
      <c r="D64" s="4" t="s">
        <v>1283</v>
      </c>
      <c r="F64" s="4" t="s">
        <v>199</v>
      </c>
    </row>
    <row r="65" spans="1:9" hidden="1" x14ac:dyDescent="0.2">
      <c r="A65" s="4" t="s">
        <v>638</v>
      </c>
      <c r="B65" s="11"/>
      <c r="C65" s="12">
        <v>3</v>
      </c>
      <c r="D65" s="4" t="s">
        <v>1284</v>
      </c>
      <c r="F65" s="4" t="s">
        <v>199</v>
      </c>
    </row>
    <row r="66" spans="1:9" hidden="1" x14ac:dyDescent="0.2">
      <c r="A66" s="4" t="s">
        <v>639</v>
      </c>
      <c r="B66" s="11"/>
      <c r="C66" s="12">
        <v>4</v>
      </c>
      <c r="D66" s="4" t="s">
        <v>1285</v>
      </c>
      <c r="F66" s="4" t="s">
        <v>199</v>
      </c>
    </row>
    <row r="67" spans="1:9" hidden="1" x14ac:dyDescent="0.2">
      <c r="A67" s="4" t="s">
        <v>640</v>
      </c>
      <c r="B67" s="11"/>
      <c r="C67" s="12">
        <v>5</v>
      </c>
      <c r="D67" s="4" t="s">
        <v>331</v>
      </c>
      <c r="F67" s="4" t="s">
        <v>199</v>
      </c>
    </row>
    <row r="68" spans="1:9" hidden="1" x14ac:dyDescent="0.2">
      <c r="A68" s="4" t="s">
        <v>638</v>
      </c>
      <c r="B68" s="11"/>
      <c r="C68" s="12">
        <v>6</v>
      </c>
      <c r="D68" s="4" t="s">
        <v>1090</v>
      </c>
      <c r="F68" s="4" t="s">
        <v>200</v>
      </c>
    </row>
    <row r="69" spans="1:9" hidden="1" x14ac:dyDescent="0.2">
      <c r="A69" s="4" t="s">
        <v>640</v>
      </c>
      <c r="B69" s="11"/>
      <c r="C69" s="12">
        <v>7</v>
      </c>
      <c r="D69" s="4" t="s">
        <v>332</v>
      </c>
      <c r="F69" s="4" t="s">
        <v>199</v>
      </c>
    </row>
    <row r="70" spans="1:9" hidden="1" x14ac:dyDescent="0.2">
      <c r="A70" s="4" t="s">
        <v>638</v>
      </c>
      <c r="B70" s="11"/>
      <c r="C70" s="12">
        <v>8</v>
      </c>
      <c r="D70" s="4" t="s">
        <v>2376</v>
      </c>
      <c r="F70" s="4" t="s">
        <v>199</v>
      </c>
    </row>
    <row r="71" spans="1:9" hidden="1" x14ac:dyDescent="0.2">
      <c r="A71" s="4" t="s">
        <v>638</v>
      </c>
      <c r="B71" s="11"/>
      <c r="C71" s="12">
        <v>9</v>
      </c>
      <c r="D71" s="4" t="s">
        <v>572</v>
      </c>
      <c r="F71" s="4" t="s">
        <v>199</v>
      </c>
      <c r="I71" s="4" t="s">
        <v>444</v>
      </c>
    </row>
    <row r="72" spans="1:9" hidden="1" x14ac:dyDescent="0.2">
      <c r="A72" s="4" t="s">
        <v>640</v>
      </c>
      <c r="B72" s="11"/>
      <c r="C72" s="12">
        <v>10</v>
      </c>
      <c r="D72" s="4" t="s">
        <v>574</v>
      </c>
      <c r="F72" s="4" t="s">
        <v>199</v>
      </c>
    </row>
    <row r="73" spans="1:9" hidden="1" x14ac:dyDescent="0.2">
      <c r="A73" s="4" t="s">
        <v>640</v>
      </c>
      <c r="B73" s="11"/>
      <c r="C73" s="12">
        <v>11</v>
      </c>
      <c r="D73" s="4" t="s">
        <v>904</v>
      </c>
      <c r="F73" s="4" t="s">
        <v>199</v>
      </c>
    </row>
    <row r="74" spans="1:9" hidden="1" x14ac:dyDescent="0.2">
      <c r="A74" s="4" t="s">
        <v>638</v>
      </c>
      <c r="B74" s="11"/>
      <c r="C74" s="12">
        <v>12</v>
      </c>
      <c r="D74" s="4" t="s">
        <v>585</v>
      </c>
      <c r="F74" s="4" t="s">
        <v>199</v>
      </c>
    </row>
    <row r="75" spans="1:9" hidden="1" x14ac:dyDescent="0.2">
      <c r="A75" s="4" t="s">
        <v>639</v>
      </c>
      <c r="B75" s="11"/>
      <c r="C75" s="12">
        <v>13</v>
      </c>
      <c r="D75" s="4" t="s">
        <v>587</v>
      </c>
      <c r="F75" s="4" t="s">
        <v>199</v>
      </c>
    </row>
    <row r="76" spans="1:9" hidden="1" x14ac:dyDescent="0.2">
      <c r="A76" s="4" t="s">
        <v>638</v>
      </c>
      <c r="B76" s="11"/>
      <c r="C76" s="12">
        <v>14</v>
      </c>
      <c r="D76" s="4" t="s">
        <v>589</v>
      </c>
      <c r="F76" s="4" t="s">
        <v>199</v>
      </c>
    </row>
    <row r="77" spans="1:9" hidden="1" x14ac:dyDescent="0.2">
      <c r="A77" s="4" t="s">
        <v>638</v>
      </c>
      <c r="B77" s="11"/>
      <c r="C77" s="12">
        <v>15</v>
      </c>
      <c r="D77" s="4" t="s">
        <v>591</v>
      </c>
      <c r="F77" s="4" t="s">
        <v>199</v>
      </c>
    </row>
    <row r="78" spans="1:9" hidden="1" x14ac:dyDescent="0.2">
      <c r="A78" s="4" t="s">
        <v>638</v>
      </c>
      <c r="B78" s="11"/>
      <c r="C78" s="12">
        <v>16</v>
      </c>
      <c r="D78" s="4" t="s">
        <v>593</v>
      </c>
      <c r="F78" s="4" t="s">
        <v>199</v>
      </c>
    </row>
    <row r="79" spans="1:9" hidden="1" x14ac:dyDescent="0.2">
      <c r="A79" s="4" t="s">
        <v>638</v>
      </c>
      <c r="B79" s="11"/>
      <c r="C79" s="12">
        <v>17</v>
      </c>
      <c r="D79" s="4" t="s">
        <v>595</v>
      </c>
      <c r="F79" s="4" t="s">
        <v>199</v>
      </c>
    </row>
    <row r="80" spans="1:9" hidden="1" x14ac:dyDescent="0.2">
      <c r="A80" s="4" t="s">
        <v>638</v>
      </c>
      <c r="B80" s="11"/>
      <c r="C80" s="12">
        <v>18</v>
      </c>
      <c r="D80" s="4" t="s">
        <v>597</v>
      </c>
      <c r="F80" s="4" t="s">
        <v>199</v>
      </c>
    </row>
    <row r="81" spans="1:6" hidden="1" x14ac:dyDescent="0.2">
      <c r="A81" s="4" t="s">
        <v>638</v>
      </c>
      <c r="B81" s="11"/>
      <c r="C81" s="12">
        <v>19</v>
      </c>
      <c r="D81" s="4" t="s">
        <v>313</v>
      </c>
      <c r="F81" s="4" t="s">
        <v>199</v>
      </c>
    </row>
    <row r="82" spans="1:6" hidden="1" x14ac:dyDescent="0.2">
      <c r="A82" s="4" t="s">
        <v>638</v>
      </c>
      <c r="B82" s="11"/>
      <c r="C82" s="12">
        <v>20</v>
      </c>
      <c r="D82" s="4" t="s">
        <v>338</v>
      </c>
      <c r="F82" s="4" t="s">
        <v>199</v>
      </c>
    </row>
    <row r="83" spans="1:6" hidden="1" x14ac:dyDescent="0.2">
      <c r="A83" s="4" t="s">
        <v>638</v>
      </c>
      <c r="B83" s="11"/>
      <c r="C83" s="12">
        <v>21</v>
      </c>
      <c r="D83" s="4" t="s">
        <v>576</v>
      </c>
      <c r="F83" s="4" t="s">
        <v>199</v>
      </c>
    </row>
    <row r="84" spans="1:6" hidden="1" x14ac:dyDescent="0.2">
      <c r="A84" s="4" t="s">
        <v>638</v>
      </c>
      <c r="B84" s="11"/>
      <c r="C84" s="12">
        <v>22</v>
      </c>
      <c r="D84" s="4" t="s">
        <v>79</v>
      </c>
      <c r="F84" s="4" t="s">
        <v>199</v>
      </c>
    </row>
    <row r="85" spans="1:6" hidden="1" x14ac:dyDescent="0.2">
      <c r="A85" s="4" t="s">
        <v>641</v>
      </c>
      <c r="B85" s="11"/>
      <c r="C85" s="12">
        <v>23</v>
      </c>
      <c r="D85" s="4" t="s">
        <v>271</v>
      </c>
      <c r="F85" s="4" t="s">
        <v>199</v>
      </c>
    </row>
    <row r="86" spans="1:6" hidden="1" x14ac:dyDescent="0.2">
      <c r="A86" s="4" t="s">
        <v>638</v>
      </c>
      <c r="B86" s="11"/>
      <c r="C86" s="12">
        <v>24</v>
      </c>
      <c r="D86" s="4" t="s">
        <v>273</v>
      </c>
      <c r="F86" s="4" t="s">
        <v>199</v>
      </c>
    </row>
    <row r="87" spans="1:6" hidden="1" x14ac:dyDescent="0.2">
      <c r="A87" s="4" t="s">
        <v>638</v>
      </c>
      <c r="B87" s="11"/>
      <c r="C87" s="12">
        <v>25</v>
      </c>
      <c r="D87" s="4" t="s">
        <v>275</v>
      </c>
      <c r="F87" s="4" t="s">
        <v>199</v>
      </c>
    </row>
    <row r="88" spans="1:6" hidden="1" x14ac:dyDescent="0.2">
      <c r="A88" s="4" t="s">
        <v>638</v>
      </c>
      <c r="B88" s="11"/>
      <c r="C88" s="12">
        <v>26</v>
      </c>
      <c r="D88" s="4" t="s">
        <v>1286</v>
      </c>
      <c r="F88" s="4" t="s">
        <v>858</v>
      </c>
    </row>
    <row r="89" spans="1:6" hidden="1" x14ac:dyDescent="0.2">
      <c r="A89" s="4" t="s">
        <v>638</v>
      </c>
      <c r="B89" s="11"/>
      <c r="C89" s="12">
        <v>27</v>
      </c>
      <c r="D89" s="4" t="s">
        <v>1287</v>
      </c>
      <c r="F89" s="4" t="s">
        <v>858</v>
      </c>
    </row>
    <row r="90" spans="1:6" hidden="1" x14ac:dyDescent="0.2">
      <c r="A90" s="4" t="s">
        <v>640</v>
      </c>
      <c r="B90" s="11"/>
      <c r="C90" s="12">
        <v>28</v>
      </c>
      <c r="D90" s="4" t="s">
        <v>600</v>
      </c>
      <c r="F90" s="4" t="s">
        <v>199</v>
      </c>
    </row>
    <row r="91" spans="1:6" hidden="1" x14ac:dyDescent="0.2">
      <c r="A91" s="4" t="s">
        <v>638</v>
      </c>
      <c r="B91" s="11"/>
      <c r="C91" s="12">
        <v>29</v>
      </c>
      <c r="D91" s="4" t="s">
        <v>602</v>
      </c>
      <c r="F91" s="4" t="s">
        <v>199</v>
      </c>
    </row>
    <row r="92" spans="1:6" hidden="1" x14ac:dyDescent="0.2">
      <c r="A92" s="4" t="s">
        <v>638</v>
      </c>
      <c r="B92" s="11"/>
      <c r="C92" s="12">
        <v>30</v>
      </c>
      <c r="D92" s="4" t="s">
        <v>1359</v>
      </c>
      <c r="F92" s="4" t="s">
        <v>1344</v>
      </c>
    </row>
    <row r="93" spans="1:6" hidden="1" x14ac:dyDescent="0.2">
      <c r="A93" s="4" t="s">
        <v>638</v>
      </c>
      <c r="B93" s="11"/>
      <c r="C93" s="12">
        <v>31</v>
      </c>
      <c r="D93" s="4" t="s">
        <v>1360</v>
      </c>
      <c r="F93" s="4" t="s">
        <v>1344</v>
      </c>
    </row>
    <row r="94" spans="1:6" hidden="1" x14ac:dyDescent="0.2">
      <c r="A94" s="4" t="s">
        <v>639</v>
      </c>
      <c r="B94" s="11"/>
      <c r="C94" s="12">
        <v>32</v>
      </c>
      <c r="D94" s="4" t="s">
        <v>305</v>
      </c>
      <c r="F94" s="4" t="s">
        <v>199</v>
      </c>
    </row>
    <row r="95" spans="1:6" hidden="1" x14ac:dyDescent="0.2">
      <c r="A95" s="4" t="s">
        <v>638</v>
      </c>
      <c r="B95" s="11"/>
      <c r="C95" s="12">
        <v>33</v>
      </c>
      <c r="D95" s="4" t="s">
        <v>917</v>
      </c>
      <c r="F95" s="4" t="s">
        <v>199</v>
      </c>
    </row>
    <row r="96" spans="1:6" hidden="1" x14ac:dyDescent="0.2">
      <c r="A96" s="4" t="s">
        <v>2831</v>
      </c>
      <c r="B96" s="11"/>
      <c r="C96" s="12">
        <v>1</v>
      </c>
      <c r="D96" s="4" t="s">
        <v>2838</v>
      </c>
      <c r="E96" s="4">
        <v>1</v>
      </c>
      <c r="F96" s="4" t="s">
        <v>200</v>
      </c>
    </row>
    <row r="97" spans="1:9" hidden="1" x14ac:dyDescent="0.2">
      <c r="A97" s="4" t="s">
        <v>2831</v>
      </c>
      <c r="B97" s="11"/>
      <c r="C97" s="12">
        <v>2</v>
      </c>
      <c r="D97" s="4" t="s">
        <v>2816</v>
      </c>
      <c r="E97" s="4">
        <v>1</v>
      </c>
      <c r="F97" s="4" t="s">
        <v>200</v>
      </c>
      <c r="I97" s="4" t="s">
        <v>1522</v>
      </c>
    </row>
    <row r="98" spans="1:9" hidden="1" x14ac:dyDescent="0.2">
      <c r="A98" s="4" t="s">
        <v>2831</v>
      </c>
      <c r="B98" s="11"/>
      <c r="C98" s="12">
        <v>3</v>
      </c>
      <c r="D98" s="4" t="s">
        <v>2814</v>
      </c>
      <c r="E98" s="4">
        <v>1</v>
      </c>
      <c r="F98" s="4" t="s">
        <v>200</v>
      </c>
      <c r="I98" s="4" t="s">
        <v>1524</v>
      </c>
    </row>
    <row r="99" spans="1:9" hidden="1" x14ac:dyDescent="0.2">
      <c r="A99" s="4" t="s">
        <v>2831</v>
      </c>
      <c r="B99" s="11"/>
      <c r="C99" s="12">
        <v>4</v>
      </c>
      <c r="D99" s="22" t="s">
        <v>2818</v>
      </c>
      <c r="E99" s="4">
        <v>1</v>
      </c>
      <c r="F99" s="4" t="s">
        <v>200</v>
      </c>
      <c r="I99" s="4" t="s">
        <v>2843</v>
      </c>
    </row>
    <row r="100" spans="1:9" hidden="1" x14ac:dyDescent="0.2">
      <c r="A100" s="4" t="s">
        <v>2831</v>
      </c>
      <c r="B100" s="11"/>
      <c r="C100" s="12">
        <v>5</v>
      </c>
      <c r="D100" s="22" t="s">
        <v>2839</v>
      </c>
      <c r="E100" s="4">
        <v>1</v>
      </c>
      <c r="F100" s="4" t="s">
        <v>1520</v>
      </c>
    </row>
    <row r="101" spans="1:9" hidden="1" x14ac:dyDescent="0.2">
      <c r="A101" s="4" t="s">
        <v>2831</v>
      </c>
      <c r="B101" s="11"/>
      <c r="C101" s="12">
        <v>6</v>
      </c>
      <c r="D101" s="4" t="s">
        <v>1534</v>
      </c>
      <c r="E101" s="4">
        <v>1</v>
      </c>
      <c r="F101" s="4" t="s">
        <v>1520</v>
      </c>
    </row>
    <row r="102" spans="1:9" hidden="1" x14ac:dyDescent="0.2">
      <c r="A102" s="4" t="s">
        <v>2831</v>
      </c>
      <c r="B102" s="11"/>
      <c r="C102" s="12">
        <v>7</v>
      </c>
      <c r="D102" s="4" t="s">
        <v>2836</v>
      </c>
      <c r="E102" s="4">
        <v>1</v>
      </c>
      <c r="F102" s="4" t="s">
        <v>1520</v>
      </c>
    </row>
    <row r="103" spans="1:9" hidden="1" x14ac:dyDescent="0.2">
      <c r="A103" s="4" t="s">
        <v>2831</v>
      </c>
      <c r="B103" s="11"/>
      <c r="C103" s="12">
        <v>8</v>
      </c>
      <c r="D103" s="4" t="s">
        <v>2789</v>
      </c>
      <c r="E103" s="4">
        <v>1</v>
      </c>
      <c r="F103" s="4" t="s">
        <v>1520</v>
      </c>
    </row>
    <row r="104" spans="1:9" hidden="1" x14ac:dyDescent="0.2">
      <c r="A104" s="4" t="s">
        <v>2831</v>
      </c>
      <c r="B104" s="11"/>
      <c r="C104" s="12">
        <v>9</v>
      </c>
      <c r="D104" s="4" t="s">
        <v>1540</v>
      </c>
      <c r="E104" s="4">
        <v>1</v>
      </c>
      <c r="F104" s="4" t="s">
        <v>200</v>
      </c>
    </row>
    <row r="105" spans="1:9" hidden="1" x14ac:dyDescent="0.2">
      <c r="A105" s="4" t="s">
        <v>2831</v>
      </c>
      <c r="B105" s="11"/>
      <c r="C105" s="12">
        <v>10</v>
      </c>
      <c r="D105" s="4" t="s">
        <v>2502</v>
      </c>
      <c r="E105" s="4">
        <v>1</v>
      </c>
      <c r="F105" s="4" t="s">
        <v>199</v>
      </c>
    </row>
    <row r="106" spans="1:9" hidden="1" x14ac:dyDescent="0.2">
      <c r="A106" s="4" t="s">
        <v>2831</v>
      </c>
      <c r="B106" s="11"/>
      <c r="C106" s="12">
        <v>11</v>
      </c>
      <c r="D106" s="4" t="s">
        <v>1542</v>
      </c>
      <c r="E106" s="4">
        <v>2</v>
      </c>
      <c r="F106" s="4" t="s">
        <v>199</v>
      </c>
      <c r="I106" s="4" t="s">
        <v>530</v>
      </c>
    </row>
    <row r="107" spans="1:9" hidden="1" x14ac:dyDescent="0.2">
      <c r="A107" s="4" t="s">
        <v>2831</v>
      </c>
      <c r="B107" s="11"/>
      <c r="C107" s="12">
        <v>12</v>
      </c>
      <c r="D107" s="4" t="s">
        <v>2819</v>
      </c>
      <c r="E107" s="4">
        <v>2</v>
      </c>
      <c r="F107" s="4" t="s">
        <v>1520</v>
      </c>
    </row>
    <row r="108" spans="1:9" hidden="1" x14ac:dyDescent="0.2">
      <c r="A108" s="4" t="s">
        <v>2831</v>
      </c>
      <c r="B108" s="11"/>
      <c r="C108" s="12">
        <v>13</v>
      </c>
      <c r="D108" s="4" t="s">
        <v>2840</v>
      </c>
      <c r="E108" s="4">
        <v>2</v>
      </c>
      <c r="F108" s="4" t="s">
        <v>199</v>
      </c>
      <c r="I108" s="4" t="s">
        <v>1548</v>
      </c>
    </row>
    <row r="109" spans="1:9" hidden="1" x14ac:dyDescent="0.2">
      <c r="A109" s="4" t="s">
        <v>2831</v>
      </c>
      <c r="B109" s="11"/>
      <c r="C109" s="12">
        <v>14</v>
      </c>
      <c r="D109" s="4" t="s">
        <v>2821</v>
      </c>
      <c r="E109" s="4">
        <v>2</v>
      </c>
      <c r="F109" s="4" t="s">
        <v>199</v>
      </c>
    </row>
    <row r="110" spans="1:9" hidden="1" x14ac:dyDescent="0.2">
      <c r="A110" s="4" t="s">
        <v>2831</v>
      </c>
      <c r="B110" s="11"/>
      <c r="C110" s="12">
        <v>15</v>
      </c>
      <c r="D110" s="4" t="s">
        <v>2841</v>
      </c>
      <c r="E110" s="4">
        <v>2</v>
      </c>
      <c r="F110" s="4" t="s">
        <v>199</v>
      </c>
    </row>
    <row r="111" spans="1:9" hidden="1" x14ac:dyDescent="0.2">
      <c r="A111" s="4" t="s">
        <v>2831</v>
      </c>
      <c r="B111" s="11"/>
      <c r="C111" s="12">
        <v>16</v>
      </c>
      <c r="D111" s="4" t="s">
        <v>2823</v>
      </c>
      <c r="E111" s="4">
        <v>2</v>
      </c>
      <c r="F111" s="4" t="s">
        <v>199</v>
      </c>
    </row>
    <row r="112" spans="1:9" hidden="1" x14ac:dyDescent="0.2">
      <c r="A112" s="4" t="s">
        <v>2831</v>
      </c>
      <c r="B112" s="11"/>
      <c r="C112" s="12">
        <v>17</v>
      </c>
      <c r="D112" s="4" t="s">
        <v>2790</v>
      </c>
      <c r="E112" s="4">
        <v>2</v>
      </c>
      <c r="F112" s="4" t="s">
        <v>199</v>
      </c>
    </row>
    <row r="113" spans="1:9" hidden="1" x14ac:dyDescent="0.2">
      <c r="A113" s="4" t="s">
        <v>2831</v>
      </c>
      <c r="B113" s="11"/>
      <c r="C113" s="12">
        <v>18</v>
      </c>
      <c r="D113" s="4" t="s">
        <v>2791</v>
      </c>
      <c r="E113" s="4">
        <v>2</v>
      </c>
      <c r="F113" s="4" t="s">
        <v>199</v>
      </c>
    </row>
    <row r="114" spans="1:9" hidden="1" x14ac:dyDescent="0.2">
      <c r="A114" s="4" t="s">
        <v>2831</v>
      </c>
      <c r="B114" s="11"/>
      <c r="C114" s="12">
        <v>19</v>
      </c>
      <c r="D114" s="4" t="s">
        <v>2825</v>
      </c>
      <c r="E114" s="4">
        <v>2</v>
      </c>
      <c r="F114" s="4" t="s">
        <v>199</v>
      </c>
    </row>
    <row r="115" spans="1:9" hidden="1" x14ac:dyDescent="0.2">
      <c r="A115" s="4" t="s">
        <v>2831</v>
      </c>
      <c r="B115" s="11"/>
      <c r="C115" s="12">
        <v>20</v>
      </c>
      <c r="D115" s="4" t="s">
        <v>2827</v>
      </c>
      <c r="E115" s="4">
        <v>2</v>
      </c>
      <c r="F115" s="4" t="s">
        <v>199</v>
      </c>
    </row>
    <row r="116" spans="1:9" hidden="1" x14ac:dyDescent="0.2">
      <c r="A116" s="4" t="s">
        <v>2831</v>
      </c>
      <c r="B116" s="11"/>
      <c r="C116" s="12">
        <v>21</v>
      </c>
      <c r="D116" s="4" t="s">
        <v>2829</v>
      </c>
      <c r="E116" s="4">
        <v>2</v>
      </c>
      <c r="F116" s="4" t="s">
        <v>199</v>
      </c>
      <c r="I116" s="4" t="s">
        <v>2843</v>
      </c>
    </row>
    <row r="117" spans="1:9" hidden="1" x14ac:dyDescent="0.2">
      <c r="A117" s="4" t="s">
        <v>2831</v>
      </c>
      <c r="B117" s="11"/>
      <c r="C117" s="12">
        <v>22</v>
      </c>
      <c r="D117" s="4" t="s">
        <v>875</v>
      </c>
      <c r="E117" s="4">
        <v>3</v>
      </c>
      <c r="F117" s="4" t="s">
        <v>199</v>
      </c>
    </row>
    <row r="118" spans="1:9" hidden="1" x14ac:dyDescent="0.2">
      <c r="A118" s="4" t="s">
        <v>2831</v>
      </c>
      <c r="B118" s="11"/>
      <c r="C118" s="12">
        <v>23</v>
      </c>
      <c r="D118" s="4" t="s">
        <v>2833</v>
      </c>
      <c r="E118" s="4">
        <v>4</v>
      </c>
      <c r="F118" s="4" t="s">
        <v>2834</v>
      </c>
    </row>
    <row r="119" spans="1:9" hidden="1" x14ac:dyDescent="0.2">
      <c r="A119" s="4" t="s">
        <v>2831</v>
      </c>
      <c r="B119" s="11"/>
      <c r="C119" s="12">
        <v>24</v>
      </c>
      <c r="D119" s="4" t="s">
        <v>1573</v>
      </c>
      <c r="E119" s="4">
        <v>4</v>
      </c>
      <c r="F119" s="4" t="s">
        <v>199</v>
      </c>
    </row>
    <row r="120" spans="1:9" hidden="1" x14ac:dyDescent="0.2">
      <c r="A120" s="4" t="s">
        <v>2831</v>
      </c>
      <c r="B120" s="11"/>
      <c r="C120" s="12">
        <v>25</v>
      </c>
      <c r="D120" s="4" t="s">
        <v>1571</v>
      </c>
      <c r="E120" s="4">
        <v>4</v>
      </c>
      <c r="F120" s="4" t="s">
        <v>1520</v>
      </c>
      <c r="I120" s="4" t="s">
        <v>2843</v>
      </c>
    </row>
    <row r="121" spans="1:9" hidden="1" x14ac:dyDescent="0.2">
      <c r="A121" s="4" t="s">
        <v>2912</v>
      </c>
      <c r="B121" s="11"/>
      <c r="C121" s="12">
        <v>1</v>
      </c>
      <c r="D121" s="4" t="s">
        <v>1188</v>
      </c>
      <c r="F121" s="4" t="s">
        <v>1187</v>
      </c>
    </row>
    <row r="122" spans="1:9" hidden="1" x14ac:dyDescent="0.2">
      <c r="A122" s="4" t="s">
        <v>2912</v>
      </c>
      <c r="B122" s="11"/>
      <c r="C122" s="12">
        <v>2</v>
      </c>
      <c r="D122" s="4" t="s">
        <v>1461</v>
      </c>
      <c r="F122" s="4" t="s">
        <v>1187</v>
      </c>
    </row>
    <row r="123" spans="1:9" hidden="1" x14ac:dyDescent="0.2">
      <c r="A123" s="4" t="s">
        <v>2912</v>
      </c>
      <c r="B123" s="11"/>
      <c r="C123" s="12">
        <v>3</v>
      </c>
      <c r="D123" s="4" t="s">
        <v>1192</v>
      </c>
      <c r="F123" s="4" t="s">
        <v>1187</v>
      </c>
      <c r="I123" s="4" t="s">
        <v>1189</v>
      </c>
    </row>
    <row r="124" spans="1:9" hidden="1" x14ac:dyDescent="0.2">
      <c r="A124" s="4" t="s">
        <v>2912</v>
      </c>
      <c r="B124" s="11"/>
      <c r="C124" s="12">
        <v>4</v>
      </c>
      <c r="D124" s="4" t="s">
        <v>1236</v>
      </c>
      <c r="F124" s="4" t="s">
        <v>1187</v>
      </c>
    </row>
    <row r="125" spans="1:9" hidden="1" x14ac:dyDescent="0.2">
      <c r="A125" s="4" t="s">
        <v>2912</v>
      </c>
      <c r="B125" s="11"/>
      <c r="C125" s="12">
        <v>5</v>
      </c>
      <c r="D125" s="4" t="s">
        <v>1190</v>
      </c>
      <c r="F125" s="4" t="s">
        <v>1187</v>
      </c>
    </row>
    <row r="126" spans="1:9" hidden="1" x14ac:dyDescent="0.2">
      <c r="A126" s="4" t="s">
        <v>2912</v>
      </c>
      <c r="B126" s="11"/>
      <c r="C126" s="12">
        <v>6</v>
      </c>
      <c r="D126" s="23" t="s">
        <v>1191</v>
      </c>
      <c r="F126" s="4" t="s">
        <v>1187</v>
      </c>
    </row>
    <row r="127" spans="1:9" hidden="1" x14ac:dyDescent="0.2">
      <c r="A127" s="4" t="s">
        <v>2912</v>
      </c>
      <c r="B127" s="11"/>
      <c r="C127" s="12">
        <v>7</v>
      </c>
      <c r="D127" s="4" t="s">
        <v>1193</v>
      </c>
      <c r="F127" s="4" t="s">
        <v>1187</v>
      </c>
    </row>
    <row r="128" spans="1:9" hidden="1" x14ac:dyDescent="0.2">
      <c r="A128" s="4" t="s">
        <v>2912</v>
      </c>
      <c r="B128" s="11"/>
      <c r="C128" s="12">
        <v>8</v>
      </c>
      <c r="D128" s="23" t="s">
        <v>1194</v>
      </c>
      <c r="F128" s="4" t="s">
        <v>1187</v>
      </c>
    </row>
    <row r="129" spans="1:6" hidden="1" x14ac:dyDescent="0.2">
      <c r="A129" s="4" t="s">
        <v>2912</v>
      </c>
      <c r="B129" s="11"/>
      <c r="C129" s="12">
        <v>9</v>
      </c>
      <c r="D129" s="4" t="s">
        <v>1195</v>
      </c>
      <c r="F129" s="4" t="s">
        <v>1187</v>
      </c>
    </row>
    <row r="130" spans="1:6" hidden="1" x14ac:dyDescent="0.2">
      <c r="A130" s="4" t="s">
        <v>2912</v>
      </c>
      <c r="B130" s="11"/>
      <c r="C130" s="12">
        <v>10</v>
      </c>
      <c r="D130" s="23" t="s">
        <v>1462</v>
      </c>
      <c r="F130" s="4" t="s">
        <v>1187</v>
      </c>
    </row>
    <row r="131" spans="1:6" hidden="1" x14ac:dyDescent="0.2">
      <c r="A131" s="4" t="s">
        <v>2912</v>
      </c>
      <c r="B131" s="11"/>
      <c r="C131" s="12">
        <v>11</v>
      </c>
      <c r="D131" s="4" t="s">
        <v>1323</v>
      </c>
      <c r="F131" s="4" t="s">
        <v>1318</v>
      </c>
    </row>
    <row r="132" spans="1:6" hidden="1" x14ac:dyDescent="0.2">
      <c r="A132" s="4" t="s">
        <v>2912</v>
      </c>
      <c r="B132" s="11"/>
      <c r="C132" s="12">
        <v>12</v>
      </c>
      <c r="D132" s="4" t="s">
        <v>1326</v>
      </c>
      <c r="F132" s="4" t="s">
        <v>1318</v>
      </c>
    </row>
    <row r="133" spans="1:6" hidden="1" x14ac:dyDescent="0.2">
      <c r="A133" s="4" t="s">
        <v>2912</v>
      </c>
      <c r="B133" s="11"/>
      <c r="C133" s="12">
        <v>13</v>
      </c>
      <c r="D133" s="4" t="s">
        <v>1328</v>
      </c>
      <c r="F133" s="4" t="s">
        <v>1318</v>
      </c>
    </row>
    <row r="134" spans="1:6" hidden="1" x14ac:dyDescent="0.2">
      <c r="A134" s="4" t="s">
        <v>2912</v>
      </c>
      <c r="B134" s="11"/>
      <c r="C134" s="12">
        <v>14</v>
      </c>
      <c r="D134" s="4" t="s">
        <v>1324</v>
      </c>
      <c r="F134" s="4" t="s">
        <v>1318</v>
      </c>
    </row>
    <row r="135" spans="1:6" hidden="1" x14ac:dyDescent="0.2">
      <c r="A135" s="4" t="s">
        <v>2912</v>
      </c>
      <c r="B135" s="11"/>
      <c r="C135" s="12">
        <v>15</v>
      </c>
      <c r="D135" s="23" t="s">
        <v>1330</v>
      </c>
      <c r="F135" s="4" t="s">
        <v>1318</v>
      </c>
    </row>
    <row r="136" spans="1:6" hidden="1" x14ac:dyDescent="0.2">
      <c r="A136" s="4" t="s">
        <v>2912</v>
      </c>
      <c r="B136" s="11"/>
      <c r="C136" s="12">
        <v>16</v>
      </c>
      <c r="D136" s="4" t="s">
        <v>1319</v>
      </c>
      <c r="F136" s="4" t="s">
        <v>1318</v>
      </c>
    </row>
    <row r="137" spans="1:6" hidden="1" x14ac:dyDescent="0.2">
      <c r="A137" s="4" t="s">
        <v>2912</v>
      </c>
      <c r="B137" s="11"/>
      <c r="C137" s="12">
        <v>17</v>
      </c>
      <c r="D137" s="4" t="s">
        <v>1332</v>
      </c>
      <c r="F137" s="4" t="s">
        <v>1318</v>
      </c>
    </row>
    <row r="138" spans="1:6" hidden="1" x14ac:dyDescent="0.2">
      <c r="A138" s="4" t="s">
        <v>2912</v>
      </c>
      <c r="B138" s="11"/>
      <c r="C138" s="12">
        <v>18</v>
      </c>
      <c r="D138" s="4" t="s">
        <v>1334</v>
      </c>
      <c r="F138" s="4" t="s">
        <v>1318</v>
      </c>
    </row>
    <row r="139" spans="1:6" hidden="1" x14ac:dyDescent="0.2">
      <c r="A139" s="4" t="s">
        <v>2912</v>
      </c>
      <c r="B139" s="11"/>
      <c r="C139" s="12">
        <v>19</v>
      </c>
      <c r="D139" s="4" t="s">
        <v>1335</v>
      </c>
      <c r="F139" s="4" t="s">
        <v>1318</v>
      </c>
    </row>
    <row r="140" spans="1:6" hidden="1" x14ac:dyDescent="0.2">
      <c r="A140" s="4" t="s">
        <v>2912</v>
      </c>
      <c r="B140" s="11"/>
      <c r="C140" s="12">
        <v>20</v>
      </c>
      <c r="D140" s="4" t="s">
        <v>1336</v>
      </c>
      <c r="F140" s="4" t="s">
        <v>1318</v>
      </c>
    </row>
    <row r="141" spans="1:6" hidden="1" x14ac:dyDescent="0.2">
      <c r="A141" s="4" t="s">
        <v>2912</v>
      </c>
      <c r="B141" s="11"/>
      <c r="C141" s="12">
        <v>21</v>
      </c>
      <c r="D141" s="4" t="s">
        <v>1337</v>
      </c>
      <c r="F141" s="4" t="s">
        <v>1318</v>
      </c>
    </row>
    <row r="142" spans="1:6" hidden="1" x14ac:dyDescent="0.2">
      <c r="A142" s="4" t="s">
        <v>2912</v>
      </c>
      <c r="B142" s="11"/>
      <c r="C142" s="12">
        <v>22</v>
      </c>
      <c r="D142" s="4" t="s">
        <v>1338</v>
      </c>
      <c r="F142" s="4" t="s">
        <v>1318</v>
      </c>
    </row>
    <row r="143" spans="1:6" hidden="1" x14ac:dyDescent="0.2">
      <c r="A143" s="4" t="s">
        <v>2912</v>
      </c>
      <c r="B143" s="11"/>
      <c r="C143" s="12">
        <v>23</v>
      </c>
      <c r="D143" s="4" t="s">
        <v>1339</v>
      </c>
      <c r="F143" s="4" t="s">
        <v>1318</v>
      </c>
    </row>
    <row r="144" spans="1:6" hidden="1" x14ac:dyDescent="0.2">
      <c r="A144" s="4" t="s">
        <v>2912</v>
      </c>
      <c r="B144" s="11"/>
      <c r="C144" s="12">
        <v>24</v>
      </c>
      <c r="D144" s="4" t="s">
        <v>1319</v>
      </c>
      <c r="F144" s="4" t="s">
        <v>1318</v>
      </c>
    </row>
    <row r="145" spans="1:9" x14ac:dyDescent="0.2">
      <c r="A145" s="4" t="s">
        <v>2845</v>
      </c>
      <c r="B145" s="11"/>
      <c r="C145" s="12">
        <v>0</v>
      </c>
      <c r="D145" s="4" t="s">
        <v>3348</v>
      </c>
      <c r="F145" s="4" t="s">
        <v>1011</v>
      </c>
      <c r="I145" s="4" t="s">
        <v>1012</v>
      </c>
    </row>
    <row r="146" spans="1:9" hidden="1" x14ac:dyDescent="0.2">
      <c r="A146" s="4" t="s">
        <v>160</v>
      </c>
      <c r="B146" s="11"/>
      <c r="C146" s="12">
        <v>1</v>
      </c>
      <c r="D146" s="4" t="s">
        <v>3837</v>
      </c>
      <c r="F146" s="4" t="s">
        <v>200</v>
      </c>
    </row>
    <row r="147" spans="1:9" hidden="1" x14ac:dyDescent="0.2">
      <c r="A147" s="4" t="s">
        <v>160</v>
      </c>
      <c r="B147" s="11"/>
      <c r="C147" s="12">
        <v>2</v>
      </c>
      <c r="D147" s="4" t="s">
        <v>3838</v>
      </c>
      <c r="F147" s="4" t="s">
        <v>200</v>
      </c>
    </row>
    <row r="148" spans="1:9" hidden="1" x14ac:dyDescent="0.2">
      <c r="A148" s="4" t="s">
        <v>154</v>
      </c>
      <c r="B148" s="11"/>
      <c r="C148" s="12">
        <v>3</v>
      </c>
      <c r="D148" s="4" t="s">
        <v>3839</v>
      </c>
      <c r="F148" s="4" t="s">
        <v>245</v>
      </c>
    </row>
    <row r="149" spans="1:9" hidden="1" x14ac:dyDescent="0.2">
      <c r="A149" s="4" t="s">
        <v>154</v>
      </c>
      <c r="B149" s="11"/>
      <c r="C149" s="12">
        <v>4</v>
      </c>
      <c r="D149" s="4" t="s">
        <v>3840</v>
      </c>
      <c r="F149" s="4" t="s">
        <v>245</v>
      </c>
    </row>
    <row r="150" spans="1:9" hidden="1" x14ac:dyDescent="0.2">
      <c r="A150" s="4" t="s">
        <v>154</v>
      </c>
      <c r="B150" s="11"/>
      <c r="C150" s="12">
        <v>5</v>
      </c>
      <c r="D150" s="4" t="s">
        <v>301</v>
      </c>
      <c r="F150" s="4" t="s">
        <v>245</v>
      </c>
    </row>
    <row r="151" spans="1:9" hidden="1" x14ac:dyDescent="0.2">
      <c r="A151" s="4" t="s">
        <v>154</v>
      </c>
      <c r="B151" s="11"/>
      <c r="C151" s="12">
        <v>6</v>
      </c>
      <c r="D151" s="4" t="s">
        <v>3841</v>
      </c>
      <c r="F151" s="4" t="s">
        <v>245</v>
      </c>
    </row>
    <row r="152" spans="1:9" hidden="1" x14ac:dyDescent="0.2">
      <c r="A152" s="4" t="s">
        <v>154</v>
      </c>
      <c r="B152" s="11"/>
      <c r="C152" s="12">
        <v>7</v>
      </c>
      <c r="D152" s="4" t="s">
        <v>3843</v>
      </c>
      <c r="F152" s="4" t="s">
        <v>245</v>
      </c>
    </row>
    <row r="153" spans="1:9" hidden="1" x14ac:dyDescent="0.2">
      <c r="A153" s="4" t="s">
        <v>154</v>
      </c>
      <c r="B153" s="11"/>
      <c r="C153" s="12">
        <v>8</v>
      </c>
      <c r="D153" s="4" t="s">
        <v>3842</v>
      </c>
      <c r="F153" s="4" t="s">
        <v>245</v>
      </c>
    </row>
    <row r="154" spans="1:9" hidden="1" x14ac:dyDescent="0.2">
      <c r="A154" s="4" t="s">
        <v>2976</v>
      </c>
      <c r="B154" s="11"/>
      <c r="C154" s="12">
        <v>0</v>
      </c>
      <c r="D154" s="4" t="s">
        <v>2276</v>
      </c>
    </row>
    <row r="155" spans="1:9" hidden="1" x14ac:dyDescent="0.2">
      <c r="A155" s="4" t="s">
        <v>2976</v>
      </c>
      <c r="B155" s="11"/>
      <c r="C155" s="12">
        <v>1</v>
      </c>
      <c r="D155" s="4" t="s">
        <v>2274</v>
      </c>
    </row>
    <row r="156" spans="1:9" hidden="1" x14ac:dyDescent="0.2">
      <c r="A156" s="4" t="s">
        <v>1782</v>
      </c>
      <c r="B156" s="11"/>
      <c r="C156" s="12">
        <v>1</v>
      </c>
      <c r="D156" s="4" t="s">
        <v>1783</v>
      </c>
    </row>
    <row r="157" spans="1:9" hidden="1" x14ac:dyDescent="0.2">
      <c r="A157" s="4" t="s">
        <v>1782</v>
      </c>
      <c r="B157" s="11"/>
      <c r="C157" s="12">
        <v>2</v>
      </c>
      <c r="D157" s="4" t="s">
        <v>1784</v>
      </c>
    </row>
    <row r="158" spans="1:9" hidden="1" x14ac:dyDescent="0.2">
      <c r="A158" s="4" t="s">
        <v>1782</v>
      </c>
      <c r="B158" s="11"/>
      <c r="C158" s="12">
        <v>3</v>
      </c>
      <c r="D158" s="4" t="s">
        <v>1785</v>
      </c>
    </row>
    <row r="159" spans="1:9" hidden="1" x14ac:dyDescent="0.2">
      <c r="A159" s="4" t="s">
        <v>1782</v>
      </c>
      <c r="B159" s="11"/>
      <c r="C159" s="12">
        <v>4</v>
      </c>
      <c r="D159" s="4" t="s">
        <v>1786</v>
      </c>
    </row>
    <row r="160" spans="1:9" hidden="1" x14ac:dyDescent="0.2">
      <c r="A160" s="4" t="s">
        <v>1782</v>
      </c>
      <c r="B160" s="11"/>
      <c r="C160" s="12">
        <v>5</v>
      </c>
      <c r="D160" s="4" t="s">
        <v>1787</v>
      </c>
    </row>
    <row r="161" spans="1:9" hidden="1" x14ac:dyDescent="0.2">
      <c r="A161" s="43" t="s">
        <v>2117</v>
      </c>
      <c r="B161" s="44"/>
      <c r="C161" s="45">
        <v>1</v>
      </c>
      <c r="D161" s="46" t="s">
        <v>2777</v>
      </c>
      <c r="E161" s="43"/>
      <c r="F161" s="46"/>
      <c r="I161" s="43"/>
    </row>
    <row r="162" spans="1:9" hidden="1" x14ac:dyDescent="0.2">
      <c r="A162" s="4" t="s">
        <v>2117</v>
      </c>
      <c r="B162" s="11"/>
      <c r="C162" s="12">
        <v>2</v>
      </c>
      <c r="D162" s="4" t="s">
        <v>2778</v>
      </c>
    </row>
    <row r="163" spans="1:9" hidden="1" x14ac:dyDescent="0.2">
      <c r="A163" s="4" t="s">
        <v>1943</v>
      </c>
      <c r="B163" s="11"/>
      <c r="C163" s="12">
        <v>1</v>
      </c>
      <c r="D163" s="4" t="s">
        <v>1944</v>
      </c>
      <c r="F163" s="4" t="s">
        <v>1938</v>
      </c>
    </row>
    <row r="164" spans="1:9" hidden="1" x14ac:dyDescent="0.2">
      <c r="A164" s="4" t="s">
        <v>1943</v>
      </c>
      <c r="B164" s="11"/>
      <c r="C164" s="12">
        <v>2</v>
      </c>
      <c r="D164" s="4" t="s">
        <v>1945</v>
      </c>
      <c r="F164" s="4" t="s">
        <v>1938</v>
      </c>
    </row>
    <row r="165" spans="1:9" hidden="1" x14ac:dyDescent="0.2">
      <c r="A165" s="4" t="s">
        <v>2947</v>
      </c>
      <c r="B165" s="11"/>
      <c r="C165" s="12">
        <v>1</v>
      </c>
      <c r="D165" s="4" t="s">
        <v>2942</v>
      </c>
    </row>
    <row r="166" spans="1:9" hidden="1" x14ac:dyDescent="0.2">
      <c r="A166" s="4" t="s">
        <v>2947</v>
      </c>
      <c r="B166" s="11"/>
      <c r="C166" s="12">
        <v>2</v>
      </c>
      <c r="D166" s="4" t="s">
        <v>2943</v>
      </c>
    </row>
    <row r="167" spans="1:9" hidden="1" x14ac:dyDescent="0.2">
      <c r="A167" s="4" t="s">
        <v>2947</v>
      </c>
      <c r="B167" s="11"/>
      <c r="C167" s="12">
        <v>3</v>
      </c>
      <c r="D167" s="4" t="s">
        <v>2944</v>
      </c>
    </row>
    <row r="168" spans="1:9" hidden="1" x14ac:dyDescent="0.2">
      <c r="A168" s="4" t="s">
        <v>2947</v>
      </c>
      <c r="B168" s="11"/>
      <c r="C168" s="12">
        <v>4</v>
      </c>
      <c r="D168" s="4" t="s">
        <v>2945</v>
      </c>
    </row>
    <row r="169" spans="1:9" hidden="1" x14ac:dyDescent="0.2">
      <c r="A169" s="4" t="s">
        <v>2947</v>
      </c>
      <c r="B169" s="11"/>
      <c r="C169" s="12">
        <v>5</v>
      </c>
      <c r="D169" s="4" t="s">
        <v>2946</v>
      </c>
    </row>
    <row r="170" spans="1:9" hidden="1" x14ac:dyDescent="0.2">
      <c r="A170" s="4" t="s">
        <v>3074</v>
      </c>
      <c r="B170" s="11"/>
      <c r="C170" s="12">
        <v>1</v>
      </c>
      <c r="D170" s="4" t="s">
        <v>3075</v>
      </c>
      <c r="F170" s="4" t="s">
        <v>200</v>
      </c>
    </row>
    <row r="171" spans="1:9" hidden="1" x14ac:dyDescent="0.2">
      <c r="A171" s="4" t="s">
        <v>3074</v>
      </c>
      <c r="B171" s="11"/>
      <c r="C171" s="12">
        <v>2</v>
      </c>
      <c r="D171" s="4" t="s">
        <v>3077</v>
      </c>
      <c r="F171" s="4" t="s">
        <v>200</v>
      </c>
    </row>
    <row r="172" spans="1:9" hidden="1" x14ac:dyDescent="0.2">
      <c r="A172" s="4" t="s">
        <v>3074</v>
      </c>
      <c r="B172" s="11"/>
      <c r="C172" s="12">
        <v>3</v>
      </c>
      <c r="D172" s="4" t="s">
        <v>3076</v>
      </c>
      <c r="F172" s="4" t="s">
        <v>200</v>
      </c>
    </row>
    <row r="173" spans="1:9" hidden="1" x14ac:dyDescent="0.2">
      <c r="A173" s="4" t="s">
        <v>3074</v>
      </c>
      <c r="B173" s="11"/>
      <c r="C173" s="12">
        <v>4</v>
      </c>
      <c r="D173" s="4" t="s">
        <v>3078</v>
      </c>
      <c r="F173" s="4" t="s">
        <v>200</v>
      </c>
    </row>
    <row r="174" spans="1:9" hidden="1" x14ac:dyDescent="0.2">
      <c r="A174" s="4" t="s">
        <v>3092</v>
      </c>
      <c r="B174" s="11"/>
      <c r="C174" s="12"/>
      <c r="D174" s="4" t="s">
        <v>3093</v>
      </c>
      <c r="F174" s="4" t="s">
        <v>3080</v>
      </c>
    </row>
    <row r="175" spans="1:9" hidden="1" x14ac:dyDescent="0.2">
      <c r="A175" s="4" t="s">
        <v>1788</v>
      </c>
      <c r="B175" s="11"/>
      <c r="C175" s="12">
        <v>1</v>
      </c>
      <c r="D175" s="4" t="s">
        <v>1789</v>
      </c>
    </row>
    <row r="176" spans="1:9" hidden="1" x14ac:dyDescent="0.2">
      <c r="A176" s="4" t="s">
        <v>1788</v>
      </c>
      <c r="B176" s="11"/>
      <c r="C176" s="12">
        <v>2</v>
      </c>
      <c r="D176" s="4" t="s">
        <v>1790</v>
      </c>
    </row>
    <row r="177" spans="1:9" hidden="1" x14ac:dyDescent="0.2">
      <c r="A177" s="4" t="s">
        <v>1788</v>
      </c>
      <c r="B177" s="11"/>
      <c r="C177" s="12">
        <v>3</v>
      </c>
      <c r="D177" s="4" t="s">
        <v>1791</v>
      </c>
    </row>
    <row r="178" spans="1:9" hidden="1" x14ac:dyDescent="0.2">
      <c r="A178" s="4" t="s">
        <v>3326</v>
      </c>
      <c r="B178" s="11"/>
      <c r="C178" s="12">
        <v>1</v>
      </c>
      <c r="D178" s="4" t="s">
        <v>3327</v>
      </c>
    </row>
    <row r="179" spans="1:9" hidden="1" x14ac:dyDescent="0.2">
      <c r="A179" s="4" t="s">
        <v>3326</v>
      </c>
      <c r="B179" s="11"/>
      <c r="C179" s="12">
        <v>2</v>
      </c>
      <c r="D179" s="4" t="s">
        <v>3328</v>
      </c>
    </row>
    <row r="180" spans="1:9" hidden="1" x14ac:dyDescent="0.2">
      <c r="A180" s="4" t="s">
        <v>3326</v>
      </c>
      <c r="B180" s="11"/>
      <c r="C180" s="12">
        <v>3</v>
      </c>
      <c r="D180" s="4" t="s">
        <v>3329</v>
      </c>
    </row>
    <row r="181" spans="1:9" x14ac:dyDescent="0.2">
      <c r="A181" s="4" t="s">
        <v>2845</v>
      </c>
      <c r="B181" s="11"/>
      <c r="C181" s="12">
        <v>1</v>
      </c>
      <c r="D181" s="4" t="s">
        <v>3408</v>
      </c>
      <c r="F181" s="4" t="s">
        <v>3405</v>
      </c>
      <c r="I181" s="4" t="s">
        <v>3407</v>
      </c>
    </row>
    <row r="182" spans="1:9" x14ac:dyDescent="0.2">
      <c r="A182" s="4" t="s">
        <v>2845</v>
      </c>
      <c r="B182" s="11"/>
      <c r="C182" s="12">
        <v>2</v>
      </c>
      <c r="D182" s="4" t="s">
        <v>3533</v>
      </c>
      <c r="F182" s="4" t="s">
        <v>3531</v>
      </c>
    </row>
    <row r="183" spans="1:9" hidden="1" x14ac:dyDescent="0.2">
      <c r="A183" s="4" t="s">
        <v>2846</v>
      </c>
      <c r="B183" s="11"/>
      <c r="C183" s="12">
        <v>10</v>
      </c>
      <c r="D183" s="4" t="s">
        <v>3668</v>
      </c>
      <c r="F183" s="4" t="s">
        <v>3631</v>
      </c>
      <c r="I183" s="4" t="s">
        <v>3669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868"/>
  <sheetViews>
    <sheetView showGridLines="0" zoomScaleNormal="100" workbookViewId="0">
      <pane ySplit="1" topLeftCell="A2" activePane="bottomLeft" state="frozen"/>
      <selection pane="bottomLeft" activeCell="D5608" sqref="D5608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285</v>
      </c>
      <c r="D1" s="23" t="s">
        <v>93</v>
      </c>
      <c r="E1" s="23" t="s">
        <v>0</v>
      </c>
      <c r="F1" s="23" t="s">
        <v>203</v>
      </c>
      <c r="G1" s="23" t="s">
        <v>1273</v>
      </c>
      <c r="H1" s="23" t="s">
        <v>2859</v>
      </c>
      <c r="I1" s="23" t="s">
        <v>94</v>
      </c>
      <c r="J1" s="23" t="s">
        <v>389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-182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-182</v>
      </c>
    </row>
    <row r="4" spans="1:10" hidden="1" x14ac:dyDescent="0.2">
      <c r="A4" s="23" t="s">
        <v>2848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-163</v>
      </c>
    </row>
    <row r="5" spans="1:10" hidden="1" x14ac:dyDescent="0.2">
      <c r="A5" s="23" t="s">
        <v>2848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-163</v>
      </c>
    </row>
    <row r="6" spans="1:10" hidden="1" x14ac:dyDescent="0.2">
      <c r="A6" s="23" t="s">
        <v>2847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-191</v>
      </c>
    </row>
    <row r="7" spans="1:10" hidden="1" x14ac:dyDescent="0.2">
      <c r="A7" s="23" t="s">
        <v>2847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-191</v>
      </c>
    </row>
    <row r="8" spans="1:10" hidden="1" x14ac:dyDescent="0.2">
      <c r="A8" s="23" t="s">
        <v>2847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-184</v>
      </c>
    </row>
    <row r="9" spans="1:10" hidden="1" x14ac:dyDescent="0.2">
      <c r="A9" s="23" t="s">
        <v>2847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-182</v>
      </c>
    </row>
    <row r="10" spans="1:10" hidden="1" x14ac:dyDescent="0.2">
      <c r="A10" s="23" t="s">
        <v>2847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-182</v>
      </c>
    </row>
    <row r="11" spans="1:10" hidden="1" x14ac:dyDescent="0.2">
      <c r="A11" s="23" t="s">
        <v>2847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-182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-182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-182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-196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-194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-194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-194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-194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-194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-194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-194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-193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-193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-186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-186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-186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-186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-186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-186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-186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-186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-185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-185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-185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-185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-185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-185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-185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-185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-185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-185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-185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-185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-185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-185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-185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-185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-185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-185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-185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-184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-184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-184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-183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-182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-182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-181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-179</v>
      </c>
    </row>
    <row r="59" spans="1:10" hidden="1" x14ac:dyDescent="0.2">
      <c r="A59" s="23" t="s">
        <v>2847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-179</v>
      </c>
    </row>
    <row r="60" spans="1:10" hidden="1" x14ac:dyDescent="0.2">
      <c r="A60" s="23" t="s">
        <v>2847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-179</v>
      </c>
    </row>
    <row r="61" spans="1:10" hidden="1" x14ac:dyDescent="0.2">
      <c r="A61" s="23" t="s">
        <v>2847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-177</v>
      </c>
    </row>
    <row r="62" spans="1:10" hidden="1" x14ac:dyDescent="0.2">
      <c r="A62" s="23" t="s">
        <v>2847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-175</v>
      </c>
    </row>
    <row r="63" spans="1:10" hidden="1" x14ac:dyDescent="0.2">
      <c r="A63" s="23" t="s">
        <v>2847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-175</v>
      </c>
    </row>
    <row r="64" spans="1:10" hidden="1" x14ac:dyDescent="0.2">
      <c r="A64" s="23" t="s">
        <v>2847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-175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-192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-186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-182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-183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-182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-181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-179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-179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-179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-179</v>
      </c>
    </row>
    <row r="75" spans="1:10" hidden="1" x14ac:dyDescent="0.2">
      <c r="A75" s="23" t="s">
        <v>289</v>
      </c>
      <c r="B75" s="25">
        <v>43600</v>
      </c>
      <c r="C75" s="26">
        <v>11</v>
      </c>
      <c r="D75" s="7" t="s">
        <v>290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-178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-178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-178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-178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-177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-177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-196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-186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-186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-186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-186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-186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-186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-185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-185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-185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-183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-183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-183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-183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-192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-185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-183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-183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-183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-183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-183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-182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-182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-182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-182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-182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-182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-179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-178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-177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287</v>
      </c>
      <c r="G111" s="26"/>
      <c r="H111" s="26"/>
      <c r="I111" s="23" t="s">
        <v>27</v>
      </c>
      <c r="J111" s="29">
        <f ca="1">ROUNDDOWN(表3[[#This Row],[日期]]-TODAY(),1)</f>
        <v>-196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287</v>
      </c>
      <c r="G112" s="26"/>
      <c r="H112" s="26"/>
      <c r="I112" s="23" t="s">
        <v>29</v>
      </c>
      <c r="J112" s="29">
        <f ca="1">ROUNDDOWN(表3[[#This Row],[日期]]-TODAY(),1)</f>
        <v>-186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287</v>
      </c>
      <c r="G113" s="26"/>
      <c r="H113" s="26"/>
      <c r="I113" s="23"/>
      <c r="J113" s="29">
        <f ca="1">ROUNDDOWN(表3[[#This Row],[日期]]-TODAY(),1)</f>
        <v>-186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287</v>
      </c>
      <c r="G114" s="26"/>
      <c r="H114" s="26"/>
      <c r="I114" s="23" t="s">
        <v>40</v>
      </c>
      <c r="J114" s="29">
        <f ca="1">ROUNDDOWN(表3[[#This Row],[日期]]-TODAY(),1)</f>
        <v>-186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287</v>
      </c>
      <c r="G115" s="26"/>
      <c r="H115" s="26"/>
      <c r="I115" s="23"/>
      <c r="J115" s="29">
        <f ca="1">ROUNDDOWN(表3[[#This Row],[日期]]-TODAY(),1)</f>
        <v>-186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287</v>
      </c>
      <c r="G116" s="26"/>
      <c r="H116" s="26"/>
      <c r="I116" s="23"/>
      <c r="J116" s="29">
        <f ca="1">ROUNDDOWN(表3[[#This Row],[日期]]-TODAY(),1)</f>
        <v>-186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288</v>
      </c>
      <c r="G117" s="26"/>
      <c r="H117" s="26"/>
      <c r="I117" s="23"/>
      <c r="J117" s="29">
        <f ca="1">ROUNDDOWN(表3[[#This Row],[日期]]-TODAY(),1)</f>
        <v>-185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287</v>
      </c>
      <c r="G118" s="26"/>
      <c r="H118" s="26"/>
      <c r="I118" s="23"/>
      <c r="J118" s="29">
        <f ca="1">ROUNDDOWN(表3[[#This Row],[日期]]-TODAY(),1)</f>
        <v>-185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287</v>
      </c>
      <c r="G119" s="26"/>
      <c r="H119" s="26"/>
      <c r="I119" s="23" t="s">
        <v>30</v>
      </c>
      <c r="J119" s="29">
        <f ca="1">ROUNDDOWN(表3[[#This Row],[日期]]-TODAY(),1)</f>
        <v>-185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287</v>
      </c>
      <c r="G120" s="26"/>
      <c r="H120" s="26"/>
      <c r="I120" s="23"/>
      <c r="J120" s="29">
        <f ca="1">ROUNDDOWN(表3[[#This Row],[日期]]-TODAY(),1)</f>
        <v>-185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287</v>
      </c>
      <c r="G121" s="26"/>
      <c r="H121" s="26"/>
      <c r="I121" s="23" t="s">
        <v>32</v>
      </c>
      <c r="J121" s="29">
        <f ca="1">ROUNDDOWN(表3[[#This Row],[日期]]-TODAY(),1)</f>
        <v>-179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287</v>
      </c>
      <c r="G122" s="26"/>
      <c r="H122" s="26"/>
      <c r="I122" s="23"/>
      <c r="J122" s="29">
        <f ca="1">ROUNDDOWN(表3[[#This Row],[日期]]-TODAY(),1)</f>
        <v>-179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287</v>
      </c>
      <c r="G123" s="26"/>
      <c r="H123" s="26"/>
      <c r="I123" s="23"/>
      <c r="J123" s="29">
        <f ca="1">ROUNDDOWN(表3[[#This Row],[日期]]-TODAY(),1)</f>
        <v>-179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287</v>
      </c>
      <c r="G124" s="26"/>
      <c r="H124" s="26"/>
      <c r="I124" s="23"/>
      <c r="J124" s="29">
        <f ca="1">ROUNDDOWN(表3[[#This Row],[日期]]-TODAY(),1)</f>
        <v>-179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287</v>
      </c>
      <c r="G125" s="26"/>
      <c r="H125" s="26"/>
      <c r="I125" s="23"/>
      <c r="J125" s="29">
        <f ca="1">ROUNDDOWN(表3[[#This Row],[日期]]-TODAY(),1)</f>
        <v>-179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287</v>
      </c>
      <c r="G126" s="26"/>
      <c r="H126" s="26"/>
      <c r="I126" s="23"/>
      <c r="J126" s="29">
        <f ca="1">ROUNDDOWN(表3[[#This Row],[日期]]-TODAY(),1)</f>
        <v>-179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287</v>
      </c>
      <c r="G127" s="26"/>
      <c r="H127" s="26"/>
      <c r="I127" s="23"/>
      <c r="J127" s="29">
        <f ca="1">ROUNDDOWN(表3[[#This Row],[日期]]-TODAY(),1)</f>
        <v>-179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287</v>
      </c>
      <c r="G128" s="26"/>
      <c r="H128" s="26"/>
      <c r="I128" s="23"/>
      <c r="J128" s="29">
        <f ca="1">ROUNDDOWN(表3[[#This Row],[日期]]-TODAY(),1)</f>
        <v>-179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287</v>
      </c>
      <c r="G129" s="26"/>
      <c r="H129" s="26"/>
      <c r="I129" s="23" t="s">
        <v>34</v>
      </c>
      <c r="J129" s="29">
        <f ca="1">ROUNDDOWN(表3[[#This Row],[日期]]-TODAY(),1)</f>
        <v>-178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287</v>
      </c>
      <c r="G130" s="26"/>
      <c r="H130" s="26"/>
      <c r="I130" s="23"/>
      <c r="J130" s="29">
        <f ca="1">ROUNDDOWN(表3[[#This Row],[日期]]-TODAY(),1)</f>
        <v>-178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287</v>
      </c>
      <c r="G131" s="26"/>
      <c r="H131" s="26"/>
      <c r="I131" s="23"/>
      <c r="J131" s="29">
        <f ca="1">ROUNDDOWN(表3[[#This Row],[日期]]-TODAY(),1)</f>
        <v>-178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287</v>
      </c>
      <c r="G132" s="26"/>
      <c r="H132" s="26"/>
      <c r="I132" s="23"/>
      <c r="J132" s="29">
        <f ca="1">ROUNDDOWN(表3[[#This Row],[日期]]-TODAY(),1)</f>
        <v>-178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287</v>
      </c>
      <c r="G133" s="26"/>
      <c r="H133" s="26"/>
      <c r="I133" s="23" t="s">
        <v>40</v>
      </c>
      <c r="J133" s="29">
        <f ca="1">ROUNDDOWN(表3[[#This Row],[日期]]-TODAY(),1)</f>
        <v>-178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287</v>
      </c>
      <c r="G134" s="26"/>
      <c r="H134" s="26"/>
      <c r="I134" s="23" t="s">
        <v>155</v>
      </c>
      <c r="J134" s="29">
        <f ca="1">ROUNDDOWN(表3[[#This Row],[日期]]-TODAY(),1)</f>
        <v>-178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287</v>
      </c>
      <c r="G135" s="26"/>
      <c r="H135" s="26"/>
      <c r="I135" s="23" t="s">
        <v>40</v>
      </c>
      <c r="J135" s="29">
        <f ca="1">ROUNDDOWN(表3[[#This Row],[日期]]-TODAY(),1)</f>
        <v>-178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287</v>
      </c>
      <c r="G136" s="26"/>
      <c r="H136" s="26"/>
      <c r="I136" s="23"/>
      <c r="J136" s="29">
        <f ca="1">ROUNDDOWN(表3[[#This Row],[日期]]-TODAY(),1)</f>
        <v>-178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287</v>
      </c>
      <c r="G137" s="26"/>
      <c r="H137" s="26"/>
      <c r="I137" s="23"/>
      <c r="J137" s="29">
        <f ca="1">ROUNDDOWN(表3[[#This Row],[日期]]-TODAY(),1)</f>
        <v>-178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287</v>
      </c>
      <c r="G138" s="26"/>
      <c r="H138" s="26"/>
      <c r="I138" s="23"/>
      <c r="J138" s="29">
        <f ca="1">ROUNDDOWN(表3[[#This Row],[日期]]-TODAY(),1)</f>
        <v>-178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287</v>
      </c>
      <c r="G139" s="26"/>
      <c r="H139" s="26"/>
      <c r="I139" s="23"/>
      <c r="J139" s="29">
        <f ca="1">ROUNDDOWN(表3[[#This Row],[日期]]-TODAY(),1)</f>
        <v>-178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287</v>
      </c>
      <c r="G140" s="26"/>
      <c r="H140" s="26"/>
      <c r="I140" s="23"/>
      <c r="J140" s="29">
        <f ca="1">ROUNDDOWN(表3[[#This Row],[日期]]-TODAY(),1)</f>
        <v>-178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287</v>
      </c>
      <c r="G141" s="26"/>
      <c r="H141" s="26"/>
      <c r="I141" s="23" t="s">
        <v>61</v>
      </c>
      <c r="J141" s="29">
        <f ca="1">ROUNDDOWN(表3[[#This Row],[日期]]-TODAY(),1)</f>
        <v>-178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287</v>
      </c>
      <c r="G142" s="26"/>
      <c r="H142" s="26"/>
      <c r="I142" s="23"/>
      <c r="J142" s="29">
        <f ca="1">ROUNDDOWN(表3[[#This Row],[日期]]-TODAY(),1)</f>
        <v>-178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287</v>
      </c>
      <c r="G143" s="26"/>
      <c r="H143" s="26"/>
      <c r="I143" s="23" t="s">
        <v>30</v>
      </c>
      <c r="J143" s="29">
        <f ca="1">ROUNDDOWN(表3[[#This Row],[日期]]-TODAY(),1)</f>
        <v>-178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287</v>
      </c>
      <c r="G144" s="26"/>
      <c r="H144" s="26"/>
      <c r="I144" s="23" t="s">
        <v>40</v>
      </c>
      <c r="J144" s="29">
        <f ca="1">ROUNDDOWN(表3[[#This Row],[日期]]-TODAY(),1)</f>
        <v>-178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287</v>
      </c>
      <c r="G145" s="26"/>
      <c r="H145" s="26"/>
      <c r="I145" s="23"/>
      <c r="J145" s="29">
        <f ca="1">ROUNDDOWN(表3[[#This Row],[日期]]-TODAY(),1)</f>
        <v>-178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287</v>
      </c>
      <c r="G146" s="26"/>
      <c r="H146" s="26"/>
      <c r="I146" s="23" t="s">
        <v>68</v>
      </c>
      <c r="J146" s="29">
        <f ca="1">ROUNDDOWN(表3[[#This Row],[日期]]-TODAY(),1)</f>
        <v>-178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287</v>
      </c>
      <c r="G147" s="26"/>
      <c r="H147" s="26"/>
      <c r="I147" s="23"/>
      <c r="J147" s="29">
        <f ca="1">ROUNDDOWN(表3[[#This Row],[日期]]-TODAY(),1)</f>
        <v>-178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287</v>
      </c>
      <c r="G148" s="26"/>
      <c r="H148" s="26"/>
      <c r="I148" s="23"/>
      <c r="J148" s="29">
        <f ca="1">ROUNDDOWN(表3[[#This Row],[日期]]-TODAY(),1)</f>
        <v>-177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288</v>
      </c>
      <c r="G149" s="26"/>
      <c r="H149" s="26"/>
      <c r="I149" s="23"/>
      <c r="J149" s="29">
        <f ca="1">ROUNDDOWN(表3[[#This Row],[日期]]-TODAY(),1)</f>
        <v>-177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287</v>
      </c>
      <c r="G150" s="26"/>
      <c r="H150" s="26"/>
      <c r="I150" s="23"/>
      <c r="J150" s="29">
        <f ca="1">ROUNDDOWN(表3[[#This Row],[日期]]-TODAY(),1)</f>
        <v>-177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287</v>
      </c>
      <c r="G151" s="26"/>
      <c r="H151" s="26"/>
      <c r="I151" s="23"/>
      <c r="J151" s="29">
        <f ca="1">ROUNDDOWN(表3[[#This Row],[日期]]-TODAY(),1)</f>
        <v>-177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287</v>
      </c>
      <c r="G152" s="26"/>
      <c r="H152" s="26"/>
      <c r="I152" s="23"/>
      <c r="J152" s="29">
        <f ca="1">ROUNDDOWN(表3[[#This Row],[日期]]-TODAY(),1)</f>
        <v>-177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386</v>
      </c>
      <c r="E153" s="27">
        <v>43602</v>
      </c>
      <c r="F153" s="28" t="s">
        <v>388</v>
      </c>
      <c r="G153" s="26"/>
      <c r="H153" s="26"/>
      <c r="I153" s="23"/>
      <c r="J153" s="29">
        <f ca="1">ROUNDDOWN(表3[[#This Row],[日期]]-TODAY(),1)</f>
        <v>-175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287</v>
      </c>
      <c r="G154" s="26"/>
      <c r="H154" s="26"/>
      <c r="I154" s="23"/>
      <c r="J154" s="29">
        <f ca="1">ROUNDDOWN(表3[[#This Row],[日期]]-TODAY(),1)</f>
        <v>-175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287</v>
      </c>
      <c r="G155" s="26"/>
      <c r="H155" s="26"/>
      <c r="I155" s="23"/>
      <c r="J155" s="29">
        <f ca="1">ROUNDDOWN(表3[[#This Row],[日期]]-TODAY(),1)</f>
        <v>-175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287</v>
      </c>
      <c r="G156" s="26"/>
      <c r="H156" s="26"/>
      <c r="I156" s="23" t="s">
        <v>126</v>
      </c>
      <c r="J156" s="29">
        <f ca="1">ROUNDDOWN(表3[[#This Row],[日期]]-TODAY(),1)</f>
        <v>-172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-185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-185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-184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-184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-179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-179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-179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-179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295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-179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296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-178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-179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-179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-178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-178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-178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-178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299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-178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297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-177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-172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298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-170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397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-165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533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-141</v>
      </c>
    </row>
    <row r="179" spans="1:10" hidden="1" x14ac:dyDescent="0.2">
      <c r="A179" s="23" t="s">
        <v>2847</v>
      </c>
      <c r="B179" s="31">
        <v>43605</v>
      </c>
      <c r="C179" s="32">
        <v>1</v>
      </c>
      <c r="D179" s="7" t="s">
        <v>367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-172</v>
      </c>
    </row>
    <row r="180" spans="1:10" hidden="1" x14ac:dyDescent="0.2">
      <c r="A180" s="23" t="s">
        <v>2847</v>
      </c>
      <c r="B180" s="31">
        <v>43605</v>
      </c>
      <c r="C180" s="32">
        <v>2</v>
      </c>
      <c r="D180" s="7" t="s">
        <v>368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-172</v>
      </c>
    </row>
    <row r="181" spans="1:10" hidden="1" x14ac:dyDescent="0.2">
      <c r="A181" s="23" t="s">
        <v>2847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-172</v>
      </c>
    </row>
    <row r="182" spans="1:10" hidden="1" x14ac:dyDescent="0.2">
      <c r="A182" s="23" t="s">
        <v>2847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-170</v>
      </c>
    </row>
    <row r="183" spans="1:10" hidden="1" x14ac:dyDescent="0.2">
      <c r="A183" s="23" t="s">
        <v>2847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-168</v>
      </c>
    </row>
    <row r="184" spans="1:10" hidden="1" x14ac:dyDescent="0.2">
      <c r="A184" s="23" t="s">
        <v>2847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-168</v>
      </c>
    </row>
    <row r="185" spans="1:10" hidden="1" x14ac:dyDescent="0.2">
      <c r="A185" s="23" t="s">
        <v>2847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-168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-182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-182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-178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-176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-175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-175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-175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-175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-172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344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-172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-172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-172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400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-172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401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-170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402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-169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399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-168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-165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-183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-183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-183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-176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-176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-176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351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-176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-176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-175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-175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-175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-175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-172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-172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-171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-170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-197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-197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-197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-197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-183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-178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350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-178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-178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-178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-177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-176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300</v>
      </c>
      <c r="E230" s="27">
        <v>43601</v>
      </c>
      <c r="F230" s="28" t="s">
        <v>242</v>
      </c>
      <c r="G230" s="26"/>
      <c r="H230" s="26"/>
      <c r="I230" s="23" t="s">
        <v>343</v>
      </c>
      <c r="J230" s="29">
        <f ca="1">ROUNDDOWN(表3[[#This Row],[日期]]-TODAY(),1)</f>
        <v>-176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261</v>
      </c>
      <c r="E231" s="27">
        <v>43602</v>
      </c>
      <c r="F231" s="28" t="s">
        <v>242</v>
      </c>
      <c r="G231" s="26"/>
      <c r="H231" s="26"/>
      <c r="I231" s="23" t="s">
        <v>259</v>
      </c>
      <c r="J231" s="29">
        <f ca="1">ROUNDDOWN(表3[[#This Row],[日期]]-TODAY(),1)</f>
        <v>-175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349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-175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265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-175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279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-172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281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-172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283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-172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267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-175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269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-175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271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-172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273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-172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275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-171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277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-170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395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-170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413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-169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-182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-182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-179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-179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-178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-178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-178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-178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-178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-177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-177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-172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-172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-172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-172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-172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-172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-172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-172</v>
      </c>
    </row>
    <row r="264" spans="1:10" hidden="1" x14ac:dyDescent="0.2">
      <c r="A264" s="23" t="s">
        <v>354</v>
      </c>
      <c r="B264" s="25">
        <v>43609</v>
      </c>
      <c r="C264" s="26">
        <v>20.100000000000001</v>
      </c>
      <c r="D264" s="7" t="s">
        <v>355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-175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377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-171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-171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-171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-171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-171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345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-171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-171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-171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-171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-171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-171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-171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-171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-171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-171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378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-171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379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-171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-171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-171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-171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-170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-170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-170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-170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-169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-165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-165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387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-167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-165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505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-156</v>
      </c>
    </row>
    <row r="295" spans="1:10" hidden="1" x14ac:dyDescent="0.2">
      <c r="A295" s="23" t="s">
        <v>2847</v>
      </c>
      <c r="B295" s="25">
        <v>43612</v>
      </c>
      <c r="C295" s="26">
        <v>1</v>
      </c>
      <c r="D295" s="7" t="s">
        <v>367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-165</v>
      </c>
    </row>
    <row r="296" spans="1:10" hidden="1" x14ac:dyDescent="0.2">
      <c r="A296" s="23" t="s">
        <v>2847</v>
      </c>
      <c r="B296" s="25">
        <v>43612</v>
      </c>
      <c r="C296" s="26">
        <v>2</v>
      </c>
      <c r="D296" s="7" t="s">
        <v>368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-165</v>
      </c>
    </row>
    <row r="297" spans="1:10" hidden="1" x14ac:dyDescent="0.2">
      <c r="A297" s="23" t="s">
        <v>2847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-165</v>
      </c>
    </row>
    <row r="298" spans="1:10" hidden="1" x14ac:dyDescent="0.2">
      <c r="A298" s="23" t="s">
        <v>2847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-163</v>
      </c>
    </row>
    <row r="299" spans="1:10" hidden="1" x14ac:dyDescent="0.2">
      <c r="A299" s="23" t="s">
        <v>2847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-161</v>
      </c>
    </row>
    <row r="300" spans="1:10" hidden="1" x14ac:dyDescent="0.2">
      <c r="A300" s="23" t="s">
        <v>2847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-161</v>
      </c>
    </row>
    <row r="301" spans="1:10" hidden="1" x14ac:dyDescent="0.2">
      <c r="A301" s="23" t="s">
        <v>2847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-161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-182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-178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-178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-178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-178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-178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-178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-178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-178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-177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-177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380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-169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-169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-169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-169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-169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-169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-169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-169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381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-168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-168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-168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-168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-168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346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-168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-168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-168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-168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-168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-168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-168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-168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-168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-168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382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-168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398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-167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-168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-167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-167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-167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-167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-167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-165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-165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448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-163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-165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-165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506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-156</v>
      </c>
    </row>
    <row r="350" spans="1:10" hidden="1" x14ac:dyDescent="0.2">
      <c r="A350" s="23" t="s">
        <v>302</v>
      </c>
      <c r="B350" s="25">
        <v>43613</v>
      </c>
      <c r="C350" s="26">
        <v>1</v>
      </c>
      <c r="D350" s="7" t="s">
        <v>328</v>
      </c>
      <c r="E350" s="27">
        <v>43600</v>
      </c>
      <c r="F350" s="28" t="s">
        <v>340</v>
      </c>
      <c r="G350" s="26"/>
      <c r="H350" s="26"/>
      <c r="I350" s="23"/>
      <c r="J350" s="29">
        <f ca="1">ROUNDDOWN(表3[[#This Row],[日期]]-TODAY(),1)</f>
        <v>-177</v>
      </c>
    </row>
    <row r="351" spans="1:10" hidden="1" x14ac:dyDescent="0.2">
      <c r="A351" s="23" t="s">
        <v>302</v>
      </c>
      <c r="B351" s="25">
        <v>43613</v>
      </c>
      <c r="C351" s="26">
        <v>2</v>
      </c>
      <c r="D351" s="7" t="s">
        <v>329</v>
      </c>
      <c r="E351" s="27">
        <v>43600</v>
      </c>
      <c r="F351" s="28" t="s">
        <v>340</v>
      </c>
      <c r="G351" s="26"/>
      <c r="H351" s="26"/>
      <c r="I351" s="23"/>
      <c r="J351" s="29">
        <f ca="1">ROUNDDOWN(表3[[#This Row],[日期]]-TODAY(),1)</f>
        <v>-177</v>
      </c>
    </row>
    <row r="352" spans="1:10" hidden="1" x14ac:dyDescent="0.2">
      <c r="A352" s="23" t="s">
        <v>302</v>
      </c>
      <c r="B352" s="25">
        <v>43613</v>
      </c>
      <c r="C352" s="26">
        <v>3</v>
      </c>
      <c r="D352" s="7" t="s">
        <v>330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-176</v>
      </c>
    </row>
    <row r="353" spans="1:10" hidden="1" x14ac:dyDescent="0.2">
      <c r="A353" s="23" t="s">
        <v>302</v>
      </c>
      <c r="B353" s="25">
        <v>43613</v>
      </c>
      <c r="C353" s="26">
        <v>4</v>
      </c>
      <c r="D353" s="7" t="s">
        <v>331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-176</v>
      </c>
    </row>
    <row r="354" spans="1:10" hidden="1" x14ac:dyDescent="0.2">
      <c r="A354" s="23" t="s">
        <v>302</v>
      </c>
      <c r="B354" s="25">
        <v>43613</v>
      </c>
      <c r="C354" s="26">
        <v>5</v>
      </c>
      <c r="D354" s="7" t="s">
        <v>332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-170</v>
      </c>
    </row>
    <row r="355" spans="1:10" hidden="1" x14ac:dyDescent="0.2">
      <c r="A355" s="23" t="s">
        <v>302</v>
      </c>
      <c r="B355" s="25">
        <v>43613</v>
      </c>
      <c r="C355" s="26">
        <v>6</v>
      </c>
      <c r="D355" s="7" t="s">
        <v>409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-170</v>
      </c>
    </row>
    <row r="356" spans="1:10" hidden="1" x14ac:dyDescent="0.2">
      <c r="A356" s="23" t="s">
        <v>302</v>
      </c>
      <c r="B356" s="25">
        <v>43613</v>
      </c>
      <c r="C356" s="26">
        <v>7</v>
      </c>
      <c r="D356" s="7" t="s">
        <v>410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-169</v>
      </c>
    </row>
    <row r="357" spans="1:10" hidden="1" x14ac:dyDescent="0.2">
      <c r="A357" s="23" t="s">
        <v>302</v>
      </c>
      <c r="B357" s="25">
        <v>43613</v>
      </c>
      <c r="C357" s="26">
        <v>8</v>
      </c>
      <c r="D357" s="7" t="s">
        <v>411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-169</v>
      </c>
    </row>
    <row r="358" spans="1:10" hidden="1" x14ac:dyDescent="0.2">
      <c r="A358" s="23" t="s">
        <v>302</v>
      </c>
      <c r="B358" s="25">
        <v>43613</v>
      </c>
      <c r="C358" s="26">
        <v>9</v>
      </c>
      <c r="D358" s="7" t="s">
        <v>333</v>
      </c>
      <c r="E358" s="27">
        <v>43609</v>
      </c>
      <c r="F358" s="28" t="s">
        <v>242</v>
      </c>
      <c r="G358" s="26"/>
      <c r="H358" s="26"/>
      <c r="I358" s="23" t="s">
        <v>341</v>
      </c>
      <c r="J358" s="29">
        <f ca="1">ROUNDDOWN(表3[[#This Row],[日期]]-TODAY(),1)</f>
        <v>-168</v>
      </c>
    </row>
    <row r="359" spans="1:10" hidden="1" x14ac:dyDescent="0.2">
      <c r="A359" s="23" t="s">
        <v>302</v>
      </c>
      <c r="B359" s="25">
        <v>43613</v>
      </c>
      <c r="C359" s="26">
        <v>10</v>
      </c>
      <c r="D359" s="7" t="s">
        <v>334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-168</v>
      </c>
    </row>
    <row r="360" spans="1:10" hidden="1" x14ac:dyDescent="0.2">
      <c r="A360" s="23" t="s">
        <v>302</v>
      </c>
      <c r="B360" s="25">
        <v>43613</v>
      </c>
      <c r="C360" s="26">
        <v>11</v>
      </c>
      <c r="D360" s="7" t="s">
        <v>342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-168</v>
      </c>
    </row>
    <row r="361" spans="1:10" hidden="1" x14ac:dyDescent="0.2">
      <c r="A361" s="23" t="s">
        <v>302</v>
      </c>
      <c r="B361" s="25">
        <v>43613</v>
      </c>
      <c r="C361" s="26">
        <v>12</v>
      </c>
      <c r="D361" s="7" t="s">
        <v>335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-168</v>
      </c>
    </row>
    <row r="362" spans="1:10" hidden="1" x14ac:dyDescent="0.2">
      <c r="A362" s="23" t="s">
        <v>302</v>
      </c>
      <c r="B362" s="25">
        <v>43613</v>
      </c>
      <c r="C362" s="26">
        <v>13</v>
      </c>
      <c r="D362" s="7" t="s">
        <v>336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-168</v>
      </c>
    </row>
    <row r="363" spans="1:10" hidden="1" x14ac:dyDescent="0.2">
      <c r="A363" s="23" t="s">
        <v>302</v>
      </c>
      <c r="B363" s="25">
        <v>43613</v>
      </c>
      <c r="C363" s="26">
        <v>14</v>
      </c>
      <c r="D363" s="7" t="s">
        <v>337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-168</v>
      </c>
    </row>
    <row r="364" spans="1:10" hidden="1" x14ac:dyDescent="0.2">
      <c r="A364" s="23" t="s">
        <v>302</v>
      </c>
      <c r="B364" s="25">
        <v>43613</v>
      </c>
      <c r="C364" s="26">
        <v>15</v>
      </c>
      <c r="D364" s="7" t="s">
        <v>338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-168</v>
      </c>
    </row>
    <row r="365" spans="1:10" hidden="1" x14ac:dyDescent="0.2">
      <c r="A365" s="23" t="s">
        <v>302</v>
      </c>
      <c r="B365" s="25">
        <v>43613</v>
      </c>
      <c r="C365" s="26">
        <v>16</v>
      </c>
      <c r="D365" s="7" t="s">
        <v>339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-168</v>
      </c>
    </row>
    <row r="366" spans="1:10" hidden="1" x14ac:dyDescent="0.2">
      <c r="A366" s="23" t="s">
        <v>302</v>
      </c>
      <c r="B366" s="25">
        <v>43613</v>
      </c>
      <c r="C366" s="26">
        <v>17</v>
      </c>
      <c r="D366" s="7" t="s">
        <v>424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-167</v>
      </c>
    </row>
    <row r="367" spans="1:10" hidden="1" x14ac:dyDescent="0.2">
      <c r="A367" s="23" t="s">
        <v>302</v>
      </c>
      <c r="B367" s="25">
        <v>43613</v>
      </c>
      <c r="C367" s="26">
        <v>18</v>
      </c>
      <c r="D367" s="7" t="s">
        <v>426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-167</v>
      </c>
    </row>
    <row r="368" spans="1:10" hidden="1" x14ac:dyDescent="0.2">
      <c r="A368" s="23" t="s">
        <v>302</v>
      </c>
      <c r="B368" s="25">
        <v>43613</v>
      </c>
      <c r="C368" s="26">
        <v>19</v>
      </c>
      <c r="D368" s="7" t="s">
        <v>425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-167</v>
      </c>
    </row>
    <row r="369" spans="1:10" hidden="1" x14ac:dyDescent="0.2">
      <c r="A369" s="23" t="s">
        <v>302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-167</v>
      </c>
    </row>
    <row r="370" spans="1:10" hidden="1" x14ac:dyDescent="0.2">
      <c r="A370" s="23" t="s">
        <v>302</v>
      </c>
      <c r="B370" s="25">
        <v>43613</v>
      </c>
      <c r="C370" s="26">
        <v>21</v>
      </c>
      <c r="D370" s="7" t="s">
        <v>427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-165</v>
      </c>
    </row>
    <row r="371" spans="1:10" hidden="1" x14ac:dyDescent="0.2">
      <c r="A371" s="23" t="s">
        <v>302</v>
      </c>
      <c r="B371" s="25">
        <v>43613</v>
      </c>
      <c r="C371" s="26">
        <v>22</v>
      </c>
      <c r="D371" s="7" t="s">
        <v>305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-163</v>
      </c>
    </row>
    <row r="372" spans="1:10" hidden="1" x14ac:dyDescent="0.2">
      <c r="A372" s="23" t="s">
        <v>302</v>
      </c>
      <c r="B372" s="25">
        <v>43613</v>
      </c>
      <c r="C372" s="26">
        <v>23</v>
      </c>
      <c r="D372" s="7" t="s">
        <v>504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-156</v>
      </c>
    </row>
    <row r="373" spans="1:10" hidden="1" x14ac:dyDescent="0.2">
      <c r="A373" s="23" t="s">
        <v>302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-163</v>
      </c>
    </row>
    <row r="374" spans="1:10" hidden="1" x14ac:dyDescent="0.2">
      <c r="A374" s="23" t="s">
        <v>302</v>
      </c>
      <c r="B374" s="25">
        <v>43613</v>
      </c>
      <c r="C374" s="26">
        <v>25</v>
      </c>
      <c r="D374" s="7" t="s">
        <v>533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-141</v>
      </c>
    </row>
    <row r="375" spans="1:10" hidden="1" x14ac:dyDescent="0.2">
      <c r="A375" s="23" t="s">
        <v>366</v>
      </c>
      <c r="B375" s="25">
        <v>43614</v>
      </c>
      <c r="C375" s="26">
        <v>1</v>
      </c>
      <c r="D375" s="7" t="s">
        <v>364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-175</v>
      </c>
    </row>
    <row r="376" spans="1:10" hidden="1" x14ac:dyDescent="0.2">
      <c r="A376" s="23" t="s">
        <v>366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-171</v>
      </c>
    </row>
    <row r="377" spans="1:10" hidden="1" x14ac:dyDescent="0.2">
      <c r="A377" s="23" t="s">
        <v>366</v>
      </c>
      <c r="B377" s="25">
        <v>43614</v>
      </c>
      <c r="C377" s="26">
        <v>3</v>
      </c>
      <c r="D377" s="7" t="s">
        <v>365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-171</v>
      </c>
    </row>
    <row r="378" spans="1:10" hidden="1" x14ac:dyDescent="0.2">
      <c r="A378" s="23" t="s">
        <v>366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-169</v>
      </c>
    </row>
    <row r="379" spans="1:10" hidden="1" x14ac:dyDescent="0.2">
      <c r="A379" s="23" t="s">
        <v>366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-169</v>
      </c>
    </row>
    <row r="380" spans="1:10" hidden="1" x14ac:dyDescent="0.2">
      <c r="A380" s="23" t="s">
        <v>366</v>
      </c>
      <c r="B380" s="25">
        <v>43614</v>
      </c>
      <c r="C380" s="26">
        <v>6</v>
      </c>
      <c r="D380" s="7" t="s">
        <v>414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-168</v>
      </c>
    </row>
    <row r="381" spans="1:10" hidden="1" x14ac:dyDescent="0.2">
      <c r="A381" s="23" t="s">
        <v>366</v>
      </c>
      <c r="B381" s="25">
        <v>43614</v>
      </c>
      <c r="C381" s="26">
        <v>7</v>
      </c>
      <c r="D381" s="7" t="s">
        <v>307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-168</v>
      </c>
    </row>
    <row r="382" spans="1:10" hidden="1" x14ac:dyDescent="0.2">
      <c r="A382" s="23" t="s">
        <v>366</v>
      </c>
      <c r="B382" s="25">
        <v>43614</v>
      </c>
      <c r="C382" s="26">
        <v>8</v>
      </c>
      <c r="D382" s="7" t="s">
        <v>415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-165</v>
      </c>
    </row>
    <row r="383" spans="1:10" hidden="1" x14ac:dyDescent="0.2">
      <c r="A383" s="23" t="s">
        <v>366</v>
      </c>
      <c r="B383" s="25">
        <v>43614</v>
      </c>
      <c r="C383" s="26">
        <v>9</v>
      </c>
      <c r="D383" s="7" t="s">
        <v>309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-166</v>
      </c>
    </row>
    <row r="384" spans="1:10" hidden="1" x14ac:dyDescent="0.2">
      <c r="A384" s="23" t="s">
        <v>366</v>
      </c>
      <c r="B384" s="25">
        <v>43614</v>
      </c>
      <c r="C384" s="26">
        <v>10</v>
      </c>
      <c r="D384" s="7" t="s">
        <v>311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-165</v>
      </c>
    </row>
    <row r="385" spans="1:10" hidden="1" x14ac:dyDescent="0.2">
      <c r="A385" s="23" t="s">
        <v>366</v>
      </c>
      <c r="B385" s="25">
        <v>43614</v>
      </c>
      <c r="C385" s="26">
        <v>11</v>
      </c>
      <c r="D385" s="7" t="s">
        <v>308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-165</v>
      </c>
    </row>
    <row r="386" spans="1:10" hidden="1" x14ac:dyDescent="0.2">
      <c r="A386" s="23" t="s">
        <v>366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-165</v>
      </c>
    </row>
    <row r="387" spans="1:10" hidden="1" x14ac:dyDescent="0.2">
      <c r="A387" s="23" t="s">
        <v>366</v>
      </c>
      <c r="B387" s="25">
        <v>43614</v>
      </c>
      <c r="C387" s="26">
        <v>13</v>
      </c>
      <c r="D387" s="7" t="s">
        <v>312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-165</v>
      </c>
    </row>
    <row r="388" spans="1:10" hidden="1" x14ac:dyDescent="0.2">
      <c r="A388" s="23" t="s">
        <v>366</v>
      </c>
      <c r="B388" s="25">
        <v>43614</v>
      </c>
      <c r="C388" s="26">
        <v>14</v>
      </c>
      <c r="D388" s="7" t="s">
        <v>313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-165</v>
      </c>
    </row>
    <row r="389" spans="1:10" hidden="1" x14ac:dyDescent="0.2">
      <c r="A389" s="23" t="s">
        <v>366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-165</v>
      </c>
    </row>
    <row r="390" spans="1:10" hidden="1" x14ac:dyDescent="0.2">
      <c r="A390" s="23" t="s">
        <v>366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-162</v>
      </c>
    </row>
    <row r="391" spans="1:10" hidden="1" x14ac:dyDescent="0.2">
      <c r="A391" s="23" t="s">
        <v>366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-162</v>
      </c>
    </row>
    <row r="392" spans="1:10" hidden="1" x14ac:dyDescent="0.2">
      <c r="A392" s="23" t="s">
        <v>366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-160</v>
      </c>
    </row>
    <row r="393" spans="1:10" hidden="1" x14ac:dyDescent="0.2">
      <c r="A393" s="23" t="s">
        <v>366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-160</v>
      </c>
    </row>
    <row r="394" spans="1:10" hidden="1" x14ac:dyDescent="0.2">
      <c r="A394" s="23" t="s">
        <v>314</v>
      </c>
      <c r="B394" s="25">
        <v>43614</v>
      </c>
      <c r="C394" s="26">
        <v>1</v>
      </c>
      <c r="D394" s="7" t="s">
        <v>317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-177</v>
      </c>
    </row>
    <row r="395" spans="1:10" hidden="1" x14ac:dyDescent="0.2">
      <c r="A395" s="23" t="s">
        <v>315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-177</v>
      </c>
    </row>
    <row r="396" spans="1:10" hidden="1" x14ac:dyDescent="0.2">
      <c r="A396" s="23" t="s">
        <v>314</v>
      </c>
      <c r="B396" s="25">
        <v>43614</v>
      </c>
      <c r="C396" s="26">
        <v>3</v>
      </c>
      <c r="D396" s="7" t="s">
        <v>318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-175</v>
      </c>
    </row>
    <row r="397" spans="1:10" hidden="1" x14ac:dyDescent="0.2">
      <c r="A397" s="23" t="s">
        <v>314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-169</v>
      </c>
    </row>
    <row r="398" spans="1:10" hidden="1" x14ac:dyDescent="0.2">
      <c r="A398" s="23" t="s">
        <v>314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-169</v>
      </c>
    </row>
    <row r="399" spans="1:10" hidden="1" x14ac:dyDescent="0.2">
      <c r="A399" s="23" t="s">
        <v>314</v>
      </c>
      <c r="B399" s="25">
        <v>43614</v>
      </c>
      <c r="C399" s="26">
        <v>6</v>
      </c>
      <c r="D399" s="7" t="s">
        <v>414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-169</v>
      </c>
    </row>
    <row r="400" spans="1:10" hidden="1" x14ac:dyDescent="0.2">
      <c r="A400" s="23" t="s">
        <v>314</v>
      </c>
      <c r="B400" s="25">
        <v>43614</v>
      </c>
      <c r="C400" s="26">
        <v>7</v>
      </c>
      <c r="D400" s="7" t="s">
        <v>307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-169</v>
      </c>
    </row>
    <row r="401" spans="1:10" hidden="1" x14ac:dyDescent="0.2">
      <c r="A401" s="23" t="s">
        <v>314</v>
      </c>
      <c r="B401" s="25">
        <v>43614</v>
      </c>
      <c r="C401" s="26">
        <v>8</v>
      </c>
      <c r="D401" s="7" t="s">
        <v>415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-169</v>
      </c>
    </row>
    <row r="402" spans="1:10" hidden="1" x14ac:dyDescent="0.2">
      <c r="A402" s="23" t="s">
        <v>314</v>
      </c>
      <c r="B402" s="25">
        <v>43614</v>
      </c>
      <c r="C402" s="26">
        <v>9</v>
      </c>
      <c r="D402" s="7" t="s">
        <v>308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-168</v>
      </c>
    </row>
    <row r="403" spans="1:10" hidden="1" x14ac:dyDescent="0.2">
      <c r="A403" s="23" t="s">
        <v>315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-168</v>
      </c>
    </row>
    <row r="404" spans="1:10" hidden="1" x14ac:dyDescent="0.2">
      <c r="A404" s="23" t="s">
        <v>315</v>
      </c>
      <c r="B404" s="25">
        <v>43614</v>
      </c>
      <c r="C404" s="26">
        <v>13</v>
      </c>
      <c r="D404" s="7" t="s">
        <v>312</v>
      </c>
      <c r="E404" s="27">
        <v>43609</v>
      </c>
      <c r="F404" s="28" t="s">
        <v>242</v>
      </c>
      <c r="G404" s="26"/>
      <c r="H404" s="26"/>
      <c r="I404" s="23" t="s">
        <v>310</v>
      </c>
      <c r="J404" s="29">
        <f ca="1">ROUNDDOWN(表3[[#This Row],[日期]]-TODAY(),1)</f>
        <v>-168</v>
      </c>
    </row>
    <row r="405" spans="1:10" hidden="1" x14ac:dyDescent="0.2">
      <c r="A405" s="23" t="s">
        <v>314</v>
      </c>
      <c r="B405" s="25">
        <v>43614</v>
      </c>
      <c r="C405" s="26">
        <v>14</v>
      </c>
      <c r="D405" s="7" t="s">
        <v>313</v>
      </c>
      <c r="E405" s="27">
        <v>43609</v>
      </c>
      <c r="F405" s="28" t="s">
        <v>242</v>
      </c>
      <c r="G405" s="26"/>
      <c r="H405" s="26"/>
      <c r="I405" s="23" t="s">
        <v>310</v>
      </c>
      <c r="J405" s="29">
        <f ca="1">ROUNDDOWN(表3[[#This Row],[日期]]-TODAY(),1)</f>
        <v>-168</v>
      </c>
    </row>
    <row r="406" spans="1:10" hidden="1" x14ac:dyDescent="0.2">
      <c r="A406" s="23" t="s">
        <v>314</v>
      </c>
      <c r="B406" s="25">
        <v>43614</v>
      </c>
      <c r="C406" s="26">
        <v>15</v>
      </c>
      <c r="D406" s="7" t="s">
        <v>309</v>
      </c>
      <c r="E406" s="27">
        <v>43609</v>
      </c>
      <c r="F406" s="28" t="s">
        <v>242</v>
      </c>
      <c r="G406" s="26"/>
      <c r="H406" s="26"/>
      <c r="I406" s="23" t="s">
        <v>310</v>
      </c>
      <c r="J406" s="29">
        <f ca="1">ROUNDDOWN(表3[[#This Row],[日期]]-TODAY(),1)</f>
        <v>-168</v>
      </c>
    </row>
    <row r="407" spans="1:10" hidden="1" x14ac:dyDescent="0.2">
      <c r="A407" s="23" t="s">
        <v>314</v>
      </c>
      <c r="B407" s="25">
        <v>43614</v>
      </c>
      <c r="C407" s="26">
        <v>16</v>
      </c>
      <c r="D407" s="7" t="s">
        <v>311</v>
      </c>
      <c r="E407" s="27">
        <v>43610</v>
      </c>
      <c r="F407" s="28" t="s">
        <v>242</v>
      </c>
      <c r="G407" s="26"/>
      <c r="H407" s="26"/>
      <c r="I407" s="23" t="s">
        <v>310</v>
      </c>
      <c r="J407" s="29">
        <f ca="1">ROUNDDOWN(表3[[#This Row],[日期]]-TODAY(),1)</f>
        <v>-167</v>
      </c>
    </row>
    <row r="408" spans="1:10" hidden="1" x14ac:dyDescent="0.2">
      <c r="A408" s="23" t="s">
        <v>314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-167</v>
      </c>
    </row>
    <row r="409" spans="1:10" hidden="1" x14ac:dyDescent="0.2">
      <c r="A409" s="23" t="s">
        <v>315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-165</v>
      </c>
    </row>
    <row r="410" spans="1:10" hidden="1" x14ac:dyDescent="0.2">
      <c r="A410" s="23" t="s">
        <v>314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-163</v>
      </c>
    </row>
    <row r="411" spans="1:10" hidden="1" x14ac:dyDescent="0.2">
      <c r="A411" s="23" t="s">
        <v>315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-162</v>
      </c>
    </row>
    <row r="412" spans="1:10" hidden="1" x14ac:dyDescent="0.2">
      <c r="A412" s="23" t="s">
        <v>314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-164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-197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-197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-197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-197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-183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-170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350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-170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-170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396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-170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-169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-169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258</v>
      </c>
      <c r="E424" s="27">
        <v>43608</v>
      </c>
      <c r="F424" s="28" t="s">
        <v>242</v>
      </c>
      <c r="G424" s="26"/>
      <c r="H424" s="26"/>
      <c r="I424" s="23" t="s">
        <v>256</v>
      </c>
      <c r="J424" s="29">
        <f ca="1">ROUNDDOWN(表3[[#This Row],[日期]]-TODAY(),1)</f>
        <v>-169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261</v>
      </c>
      <c r="E425" s="27">
        <v>43609</v>
      </c>
      <c r="F425" s="28" t="s">
        <v>242</v>
      </c>
      <c r="G425" s="26"/>
      <c r="H425" s="26"/>
      <c r="I425" s="23" t="s">
        <v>259</v>
      </c>
      <c r="J425" s="29">
        <f ca="1">ROUNDDOWN(表3[[#This Row],[日期]]-TODAY(),1)</f>
        <v>-168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263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-168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265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-168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279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-168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281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-168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283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-168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267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-168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269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-167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271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-167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273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-165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275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-163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277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-162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304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-163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412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-162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-175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-175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-172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-172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-171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-171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-171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-171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-171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-170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-170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384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-165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-165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-165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-165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-165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-165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-165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-165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377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-164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-164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-164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-164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437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-164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-164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-164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-164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-164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-164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-164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304</v>
      </c>
      <c r="E469" s="27">
        <v>43613</v>
      </c>
      <c r="F469" s="28" t="s">
        <v>242</v>
      </c>
      <c r="G469" s="35"/>
      <c r="H469" s="35"/>
      <c r="I469" s="36" t="s">
        <v>450</v>
      </c>
      <c r="J469" s="29">
        <f ca="1">ROUNDDOWN(表3[[#This Row],[日期]]-TODAY(),1)</f>
        <v>-164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-164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-164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-164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-164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382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-164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383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-164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-164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-164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-164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-163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-163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-163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-162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-162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305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-160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-151</v>
      </c>
    </row>
    <row r="486" spans="1:10" hidden="1" x14ac:dyDescent="0.2">
      <c r="A486" s="23" t="s">
        <v>2848</v>
      </c>
      <c r="B486" s="25">
        <v>43617</v>
      </c>
      <c r="C486" s="26">
        <v>1</v>
      </c>
      <c r="D486" s="7" t="s">
        <v>467</v>
      </c>
      <c r="E486" s="27">
        <v>43621</v>
      </c>
      <c r="F486" s="28" t="s">
        <v>242</v>
      </c>
      <c r="G486" s="26"/>
      <c r="H486" s="26"/>
      <c r="I486" s="23" t="s">
        <v>468</v>
      </c>
      <c r="J486" s="29">
        <f ca="1">ROUNDDOWN(表3[[#This Row],[日期]]-TODAY(),1)</f>
        <v>-156</v>
      </c>
    </row>
    <row r="487" spans="1:10" hidden="1" x14ac:dyDescent="0.2">
      <c r="A487" s="23" t="s">
        <v>2848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-136</v>
      </c>
    </row>
    <row r="488" spans="1:10" hidden="1" x14ac:dyDescent="0.2">
      <c r="A488" s="23" t="s">
        <v>2848</v>
      </c>
      <c r="B488" s="25">
        <v>43617</v>
      </c>
      <c r="C488" s="26">
        <v>3</v>
      </c>
      <c r="D488" s="7" t="s">
        <v>469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-134</v>
      </c>
    </row>
    <row r="489" spans="1:10" hidden="1" x14ac:dyDescent="0.2">
      <c r="A489" s="23" t="s">
        <v>2848</v>
      </c>
      <c r="B489" s="25">
        <v>43617</v>
      </c>
      <c r="C489" s="26">
        <v>4</v>
      </c>
      <c r="D489" s="7" t="s">
        <v>1008</v>
      </c>
      <c r="E489" s="27">
        <v>43644</v>
      </c>
      <c r="F489" s="28" t="s">
        <v>1009</v>
      </c>
      <c r="G489" s="26"/>
      <c r="H489" s="26"/>
      <c r="I489" s="23" t="s">
        <v>219</v>
      </c>
      <c r="J489" s="29">
        <f ca="1">ROUNDDOWN(表3[[#This Row],[日期]]-TODAY(),1)</f>
        <v>-133</v>
      </c>
    </row>
    <row r="490" spans="1:10" hidden="1" x14ac:dyDescent="0.2">
      <c r="A490" s="23" t="s">
        <v>2848</v>
      </c>
      <c r="B490" s="25">
        <v>43617</v>
      </c>
      <c r="C490" s="26">
        <v>5</v>
      </c>
      <c r="D490" s="7" t="s">
        <v>924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-134</v>
      </c>
    </row>
    <row r="491" spans="1:10" hidden="1" x14ac:dyDescent="0.2">
      <c r="A491" s="23" t="s">
        <v>2848</v>
      </c>
      <c r="B491" s="25">
        <v>43617</v>
      </c>
      <c r="C491" s="26">
        <v>6</v>
      </c>
      <c r="D491" s="7" t="s">
        <v>495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-132</v>
      </c>
    </row>
    <row r="492" spans="1:10" hidden="1" x14ac:dyDescent="0.2">
      <c r="A492" s="23" t="s">
        <v>2848</v>
      </c>
      <c r="B492" s="25">
        <v>43617</v>
      </c>
      <c r="C492" s="26">
        <v>7</v>
      </c>
      <c r="D492" s="7" t="s">
        <v>605</v>
      </c>
      <c r="E492" s="27">
        <v>43644</v>
      </c>
      <c r="F492" s="28" t="s">
        <v>242</v>
      </c>
      <c r="G492" s="26"/>
      <c r="H492" s="26"/>
      <c r="I492" s="23" t="s">
        <v>606</v>
      </c>
      <c r="J492" s="29">
        <f ca="1">ROUNDDOWN(表3[[#This Row],[日期]]-TODAY(),1)</f>
        <v>-133</v>
      </c>
    </row>
    <row r="493" spans="1:10" hidden="1" x14ac:dyDescent="0.2">
      <c r="A493" s="23" t="s">
        <v>2848</v>
      </c>
      <c r="B493" s="25">
        <v>43617</v>
      </c>
      <c r="C493" s="26">
        <v>8</v>
      </c>
      <c r="D493" s="7" t="s">
        <v>992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-133</v>
      </c>
    </row>
    <row r="494" spans="1:10" hidden="1" x14ac:dyDescent="0.2">
      <c r="A494" s="23" t="s">
        <v>2848</v>
      </c>
      <c r="B494" s="25">
        <v>43617</v>
      </c>
      <c r="C494" s="26">
        <v>9</v>
      </c>
      <c r="D494" s="7" t="s">
        <v>994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-129</v>
      </c>
    </row>
    <row r="495" spans="1:10" hidden="1" x14ac:dyDescent="0.2">
      <c r="A495" s="23" t="s">
        <v>2848</v>
      </c>
      <c r="B495" s="25">
        <v>43617</v>
      </c>
      <c r="C495" s="26">
        <v>10</v>
      </c>
      <c r="D495" s="7" t="s">
        <v>995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-127</v>
      </c>
    </row>
    <row r="496" spans="1:10" hidden="1" x14ac:dyDescent="0.2">
      <c r="A496" s="23" t="s">
        <v>2848</v>
      </c>
      <c r="B496" s="25">
        <v>43617</v>
      </c>
      <c r="C496" s="26">
        <v>11</v>
      </c>
      <c r="D496" s="7" t="s">
        <v>996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-133</v>
      </c>
    </row>
    <row r="497" spans="1:10" hidden="1" x14ac:dyDescent="0.2">
      <c r="A497" s="23" t="s">
        <v>2847</v>
      </c>
      <c r="B497" s="25">
        <v>43619</v>
      </c>
      <c r="C497" s="26">
        <v>1</v>
      </c>
      <c r="D497" s="7" t="s">
        <v>367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-158</v>
      </c>
    </row>
    <row r="498" spans="1:10" hidden="1" x14ac:dyDescent="0.2">
      <c r="A498" s="23" t="s">
        <v>2847</v>
      </c>
      <c r="B498" s="25">
        <v>43619</v>
      </c>
      <c r="C498" s="26">
        <v>2</v>
      </c>
      <c r="D498" s="7" t="s">
        <v>368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-158</v>
      </c>
    </row>
    <row r="499" spans="1:10" hidden="1" x14ac:dyDescent="0.2">
      <c r="A499" s="23" t="s">
        <v>2847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-158</v>
      </c>
    </row>
    <row r="500" spans="1:10" hidden="1" x14ac:dyDescent="0.2">
      <c r="A500" s="23" t="s">
        <v>2847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-156</v>
      </c>
    </row>
    <row r="501" spans="1:10" hidden="1" x14ac:dyDescent="0.2">
      <c r="A501" s="23" t="s">
        <v>2847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-151</v>
      </c>
    </row>
    <row r="502" spans="1:10" hidden="1" x14ac:dyDescent="0.2">
      <c r="A502" s="23" t="s">
        <v>2847</v>
      </c>
      <c r="B502" s="25">
        <v>43619</v>
      </c>
      <c r="C502" s="26">
        <v>6</v>
      </c>
      <c r="D502" s="23" t="s">
        <v>494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-154</v>
      </c>
    </row>
    <row r="503" spans="1:10" hidden="1" x14ac:dyDescent="0.2">
      <c r="A503" s="23" t="s">
        <v>2847</v>
      </c>
      <c r="B503" s="25">
        <v>43619</v>
      </c>
      <c r="C503" s="26">
        <v>7</v>
      </c>
      <c r="D503" s="23" t="s">
        <v>637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-155</v>
      </c>
    </row>
    <row r="504" spans="1:10" hidden="1" x14ac:dyDescent="0.2">
      <c r="A504" s="23" t="s">
        <v>438</v>
      </c>
      <c r="B504" s="25">
        <v>43621</v>
      </c>
      <c r="C504" s="26">
        <v>1</v>
      </c>
      <c r="D504" s="7" t="s">
        <v>364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-168</v>
      </c>
    </row>
    <row r="505" spans="1:10" hidden="1" x14ac:dyDescent="0.2">
      <c r="A505" s="23" t="s">
        <v>438</v>
      </c>
      <c r="B505" s="25">
        <v>43621</v>
      </c>
      <c r="C505" s="26">
        <v>2</v>
      </c>
      <c r="D505" s="7" t="s">
        <v>365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-163</v>
      </c>
    </row>
    <row r="506" spans="1:10" hidden="1" x14ac:dyDescent="0.2">
      <c r="A506" s="23" t="s">
        <v>438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-164</v>
      </c>
    </row>
    <row r="507" spans="1:10" hidden="1" x14ac:dyDescent="0.2">
      <c r="A507" s="23" t="s">
        <v>438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-162</v>
      </c>
    </row>
    <row r="508" spans="1:10" hidden="1" x14ac:dyDescent="0.2">
      <c r="A508" s="23" t="s">
        <v>438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-162</v>
      </c>
    </row>
    <row r="509" spans="1:10" hidden="1" x14ac:dyDescent="0.2">
      <c r="A509" s="23" t="s">
        <v>439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-162</v>
      </c>
    </row>
    <row r="510" spans="1:10" hidden="1" x14ac:dyDescent="0.2">
      <c r="A510" s="23" t="s">
        <v>438</v>
      </c>
      <c r="B510" s="25">
        <v>43621</v>
      </c>
      <c r="C510" s="26">
        <v>7</v>
      </c>
      <c r="D510" s="7" t="s">
        <v>307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-161</v>
      </c>
    </row>
    <row r="511" spans="1:10" hidden="1" x14ac:dyDescent="0.2">
      <c r="A511" s="23" t="s">
        <v>438</v>
      </c>
      <c r="B511" s="25">
        <v>43621</v>
      </c>
      <c r="C511" s="26">
        <v>8</v>
      </c>
      <c r="D511" s="7" t="s">
        <v>416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-157</v>
      </c>
    </row>
    <row r="512" spans="1:10" hidden="1" x14ac:dyDescent="0.2">
      <c r="A512" s="23" t="s">
        <v>438</v>
      </c>
      <c r="B512" s="25">
        <v>43621</v>
      </c>
      <c r="C512" s="26">
        <v>9</v>
      </c>
      <c r="D512" s="7" t="s">
        <v>440</v>
      </c>
      <c r="E512" s="27">
        <v>43616</v>
      </c>
      <c r="F512" s="28" t="s">
        <v>242</v>
      </c>
      <c r="G512" s="26"/>
      <c r="H512" s="26"/>
      <c r="I512" s="23" t="s">
        <v>310</v>
      </c>
      <c r="J512" s="29">
        <f ca="1">ROUNDDOWN(表3[[#This Row],[日期]]-TODAY(),1)</f>
        <v>-161</v>
      </c>
    </row>
    <row r="513" spans="1:10" hidden="1" x14ac:dyDescent="0.2">
      <c r="A513" s="23" t="s">
        <v>439</v>
      </c>
      <c r="B513" s="25">
        <v>43621</v>
      </c>
      <c r="C513" s="26">
        <v>10</v>
      </c>
      <c r="D513" s="7" t="s">
        <v>308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-158</v>
      </c>
    </row>
    <row r="514" spans="1:10" hidden="1" x14ac:dyDescent="0.2">
      <c r="A514" s="23" t="s">
        <v>438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-158</v>
      </c>
    </row>
    <row r="515" spans="1:10" hidden="1" x14ac:dyDescent="0.2">
      <c r="A515" s="23" t="s">
        <v>438</v>
      </c>
      <c r="B515" s="25">
        <v>43621</v>
      </c>
      <c r="C515" s="26">
        <v>12</v>
      </c>
      <c r="D515" s="7" t="s">
        <v>311</v>
      </c>
      <c r="E515" s="27">
        <v>43620</v>
      </c>
      <c r="F515" s="28" t="s">
        <v>242</v>
      </c>
      <c r="G515" s="26"/>
      <c r="H515" s="26"/>
      <c r="I515" s="23" t="s">
        <v>310</v>
      </c>
      <c r="J515" s="29">
        <f ca="1">ROUNDDOWN(表3[[#This Row],[日期]]-TODAY(),1)</f>
        <v>-157</v>
      </c>
    </row>
    <row r="516" spans="1:10" hidden="1" x14ac:dyDescent="0.2">
      <c r="A516" s="23" t="s">
        <v>438</v>
      </c>
      <c r="B516" s="25">
        <v>43621</v>
      </c>
      <c r="C516" s="26">
        <v>13</v>
      </c>
      <c r="D516" s="7" t="s">
        <v>312</v>
      </c>
      <c r="E516" s="27">
        <v>43620</v>
      </c>
      <c r="F516" s="28" t="s">
        <v>242</v>
      </c>
      <c r="G516" s="26"/>
      <c r="H516" s="26"/>
      <c r="I516" s="23" t="s">
        <v>310</v>
      </c>
      <c r="J516" s="29">
        <f ca="1">ROUNDDOWN(表3[[#This Row],[日期]]-TODAY(),1)</f>
        <v>-157</v>
      </c>
    </row>
    <row r="517" spans="1:10" hidden="1" x14ac:dyDescent="0.2">
      <c r="A517" s="23" t="s">
        <v>438</v>
      </c>
      <c r="B517" s="25">
        <v>43621</v>
      </c>
      <c r="C517" s="26">
        <v>14</v>
      </c>
      <c r="D517" s="7" t="s">
        <v>313</v>
      </c>
      <c r="E517" s="27">
        <v>43620</v>
      </c>
      <c r="F517" s="28" t="s">
        <v>242</v>
      </c>
      <c r="G517" s="26"/>
      <c r="H517" s="26"/>
      <c r="I517" s="23" t="s">
        <v>310</v>
      </c>
      <c r="J517" s="29">
        <f ca="1">ROUNDDOWN(表3[[#This Row],[日期]]-TODAY(),1)</f>
        <v>-157</v>
      </c>
    </row>
    <row r="518" spans="1:10" hidden="1" x14ac:dyDescent="0.2">
      <c r="A518" s="23" t="s">
        <v>438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-157</v>
      </c>
    </row>
    <row r="519" spans="1:10" hidden="1" x14ac:dyDescent="0.2">
      <c r="A519" s="23" t="s">
        <v>438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-156</v>
      </c>
    </row>
    <row r="520" spans="1:10" hidden="1" x14ac:dyDescent="0.2">
      <c r="A520" s="23" t="s">
        <v>438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-154</v>
      </c>
    </row>
    <row r="521" spans="1:10" hidden="1" x14ac:dyDescent="0.2">
      <c r="A521" s="23" t="s">
        <v>438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-153</v>
      </c>
    </row>
    <row r="522" spans="1:10" hidden="1" x14ac:dyDescent="0.2">
      <c r="A522" s="23" t="s">
        <v>438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-151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452</v>
      </c>
      <c r="E523" s="27">
        <v>43612</v>
      </c>
      <c r="F523" s="28" t="s">
        <v>451</v>
      </c>
      <c r="G523" s="26"/>
      <c r="H523" s="26"/>
      <c r="I523" s="23" t="s">
        <v>27</v>
      </c>
      <c r="J523" s="29">
        <f ca="1">ROUNDDOWN(表3[[#This Row],[日期]]-TODAY(),1)</f>
        <v>-165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451</v>
      </c>
      <c r="G524" s="26"/>
      <c r="H524" s="26"/>
      <c r="I524" s="23"/>
      <c r="J524" s="29">
        <f ca="1">ROUNDDOWN(表3[[#This Row],[日期]]-TODAY(),1)</f>
        <v>-165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451</v>
      </c>
      <c r="G525" s="26"/>
      <c r="H525" s="26"/>
      <c r="I525" s="23" t="s">
        <v>29</v>
      </c>
      <c r="J525" s="29">
        <f ca="1">ROUNDDOWN(表3[[#This Row],[日期]]-TODAY(),1)</f>
        <v>-165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457</v>
      </c>
      <c r="G526" s="26"/>
      <c r="H526" s="26"/>
      <c r="I526" s="23"/>
      <c r="J526" s="29">
        <f ca="1">ROUNDDOWN(表3[[#This Row],[日期]]-TODAY(),1)</f>
        <v>-165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451</v>
      </c>
      <c r="G527" s="26"/>
      <c r="H527" s="26"/>
      <c r="I527" s="23" t="s">
        <v>40</v>
      </c>
      <c r="J527" s="29">
        <f ca="1">ROUNDDOWN(表3[[#This Row],[日期]]-TODAY(),1)</f>
        <v>-165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451</v>
      </c>
      <c r="G528" s="26"/>
      <c r="H528" s="26"/>
      <c r="I528" s="23"/>
      <c r="J528" s="29">
        <f ca="1">ROUNDDOWN(表3[[#This Row],[日期]]-TODAY(),1)</f>
        <v>-165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451</v>
      </c>
      <c r="G529" s="26"/>
      <c r="H529" s="26"/>
      <c r="I529" s="23"/>
      <c r="J529" s="29">
        <f ca="1">ROUNDDOWN(表3[[#This Row],[日期]]-TODAY(),1)</f>
        <v>-165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451</v>
      </c>
      <c r="G530" s="26"/>
      <c r="H530" s="26"/>
      <c r="I530" s="23"/>
      <c r="J530" s="29">
        <f ca="1">ROUNDDOWN(表3[[#This Row],[日期]]-TODAY(),1)</f>
        <v>-165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451</v>
      </c>
      <c r="G531" s="26"/>
      <c r="H531" s="26"/>
      <c r="I531" s="23"/>
      <c r="J531" s="29">
        <f ca="1">ROUNDDOWN(表3[[#This Row],[日期]]-TODAY(),1)</f>
        <v>-165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-164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-164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453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-162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-162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-162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-162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-162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-162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-162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-162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454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-161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-161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-161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437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-161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-161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-161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-161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-161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-161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-161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-161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-161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-161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-161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-161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455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-161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456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-160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-161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-159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-159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-159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-159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-159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-157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-156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535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-156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305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-153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-151</v>
      </c>
    </row>
    <row r="570" spans="1:10" hidden="1" x14ac:dyDescent="0.2">
      <c r="A570" s="23" t="s">
        <v>417</v>
      </c>
      <c r="B570" s="25">
        <v>43621</v>
      </c>
      <c r="C570" s="26">
        <v>1</v>
      </c>
      <c r="D570" s="7" t="s">
        <v>364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-169</v>
      </c>
    </row>
    <row r="571" spans="1:10" hidden="1" x14ac:dyDescent="0.2">
      <c r="A571" s="23" t="s">
        <v>417</v>
      </c>
      <c r="B571" s="25">
        <v>43621</v>
      </c>
      <c r="C571" s="26">
        <v>2</v>
      </c>
      <c r="D571" s="7" t="s">
        <v>365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-165</v>
      </c>
    </row>
    <row r="572" spans="1:10" hidden="1" x14ac:dyDescent="0.2">
      <c r="A572" s="23" t="s">
        <v>417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-165</v>
      </c>
    </row>
    <row r="573" spans="1:10" hidden="1" x14ac:dyDescent="0.2">
      <c r="A573" s="23" t="s">
        <v>417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-162</v>
      </c>
    </row>
    <row r="574" spans="1:10" hidden="1" x14ac:dyDescent="0.2">
      <c r="A574" s="23" t="s">
        <v>417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-162</v>
      </c>
    </row>
    <row r="575" spans="1:10" hidden="1" x14ac:dyDescent="0.2">
      <c r="A575" s="23" t="s">
        <v>418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-162</v>
      </c>
    </row>
    <row r="576" spans="1:10" hidden="1" x14ac:dyDescent="0.2">
      <c r="A576" s="23" t="s">
        <v>417</v>
      </c>
      <c r="B576" s="25">
        <v>43621</v>
      </c>
      <c r="C576" s="26">
        <v>7</v>
      </c>
      <c r="D576" s="7" t="s">
        <v>307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-161</v>
      </c>
    </row>
    <row r="577" spans="1:10" hidden="1" x14ac:dyDescent="0.2">
      <c r="A577" s="23" t="s">
        <v>419</v>
      </c>
      <c r="B577" s="25">
        <v>43621</v>
      </c>
      <c r="C577" s="26">
        <v>8</v>
      </c>
      <c r="D577" s="7" t="s">
        <v>416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-157</v>
      </c>
    </row>
    <row r="578" spans="1:10" hidden="1" x14ac:dyDescent="0.2">
      <c r="A578" s="23" t="s">
        <v>417</v>
      </c>
      <c r="B578" s="25">
        <v>43621</v>
      </c>
      <c r="C578" s="26">
        <v>9</v>
      </c>
      <c r="D578" s="7" t="s">
        <v>308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-161</v>
      </c>
    </row>
    <row r="579" spans="1:10" hidden="1" x14ac:dyDescent="0.2">
      <c r="A579" s="23" t="s">
        <v>419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-161</v>
      </c>
    </row>
    <row r="580" spans="1:10" hidden="1" x14ac:dyDescent="0.2">
      <c r="A580" s="23" t="s">
        <v>417</v>
      </c>
      <c r="B580" s="25">
        <v>43621</v>
      </c>
      <c r="C580" s="26">
        <v>11</v>
      </c>
      <c r="D580" s="7" t="s">
        <v>312</v>
      </c>
      <c r="E580" s="27">
        <v>43616</v>
      </c>
      <c r="F580" s="28" t="s">
        <v>242</v>
      </c>
      <c r="G580" s="26"/>
      <c r="H580" s="26"/>
      <c r="I580" s="23" t="s">
        <v>310</v>
      </c>
      <c r="J580" s="29">
        <f ca="1">ROUNDDOWN(表3[[#This Row],[日期]]-TODAY(),1)</f>
        <v>-161</v>
      </c>
    </row>
    <row r="581" spans="1:10" hidden="1" x14ac:dyDescent="0.2">
      <c r="A581" s="23" t="s">
        <v>417</v>
      </c>
      <c r="B581" s="25">
        <v>43621</v>
      </c>
      <c r="C581" s="26">
        <v>12</v>
      </c>
      <c r="D581" s="7" t="s">
        <v>313</v>
      </c>
      <c r="E581" s="27">
        <v>43616</v>
      </c>
      <c r="F581" s="28" t="s">
        <v>242</v>
      </c>
      <c r="G581" s="26"/>
      <c r="H581" s="26"/>
      <c r="I581" s="23" t="s">
        <v>310</v>
      </c>
      <c r="J581" s="29">
        <f ca="1">ROUNDDOWN(表3[[#This Row],[日期]]-TODAY(),1)</f>
        <v>-161</v>
      </c>
    </row>
    <row r="582" spans="1:10" hidden="1" x14ac:dyDescent="0.2">
      <c r="A582" s="23" t="s">
        <v>417</v>
      </c>
      <c r="B582" s="25">
        <v>43621</v>
      </c>
      <c r="C582" s="26">
        <v>13</v>
      </c>
      <c r="D582" s="7" t="s">
        <v>309</v>
      </c>
      <c r="E582" s="27">
        <v>43616</v>
      </c>
      <c r="F582" s="28" t="s">
        <v>242</v>
      </c>
      <c r="G582" s="26"/>
      <c r="H582" s="26"/>
      <c r="I582" s="23" t="s">
        <v>310</v>
      </c>
      <c r="J582" s="29">
        <f ca="1">ROUNDDOWN(表3[[#This Row],[日期]]-TODAY(),1)</f>
        <v>-161</v>
      </c>
    </row>
    <row r="583" spans="1:10" hidden="1" x14ac:dyDescent="0.2">
      <c r="A583" s="23" t="s">
        <v>417</v>
      </c>
      <c r="B583" s="25">
        <v>43621</v>
      </c>
      <c r="C583" s="26">
        <v>14</v>
      </c>
      <c r="D583" s="7" t="s">
        <v>311</v>
      </c>
      <c r="E583" s="27">
        <v>43616</v>
      </c>
      <c r="F583" s="28" t="s">
        <v>242</v>
      </c>
      <c r="G583" s="26"/>
      <c r="H583" s="26"/>
      <c r="I583" s="23" t="s">
        <v>310</v>
      </c>
      <c r="J583" s="29">
        <f ca="1">ROUNDDOWN(表3[[#This Row],[日期]]-TODAY(),1)</f>
        <v>-161</v>
      </c>
    </row>
    <row r="584" spans="1:10" hidden="1" x14ac:dyDescent="0.2">
      <c r="A584" s="23" t="s">
        <v>417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-161</v>
      </c>
    </row>
    <row r="585" spans="1:10" hidden="1" x14ac:dyDescent="0.2">
      <c r="A585" s="23" t="s">
        <v>417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-158</v>
      </c>
    </row>
    <row r="586" spans="1:10" hidden="1" x14ac:dyDescent="0.2">
      <c r="A586" s="23" t="s">
        <v>417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-156</v>
      </c>
    </row>
    <row r="587" spans="1:10" hidden="1" x14ac:dyDescent="0.2">
      <c r="A587" s="23" t="s">
        <v>419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-155</v>
      </c>
    </row>
    <row r="588" spans="1:10" hidden="1" x14ac:dyDescent="0.2">
      <c r="A588" s="23" t="s">
        <v>417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-151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452</v>
      </c>
      <c r="E589" s="27">
        <v>43612</v>
      </c>
      <c r="F589" s="28" t="s">
        <v>451</v>
      </c>
      <c r="G589" s="26"/>
      <c r="H589" s="26"/>
      <c r="I589" s="23" t="s">
        <v>27</v>
      </c>
      <c r="J589" s="29">
        <f ca="1">ROUNDDOWN(表3[[#This Row],[日期]]-TODAY(),1)</f>
        <v>-165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451</v>
      </c>
      <c r="G590" s="26"/>
      <c r="H590" s="26"/>
      <c r="I590" s="23"/>
      <c r="J590" s="29">
        <f ca="1">ROUNDDOWN(表3[[#This Row],[日期]]-TODAY(),1)</f>
        <v>-165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451</v>
      </c>
      <c r="G591" s="26"/>
      <c r="H591" s="26"/>
      <c r="I591" s="23" t="s">
        <v>29</v>
      </c>
      <c r="J591" s="29">
        <f ca="1">ROUNDDOWN(表3[[#This Row],[日期]]-TODAY(),1)</f>
        <v>-165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457</v>
      </c>
      <c r="G592" s="26"/>
      <c r="H592" s="26"/>
      <c r="I592" s="23"/>
      <c r="J592" s="29">
        <f ca="1">ROUNDDOWN(表3[[#This Row],[日期]]-TODAY(),1)</f>
        <v>-165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451</v>
      </c>
      <c r="G593" s="26"/>
      <c r="H593" s="26"/>
      <c r="I593" s="23" t="s">
        <v>40</v>
      </c>
      <c r="J593" s="29">
        <f ca="1">ROUNDDOWN(表3[[#This Row],[日期]]-TODAY(),1)</f>
        <v>-165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451</v>
      </c>
      <c r="G594" s="26"/>
      <c r="H594" s="26"/>
      <c r="I594" s="23"/>
      <c r="J594" s="29">
        <f ca="1">ROUNDDOWN(表3[[#This Row],[日期]]-TODAY(),1)</f>
        <v>-165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451</v>
      </c>
      <c r="G595" s="26"/>
      <c r="H595" s="26"/>
      <c r="I595" s="23"/>
      <c r="J595" s="29">
        <f ca="1">ROUNDDOWN(表3[[#This Row],[日期]]-TODAY(),1)</f>
        <v>-165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451</v>
      </c>
      <c r="G596" s="26"/>
      <c r="H596" s="26"/>
      <c r="I596" s="23"/>
      <c r="J596" s="29">
        <f ca="1">ROUNDDOWN(表3[[#This Row],[日期]]-TODAY(),1)</f>
        <v>-165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451</v>
      </c>
      <c r="G597" s="26"/>
      <c r="H597" s="26"/>
      <c r="I597" s="23"/>
      <c r="J597" s="29">
        <f ca="1">ROUNDDOWN(表3[[#This Row],[日期]]-TODAY(),1)</f>
        <v>-165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-164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-164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453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-158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-158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-158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-158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-158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-158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-158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-158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454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-157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-157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-157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437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-157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-157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-157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-157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-157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-157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-157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-157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-155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-157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-157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455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-157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456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-157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-157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-157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-157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-156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-156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-156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-155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-154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535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-151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305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-153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-151</v>
      </c>
    </row>
    <row r="635" spans="1:10" hidden="1" x14ac:dyDescent="0.2">
      <c r="A635" s="23" t="s">
        <v>302</v>
      </c>
      <c r="B635" s="25">
        <v>43623</v>
      </c>
      <c r="C635" s="26">
        <v>1</v>
      </c>
      <c r="D635" s="7" t="s">
        <v>328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-170</v>
      </c>
    </row>
    <row r="636" spans="1:10" hidden="1" x14ac:dyDescent="0.2">
      <c r="A636" s="23" t="s">
        <v>302</v>
      </c>
      <c r="B636" s="25">
        <v>43623</v>
      </c>
      <c r="C636" s="26">
        <v>2</v>
      </c>
      <c r="D636" s="7" t="s">
        <v>329</v>
      </c>
      <c r="E636" s="27">
        <v>43612</v>
      </c>
      <c r="F636" s="28" t="s">
        <v>451</v>
      </c>
      <c r="G636" s="26"/>
      <c r="H636" s="26"/>
      <c r="I636" s="23"/>
      <c r="J636" s="29">
        <f ca="1">ROUNDDOWN(表3[[#This Row],[日期]]-TODAY(),1)</f>
        <v>-165</v>
      </c>
    </row>
    <row r="637" spans="1:10" hidden="1" x14ac:dyDescent="0.2">
      <c r="A637" s="23" t="s">
        <v>302</v>
      </c>
      <c r="B637" s="25">
        <v>43623</v>
      </c>
      <c r="C637" s="26">
        <v>3</v>
      </c>
      <c r="D637" s="7" t="s">
        <v>330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-164</v>
      </c>
    </row>
    <row r="638" spans="1:10" hidden="1" x14ac:dyDescent="0.2">
      <c r="A638" s="23" t="s">
        <v>302</v>
      </c>
      <c r="B638" s="25">
        <v>43623</v>
      </c>
      <c r="C638" s="26">
        <v>4</v>
      </c>
      <c r="D638" s="7" t="s">
        <v>331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-164</v>
      </c>
    </row>
    <row r="639" spans="1:10" hidden="1" x14ac:dyDescent="0.2">
      <c r="A639" s="23" t="s">
        <v>302</v>
      </c>
      <c r="B639" s="25">
        <v>43623</v>
      </c>
      <c r="C639" s="26">
        <v>5</v>
      </c>
      <c r="D639" s="7" t="s">
        <v>332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-162</v>
      </c>
    </row>
    <row r="640" spans="1:10" hidden="1" x14ac:dyDescent="0.2">
      <c r="A640" s="23" t="s">
        <v>302</v>
      </c>
      <c r="B640" s="25">
        <v>43623</v>
      </c>
      <c r="C640" s="26">
        <v>6</v>
      </c>
      <c r="D640" s="7" t="s">
        <v>441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-162</v>
      </c>
    </row>
    <row r="641" spans="1:10" hidden="1" x14ac:dyDescent="0.2">
      <c r="A641" s="23" t="s">
        <v>302</v>
      </c>
      <c r="B641" s="25">
        <v>43623</v>
      </c>
      <c r="C641" s="26">
        <v>7</v>
      </c>
      <c r="D641" s="7" t="s">
        <v>442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-162</v>
      </c>
    </row>
    <row r="642" spans="1:10" hidden="1" x14ac:dyDescent="0.2">
      <c r="A642" s="23" t="s">
        <v>302</v>
      </c>
      <c r="B642" s="25">
        <v>43623</v>
      </c>
      <c r="C642" s="26">
        <v>8</v>
      </c>
      <c r="D642" s="7" t="s">
        <v>443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-161</v>
      </c>
    </row>
    <row r="643" spans="1:10" hidden="1" x14ac:dyDescent="0.2">
      <c r="A643" s="23" t="s">
        <v>302</v>
      </c>
      <c r="B643" s="25">
        <v>43623</v>
      </c>
      <c r="C643" s="26">
        <v>9</v>
      </c>
      <c r="D643" s="7" t="s">
        <v>333</v>
      </c>
      <c r="E643" s="27">
        <v>43619</v>
      </c>
      <c r="F643" s="28" t="s">
        <v>242</v>
      </c>
      <c r="G643" s="26"/>
      <c r="H643" s="26"/>
      <c r="I643" s="23" t="s">
        <v>444</v>
      </c>
      <c r="J643" s="29">
        <f ca="1">ROUNDDOWN(表3[[#This Row],[日期]]-TODAY(),1)</f>
        <v>-158</v>
      </c>
    </row>
    <row r="644" spans="1:10" hidden="1" x14ac:dyDescent="0.2">
      <c r="A644" s="23" t="s">
        <v>302</v>
      </c>
      <c r="B644" s="25">
        <v>43623</v>
      </c>
      <c r="C644" s="26">
        <v>10</v>
      </c>
      <c r="D644" s="7" t="s">
        <v>334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-158</v>
      </c>
    </row>
    <row r="645" spans="1:10" hidden="1" x14ac:dyDescent="0.2">
      <c r="A645" s="23" t="s">
        <v>302</v>
      </c>
      <c r="B645" s="25">
        <v>43623</v>
      </c>
      <c r="C645" s="26">
        <v>11</v>
      </c>
      <c r="D645" s="7" t="s">
        <v>445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-158</v>
      </c>
    </row>
    <row r="646" spans="1:10" hidden="1" x14ac:dyDescent="0.2">
      <c r="A646" s="23" t="s">
        <v>302</v>
      </c>
      <c r="B646" s="25">
        <v>43623</v>
      </c>
      <c r="C646" s="26">
        <v>12</v>
      </c>
      <c r="D646" s="7" t="s">
        <v>335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-158</v>
      </c>
    </row>
    <row r="647" spans="1:10" hidden="1" x14ac:dyDescent="0.2">
      <c r="A647" s="23" t="s">
        <v>302</v>
      </c>
      <c r="B647" s="25">
        <v>43623</v>
      </c>
      <c r="C647" s="26">
        <v>13</v>
      </c>
      <c r="D647" s="7" t="s">
        <v>337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-155</v>
      </c>
    </row>
    <row r="648" spans="1:10" hidden="1" x14ac:dyDescent="0.2">
      <c r="A648" s="23" t="s">
        <v>302</v>
      </c>
      <c r="B648" s="25">
        <v>43623</v>
      </c>
      <c r="C648" s="26">
        <v>14</v>
      </c>
      <c r="D648" s="7" t="s">
        <v>339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-155</v>
      </c>
    </row>
    <row r="649" spans="1:10" hidden="1" x14ac:dyDescent="0.2">
      <c r="A649" s="23" t="s">
        <v>302</v>
      </c>
      <c r="B649" s="25">
        <v>43623</v>
      </c>
      <c r="C649" s="26">
        <v>15</v>
      </c>
      <c r="D649" s="7" t="s">
        <v>336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-158</v>
      </c>
    </row>
    <row r="650" spans="1:10" hidden="1" x14ac:dyDescent="0.2">
      <c r="A650" s="23" t="s">
        <v>302</v>
      </c>
      <c r="B650" s="25">
        <v>43623</v>
      </c>
      <c r="C650" s="26">
        <v>16</v>
      </c>
      <c r="D650" s="7" t="s">
        <v>312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-158</v>
      </c>
    </row>
    <row r="651" spans="1:10" hidden="1" x14ac:dyDescent="0.2">
      <c r="A651" s="23" t="s">
        <v>302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-158</v>
      </c>
    </row>
    <row r="652" spans="1:10" hidden="1" x14ac:dyDescent="0.2">
      <c r="A652" s="23" t="s">
        <v>302</v>
      </c>
      <c r="B652" s="25">
        <v>43623</v>
      </c>
      <c r="C652" s="26">
        <v>18</v>
      </c>
      <c r="D652" s="7" t="s">
        <v>338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-158</v>
      </c>
    </row>
    <row r="653" spans="1:10" hidden="1" x14ac:dyDescent="0.2">
      <c r="A653" s="23" t="s">
        <v>302</v>
      </c>
      <c r="B653" s="25">
        <v>43623</v>
      </c>
      <c r="C653" s="26">
        <v>19</v>
      </c>
      <c r="D653" s="7" t="s">
        <v>446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-157</v>
      </c>
    </row>
    <row r="654" spans="1:10" hidden="1" x14ac:dyDescent="0.2">
      <c r="A654" s="23" t="s">
        <v>302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-157</v>
      </c>
    </row>
    <row r="655" spans="1:10" hidden="1" x14ac:dyDescent="0.2">
      <c r="A655" s="23" t="s">
        <v>302</v>
      </c>
      <c r="B655" s="25">
        <v>43623</v>
      </c>
      <c r="C655" s="26">
        <v>21</v>
      </c>
      <c r="D655" s="7" t="s">
        <v>447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-154</v>
      </c>
    </row>
    <row r="656" spans="1:10" hidden="1" x14ac:dyDescent="0.2">
      <c r="A656" s="23" t="s">
        <v>302</v>
      </c>
      <c r="B656" s="25">
        <v>43623</v>
      </c>
      <c r="C656" s="26">
        <v>22</v>
      </c>
      <c r="D656" s="7" t="s">
        <v>305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-153</v>
      </c>
    </row>
    <row r="657" spans="1:10" hidden="1" x14ac:dyDescent="0.2">
      <c r="A657" s="23" t="s">
        <v>302</v>
      </c>
      <c r="B657" s="25">
        <v>43623</v>
      </c>
      <c r="C657" s="26">
        <v>23</v>
      </c>
      <c r="D657" s="7" t="s">
        <v>533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-141</v>
      </c>
    </row>
    <row r="658" spans="1:10" hidden="1" x14ac:dyDescent="0.2">
      <c r="A658" s="23" t="s">
        <v>302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-151</v>
      </c>
    </row>
    <row r="659" spans="1:10" hidden="1" x14ac:dyDescent="0.2">
      <c r="A659" s="23" t="s">
        <v>2831</v>
      </c>
      <c r="B659" s="25">
        <v>43625</v>
      </c>
      <c r="C659" s="26">
        <v>1</v>
      </c>
      <c r="D659" s="7" t="s">
        <v>508</v>
      </c>
      <c r="E659" s="27">
        <v>43620</v>
      </c>
      <c r="F659" s="28" t="s">
        <v>509</v>
      </c>
      <c r="G659" s="26"/>
      <c r="H659" s="26"/>
      <c r="I659" s="23"/>
      <c r="J659" s="29">
        <f ca="1">ROUNDDOWN(表3[[#This Row],[日期]]-TODAY(),1)</f>
        <v>-157</v>
      </c>
    </row>
    <row r="660" spans="1:10" hidden="1" x14ac:dyDescent="0.2">
      <c r="A660" s="23" t="s">
        <v>2831</v>
      </c>
      <c r="B660" s="25">
        <v>43625</v>
      </c>
      <c r="C660" s="26">
        <v>2</v>
      </c>
      <c r="D660" s="7" t="s">
        <v>511</v>
      </c>
      <c r="E660" s="27">
        <v>43620</v>
      </c>
      <c r="F660" s="28" t="s">
        <v>509</v>
      </c>
      <c r="G660" s="26"/>
      <c r="H660" s="26"/>
      <c r="I660" s="23"/>
      <c r="J660" s="29">
        <f ca="1">ROUNDDOWN(表3[[#This Row],[日期]]-TODAY(),1)</f>
        <v>-157</v>
      </c>
    </row>
    <row r="661" spans="1:10" hidden="1" x14ac:dyDescent="0.2">
      <c r="A661" s="23" t="s">
        <v>2831</v>
      </c>
      <c r="B661" s="25">
        <v>43625</v>
      </c>
      <c r="C661" s="26">
        <v>3</v>
      </c>
      <c r="D661" s="7" t="s">
        <v>513</v>
      </c>
      <c r="E661" s="27">
        <v>43620</v>
      </c>
      <c r="F661" s="28" t="s">
        <v>509</v>
      </c>
      <c r="G661" s="26"/>
      <c r="H661" s="26"/>
      <c r="I661" s="23"/>
      <c r="J661" s="29">
        <f ca="1">ROUNDDOWN(表3[[#This Row],[日期]]-TODAY(),1)</f>
        <v>-157</v>
      </c>
    </row>
    <row r="662" spans="1:10" hidden="1" x14ac:dyDescent="0.2">
      <c r="A662" s="23" t="s">
        <v>2831</v>
      </c>
      <c r="B662" s="25">
        <v>43625</v>
      </c>
      <c r="C662" s="26">
        <v>4</v>
      </c>
      <c r="D662" s="7" t="s">
        <v>515</v>
      </c>
      <c r="E662" s="27">
        <v>43620</v>
      </c>
      <c r="F662" s="28" t="s">
        <v>516</v>
      </c>
      <c r="G662" s="26"/>
      <c r="H662" s="26"/>
      <c r="I662" s="23"/>
      <c r="J662" s="29">
        <f ca="1">ROUNDDOWN(表3[[#This Row],[日期]]-TODAY(),1)</f>
        <v>-157</v>
      </c>
    </row>
    <row r="663" spans="1:10" hidden="1" x14ac:dyDescent="0.2">
      <c r="A663" s="23" t="s">
        <v>2831</v>
      </c>
      <c r="B663" s="25">
        <v>43625</v>
      </c>
      <c r="C663" s="26">
        <v>5</v>
      </c>
      <c r="D663" s="7" t="s">
        <v>518</v>
      </c>
      <c r="E663" s="27">
        <v>43620</v>
      </c>
      <c r="F663" s="28" t="s">
        <v>509</v>
      </c>
      <c r="G663" s="26"/>
      <c r="H663" s="26"/>
      <c r="I663" s="23"/>
      <c r="J663" s="29">
        <f ca="1">ROUNDDOWN(表3[[#This Row],[日期]]-TODAY(),1)</f>
        <v>-157</v>
      </c>
    </row>
    <row r="664" spans="1:10" hidden="1" x14ac:dyDescent="0.2">
      <c r="A664" s="23" t="s">
        <v>2831</v>
      </c>
      <c r="B664" s="25">
        <v>43625</v>
      </c>
      <c r="C664" s="26">
        <v>6</v>
      </c>
      <c r="D664" s="7" t="s">
        <v>520</v>
      </c>
      <c r="E664" s="27">
        <v>43622</v>
      </c>
      <c r="F664" s="28" t="s">
        <v>242</v>
      </c>
      <c r="G664" s="26"/>
      <c r="H664" s="26"/>
      <c r="I664" s="23" t="s">
        <v>529</v>
      </c>
      <c r="J664" s="29">
        <f ca="1">ROUNDDOWN(表3[[#This Row],[日期]]-TODAY(),1)</f>
        <v>-155</v>
      </c>
    </row>
    <row r="665" spans="1:10" hidden="1" x14ac:dyDescent="0.2">
      <c r="A665" s="23" t="s">
        <v>2831</v>
      </c>
      <c r="B665" s="25">
        <v>43625</v>
      </c>
      <c r="C665" s="26">
        <v>7</v>
      </c>
      <c r="D665" s="7" t="s">
        <v>522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-155</v>
      </c>
    </row>
    <row r="666" spans="1:10" hidden="1" x14ac:dyDescent="0.2">
      <c r="A666" s="23" t="s">
        <v>2831</v>
      </c>
      <c r="B666" s="25">
        <v>43625</v>
      </c>
      <c r="C666" s="26">
        <v>8</v>
      </c>
      <c r="D666" s="7" t="s">
        <v>524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-155</v>
      </c>
    </row>
    <row r="667" spans="1:10" hidden="1" x14ac:dyDescent="0.2">
      <c r="A667" s="23" t="s">
        <v>2831</v>
      </c>
      <c r="B667" s="25">
        <v>43625</v>
      </c>
      <c r="C667" s="26">
        <v>9</v>
      </c>
      <c r="D667" s="7" t="s">
        <v>526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-151</v>
      </c>
    </row>
    <row r="668" spans="1:10" hidden="1" x14ac:dyDescent="0.2">
      <c r="A668" s="23" t="s">
        <v>2831</v>
      </c>
      <c r="B668" s="25">
        <v>43625</v>
      </c>
      <c r="C668" s="26">
        <v>10</v>
      </c>
      <c r="D668" s="7" t="s">
        <v>528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-151</v>
      </c>
    </row>
    <row r="669" spans="1:10" hidden="1" x14ac:dyDescent="0.2">
      <c r="A669" s="23" t="s">
        <v>2847</v>
      </c>
      <c r="B669" s="25">
        <v>43626</v>
      </c>
      <c r="C669" s="26">
        <v>1</v>
      </c>
      <c r="D669" s="7" t="s">
        <v>367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-151</v>
      </c>
    </row>
    <row r="670" spans="1:10" hidden="1" x14ac:dyDescent="0.2">
      <c r="A670" s="23" t="s">
        <v>2847</v>
      </c>
      <c r="B670" s="25">
        <v>43626</v>
      </c>
      <c r="C670" s="26">
        <v>2</v>
      </c>
      <c r="D670" s="7" t="s">
        <v>368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-151</v>
      </c>
    </row>
    <row r="671" spans="1:10" hidden="1" x14ac:dyDescent="0.2">
      <c r="A671" s="23" t="s">
        <v>2847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-151</v>
      </c>
    </row>
    <row r="672" spans="1:10" hidden="1" x14ac:dyDescent="0.2">
      <c r="A672" s="23" t="s">
        <v>2847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-149</v>
      </c>
    </row>
    <row r="673" spans="1:10" hidden="1" x14ac:dyDescent="0.2">
      <c r="A673" s="23" t="s">
        <v>2847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-147</v>
      </c>
    </row>
    <row r="674" spans="1:10" hidden="1" x14ac:dyDescent="0.2">
      <c r="A674" s="23" t="s">
        <v>2847</v>
      </c>
      <c r="B674" s="25">
        <v>43626</v>
      </c>
      <c r="C674" s="26">
        <v>6</v>
      </c>
      <c r="D674" s="23" t="s">
        <v>494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-147</v>
      </c>
    </row>
    <row r="675" spans="1:10" hidden="1" x14ac:dyDescent="0.2">
      <c r="A675" s="23" t="s">
        <v>2847</v>
      </c>
      <c r="B675" s="25">
        <v>43626</v>
      </c>
      <c r="C675" s="26">
        <v>7</v>
      </c>
      <c r="D675" s="23" t="s">
        <v>636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-147</v>
      </c>
    </row>
    <row r="676" spans="1:10" hidden="1" x14ac:dyDescent="0.2">
      <c r="A676" s="23" t="s">
        <v>2847</v>
      </c>
      <c r="B676" s="25">
        <v>43626</v>
      </c>
      <c r="C676" s="26">
        <v>8</v>
      </c>
      <c r="D676" s="7" t="s">
        <v>682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-146</v>
      </c>
    </row>
    <row r="677" spans="1:10" hidden="1" x14ac:dyDescent="0.2">
      <c r="A677" s="23" t="s">
        <v>486</v>
      </c>
      <c r="B677" s="25">
        <v>43628</v>
      </c>
      <c r="C677" s="26">
        <v>1</v>
      </c>
      <c r="D677" s="7" t="s">
        <v>364</v>
      </c>
      <c r="E677" s="27">
        <v>43616</v>
      </c>
      <c r="F677" s="28" t="s">
        <v>489</v>
      </c>
      <c r="G677" s="26"/>
      <c r="H677" s="26"/>
      <c r="I677" s="23"/>
      <c r="J677" s="29">
        <f ca="1">ROUNDDOWN(表3[[#This Row],[日期]]-TODAY(),1)</f>
        <v>-161</v>
      </c>
    </row>
    <row r="678" spans="1:10" hidden="1" x14ac:dyDescent="0.2">
      <c r="A678" s="23" t="s">
        <v>487</v>
      </c>
      <c r="B678" s="25">
        <v>43628</v>
      </c>
      <c r="C678" s="26">
        <v>2</v>
      </c>
      <c r="D678" s="7" t="s">
        <v>365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-157</v>
      </c>
    </row>
    <row r="679" spans="1:10" hidden="1" x14ac:dyDescent="0.2">
      <c r="A679" s="23" t="s">
        <v>488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-157</v>
      </c>
    </row>
    <row r="680" spans="1:10" hidden="1" x14ac:dyDescent="0.2">
      <c r="A680" s="23" t="s">
        <v>486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-155</v>
      </c>
    </row>
    <row r="681" spans="1:10" hidden="1" x14ac:dyDescent="0.2">
      <c r="A681" s="23" t="s">
        <v>488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-155</v>
      </c>
    </row>
    <row r="682" spans="1:10" hidden="1" x14ac:dyDescent="0.2">
      <c r="A682" s="23" t="s">
        <v>488</v>
      </c>
      <c r="B682" s="25">
        <v>43628</v>
      </c>
      <c r="C682" s="26">
        <v>6</v>
      </c>
      <c r="D682" s="7" t="s">
        <v>492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-155</v>
      </c>
    </row>
    <row r="683" spans="1:10" hidden="1" x14ac:dyDescent="0.2">
      <c r="A683" s="23" t="s">
        <v>488</v>
      </c>
      <c r="B683" s="25">
        <v>43628</v>
      </c>
      <c r="C683" s="26">
        <v>7</v>
      </c>
      <c r="D683" s="7" t="s">
        <v>307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-151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552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-151</v>
      </c>
    </row>
    <row r="685" spans="1:10" hidden="1" x14ac:dyDescent="0.2">
      <c r="A685" s="23" t="s">
        <v>488</v>
      </c>
      <c r="B685" s="25">
        <v>43628</v>
      </c>
      <c r="C685" s="26">
        <v>8</v>
      </c>
      <c r="D685" s="7" t="s">
        <v>416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-151</v>
      </c>
    </row>
    <row r="686" spans="1:10" hidden="1" x14ac:dyDescent="0.2">
      <c r="A686" s="23" t="s">
        <v>488</v>
      </c>
      <c r="B686" s="25">
        <v>43628</v>
      </c>
      <c r="C686" s="26">
        <v>9</v>
      </c>
      <c r="D686" s="7" t="s">
        <v>308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-151</v>
      </c>
    </row>
    <row r="687" spans="1:10" hidden="1" x14ac:dyDescent="0.2">
      <c r="A687" s="23" t="s">
        <v>488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-151</v>
      </c>
    </row>
    <row r="688" spans="1:10" hidden="1" x14ac:dyDescent="0.2">
      <c r="A688" s="23" t="s">
        <v>488</v>
      </c>
      <c r="B688" s="25">
        <v>43628</v>
      </c>
      <c r="C688" s="26">
        <v>9</v>
      </c>
      <c r="D688" s="7" t="s">
        <v>309</v>
      </c>
      <c r="E688" s="27">
        <v>43626</v>
      </c>
      <c r="F688" s="28" t="s">
        <v>242</v>
      </c>
      <c r="G688" s="26"/>
      <c r="H688" s="26"/>
      <c r="I688" s="23" t="s">
        <v>310</v>
      </c>
      <c r="J688" s="29">
        <f ca="1">ROUNDDOWN(表3[[#This Row],[日期]]-TODAY(),1)</f>
        <v>-151</v>
      </c>
    </row>
    <row r="689" spans="1:10" hidden="1" x14ac:dyDescent="0.2">
      <c r="A689" s="23" t="s">
        <v>488</v>
      </c>
      <c r="B689" s="25">
        <v>43628</v>
      </c>
      <c r="C689" s="26">
        <v>9</v>
      </c>
      <c r="D689" s="7" t="s">
        <v>311</v>
      </c>
      <c r="E689" s="27">
        <v>43626</v>
      </c>
      <c r="F689" s="28" t="s">
        <v>242</v>
      </c>
      <c r="G689" s="26"/>
      <c r="H689" s="26"/>
      <c r="I689" s="23" t="s">
        <v>310</v>
      </c>
      <c r="J689" s="29">
        <f ca="1">ROUNDDOWN(表3[[#This Row],[日期]]-TODAY(),1)</f>
        <v>-151</v>
      </c>
    </row>
    <row r="690" spans="1:10" hidden="1" x14ac:dyDescent="0.2">
      <c r="A690" s="23" t="s">
        <v>488</v>
      </c>
      <c r="B690" s="25">
        <v>43628</v>
      </c>
      <c r="C690" s="26">
        <v>9</v>
      </c>
      <c r="D690" s="7" t="s">
        <v>312</v>
      </c>
      <c r="E690" s="27">
        <v>43626</v>
      </c>
      <c r="F690" s="28" t="s">
        <v>242</v>
      </c>
      <c r="G690" s="26"/>
      <c r="H690" s="26"/>
      <c r="I690" s="23" t="s">
        <v>310</v>
      </c>
      <c r="J690" s="29">
        <f ca="1">ROUNDDOWN(表3[[#This Row],[日期]]-TODAY(),1)</f>
        <v>-151</v>
      </c>
    </row>
    <row r="691" spans="1:10" hidden="1" x14ac:dyDescent="0.2">
      <c r="A691" s="23" t="s">
        <v>488</v>
      </c>
      <c r="B691" s="25">
        <v>43628</v>
      </c>
      <c r="C691" s="26">
        <v>9</v>
      </c>
      <c r="D691" s="7" t="s">
        <v>313</v>
      </c>
      <c r="E691" s="27">
        <v>43626</v>
      </c>
      <c r="F691" s="28" t="s">
        <v>242</v>
      </c>
      <c r="G691" s="26"/>
      <c r="H691" s="26"/>
      <c r="I691" s="23" t="s">
        <v>310</v>
      </c>
      <c r="J691" s="29">
        <f ca="1">ROUNDDOWN(表3[[#This Row],[日期]]-TODAY(),1)</f>
        <v>-151</v>
      </c>
    </row>
    <row r="692" spans="1:10" hidden="1" x14ac:dyDescent="0.2">
      <c r="A692" s="23" t="s">
        <v>488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-151</v>
      </c>
    </row>
    <row r="693" spans="1:10" hidden="1" x14ac:dyDescent="0.2">
      <c r="A693" s="23" t="s">
        <v>486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-150</v>
      </c>
    </row>
    <row r="694" spans="1:10" hidden="1" x14ac:dyDescent="0.2">
      <c r="A694" s="23" t="s">
        <v>488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-149</v>
      </c>
    </row>
    <row r="695" spans="1:10" hidden="1" x14ac:dyDescent="0.2">
      <c r="A695" s="23" t="s">
        <v>488</v>
      </c>
      <c r="B695" s="25">
        <v>43628</v>
      </c>
      <c r="C695" s="26">
        <v>18</v>
      </c>
      <c r="D695" s="7" t="s">
        <v>643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-148</v>
      </c>
    </row>
    <row r="696" spans="1:10" hidden="1" x14ac:dyDescent="0.2">
      <c r="A696" s="23" t="s">
        <v>487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-148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452</v>
      </c>
      <c r="E697" s="27">
        <v>43616</v>
      </c>
      <c r="F697" s="28" t="s">
        <v>484</v>
      </c>
      <c r="G697" s="26"/>
      <c r="H697" s="26"/>
      <c r="I697" s="23" t="s">
        <v>27</v>
      </c>
      <c r="J697" s="29">
        <f ca="1">ROUNDDOWN(表3[[#This Row],[日期]]-TODAY(),1)</f>
        <v>-161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-161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-161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-161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-157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-157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-157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-157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-157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-156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-156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453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-156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-156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-156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-156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-156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-156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-156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-156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454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-155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-155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-155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437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-155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-155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-155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-155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-155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-155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-155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-155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-155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-155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-155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-155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455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-155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456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-154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-155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-152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-151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-151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-151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-151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-150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-149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535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-148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305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-148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657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-148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658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-148</v>
      </c>
    </row>
    <row r="745" spans="1:10" hidden="1" x14ac:dyDescent="0.2">
      <c r="A745" s="23" t="s">
        <v>476</v>
      </c>
      <c r="B745" s="25">
        <v>43628</v>
      </c>
      <c r="C745" s="26">
        <v>1</v>
      </c>
      <c r="D745" s="7" t="s">
        <v>364</v>
      </c>
      <c r="E745" s="27">
        <v>43614</v>
      </c>
      <c r="F745" s="28" t="s">
        <v>478</v>
      </c>
      <c r="G745" s="26"/>
      <c r="H745" s="26"/>
      <c r="I745" s="23"/>
      <c r="J745" s="29">
        <f ca="1">ROUNDDOWN(表3[[#This Row],[日期]]-TODAY(),1)</f>
        <v>-163</v>
      </c>
    </row>
    <row r="746" spans="1:10" hidden="1" x14ac:dyDescent="0.2">
      <c r="A746" s="23" t="s">
        <v>476</v>
      </c>
      <c r="B746" s="25">
        <v>43628</v>
      </c>
      <c r="C746" s="26">
        <v>2</v>
      </c>
      <c r="D746" s="7" t="s">
        <v>365</v>
      </c>
      <c r="E746" s="27">
        <v>43614</v>
      </c>
      <c r="F746" s="28" t="s">
        <v>478</v>
      </c>
      <c r="G746" s="26"/>
      <c r="H746" s="26"/>
      <c r="I746" s="23"/>
      <c r="J746" s="29">
        <f ca="1">ROUNDDOWN(表3[[#This Row],[日期]]-TODAY(),1)</f>
        <v>-163</v>
      </c>
    </row>
    <row r="747" spans="1:10" hidden="1" x14ac:dyDescent="0.2">
      <c r="A747" s="23" t="s">
        <v>476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-162</v>
      </c>
    </row>
    <row r="748" spans="1:10" hidden="1" x14ac:dyDescent="0.2">
      <c r="A748" s="23" t="s">
        <v>476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-156</v>
      </c>
    </row>
    <row r="749" spans="1:10" hidden="1" x14ac:dyDescent="0.2">
      <c r="A749" s="23" t="s">
        <v>476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-156</v>
      </c>
    </row>
    <row r="750" spans="1:10" hidden="1" x14ac:dyDescent="0.2">
      <c r="A750" s="23" t="s">
        <v>476</v>
      </c>
      <c r="B750" s="25">
        <v>43628</v>
      </c>
      <c r="C750" s="26">
        <v>6</v>
      </c>
      <c r="D750" s="7" t="s">
        <v>475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-156</v>
      </c>
    </row>
    <row r="751" spans="1:10" hidden="1" x14ac:dyDescent="0.2">
      <c r="A751" s="23" t="s">
        <v>476</v>
      </c>
      <c r="B751" s="25">
        <v>43628</v>
      </c>
      <c r="C751" s="26">
        <v>7</v>
      </c>
      <c r="D751" s="7" t="s">
        <v>307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-156</v>
      </c>
    </row>
    <row r="752" spans="1:10" hidden="1" x14ac:dyDescent="0.2">
      <c r="A752" s="23" t="s">
        <v>476</v>
      </c>
      <c r="B752" s="25">
        <v>43628</v>
      </c>
      <c r="C752" s="26">
        <v>8</v>
      </c>
      <c r="D752" s="7" t="s">
        <v>416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-156</v>
      </c>
    </row>
    <row r="753" spans="1:10" hidden="1" x14ac:dyDescent="0.2">
      <c r="A753" s="23" t="s">
        <v>476</v>
      </c>
      <c r="B753" s="25">
        <v>43628</v>
      </c>
      <c r="C753" s="26">
        <v>9</v>
      </c>
      <c r="D753" s="7" t="s">
        <v>308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-155</v>
      </c>
    </row>
    <row r="754" spans="1:10" hidden="1" x14ac:dyDescent="0.2">
      <c r="A754" s="23" t="s">
        <v>477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-155</v>
      </c>
    </row>
    <row r="755" spans="1:10" hidden="1" x14ac:dyDescent="0.2">
      <c r="A755" s="23" t="s">
        <v>476</v>
      </c>
      <c r="B755" s="25">
        <v>43628</v>
      </c>
      <c r="C755" s="26">
        <v>11</v>
      </c>
      <c r="D755" s="7" t="s">
        <v>312</v>
      </c>
      <c r="E755" s="27">
        <v>43622</v>
      </c>
      <c r="F755" s="28" t="s">
        <v>242</v>
      </c>
      <c r="G755" s="26"/>
      <c r="H755" s="26"/>
      <c r="I755" s="23" t="s">
        <v>310</v>
      </c>
      <c r="J755" s="29">
        <f ca="1">ROUNDDOWN(表3[[#This Row],[日期]]-TODAY(),1)</f>
        <v>-155</v>
      </c>
    </row>
    <row r="756" spans="1:10" hidden="1" x14ac:dyDescent="0.2">
      <c r="A756" s="23" t="s">
        <v>476</v>
      </c>
      <c r="B756" s="25">
        <v>43628</v>
      </c>
      <c r="C756" s="26">
        <v>12</v>
      </c>
      <c r="D756" s="7" t="s">
        <v>313</v>
      </c>
      <c r="E756" s="27">
        <v>43622</v>
      </c>
      <c r="F756" s="28" t="s">
        <v>242</v>
      </c>
      <c r="G756" s="26"/>
      <c r="H756" s="26"/>
      <c r="I756" s="23" t="s">
        <v>310</v>
      </c>
      <c r="J756" s="29">
        <f ca="1">ROUNDDOWN(表3[[#This Row],[日期]]-TODAY(),1)</f>
        <v>-155</v>
      </c>
    </row>
    <row r="757" spans="1:10" hidden="1" x14ac:dyDescent="0.2">
      <c r="A757" s="23" t="s">
        <v>476</v>
      </c>
      <c r="B757" s="25">
        <v>43628</v>
      </c>
      <c r="C757" s="26">
        <v>13</v>
      </c>
      <c r="D757" s="7" t="s">
        <v>309</v>
      </c>
      <c r="E757" s="27">
        <v>43622</v>
      </c>
      <c r="F757" s="28" t="s">
        <v>242</v>
      </c>
      <c r="G757" s="26"/>
      <c r="H757" s="26"/>
      <c r="I757" s="23" t="s">
        <v>310</v>
      </c>
      <c r="J757" s="29">
        <f ca="1">ROUNDDOWN(表3[[#This Row],[日期]]-TODAY(),1)</f>
        <v>-155</v>
      </c>
    </row>
    <row r="758" spans="1:10" hidden="1" x14ac:dyDescent="0.2">
      <c r="A758" s="23" t="s">
        <v>476</v>
      </c>
      <c r="B758" s="25">
        <v>43628</v>
      </c>
      <c r="C758" s="26">
        <v>14</v>
      </c>
      <c r="D758" s="7" t="s">
        <v>311</v>
      </c>
      <c r="E758" s="27">
        <v>43626</v>
      </c>
      <c r="F758" s="28" t="s">
        <v>242</v>
      </c>
      <c r="G758" s="26"/>
      <c r="H758" s="26"/>
      <c r="I758" s="23" t="s">
        <v>310</v>
      </c>
      <c r="J758" s="29">
        <f ca="1">ROUNDDOWN(表3[[#This Row],[日期]]-TODAY(),1)</f>
        <v>-151</v>
      </c>
    </row>
    <row r="759" spans="1:10" hidden="1" x14ac:dyDescent="0.2">
      <c r="A759" s="23" t="s">
        <v>476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-151</v>
      </c>
    </row>
    <row r="760" spans="1:10" hidden="1" x14ac:dyDescent="0.2">
      <c r="A760" s="23" t="s">
        <v>476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-151</v>
      </c>
    </row>
    <row r="761" spans="1:10" hidden="1" x14ac:dyDescent="0.2">
      <c r="A761" s="23" t="s">
        <v>476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-150</v>
      </c>
    </row>
    <row r="762" spans="1:10" hidden="1" x14ac:dyDescent="0.2">
      <c r="A762" s="23" t="s">
        <v>476</v>
      </c>
      <c r="B762" s="25">
        <v>43628</v>
      </c>
      <c r="C762" s="26">
        <v>18</v>
      </c>
      <c r="D762" s="7" t="s">
        <v>642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-149</v>
      </c>
    </row>
    <row r="763" spans="1:10" hidden="1" x14ac:dyDescent="0.2">
      <c r="A763" s="23" t="s">
        <v>476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648</v>
      </c>
      <c r="G763" s="26"/>
      <c r="H763" s="26"/>
      <c r="I763" s="23"/>
      <c r="J763" s="29">
        <f ca="1">ROUNDDOWN(表3[[#This Row],[日期]]-TODAY(),1)</f>
        <v>-149</v>
      </c>
    </row>
    <row r="764" spans="1:10" hidden="1" x14ac:dyDescent="0.2">
      <c r="A764" s="23" t="s">
        <v>2831</v>
      </c>
      <c r="B764" s="25">
        <v>43628</v>
      </c>
      <c r="C764" s="26">
        <v>1</v>
      </c>
      <c r="D764" s="7" t="s">
        <v>507</v>
      </c>
      <c r="E764" s="27">
        <v>43620</v>
      </c>
      <c r="F764" s="28" t="s">
        <v>509</v>
      </c>
      <c r="G764" s="26"/>
      <c r="H764" s="26"/>
      <c r="I764" s="23"/>
      <c r="J764" s="29">
        <f ca="1">ROUNDDOWN(表3[[#This Row],[日期]]-TODAY(),1)</f>
        <v>-157</v>
      </c>
    </row>
    <row r="765" spans="1:10" hidden="1" x14ac:dyDescent="0.2">
      <c r="A765" s="23" t="s">
        <v>2831</v>
      </c>
      <c r="B765" s="25">
        <v>43628</v>
      </c>
      <c r="C765" s="26">
        <v>2</v>
      </c>
      <c r="D765" s="7" t="s">
        <v>510</v>
      </c>
      <c r="E765" s="27">
        <v>43620</v>
      </c>
      <c r="F765" s="28" t="s">
        <v>509</v>
      </c>
      <c r="G765" s="26"/>
      <c r="H765" s="26"/>
      <c r="I765" s="23"/>
      <c r="J765" s="29">
        <f ca="1">ROUNDDOWN(表3[[#This Row],[日期]]-TODAY(),1)</f>
        <v>-157</v>
      </c>
    </row>
    <row r="766" spans="1:10" hidden="1" x14ac:dyDescent="0.2">
      <c r="A766" s="23" t="s">
        <v>2831</v>
      </c>
      <c r="B766" s="25">
        <v>43628</v>
      </c>
      <c r="C766" s="26">
        <v>3</v>
      </c>
      <c r="D766" s="7" t="s">
        <v>512</v>
      </c>
      <c r="E766" s="27">
        <v>43620</v>
      </c>
      <c r="F766" s="28" t="s">
        <v>509</v>
      </c>
      <c r="G766" s="26"/>
      <c r="H766" s="26"/>
      <c r="I766" s="23"/>
      <c r="J766" s="29">
        <f ca="1">ROUNDDOWN(表3[[#This Row],[日期]]-TODAY(),1)</f>
        <v>-157</v>
      </c>
    </row>
    <row r="767" spans="1:10" hidden="1" x14ac:dyDescent="0.2">
      <c r="A767" s="23" t="s">
        <v>2831</v>
      </c>
      <c r="B767" s="25">
        <v>43628</v>
      </c>
      <c r="C767" s="26">
        <v>4</v>
      </c>
      <c r="D767" s="7" t="s">
        <v>514</v>
      </c>
      <c r="E767" s="27">
        <v>43620</v>
      </c>
      <c r="F767" s="28" t="s">
        <v>509</v>
      </c>
      <c r="G767" s="26"/>
      <c r="H767" s="26"/>
      <c r="I767" s="23"/>
      <c r="J767" s="29">
        <f ca="1">ROUNDDOWN(表3[[#This Row],[日期]]-TODAY(),1)</f>
        <v>-157</v>
      </c>
    </row>
    <row r="768" spans="1:10" hidden="1" x14ac:dyDescent="0.2">
      <c r="A768" s="23" t="s">
        <v>2831</v>
      </c>
      <c r="B768" s="25">
        <v>43628</v>
      </c>
      <c r="C768" s="26">
        <v>5</v>
      </c>
      <c r="D768" s="7" t="s">
        <v>517</v>
      </c>
      <c r="E768" s="27">
        <v>43620</v>
      </c>
      <c r="F768" s="28" t="s">
        <v>509</v>
      </c>
      <c r="G768" s="26"/>
      <c r="H768" s="26"/>
      <c r="I768" s="23"/>
      <c r="J768" s="29">
        <f ca="1">ROUNDDOWN(表3[[#This Row],[日期]]-TODAY(),1)</f>
        <v>-157</v>
      </c>
    </row>
    <row r="769" spans="1:10" hidden="1" x14ac:dyDescent="0.2">
      <c r="A769" s="23" t="s">
        <v>2831</v>
      </c>
      <c r="B769" s="25">
        <v>43628</v>
      </c>
      <c r="C769" s="26">
        <v>6</v>
      </c>
      <c r="D769" s="7" t="s">
        <v>519</v>
      </c>
      <c r="E769" s="27">
        <v>43626</v>
      </c>
      <c r="F769" s="28" t="s">
        <v>242</v>
      </c>
      <c r="G769" s="26"/>
      <c r="H769" s="26"/>
      <c r="I769" s="23" t="s">
        <v>529</v>
      </c>
      <c r="J769" s="29">
        <f ca="1">ROUNDDOWN(表3[[#This Row],[日期]]-TODAY(),1)</f>
        <v>-151</v>
      </c>
    </row>
    <row r="770" spans="1:10" hidden="1" x14ac:dyDescent="0.2">
      <c r="A770" s="23" t="s">
        <v>2831</v>
      </c>
      <c r="B770" s="25">
        <v>43628</v>
      </c>
      <c r="C770" s="26">
        <v>7</v>
      </c>
      <c r="D770" s="7" t="s">
        <v>521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-151</v>
      </c>
    </row>
    <row r="771" spans="1:10" hidden="1" x14ac:dyDescent="0.2">
      <c r="A771" s="23" t="s">
        <v>2831</v>
      </c>
      <c r="B771" s="25">
        <v>43628</v>
      </c>
      <c r="C771" s="26">
        <v>8</v>
      </c>
      <c r="D771" s="7" t="s">
        <v>523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-151</v>
      </c>
    </row>
    <row r="772" spans="1:10" hidden="1" x14ac:dyDescent="0.2">
      <c r="A772" s="23" t="s">
        <v>2831</v>
      </c>
      <c r="B772" s="25">
        <v>43628</v>
      </c>
      <c r="C772" s="26">
        <v>9</v>
      </c>
      <c r="D772" s="7" t="s">
        <v>525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-148</v>
      </c>
    </row>
    <row r="773" spans="1:10" hidden="1" x14ac:dyDescent="0.2">
      <c r="A773" s="23" t="s">
        <v>2831</v>
      </c>
      <c r="B773" s="25">
        <v>43628</v>
      </c>
      <c r="C773" s="26">
        <v>10</v>
      </c>
      <c r="D773" s="7" t="s">
        <v>527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-148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452</v>
      </c>
      <c r="E774" s="27">
        <v>43616</v>
      </c>
      <c r="F774" s="28" t="s">
        <v>485</v>
      </c>
      <c r="G774" s="26"/>
      <c r="H774" s="26"/>
      <c r="I774" s="23" t="s">
        <v>27</v>
      </c>
      <c r="J774" s="29">
        <f ca="1">ROUNDDOWN(表3[[#This Row],[日期]]-TODAY(),1)</f>
        <v>-161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-161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-161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-161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-157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-157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-157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502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-157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-157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-156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-156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453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-151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604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-151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-151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-151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-151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-151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-151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-151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454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-150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-150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-150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437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-150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-150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-150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-150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-150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-150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-150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-150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-150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-150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-149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-149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455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-149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456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-149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-149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-149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-149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-148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-148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-148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-148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-148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535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-148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305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-144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-142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947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-135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948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-134</v>
      </c>
    </row>
    <row r="823" spans="1:10" hidden="1" x14ac:dyDescent="0.2">
      <c r="A823" s="23" t="s">
        <v>2831</v>
      </c>
      <c r="B823" s="25">
        <v>43632</v>
      </c>
      <c r="C823" s="26">
        <v>1</v>
      </c>
      <c r="D823" s="7" t="s">
        <v>507</v>
      </c>
      <c r="E823" s="27">
        <v>43620</v>
      </c>
      <c r="F823" s="28" t="s">
        <v>509</v>
      </c>
      <c r="G823" s="26"/>
      <c r="H823" s="26"/>
      <c r="I823" s="23"/>
      <c r="J823" s="29">
        <f ca="1">ROUNDDOWN(表3[[#This Row],[日期]]-TODAY(),1)</f>
        <v>-157</v>
      </c>
    </row>
    <row r="824" spans="1:10" hidden="1" x14ac:dyDescent="0.2">
      <c r="A824" s="23" t="s">
        <v>2831</v>
      </c>
      <c r="B824" s="25">
        <v>43632</v>
      </c>
      <c r="C824" s="26">
        <v>2</v>
      </c>
      <c r="D824" s="7" t="s">
        <v>510</v>
      </c>
      <c r="E824" s="27">
        <v>43620</v>
      </c>
      <c r="F824" s="28" t="s">
        <v>509</v>
      </c>
      <c r="G824" s="26"/>
      <c r="H824" s="26"/>
      <c r="I824" s="23"/>
      <c r="J824" s="29">
        <f ca="1">ROUNDDOWN(表3[[#This Row],[日期]]-TODAY(),1)</f>
        <v>-157</v>
      </c>
    </row>
    <row r="825" spans="1:10" hidden="1" x14ac:dyDescent="0.2">
      <c r="A825" s="23" t="s">
        <v>2831</v>
      </c>
      <c r="B825" s="25">
        <v>43632</v>
      </c>
      <c r="C825" s="26">
        <v>3</v>
      </c>
      <c r="D825" s="7" t="s">
        <v>512</v>
      </c>
      <c r="E825" s="27">
        <v>43620</v>
      </c>
      <c r="F825" s="28" t="s">
        <v>509</v>
      </c>
      <c r="G825" s="26"/>
      <c r="H825" s="26"/>
      <c r="I825" s="23"/>
      <c r="J825" s="29">
        <f ca="1">ROUNDDOWN(表3[[#This Row],[日期]]-TODAY(),1)</f>
        <v>-157</v>
      </c>
    </row>
    <row r="826" spans="1:10" hidden="1" x14ac:dyDescent="0.2">
      <c r="A826" s="23" t="s">
        <v>2831</v>
      </c>
      <c r="B826" s="25">
        <v>43632</v>
      </c>
      <c r="C826" s="26">
        <v>4</v>
      </c>
      <c r="D826" s="7" t="s">
        <v>514</v>
      </c>
      <c r="E826" s="27">
        <v>43620</v>
      </c>
      <c r="F826" s="28" t="s">
        <v>509</v>
      </c>
      <c r="G826" s="26"/>
      <c r="H826" s="26"/>
      <c r="I826" s="23"/>
      <c r="J826" s="29">
        <f ca="1">ROUNDDOWN(表3[[#This Row],[日期]]-TODAY(),1)</f>
        <v>-157</v>
      </c>
    </row>
    <row r="827" spans="1:10" hidden="1" x14ac:dyDescent="0.2">
      <c r="A827" s="23" t="s">
        <v>2831</v>
      </c>
      <c r="B827" s="25">
        <v>43632</v>
      </c>
      <c r="C827" s="26">
        <v>5</v>
      </c>
      <c r="D827" s="7" t="s">
        <v>517</v>
      </c>
      <c r="E827" s="27">
        <v>43620</v>
      </c>
      <c r="F827" s="28" t="s">
        <v>509</v>
      </c>
      <c r="G827" s="26"/>
      <c r="H827" s="26"/>
      <c r="I827" s="23"/>
      <c r="J827" s="29">
        <f ca="1">ROUNDDOWN(表3[[#This Row],[日期]]-TODAY(),1)</f>
        <v>-157</v>
      </c>
    </row>
    <row r="828" spans="1:10" hidden="1" x14ac:dyDescent="0.2">
      <c r="A828" s="23" t="s">
        <v>2831</v>
      </c>
      <c r="B828" s="25">
        <v>43632</v>
      </c>
      <c r="C828" s="26">
        <v>6</v>
      </c>
      <c r="D828" s="7" t="s">
        <v>519</v>
      </c>
      <c r="E828" s="27">
        <v>43630</v>
      </c>
      <c r="F828" s="28" t="s">
        <v>242</v>
      </c>
      <c r="G828" s="26"/>
      <c r="H828" s="26"/>
      <c r="I828" s="23" t="s">
        <v>529</v>
      </c>
      <c r="J828" s="29">
        <f ca="1">ROUNDDOWN(表3[[#This Row],[日期]]-TODAY(),1)</f>
        <v>-147</v>
      </c>
    </row>
    <row r="829" spans="1:10" hidden="1" x14ac:dyDescent="0.2">
      <c r="A829" s="23" t="s">
        <v>2831</v>
      </c>
      <c r="B829" s="25">
        <v>43632</v>
      </c>
      <c r="C829" s="26">
        <v>7</v>
      </c>
      <c r="D829" s="7" t="s">
        <v>521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-147</v>
      </c>
    </row>
    <row r="830" spans="1:10" hidden="1" x14ac:dyDescent="0.2">
      <c r="A830" s="23" t="s">
        <v>2831</v>
      </c>
      <c r="B830" s="25">
        <v>43632</v>
      </c>
      <c r="C830" s="26">
        <v>8</v>
      </c>
      <c r="D830" s="7" t="s">
        <v>523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-147</v>
      </c>
    </row>
    <row r="831" spans="1:10" hidden="1" x14ac:dyDescent="0.2">
      <c r="A831" s="23" t="s">
        <v>2831</v>
      </c>
      <c r="B831" s="25">
        <v>43632</v>
      </c>
      <c r="C831" s="26">
        <v>9</v>
      </c>
      <c r="D831" s="7" t="s">
        <v>525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-144</v>
      </c>
    </row>
    <row r="832" spans="1:10" hidden="1" x14ac:dyDescent="0.2">
      <c r="A832" s="23" t="s">
        <v>2831</v>
      </c>
      <c r="B832" s="25">
        <v>43632</v>
      </c>
      <c r="C832" s="26">
        <v>9.1</v>
      </c>
      <c r="D832" s="7" t="s">
        <v>726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-142</v>
      </c>
    </row>
    <row r="833" spans="1:10" hidden="1" x14ac:dyDescent="0.2">
      <c r="A833" s="23" t="s">
        <v>2831</v>
      </c>
      <c r="B833" s="25">
        <v>43632</v>
      </c>
      <c r="C833" s="26">
        <v>10</v>
      </c>
      <c r="D833" s="7" t="s">
        <v>527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-144</v>
      </c>
    </row>
    <row r="834" spans="1:10" hidden="1" x14ac:dyDescent="0.2">
      <c r="A834" s="23" t="s">
        <v>2847</v>
      </c>
      <c r="B834" s="25">
        <v>43633</v>
      </c>
      <c r="C834" s="26">
        <v>1</v>
      </c>
      <c r="D834" s="7" t="s">
        <v>745</v>
      </c>
      <c r="E834" s="27">
        <v>43633</v>
      </c>
      <c r="F834" s="28" t="s">
        <v>746</v>
      </c>
      <c r="G834" s="26"/>
      <c r="H834" s="26"/>
      <c r="I834" s="23" t="s">
        <v>222</v>
      </c>
      <c r="J834" s="29">
        <f ca="1">ROUNDDOWN(表3[[#This Row],[日期]]-TODAY(),1)</f>
        <v>-144</v>
      </c>
    </row>
    <row r="835" spans="1:10" hidden="1" x14ac:dyDescent="0.2">
      <c r="A835" s="23" t="s">
        <v>2847</v>
      </c>
      <c r="B835" s="25">
        <v>43633</v>
      </c>
      <c r="C835" s="26">
        <v>2</v>
      </c>
      <c r="D835" s="7" t="s">
        <v>741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-144</v>
      </c>
    </row>
    <row r="836" spans="1:10" hidden="1" x14ac:dyDescent="0.2">
      <c r="A836" s="23" t="s">
        <v>2847</v>
      </c>
      <c r="B836" s="25">
        <v>43633</v>
      </c>
      <c r="C836" s="26">
        <v>3</v>
      </c>
      <c r="D836" s="7" t="s">
        <v>738</v>
      </c>
      <c r="E836" s="27">
        <v>43633</v>
      </c>
      <c r="F836" s="28" t="s">
        <v>242</v>
      </c>
      <c r="G836" s="26"/>
      <c r="H836" s="26"/>
      <c r="I836" s="23" t="s">
        <v>742</v>
      </c>
      <c r="J836" s="29">
        <f ca="1">ROUNDDOWN(表3[[#This Row],[日期]]-TODAY(),1)</f>
        <v>-144</v>
      </c>
    </row>
    <row r="837" spans="1:10" hidden="1" x14ac:dyDescent="0.2">
      <c r="A837" s="23" t="s">
        <v>2847</v>
      </c>
      <c r="B837" s="25">
        <v>43633</v>
      </c>
      <c r="C837" s="26">
        <v>4</v>
      </c>
      <c r="D837" s="7" t="s">
        <v>738</v>
      </c>
      <c r="E837" s="27">
        <v>43635</v>
      </c>
      <c r="F837" s="28" t="s">
        <v>242</v>
      </c>
      <c r="G837" s="26"/>
      <c r="H837" s="26"/>
      <c r="I837" s="23" t="s">
        <v>747</v>
      </c>
      <c r="J837" s="29">
        <f ca="1">ROUNDDOWN(表3[[#This Row],[日期]]-TODAY(),1)</f>
        <v>-142</v>
      </c>
    </row>
    <row r="838" spans="1:10" hidden="1" x14ac:dyDescent="0.2">
      <c r="A838" s="23" t="s">
        <v>2847</v>
      </c>
      <c r="B838" s="25">
        <v>43633</v>
      </c>
      <c r="C838" s="26">
        <v>5</v>
      </c>
      <c r="D838" s="7" t="s">
        <v>892</v>
      </c>
      <c r="E838" s="27">
        <v>43637</v>
      </c>
      <c r="F838" s="28" t="s">
        <v>242</v>
      </c>
      <c r="G838" s="26"/>
      <c r="H838" s="26"/>
      <c r="I838" s="23" t="s">
        <v>841</v>
      </c>
      <c r="J838" s="29">
        <f ca="1">ROUNDDOWN(表3[[#This Row],[日期]]-TODAY(),1)</f>
        <v>-140</v>
      </c>
    </row>
    <row r="839" spans="1:10" hidden="1" x14ac:dyDescent="0.2">
      <c r="A839" s="23" t="s">
        <v>2847</v>
      </c>
      <c r="B839" s="25">
        <v>43633</v>
      </c>
      <c r="C839" s="26">
        <v>6</v>
      </c>
      <c r="D839" s="7" t="s">
        <v>744</v>
      </c>
      <c r="E839" s="27">
        <v>43636</v>
      </c>
      <c r="F839" s="28" t="s">
        <v>242</v>
      </c>
      <c r="G839" s="26"/>
      <c r="H839" s="26"/>
      <c r="I839" s="23" t="s">
        <v>743</v>
      </c>
      <c r="J839" s="29">
        <f ca="1">ROUNDDOWN(表3[[#This Row],[日期]]-TODAY(),1)</f>
        <v>-141</v>
      </c>
    </row>
    <row r="840" spans="1:10" hidden="1" x14ac:dyDescent="0.2">
      <c r="A840" s="23" t="s">
        <v>2847</v>
      </c>
      <c r="B840" s="25">
        <v>43633</v>
      </c>
      <c r="C840" s="26">
        <v>7</v>
      </c>
      <c r="D840" s="7" t="s">
        <v>367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-140</v>
      </c>
    </row>
    <row r="841" spans="1:10" hidden="1" x14ac:dyDescent="0.2">
      <c r="A841" s="23" t="s">
        <v>2847</v>
      </c>
      <c r="B841" s="25">
        <v>43633</v>
      </c>
      <c r="C841" s="26">
        <v>8</v>
      </c>
      <c r="D841" s="7" t="s">
        <v>739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-140</v>
      </c>
    </row>
    <row r="842" spans="1:10" hidden="1" x14ac:dyDescent="0.2">
      <c r="A842" s="23" t="s">
        <v>2847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-140</v>
      </c>
    </row>
    <row r="843" spans="1:10" hidden="1" x14ac:dyDescent="0.2">
      <c r="A843" s="23" t="s">
        <v>2847</v>
      </c>
      <c r="B843" s="25">
        <v>43633</v>
      </c>
      <c r="C843" s="26">
        <v>10</v>
      </c>
      <c r="D843" s="7" t="s">
        <v>738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-140</v>
      </c>
    </row>
    <row r="844" spans="1:10" hidden="1" x14ac:dyDescent="0.2">
      <c r="A844" s="23" t="s">
        <v>2847</v>
      </c>
      <c r="B844" s="25">
        <v>43633</v>
      </c>
      <c r="C844" s="26">
        <v>11</v>
      </c>
      <c r="D844" s="7" t="s">
        <v>737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-140</v>
      </c>
    </row>
    <row r="845" spans="1:10" hidden="1" x14ac:dyDescent="0.2">
      <c r="A845" s="23" t="s">
        <v>2847</v>
      </c>
      <c r="B845" s="25">
        <v>43633</v>
      </c>
      <c r="C845" s="26">
        <v>12</v>
      </c>
      <c r="D845" s="7" t="s">
        <v>740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-140</v>
      </c>
    </row>
    <row r="846" spans="1:10" hidden="1" x14ac:dyDescent="0.2">
      <c r="A846" s="23" t="s">
        <v>2847</v>
      </c>
      <c r="B846" s="25">
        <v>43633</v>
      </c>
      <c r="C846" s="26">
        <v>13</v>
      </c>
      <c r="D846" s="7" t="s">
        <v>816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-140</v>
      </c>
    </row>
    <row r="847" spans="1:10" hidden="1" x14ac:dyDescent="0.2">
      <c r="A847" s="23" t="s">
        <v>2847</v>
      </c>
      <c r="B847" s="25">
        <v>43633</v>
      </c>
      <c r="C847" s="26">
        <v>14</v>
      </c>
      <c r="D847" s="7" t="s">
        <v>815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-140</v>
      </c>
    </row>
    <row r="848" spans="1:10" hidden="1" x14ac:dyDescent="0.2">
      <c r="A848" s="23" t="s">
        <v>2847</v>
      </c>
      <c r="B848" s="25">
        <v>43633</v>
      </c>
      <c r="C848" s="26">
        <v>15</v>
      </c>
      <c r="D848" s="7" t="s">
        <v>817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-140</v>
      </c>
    </row>
    <row r="849" spans="1:10" hidden="1" x14ac:dyDescent="0.2">
      <c r="A849" s="23" t="s">
        <v>2847</v>
      </c>
      <c r="B849" s="25">
        <v>43633</v>
      </c>
      <c r="C849" s="26">
        <v>16</v>
      </c>
      <c r="D849" s="7" t="s">
        <v>818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-140</v>
      </c>
    </row>
    <row r="850" spans="1:10" hidden="1" x14ac:dyDescent="0.2">
      <c r="A850" s="23" t="s">
        <v>2847</v>
      </c>
      <c r="B850" s="25">
        <v>43633</v>
      </c>
      <c r="C850" s="26">
        <v>17</v>
      </c>
      <c r="D850" s="7" t="s">
        <v>819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-140</v>
      </c>
    </row>
    <row r="851" spans="1:10" hidden="1" x14ac:dyDescent="0.2">
      <c r="A851" s="23" t="s">
        <v>2847</v>
      </c>
      <c r="B851" s="25">
        <v>43633</v>
      </c>
      <c r="C851" s="26">
        <v>18</v>
      </c>
      <c r="D851" s="7" t="s">
        <v>820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-140</v>
      </c>
    </row>
    <row r="852" spans="1:10" hidden="1" x14ac:dyDescent="0.2">
      <c r="A852" s="23" t="s">
        <v>546</v>
      </c>
      <c r="B852" s="25">
        <v>43635</v>
      </c>
      <c r="C852" s="26">
        <v>1</v>
      </c>
      <c r="D852" s="7" t="s">
        <v>364</v>
      </c>
      <c r="E852" s="27">
        <v>43622</v>
      </c>
      <c r="F852" s="28" t="s">
        <v>548</v>
      </c>
      <c r="G852" s="26"/>
      <c r="H852" s="26"/>
      <c r="I852" s="23"/>
      <c r="J852" s="29">
        <f ca="1">ROUNDDOWN(表3[[#This Row],[日期]]-TODAY(),1)</f>
        <v>-155</v>
      </c>
    </row>
    <row r="853" spans="1:10" hidden="1" x14ac:dyDescent="0.2">
      <c r="A853" s="23" t="s">
        <v>546</v>
      </c>
      <c r="B853" s="25">
        <v>43635</v>
      </c>
      <c r="C853" s="26">
        <v>2</v>
      </c>
      <c r="D853" s="7" t="s">
        <v>365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-150</v>
      </c>
    </row>
    <row r="854" spans="1:10" hidden="1" x14ac:dyDescent="0.2">
      <c r="A854" s="23" t="s">
        <v>546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-150</v>
      </c>
    </row>
    <row r="855" spans="1:10" hidden="1" x14ac:dyDescent="0.2">
      <c r="A855" s="23" t="s">
        <v>546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-147</v>
      </c>
    </row>
    <row r="856" spans="1:10" hidden="1" x14ac:dyDescent="0.2">
      <c r="A856" s="23" t="s">
        <v>546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-147</v>
      </c>
    </row>
    <row r="857" spans="1:10" hidden="1" x14ac:dyDescent="0.2">
      <c r="A857" s="23" t="s">
        <v>547</v>
      </c>
      <c r="B857" s="25">
        <v>43635</v>
      </c>
      <c r="C857" s="26">
        <v>6</v>
      </c>
      <c r="D857" s="7" t="s">
        <v>475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-147</v>
      </c>
    </row>
    <row r="858" spans="1:10" hidden="1" x14ac:dyDescent="0.2">
      <c r="A858" s="23" t="s">
        <v>547</v>
      </c>
      <c r="B858" s="25">
        <v>43635</v>
      </c>
      <c r="C858" s="26">
        <v>7</v>
      </c>
      <c r="D858" s="7" t="s">
        <v>307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-144</v>
      </c>
    </row>
    <row r="859" spans="1:10" hidden="1" x14ac:dyDescent="0.2">
      <c r="A859" s="23" t="s">
        <v>546</v>
      </c>
      <c r="B859" s="25">
        <v>43635</v>
      </c>
      <c r="C859" s="26">
        <v>8</v>
      </c>
      <c r="D859" s="7" t="s">
        <v>416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-144</v>
      </c>
    </row>
    <row r="860" spans="1:10" hidden="1" x14ac:dyDescent="0.2">
      <c r="A860" s="23" t="s">
        <v>546</v>
      </c>
      <c r="B860" s="25">
        <v>43635</v>
      </c>
      <c r="C860" s="26">
        <v>9</v>
      </c>
      <c r="D860" s="7" t="s">
        <v>309</v>
      </c>
      <c r="E860" s="27">
        <v>43630</v>
      </c>
      <c r="F860" s="28" t="s">
        <v>242</v>
      </c>
      <c r="G860" s="26"/>
      <c r="H860" s="26"/>
      <c r="I860" s="23" t="s">
        <v>310</v>
      </c>
      <c r="J860" s="29">
        <f ca="1">ROUNDDOWN(表3[[#This Row],[日期]]-TODAY(),1)</f>
        <v>-147</v>
      </c>
    </row>
    <row r="861" spans="1:10" hidden="1" x14ac:dyDescent="0.2">
      <c r="A861" s="23" t="s">
        <v>547</v>
      </c>
      <c r="B861" s="25">
        <v>43635</v>
      </c>
      <c r="C861" s="26">
        <v>10</v>
      </c>
      <c r="D861" s="7" t="s">
        <v>311</v>
      </c>
      <c r="E861" s="27">
        <v>43633</v>
      </c>
      <c r="F861" s="28" t="s">
        <v>242</v>
      </c>
      <c r="G861" s="26"/>
      <c r="H861" s="26"/>
      <c r="I861" s="23" t="s">
        <v>310</v>
      </c>
      <c r="J861" s="29">
        <f ca="1">ROUNDDOWN(表3[[#This Row],[日期]]-TODAY(),1)</f>
        <v>-144</v>
      </c>
    </row>
    <row r="862" spans="1:10" hidden="1" x14ac:dyDescent="0.2">
      <c r="A862" s="23" t="s">
        <v>547</v>
      </c>
      <c r="B862" s="25">
        <v>43635</v>
      </c>
      <c r="C862" s="26">
        <v>11</v>
      </c>
      <c r="D862" s="7" t="s">
        <v>736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-144</v>
      </c>
    </row>
    <row r="863" spans="1:10" hidden="1" x14ac:dyDescent="0.2">
      <c r="A863" s="23" t="s">
        <v>547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-144</v>
      </c>
    </row>
    <row r="864" spans="1:10" hidden="1" x14ac:dyDescent="0.2">
      <c r="A864" s="23" t="s">
        <v>547</v>
      </c>
      <c r="B864" s="25">
        <v>43635</v>
      </c>
      <c r="C864" s="26">
        <v>13</v>
      </c>
      <c r="D864" s="7" t="s">
        <v>312</v>
      </c>
      <c r="E864" s="27">
        <v>43633</v>
      </c>
      <c r="F864" s="28" t="s">
        <v>242</v>
      </c>
      <c r="G864" s="26"/>
      <c r="H864" s="26"/>
      <c r="I864" s="23" t="s">
        <v>310</v>
      </c>
      <c r="J864" s="29">
        <f ca="1">ROUNDDOWN(表3[[#This Row],[日期]]-TODAY(),1)</f>
        <v>-144</v>
      </c>
    </row>
    <row r="865" spans="1:10" hidden="1" x14ac:dyDescent="0.2">
      <c r="A865" s="23" t="s">
        <v>547</v>
      </c>
      <c r="B865" s="25">
        <v>43635</v>
      </c>
      <c r="C865" s="26">
        <v>14</v>
      </c>
      <c r="D865" s="7" t="s">
        <v>313</v>
      </c>
      <c r="E865" s="27">
        <v>43633</v>
      </c>
      <c r="F865" s="28" t="s">
        <v>242</v>
      </c>
      <c r="G865" s="26"/>
      <c r="H865" s="26"/>
      <c r="I865" s="23" t="s">
        <v>310</v>
      </c>
      <c r="J865" s="29">
        <f ca="1">ROUNDDOWN(表3[[#This Row],[日期]]-TODAY(),1)</f>
        <v>-144</v>
      </c>
    </row>
    <row r="866" spans="1:10" hidden="1" x14ac:dyDescent="0.2">
      <c r="A866" s="23" t="s">
        <v>546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-144</v>
      </c>
    </row>
    <row r="867" spans="1:10" hidden="1" x14ac:dyDescent="0.2">
      <c r="A867" s="23" t="s">
        <v>546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-144</v>
      </c>
    </row>
    <row r="868" spans="1:10" hidden="1" x14ac:dyDescent="0.2">
      <c r="A868" s="23" t="s">
        <v>547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-142</v>
      </c>
    </row>
    <row r="869" spans="1:10" hidden="1" x14ac:dyDescent="0.2">
      <c r="A869" s="23" t="s">
        <v>546</v>
      </c>
      <c r="B869" s="25">
        <v>43635</v>
      </c>
      <c r="C869" s="26">
        <v>18</v>
      </c>
      <c r="D869" s="7" t="s">
        <v>853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-141</v>
      </c>
    </row>
    <row r="870" spans="1:10" hidden="1" x14ac:dyDescent="0.2">
      <c r="A870" s="23" t="s">
        <v>546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-142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452</v>
      </c>
      <c r="E871" s="27">
        <v>43626</v>
      </c>
      <c r="F871" s="28" t="s">
        <v>564</v>
      </c>
      <c r="G871" s="26"/>
      <c r="H871" s="26"/>
      <c r="I871" s="23" t="s">
        <v>27</v>
      </c>
      <c r="J871" s="29">
        <f ca="1">ROUNDDOWN(表3[[#This Row],[日期]]-TODAY(),1)</f>
        <v>-151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564</v>
      </c>
      <c r="G872" s="26"/>
      <c r="H872" s="26"/>
      <c r="I872" s="23"/>
      <c r="J872" s="29">
        <f ca="1">ROUNDDOWN(表3[[#This Row],[日期]]-TODAY(),1)</f>
        <v>-151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564</v>
      </c>
      <c r="G873" s="26"/>
      <c r="H873" s="26"/>
      <c r="I873" s="23" t="s">
        <v>29</v>
      </c>
      <c r="J873" s="29">
        <f ca="1">ROUNDDOWN(表3[[#This Row],[日期]]-TODAY(),1)</f>
        <v>-151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565</v>
      </c>
      <c r="G874" s="26"/>
      <c r="H874" s="26"/>
      <c r="I874" s="23"/>
      <c r="J874" s="29">
        <f ca="1">ROUNDDOWN(表3[[#This Row],[日期]]-TODAY(),1)</f>
        <v>-151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565</v>
      </c>
      <c r="G875" s="26"/>
      <c r="H875" s="26"/>
      <c r="I875" s="23" t="s">
        <v>40</v>
      </c>
      <c r="J875" s="29">
        <f ca="1">ROUNDDOWN(表3[[#This Row],[日期]]-TODAY(),1)</f>
        <v>-150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-150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-150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-150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-150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-149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-149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453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-148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603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-148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-148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-148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-148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-148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-148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-148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454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-147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-147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-147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437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-147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-147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-147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683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-147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-147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-147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-147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-147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-147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-147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-147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455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-147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456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-147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-147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-144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-144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-144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-144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-144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-143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-142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854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-142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305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-140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-140</v>
      </c>
    </row>
    <row r="917" spans="1:10" hidden="1" x14ac:dyDescent="0.2">
      <c r="A917" s="23" t="s">
        <v>541</v>
      </c>
      <c r="B917" s="25">
        <v>43635</v>
      </c>
      <c r="C917" s="26">
        <v>1</v>
      </c>
      <c r="D917" s="7" t="s">
        <v>364</v>
      </c>
      <c r="E917" s="27">
        <v>43622</v>
      </c>
      <c r="F917" s="28" t="s">
        <v>545</v>
      </c>
      <c r="G917" s="26"/>
      <c r="H917" s="26"/>
      <c r="I917" s="23"/>
      <c r="J917" s="29">
        <f ca="1">ROUNDDOWN(表3[[#This Row],[日期]]-TODAY(),1)</f>
        <v>-155</v>
      </c>
    </row>
    <row r="918" spans="1:10" hidden="1" x14ac:dyDescent="0.2">
      <c r="A918" s="23" t="s">
        <v>542</v>
      </c>
      <c r="B918" s="25">
        <v>43635</v>
      </c>
      <c r="C918" s="26">
        <v>2</v>
      </c>
      <c r="D918" s="7" t="s">
        <v>365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-155</v>
      </c>
    </row>
    <row r="919" spans="1:10" hidden="1" x14ac:dyDescent="0.2">
      <c r="A919" s="23" t="s">
        <v>543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-151</v>
      </c>
    </row>
    <row r="920" spans="1:10" hidden="1" x14ac:dyDescent="0.2">
      <c r="A920" s="23" t="s">
        <v>542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-148</v>
      </c>
    </row>
    <row r="921" spans="1:10" hidden="1" x14ac:dyDescent="0.2">
      <c r="A921" s="23" t="s">
        <v>544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-148</v>
      </c>
    </row>
    <row r="922" spans="1:10" hidden="1" x14ac:dyDescent="0.2">
      <c r="A922" s="23" t="s">
        <v>543</v>
      </c>
      <c r="B922" s="25">
        <v>43635</v>
      </c>
      <c r="C922" s="26">
        <v>6</v>
      </c>
      <c r="D922" s="7" t="s">
        <v>475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-148</v>
      </c>
    </row>
    <row r="923" spans="1:10" hidden="1" x14ac:dyDescent="0.2">
      <c r="A923" s="23" t="s">
        <v>542</v>
      </c>
      <c r="B923" s="25">
        <v>43635</v>
      </c>
      <c r="C923" s="26">
        <v>7</v>
      </c>
      <c r="D923" s="7" t="s">
        <v>307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-148</v>
      </c>
    </row>
    <row r="924" spans="1:10" hidden="1" x14ac:dyDescent="0.2">
      <c r="A924" s="23" t="s">
        <v>542</v>
      </c>
      <c r="B924" s="25">
        <v>43635</v>
      </c>
      <c r="C924" s="26">
        <v>8</v>
      </c>
      <c r="D924" s="7" t="s">
        <v>416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-148</v>
      </c>
    </row>
    <row r="925" spans="1:10" hidden="1" x14ac:dyDescent="0.2">
      <c r="A925" s="23" t="s">
        <v>542</v>
      </c>
      <c r="B925" s="25">
        <v>43635</v>
      </c>
      <c r="C925" s="26">
        <v>9</v>
      </c>
      <c r="D925" s="7" t="s">
        <v>736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-147</v>
      </c>
    </row>
    <row r="926" spans="1:10" hidden="1" x14ac:dyDescent="0.2">
      <c r="A926" s="23" t="s">
        <v>542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-147</v>
      </c>
    </row>
    <row r="927" spans="1:10" hidden="1" x14ac:dyDescent="0.2">
      <c r="A927" s="23" t="s">
        <v>541</v>
      </c>
      <c r="B927" s="25">
        <v>43635</v>
      </c>
      <c r="C927" s="26">
        <v>11</v>
      </c>
      <c r="D927" s="7" t="s">
        <v>312</v>
      </c>
      <c r="E927" s="27">
        <v>43630</v>
      </c>
      <c r="F927" s="28" t="s">
        <v>242</v>
      </c>
      <c r="G927" s="26"/>
      <c r="H927" s="26"/>
      <c r="I927" s="23" t="s">
        <v>310</v>
      </c>
      <c r="J927" s="29">
        <f ca="1">ROUNDDOWN(表3[[#This Row],[日期]]-TODAY(),1)</f>
        <v>-147</v>
      </c>
    </row>
    <row r="928" spans="1:10" hidden="1" x14ac:dyDescent="0.2">
      <c r="A928" s="23" t="s">
        <v>542</v>
      </c>
      <c r="B928" s="25">
        <v>43635</v>
      </c>
      <c r="C928" s="26">
        <v>12</v>
      </c>
      <c r="D928" s="7" t="s">
        <v>313</v>
      </c>
      <c r="E928" s="27">
        <v>43630</v>
      </c>
      <c r="F928" s="28" t="s">
        <v>242</v>
      </c>
      <c r="G928" s="26"/>
      <c r="H928" s="26"/>
      <c r="I928" s="23" t="s">
        <v>310</v>
      </c>
      <c r="J928" s="29">
        <f ca="1">ROUNDDOWN(表3[[#This Row],[日期]]-TODAY(),1)</f>
        <v>-147</v>
      </c>
    </row>
    <row r="929" spans="1:10" hidden="1" x14ac:dyDescent="0.2">
      <c r="A929" s="23" t="s">
        <v>542</v>
      </c>
      <c r="B929" s="25">
        <v>43635</v>
      </c>
      <c r="C929" s="26">
        <v>13</v>
      </c>
      <c r="D929" s="7" t="s">
        <v>309</v>
      </c>
      <c r="E929" s="27">
        <v>43630</v>
      </c>
      <c r="F929" s="28" t="s">
        <v>242</v>
      </c>
      <c r="G929" s="26"/>
      <c r="H929" s="26"/>
      <c r="I929" s="23" t="s">
        <v>310</v>
      </c>
      <c r="J929" s="29">
        <f ca="1">ROUNDDOWN(表3[[#This Row],[日期]]-TODAY(),1)</f>
        <v>-147</v>
      </c>
    </row>
    <row r="930" spans="1:10" hidden="1" x14ac:dyDescent="0.2">
      <c r="A930" s="23" t="s">
        <v>543</v>
      </c>
      <c r="B930" s="25">
        <v>43635</v>
      </c>
      <c r="C930" s="26">
        <v>14</v>
      </c>
      <c r="D930" s="7" t="s">
        <v>311</v>
      </c>
      <c r="E930" s="27">
        <v>43631</v>
      </c>
      <c r="F930" s="28" t="s">
        <v>242</v>
      </c>
      <c r="G930" s="26"/>
      <c r="H930" s="26"/>
      <c r="I930" s="23" t="s">
        <v>310</v>
      </c>
      <c r="J930" s="29">
        <f ca="1">ROUNDDOWN(表3[[#This Row],[日期]]-TODAY(),1)</f>
        <v>-146</v>
      </c>
    </row>
    <row r="931" spans="1:10" hidden="1" x14ac:dyDescent="0.2">
      <c r="A931" s="23" t="s">
        <v>542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-146</v>
      </c>
    </row>
    <row r="932" spans="1:10" hidden="1" x14ac:dyDescent="0.2">
      <c r="A932" s="23" t="s">
        <v>542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-144</v>
      </c>
    </row>
    <row r="933" spans="1:10" hidden="1" x14ac:dyDescent="0.2">
      <c r="A933" s="23" t="s">
        <v>542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-143</v>
      </c>
    </row>
    <row r="934" spans="1:10" hidden="1" x14ac:dyDescent="0.2">
      <c r="A934" s="23" t="s">
        <v>543</v>
      </c>
      <c r="B934" s="25">
        <v>43635</v>
      </c>
      <c r="C934" s="26">
        <v>18</v>
      </c>
      <c r="D934" s="7" t="s">
        <v>761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-141</v>
      </c>
    </row>
    <row r="935" spans="1:10" hidden="1" x14ac:dyDescent="0.2">
      <c r="A935" s="23" t="s">
        <v>542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-142</v>
      </c>
    </row>
    <row r="936" spans="1:10" hidden="1" x14ac:dyDescent="0.2">
      <c r="A936" s="23" t="s">
        <v>2831</v>
      </c>
      <c r="B936" s="25">
        <v>43635</v>
      </c>
      <c r="C936" s="26">
        <v>1</v>
      </c>
      <c r="D936" s="7" t="s">
        <v>507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-157</v>
      </c>
    </row>
    <row r="937" spans="1:10" hidden="1" x14ac:dyDescent="0.2">
      <c r="A937" s="23" t="s">
        <v>2831</v>
      </c>
      <c r="B937" s="25">
        <v>43635</v>
      </c>
      <c r="C937" s="26">
        <v>2</v>
      </c>
      <c r="D937" s="7" t="s">
        <v>510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-157</v>
      </c>
    </row>
    <row r="938" spans="1:10" hidden="1" x14ac:dyDescent="0.2">
      <c r="A938" s="23" t="s">
        <v>2831</v>
      </c>
      <c r="B938" s="25">
        <v>43635</v>
      </c>
      <c r="C938" s="26">
        <v>3</v>
      </c>
      <c r="D938" s="7" t="s">
        <v>512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-157</v>
      </c>
    </row>
    <row r="939" spans="1:10" hidden="1" x14ac:dyDescent="0.2">
      <c r="A939" s="23" t="s">
        <v>2831</v>
      </c>
      <c r="B939" s="25">
        <v>43635</v>
      </c>
      <c r="C939" s="26">
        <v>4</v>
      </c>
      <c r="D939" s="7" t="s">
        <v>560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-151</v>
      </c>
    </row>
    <row r="940" spans="1:10" hidden="1" x14ac:dyDescent="0.2">
      <c r="A940" s="23" t="s">
        <v>2831</v>
      </c>
      <c r="B940" s="25">
        <v>43635</v>
      </c>
      <c r="C940" s="26">
        <v>5</v>
      </c>
      <c r="D940" s="7" t="s">
        <v>517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-149</v>
      </c>
    </row>
    <row r="941" spans="1:10" hidden="1" x14ac:dyDescent="0.2">
      <c r="A941" s="23" t="s">
        <v>2831</v>
      </c>
      <c r="B941" s="25">
        <v>43635</v>
      </c>
      <c r="C941" s="26">
        <v>6</v>
      </c>
      <c r="D941" s="7" t="s">
        <v>519</v>
      </c>
      <c r="E941" s="27">
        <v>43633</v>
      </c>
      <c r="F941" s="28" t="s">
        <v>242</v>
      </c>
      <c r="G941" s="26"/>
      <c r="H941" s="26"/>
      <c r="I941" s="23" t="s">
        <v>530</v>
      </c>
      <c r="J941" s="29">
        <f ca="1">ROUNDDOWN(表3[[#This Row],[日期]]-TODAY(),1)</f>
        <v>-144</v>
      </c>
    </row>
    <row r="942" spans="1:10" hidden="1" x14ac:dyDescent="0.2">
      <c r="A942" s="23" t="s">
        <v>2831</v>
      </c>
      <c r="B942" s="25">
        <v>43635</v>
      </c>
      <c r="C942" s="26">
        <v>7</v>
      </c>
      <c r="D942" s="7" t="s">
        <v>521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-144</v>
      </c>
    </row>
    <row r="943" spans="1:10" hidden="1" x14ac:dyDescent="0.2">
      <c r="A943" s="23" t="s">
        <v>2831</v>
      </c>
      <c r="B943" s="25">
        <v>43635</v>
      </c>
      <c r="C943" s="26">
        <v>8</v>
      </c>
      <c r="D943" s="7" t="s">
        <v>523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-144</v>
      </c>
    </row>
    <row r="944" spans="1:10" hidden="1" x14ac:dyDescent="0.2">
      <c r="A944" s="23" t="s">
        <v>2831</v>
      </c>
      <c r="B944" s="25">
        <v>43635</v>
      </c>
      <c r="C944" s="26">
        <v>9</v>
      </c>
      <c r="D944" s="7" t="s">
        <v>525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-141</v>
      </c>
    </row>
    <row r="945" spans="1:10" hidden="1" x14ac:dyDescent="0.2">
      <c r="A945" s="23" t="s">
        <v>2831</v>
      </c>
      <c r="B945" s="25">
        <v>43635</v>
      </c>
      <c r="C945" s="26">
        <v>10</v>
      </c>
      <c r="D945" s="7" t="s">
        <v>527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-141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-182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-182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-182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-182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-181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449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-163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483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-162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-149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350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-149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-149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-149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-149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-149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303</v>
      </c>
      <c r="E959" s="27">
        <v>43629</v>
      </c>
      <c r="F959" s="28" t="s">
        <v>242</v>
      </c>
      <c r="G959" s="26"/>
      <c r="H959" s="26"/>
      <c r="I959" s="23" t="s">
        <v>256</v>
      </c>
      <c r="J959" s="29">
        <f ca="1">ROUNDDOWN(表3[[#This Row],[日期]]-TODAY(),1)</f>
        <v>-148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261</v>
      </c>
      <c r="E960" s="27">
        <v>43630</v>
      </c>
      <c r="F960" s="28" t="s">
        <v>242</v>
      </c>
      <c r="G960" s="26"/>
      <c r="H960" s="26"/>
      <c r="I960" s="23" t="s">
        <v>259</v>
      </c>
      <c r="J960" s="29">
        <f ca="1">ROUNDDOWN(表3[[#This Row],[日期]]-TODAY(),1)</f>
        <v>-147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263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-147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265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-147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279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-144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281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-144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283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-144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267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-147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269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-147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271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-147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273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-144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275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-143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277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-141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412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-141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534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-141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1574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-116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1443</v>
      </c>
      <c r="E975" s="27">
        <v>43658</v>
      </c>
      <c r="F975" s="28" t="s">
        <v>1441</v>
      </c>
      <c r="G975" s="26"/>
      <c r="H975" s="26"/>
      <c r="I975" s="23"/>
      <c r="J975" s="29">
        <f ca="1">ROUNDDOWN(表3[[#This Row],[日期]]-TODAY(),1)</f>
        <v>-119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1586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-116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452</v>
      </c>
      <c r="E977" s="27">
        <v>43626</v>
      </c>
      <c r="F977" s="28" t="s">
        <v>564</v>
      </c>
      <c r="G977" s="26"/>
      <c r="H977" s="26"/>
      <c r="I977" s="23" t="s">
        <v>27</v>
      </c>
      <c r="J977" s="29">
        <f ca="1">ROUNDDOWN(表3[[#This Row],[日期]]-TODAY(),1)</f>
        <v>-151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566</v>
      </c>
      <c r="G978" s="26"/>
      <c r="H978" s="26"/>
      <c r="I978" s="23"/>
      <c r="J978" s="29">
        <f ca="1">ROUNDDOWN(表3[[#This Row],[日期]]-TODAY(),1)</f>
        <v>-151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564</v>
      </c>
      <c r="G979" s="26"/>
      <c r="H979" s="26"/>
      <c r="I979" s="23" t="s">
        <v>29</v>
      </c>
      <c r="J979" s="29">
        <f ca="1">ROUNDDOWN(表3[[#This Row],[日期]]-TODAY(),1)</f>
        <v>-151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566</v>
      </c>
      <c r="G980" s="26"/>
      <c r="H980" s="26"/>
      <c r="I980" s="23"/>
      <c r="J980" s="29">
        <f ca="1">ROUNDDOWN(表3[[#This Row],[日期]]-TODAY(),1)</f>
        <v>-151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566</v>
      </c>
      <c r="G981" s="26"/>
      <c r="H981" s="26"/>
      <c r="I981" s="23" t="s">
        <v>40</v>
      </c>
      <c r="J981" s="29">
        <f ca="1">ROUNDDOWN(表3[[#This Row],[日期]]-TODAY(),1)</f>
        <v>-150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-150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-150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-150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-150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-149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-149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453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-144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603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-144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-144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-144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-144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-144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-144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-144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758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-143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-143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-143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437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-143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-143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-143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-143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-143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-143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-143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-143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-143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-143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-143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455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-143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456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-143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-143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-143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-143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-142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-142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-142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-141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-141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854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-141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305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-139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-137</v>
      </c>
    </row>
    <row r="1023" spans="1:10" hidden="1" x14ac:dyDescent="0.2">
      <c r="A1023" s="23" t="s">
        <v>302</v>
      </c>
      <c r="B1023" s="25">
        <v>43637</v>
      </c>
      <c r="C1023" s="26">
        <v>1</v>
      </c>
      <c r="D1023" s="7" t="s">
        <v>584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-149</v>
      </c>
    </row>
    <row r="1024" spans="1:10" hidden="1" x14ac:dyDescent="0.2">
      <c r="A1024" s="23" t="s">
        <v>302</v>
      </c>
      <c r="B1024" s="25">
        <v>43637</v>
      </c>
      <c r="C1024" s="26">
        <v>2</v>
      </c>
      <c r="D1024" s="7" t="s">
        <v>579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-150</v>
      </c>
    </row>
    <row r="1025" spans="1:10" hidden="1" x14ac:dyDescent="0.2">
      <c r="A1025" s="23" t="s">
        <v>302</v>
      </c>
      <c r="B1025" s="25">
        <v>43637</v>
      </c>
      <c r="C1025" s="26">
        <v>3</v>
      </c>
      <c r="D1025" s="7" t="s">
        <v>581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-149</v>
      </c>
    </row>
    <row r="1026" spans="1:10" hidden="1" x14ac:dyDescent="0.2">
      <c r="A1026" s="23" t="s">
        <v>302</v>
      </c>
      <c r="B1026" s="25">
        <v>43637</v>
      </c>
      <c r="C1026" s="26">
        <v>4</v>
      </c>
      <c r="D1026" s="7" t="s">
        <v>582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-149</v>
      </c>
    </row>
    <row r="1027" spans="1:10" hidden="1" x14ac:dyDescent="0.2">
      <c r="A1027" s="23" t="s">
        <v>302</v>
      </c>
      <c r="B1027" s="25">
        <v>43637</v>
      </c>
      <c r="C1027" s="26">
        <v>5</v>
      </c>
      <c r="D1027" s="7" t="s">
        <v>331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-149</v>
      </c>
    </row>
    <row r="1028" spans="1:10" hidden="1" x14ac:dyDescent="0.2">
      <c r="A1028" s="23" t="s">
        <v>727</v>
      </c>
      <c r="B1028" s="25">
        <v>43637</v>
      </c>
      <c r="C1028" s="26">
        <v>5.0999999999999996</v>
      </c>
      <c r="D1028" s="7" t="s">
        <v>728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-144</v>
      </c>
    </row>
    <row r="1029" spans="1:10" hidden="1" x14ac:dyDescent="0.2">
      <c r="A1029" s="23" t="s">
        <v>302</v>
      </c>
      <c r="B1029" s="25">
        <v>43637</v>
      </c>
      <c r="C1029" s="26">
        <v>6</v>
      </c>
      <c r="D1029" s="7" t="s">
        <v>332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-143</v>
      </c>
    </row>
    <row r="1030" spans="1:10" hidden="1" x14ac:dyDescent="0.2">
      <c r="A1030" s="23" t="s">
        <v>302</v>
      </c>
      <c r="B1030" s="25">
        <v>43637</v>
      </c>
      <c r="C1030" s="26">
        <v>7</v>
      </c>
      <c r="D1030" s="7" t="s">
        <v>441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-143</v>
      </c>
    </row>
    <row r="1031" spans="1:10" hidden="1" x14ac:dyDescent="0.2">
      <c r="A1031" s="23" t="s">
        <v>302</v>
      </c>
      <c r="B1031" s="25">
        <v>43637</v>
      </c>
      <c r="C1031" s="26">
        <v>8</v>
      </c>
      <c r="D1031" s="7" t="s">
        <v>573</v>
      </c>
      <c r="E1031" s="27">
        <v>43634</v>
      </c>
      <c r="F1031" s="28" t="s">
        <v>242</v>
      </c>
      <c r="G1031" s="26"/>
      <c r="H1031" s="26"/>
      <c r="I1031" s="23" t="s">
        <v>444</v>
      </c>
      <c r="J1031" s="29">
        <f ca="1">ROUNDDOWN(表3[[#This Row],[日期]]-TODAY(),1)</f>
        <v>-143</v>
      </c>
    </row>
    <row r="1032" spans="1:10" hidden="1" x14ac:dyDescent="0.2">
      <c r="A1032" s="23" t="s">
        <v>302</v>
      </c>
      <c r="B1032" s="25">
        <v>43637</v>
      </c>
      <c r="C1032" s="26">
        <v>9</v>
      </c>
      <c r="D1032" s="7" t="s">
        <v>575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-143</v>
      </c>
    </row>
    <row r="1033" spans="1:10" hidden="1" x14ac:dyDescent="0.2">
      <c r="A1033" s="23" t="s">
        <v>302</v>
      </c>
      <c r="B1033" s="25">
        <v>43637</v>
      </c>
      <c r="C1033" s="26">
        <v>10</v>
      </c>
      <c r="D1033" s="7" t="s">
        <v>334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-143</v>
      </c>
    </row>
    <row r="1034" spans="1:10" hidden="1" x14ac:dyDescent="0.2">
      <c r="A1034" s="23" t="s">
        <v>302</v>
      </c>
      <c r="B1034" s="25">
        <v>43637</v>
      </c>
      <c r="C1034" s="26">
        <v>11</v>
      </c>
      <c r="D1034" s="7" t="s">
        <v>586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-143</v>
      </c>
    </row>
    <row r="1035" spans="1:10" hidden="1" x14ac:dyDescent="0.2">
      <c r="A1035" s="23" t="s">
        <v>302</v>
      </c>
      <c r="B1035" s="25">
        <v>43637</v>
      </c>
      <c r="C1035" s="26">
        <v>12</v>
      </c>
      <c r="D1035" s="7" t="s">
        <v>588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-142</v>
      </c>
    </row>
    <row r="1036" spans="1:10" hidden="1" x14ac:dyDescent="0.2">
      <c r="A1036" s="23" t="s">
        <v>302</v>
      </c>
      <c r="B1036" s="25">
        <v>43637</v>
      </c>
      <c r="C1036" s="26">
        <v>13</v>
      </c>
      <c r="D1036" s="7" t="s">
        <v>590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-143</v>
      </c>
    </row>
    <row r="1037" spans="1:10" hidden="1" x14ac:dyDescent="0.2">
      <c r="A1037" s="23" t="s">
        <v>302</v>
      </c>
      <c r="B1037" s="25">
        <v>43637</v>
      </c>
      <c r="C1037" s="26">
        <v>14</v>
      </c>
      <c r="D1037" s="7" t="s">
        <v>592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-143</v>
      </c>
    </row>
    <row r="1038" spans="1:10" hidden="1" x14ac:dyDescent="0.2">
      <c r="A1038" s="23" t="s">
        <v>302</v>
      </c>
      <c r="B1038" s="25">
        <v>43637</v>
      </c>
      <c r="C1038" s="26">
        <v>15</v>
      </c>
      <c r="D1038" s="7" t="s">
        <v>594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-143</v>
      </c>
    </row>
    <row r="1039" spans="1:10" hidden="1" x14ac:dyDescent="0.2">
      <c r="A1039" s="23" t="s">
        <v>302</v>
      </c>
      <c r="B1039" s="25">
        <v>43637</v>
      </c>
      <c r="C1039" s="26">
        <v>16</v>
      </c>
      <c r="D1039" s="7" t="s">
        <v>596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-143</v>
      </c>
    </row>
    <row r="1040" spans="1:10" hidden="1" x14ac:dyDescent="0.2">
      <c r="A1040" s="23" t="s">
        <v>302</v>
      </c>
      <c r="B1040" s="25">
        <v>43637</v>
      </c>
      <c r="C1040" s="26">
        <v>17</v>
      </c>
      <c r="D1040" s="7" t="s">
        <v>598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-143</v>
      </c>
    </row>
    <row r="1041" spans="1:10" hidden="1" x14ac:dyDescent="0.2">
      <c r="A1041" s="23" t="s">
        <v>302</v>
      </c>
      <c r="B1041" s="25">
        <v>43637</v>
      </c>
      <c r="C1041" s="26">
        <v>18</v>
      </c>
      <c r="D1041" s="7" t="s">
        <v>599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-143</v>
      </c>
    </row>
    <row r="1042" spans="1:10" hidden="1" x14ac:dyDescent="0.2">
      <c r="A1042" s="23" t="s">
        <v>302</v>
      </c>
      <c r="B1042" s="25">
        <v>43637</v>
      </c>
      <c r="C1042" s="26">
        <v>19</v>
      </c>
      <c r="D1042" s="7" t="s">
        <v>338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-143</v>
      </c>
    </row>
    <row r="1043" spans="1:10" hidden="1" x14ac:dyDescent="0.2">
      <c r="A1043" s="23" t="s">
        <v>302</v>
      </c>
      <c r="B1043" s="25">
        <v>43637</v>
      </c>
      <c r="C1043" s="26">
        <v>20</v>
      </c>
      <c r="D1043" s="7" t="s">
        <v>577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-142</v>
      </c>
    </row>
    <row r="1044" spans="1:10" hidden="1" x14ac:dyDescent="0.2">
      <c r="A1044" s="23" t="s">
        <v>302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-142</v>
      </c>
    </row>
    <row r="1045" spans="1:10" hidden="1" x14ac:dyDescent="0.2">
      <c r="A1045" s="23" t="s">
        <v>302</v>
      </c>
      <c r="B1045" s="25">
        <v>43637</v>
      </c>
      <c r="C1045" s="26">
        <v>22</v>
      </c>
      <c r="D1045" s="7" t="s">
        <v>569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-142</v>
      </c>
    </row>
    <row r="1046" spans="1:10" hidden="1" x14ac:dyDescent="0.2">
      <c r="A1046" s="23" t="s">
        <v>302</v>
      </c>
      <c r="B1046" s="25">
        <v>43637</v>
      </c>
      <c r="C1046" s="26">
        <v>23</v>
      </c>
      <c r="D1046" s="7" t="s">
        <v>570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-141</v>
      </c>
    </row>
    <row r="1047" spans="1:10" hidden="1" x14ac:dyDescent="0.2">
      <c r="A1047" s="23" t="s">
        <v>302</v>
      </c>
      <c r="B1047" s="25">
        <v>43637</v>
      </c>
      <c r="C1047" s="26">
        <v>24</v>
      </c>
      <c r="D1047" s="7" t="s">
        <v>571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-141</v>
      </c>
    </row>
    <row r="1048" spans="1:10" hidden="1" x14ac:dyDescent="0.2">
      <c r="A1048" s="23" t="s">
        <v>302</v>
      </c>
      <c r="B1048" s="25">
        <v>43637</v>
      </c>
      <c r="C1048" s="26">
        <v>25</v>
      </c>
      <c r="D1048" s="7" t="s">
        <v>857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-137</v>
      </c>
    </row>
    <row r="1049" spans="1:10" hidden="1" x14ac:dyDescent="0.2">
      <c r="A1049" s="23" t="s">
        <v>302</v>
      </c>
      <c r="B1049" s="25">
        <v>43637</v>
      </c>
      <c r="C1049" s="26">
        <v>26</v>
      </c>
      <c r="D1049" s="7" t="s">
        <v>859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-137</v>
      </c>
    </row>
    <row r="1050" spans="1:10" hidden="1" x14ac:dyDescent="0.2">
      <c r="A1050" s="23" t="s">
        <v>302</v>
      </c>
      <c r="B1050" s="25">
        <v>43637</v>
      </c>
      <c r="C1050" s="26">
        <v>27</v>
      </c>
      <c r="D1050" s="7" t="s">
        <v>601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-137</v>
      </c>
    </row>
    <row r="1051" spans="1:10" hidden="1" x14ac:dyDescent="0.2">
      <c r="A1051" s="23" t="s">
        <v>302</v>
      </c>
      <c r="B1051" s="25">
        <v>43637</v>
      </c>
      <c r="C1051" s="26">
        <v>28</v>
      </c>
      <c r="D1051" s="7" t="s">
        <v>943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-136</v>
      </c>
    </row>
    <row r="1052" spans="1:10" hidden="1" x14ac:dyDescent="0.2">
      <c r="A1052" s="23" t="s">
        <v>302</v>
      </c>
      <c r="B1052" s="25">
        <v>43637</v>
      </c>
      <c r="C1052" s="26">
        <v>29</v>
      </c>
      <c r="D1052" s="7" t="s">
        <v>305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-137</v>
      </c>
    </row>
    <row r="1053" spans="1:10" hidden="1" x14ac:dyDescent="0.2">
      <c r="A1053" s="23" t="s">
        <v>302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-137</v>
      </c>
    </row>
    <row r="1054" spans="1:10" hidden="1" x14ac:dyDescent="0.2">
      <c r="A1054" s="23" t="s">
        <v>302</v>
      </c>
      <c r="B1054" s="25">
        <v>43637</v>
      </c>
      <c r="C1054" s="26">
        <v>31</v>
      </c>
      <c r="D1054" s="7" t="s">
        <v>1362</v>
      </c>
      <c r="E1054" s="27">
        <v>43656</v>
      </c>
      <c r="F1054" s="28" t="s">
        <v>1363</v>
      </c>
      <c r="G1054" s="26"/>
      <c r="H1054" s="26"/>
      <c r="I1054" s="23"/>
      <c r="J1054" s="29">
        <f ca="1">ROUNDDOWN(表3[[#This Row],[日期]]-TODAY(),1)</f>
        <v>-121</v>
      </c>
    </row>
    <row r="1055" spans="1:10" hidden="1" x14ac:dyDescent="0.2">
      <c r="A1055" s="23" t="s">
        <v>302</v>
      </c>
      <c r="B1055" s="25">
        <v>43637</v>
      </c>
      <c r="C1055" s="26">
        <v>32</v>
      </c>
      <c r="D1055" s="7" t="s">
        <v>1364</v>
      </c>
      <c r="E1055" s="27">
        <v>43656</v>
      </c>
      <c r="F1055" s="28" t="s">
        <v>1363</v>
      </c>
      <c r="G1055" s="26"/>
      <c r="H1055" s="26"/>
      <c r="I1055" s="23"/>
      <c r="J1055" s="29">
        <f ca="1">ROUNDDOWN(表3[[#This Row],[日期]]-TODAY(),1)</f>
        <v>-121</v>
      </c>
    </row>
    <row r="1056" spans="1:10" hidden="1" x14ac:dyDescent="0.2">
      <c r="A1056" s="23" t="s">
        <v>302</v>
      </c>
      <c r="B1056" s="25">
        <v>43637</v>
      </c>
      <c r="C1056" s="26">
        <v>33</v>
      </c>
      <c r="D1056" s="7" t="s">
        <v>1370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-119</v>
      </c>
    </row>
    <row r="1057" spans="1:10" hidden="1" x14ac:dyDescent="0.2">
      <c r="A1057" s="23" t="s">
        <v>2831</v>
      </c>
      <c r="B1057" s="25">
        <v>43639</v>
      </c>
      <c r="C1057" s="26">
        <v>1</v>
      </c>
      <c r="D1057" s="7" t="s">
        <v>507</v>
      </c>
      <c r="E1057" s="27">
        <v>43634</v>
      </c>
      <c r="F1057" s="28" t="s">
        <v>837</v>
      </c>
      <c r="G1057" s="26"/>
      <c r="H1057" s="26"/>
      <c r="I1057" s="23"/>
      <c r="J1057" s="29">
        <f ca="1">ROUNDDOWN(表3[[#This Row],[日期]]-TODAY(),1)</f>
        <v>-143</v>
      </c>
    </row>
    <row r="1058" spans="1:10" hidden="1" x14ac:dyDescent="0.2">
      <c r="A1058" s="23" t="s">
        <v>2831</v>
      </c>
      <c r="B1058" s="25">
        <v>43639</v>
      </c>
      <c r="C1058" s="26">
        <v>2</v>
      </c>
      <c r="D1058" s="7" t="s">
        <v>510</v>
      </c>
      <c r="E1058" s="27">
        <v>43634</v>
      </c>
      <c r="F1058" s="28" t="s">
        <v>837</v>
      </c>
      <c r="G1058" s="26"/>
      <c r="H1058" s="26"/>
      <c r="I1058" s="23"/>
      <c r="J1058" s="29">
        <f ca="1">ROUNDDOWN(表3[[#This Row],[日期]]-TODAY(),1)</f>
        <v>-143</v>
      </c>
    </row>
    <row r="1059" spans="1:10" hidden="1" x14ac:dyDescent="0.2">
      <c r="A1059" s="23" t="s">
        <v>2831</v>
      </c>
      <c r="B1059" s="25">
        <v>43639</v>
      </c>
      <c r="C1059" s="26">
        <v>3</v>
      </c>
      <c r="D1059" s="7" t="s">
        <v>512</v>
      </c>
      <c r="E1059" s="27">
        <v>43634</v>
      </c>
      <c r="F1059" s="28" t="s">
        <v>837</v>
      </c>
      <c r="G1059" s="26"/>
      <c r="H1059" s="26"/>
      <c r="I1059" s="23"/>
      <c r="J1059" s="29">
        <f ca="1">ROUNDDOWN(表3[[#This Row],[日期]]-TODAY(),1)</f>
        <v>-143</v>
      </c>
    </row>
    <row r="1060" spans="1:10" hidden="1" x14ac:dyDescent="0.2">
      <c r="A1060" s="23" t="s">
        <v>2831</v>
      </c>
      <c r="B1060" s="25">
        <v>43639</v>
      </c>
      <c r="C1060" s="26">
        <v>4</v>
      </c>
      <c r="D1060" s="7" t="s">
        <v>514</v>
      </c>
      <c r="E1060" s="27">
        <v>43634</v>
      </c>
      <c r="F1060" s="28" t="s">
        <v>837</v>
      </c>
      <c r="G1060" s="26"/>
      <c r="H1060" s="26"/>
      <c r="I1060" s="23"/>
      <c r="J1060" s="29">
        <f ca="1">ROUNDDOWN(表3[[#This Row],[日期]]-TODAY(),1)</f>
        <v>-143</v>
      </c>
    </row>
    <row r="1061" spans="1:10" hidden="1" x14ac:dyDescent="0.2">
      <c r="A1061" s="23" t="s">
        <v>2831</v>
      </c>
      <c r="B1061" s="25">
        <v>43639</v>
      </c>
      <c r="C1061" s="26">
        <v>5</v>
      </c>
      <c r="D1061" s="7" t="s">
        <v>517</v>
      </c>
      <c r="E1061" s="27">
        <v>43634</v>
      </c>
      <c r="F1061" s="28" t="s">
        <v>837</v>
      </c>
      <c r="G1061" s="26"/>
      <c r="H1061" s="26"/>
      <c r="I1061" s="23"/>
      <c r="J1061" s="29">
        <f ca="1">ROUNDDOWN(表3[[#This Row],[日期]]-TODAY(),1)</f>
        <v>-143</v>
      </c>
    </row>
    <row r="1062" spans="1:10" hidden="1" x14ac:dyDescent="0.2">
      <c r="A1062" s="23" t="s">
        <v>2831</v>
      </c>
      <c r="B1062" s="25">
        <v>43639</v>
      </c>
      <c r="C1062" s="26">
        <v>6</v>
      </c>
      <c r="D1062" s="7" t="s">
        <v>519</v>
      </c>
      <c r="E1062" s="27">
        <v>43637</v>
      </c>
      <c r="F1062" s="28" t="s">
        <v>242</v>
      </c>
      <c r="G1062" s="26"/>
      <c r="H1062" s="26"/>
      <c r="I1062" s="23" t="s">
        <v>529</v>
      </c>
      <c r="J1062" s="29">
        <f ca="1">ROUNDDOWN(表3[[#This Row],[日期]]-TODAY(),1)</f>
        <v>-140</v>
      </c>
    </row>
    <row r="1063" spans="1:10" hidden="1" x14ac:dyDescent="0.2">
      <c r="A1063" s="23" t="s">
        <v>2831</v>
      </c>
      <c r="B1063" s="25">
        <v>43639</v>
      </c>
      <c r="C1063" s="26">
        <v>7</v>
      </c>
      <c r="D1063" s="7" t="s">
        <v>521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-140</v>
      </c>
    </row>
    <row r="1064" spans="1:10" hidden="1" x14ac:dyDescent="0.2">
      <c r="A1064" s="23" t="s">
        <v>2831</v>
      </c>
      <c r="B1064" s="25">
        <v>43639</v>
      </c>
      <c r="C1064" s="26">
        <v>8</v>
      </c>
      <c r="D1064" s="7" t="s">
        <v>523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-140</v>
      </c>
    </row>
    <row r="1065" spans="1:10" hidden="1" x14ac:dyDescent="0.2">
      <c r="A1065" s="23" t="s">
        <v>2831</v>
      </c>
      <c r="B1065" s="25">
        <v>43639</v>
      </c>
      <c r="C1065" s="26">
        <v>9</v>
      </c>
      <c r="D1065" s="7" t="s">
        <v>838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-138</v>
      </c>
    </row>
    <row r="1066" spans="1:10" hidden="1" x14ac:dyDescent="0.2">
      <c r="A1066" s="23" t="s">
        <v>2831</v>
      </c>
      <c r="B1066" s="25">
        <v>43639</v>
      </c>
      <c r="C1066" s="26">
        <v>10</v>
      </c>
      <c r="D1066" s="7" t="s">
        <v>527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-137</v>
      </c>
    </row>
    <row r="1067" spans="1:10" hidden="1" x14ac:dyDescent="0.2">
      <c r="A1067" s="23" t="s">
        <v>2847</v>
      </c>
      <c r="B1067" s="25">
        <v>43640</v>
      </c>
      <c r="C1067" s="26">
        <v>1</v>
      </c>
      <c r="D1067" s="7" t="s">
        <v>745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-137</v>
      </c>
    </row>
    <row r="1068" spans="1:10" hidden="1" x14ac:dyDescent="0.2">
      <c r="A1068" s="23" t="s">
        <v>2847</v>
      </c>
      <c r="B1068" s="25">
        <v>43640</v>
      </c>
      <c r="C1068" s="26">
        <v>2</v>
      </c>
      <c r="D1068" s="7" t="s">
        <v>899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-137</v>
      </c>
    </row>
    <row r="1069" spans="1:10" hidden="1" x14ac:dyDescent="0.2">
      <c r="A1069" s="23" t="s">
        <v>2847</v>
      </c>
      <c r="B1069" s="25">
        <v>43640</v>
      </c>
      <c r="C1069" s="26">
        <v>3</v>
      </c>
      <c r="D1069" s="7" t="s">
        <v>741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-136</v>
      </c>
    </row>
    <row r="1070" spans="1:10" hidden="1" x14ac:dyDescent="0.2">
      <c r="A1070" s="23" t="s">
        <v>2847</v>
      </c>
      <c r="B1070" s="25">
        <v>43640</v>
      </c>
      <c r="C1070" s="26">
        <v>4</v>
      </c>
      <c r="D1070" s="7" t="s">
        <v>738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-137</v>
      </c>
    </row>
    <row r="1071" spans="1:10" hidden="1" x14ac:dyDescent="0.2">
      <c r="A1071" s="23" t="s">
        <v>2847</v>
      </c>
      <c r="B1071" s="25">
        <v>43640</v>
      </c>
      <c r="C1071" s="26">
        <v>5</v>
      </c>
      <c r="D1071" s="7" t="s">
        <v>738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-135</v>
      </c>
    </row>
    <row r="1072" spans="1:10" hidden="1" x14ac:dyDescent="0.2">
      <c r="A1072" s="23" t="s">
        <v>2847</v>
      </c>
      <c r="B1072" s="25">
        <v>43640</v>
      </c>
      <c r="C1072" s="26">
        <v>6</v>
      </c>
      <c r="D1072" s="7" t="s">
        <v>744</v>
      </c>
      <c r="E1072" s="27">
        <v>43643</v>
      </c>
      <c r="F1072" s="28" t="s">
        <v>242</v>
      </c>
      <c r="G1072" s="26"/>
      <c r="H1072" s="26"/>
      <c r="I1072" s="23" t="s">
        <v>743</v>
      </c>
      <c r="J1072" s="29">
        <f ca="1">ROUNDDOWN(表3[[#This Row],[日期]]-TODAY(),1)</f>
        <v>-134</v>
      </c>
    </row>
    <row r="1073" spans="1:10" hidden="1" x14ac:dyDescent="0.2">
      <c r="A1073" s="23" t="s">
        <v>2847</v>
      </c>
      <c r="B1073" s="25">
        <v>43640</v>
      </c>
      <c r="C1073" s="26">
        <v>7</v>
      </c>
      <c r="D1073" s="7" t="s">
        <v>899</v>
      </c>
      <c r="E1073" s="27">
        <v>43643</v>
      </c>
      <c r="F1073" s="28" t="s">
        <v>242</v>
      </c>
      <c r="G1073" s="26"/>
      <c r="H1073" s="26"/>
      <c r="I1073" s="23" t="s">
        <v>743</v>
      </c>
      <c r="J1073" s="29">
        <f ca="1">ROUNDDOWN(表3[[#This Row],[日期]]-TODAY(),1)</f>
        <v>-134</v>
      </c>
    </row>
    <row r="1074" spans="1:10" hidden="1" x14ac:dyDescent="0.2">
      <c r="A1074" s="23" t="s">
        <v>2847</v>
      </c>
      <c r="B1074" s="25">
        <v>43640</v>
      </c>
      <c r="C1074" s="26">
        <v>8</v>
      </c>
      <c r="D1074" s="7" t="s">
        <v>1010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-133</v>
      </c>
    </row>
    <row r="1075" spans="1:10" hidden="1" x14ac:dyDescent="0.2">
      <c r="A1075" s="23" t="s">
        <v>2847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-133</v>
      </c>
    </row>
    <row r="1076" spans="1:10" hidden="1" x14ac:dyDescent="0.2">
      <c r="A1076" s="23" t="s">
        <v>2847</v>
      </c>
      <c r="B1076" s="25">
        <v>43640</v>
      </c>
      <c r="C1076" s="26">
        <v>10</v>
      </c>
      <c r="D1076" s="7" t="s">
        <v>738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-133</v>
      </c>
    </row>
    <row r="1077" spans="1:10" hidden="1" x14ac:dyDescent="0.2">
      <c r="A1077" s="23" t="s">
        <v>2847</v>
      </c>
      <c r="B1077" s="25">
        <v>43640</v>
      </c>
      <c r="C1077" s="26">
        <v>11</v>
      </c>
      <c r="D1077" s="7" t="s">
        <v>949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-133</v>
      </c>
    </row>
    <row r="1078" spans="1:10" hidden="1" x14ac:dyDescent="0.2">
      <c r="A1078" s="23" t="s">
        <v>2847</v>
      </c>
      <c r="B1078" s="25">
        <v>43640</v>
      </c>
      <c r="C1078" s="26">
        <v>12</v>
      </c>
      <c r="D1078" s="7" t="s">
        <v>900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-132</v>
      </c>
    </row>
    <row r="1079" spans="1:10" hidden="1" x14ac:dyDescent="0.2">
      <c r="A1079" s="23" t="s">
        <v>2847</v>
      </c>
      <c r="B1079" s="25">
        <v>43640</v>
      </c>
      <c r="C1079" s="26">
        <v>13</v>
      </c>
      <c r="D1079" s="7" t="s">
        <v>991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-133</v>
      </c>
    </row>
    <row r="1080" spans="1:10" hidden="1" x14ac:dyDescent="0.2">
      <c r="A1080" s="23" t="s">
        <v>611</v>
      </c>
      <c r="B1080" s="25">
        <v>43642</v>
      </c>
      <c r="C1080" s="26">
        <v>1</v>
      </c>
      <c r="D1080" s="7" t="s">
        <v>364</v>
      </c>
      <c r="E1080" s="27">
        <v>43630</v>
      </c>
      <c r="F1080" s="28" t="s">
        <v>686</v>
      </c>
      <c r="G1080" s="26"/>
      <c r="H1080" s="26"/>
      <c r="I1080" s="23"/>
      <c r="J1080" s="29">
        <f ca="1">ROUNDDOWN(表3[[#This Row],[日期]]-TODAY(),1)</f>
        <v>-147</v>
      </c>
    </row>
    <row r="1081" spans="1:10" hidden="1" x14ac:dyDescent="0.2">
      <c r="A1081" s="23" t="s">
        <v>611</v>
      </c>
      <c r="B1081" s="25">
        <v>43642</v>
      </c>
      <c r="C1081" s="26">
        <v>2</v>
      </c>
      <c r="D1081" s="7" t="s">
        <v>365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-143</v>
      </c>
    </row>
    <row r="1082" spans="1:10" hidden="1" x14ac:dyDescent="0.2">
      <c r="A1082" s="23" t="s">
        <v>611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-143</v>
      </c>
    </row>
    <row r="1083" spans="1:10" hidden="1" x14ac:dyDescent="0.2">
      <c r="A1083" s="23" t="s">
        <v>611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-140</v>
      </c>
    </row>
    <row r="1084" spans="1:10" hidden="1" x14ac:dyDescent="0.2">
      <c r="A1084" s="23" t="s">
        <v>611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-140</v>
      </c>
    </row>
    <row r="1085" spans="1:10" hidden="1" x14ac:dyDescent="0.2">
      <c r="A1085" s="23" t="s">
        <v>611</v>
      </c>
      <c r="B1085" s="25">
        <v>43642</v>
      </c>
      <c r="C1085" s="26">
        <v>6</v>
      </c>
      <c r="D1085" s="7" t="s">
        <v>689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-140</v>
      </c>
    </row>
    <row r="1086" spans="1:10" hidden="1" x14ac:dyDescent="0.2">
      <c r="A1086" s="23" t="s">
        <v>612</v>
      </c>
      <c r="B1086" s="25">
        <v>43642</v>
      </c>
      <c r="C1086" s="26">
        <v>7</v>
      </c>
      <c r="D1086" s="7" t="s">
        <v>309</v>
      </c>
      <c r="E1086" s="27">
        <v>43640</v>
      </c>
      <c r="F1086" s="28" t="s">
        <v>242</v>
      </c>
      <c r="G1086" s="26"/>
      <c r="H1086" s="26"/>
      <c r="I1086" s="23" t="s">
        <v>310</v>
      </c>
      <c r="J1086" s="29">
        <f ca="1">ROUNDDOWN(表3[[#This Row],[日期]]-TODAY(),1)</f>
        <v>-137</v>
      </c>
    </row>
    <row r="1087" spans="1:10" hidden="1" x14ac:dyDescent="0.2">
      <c r="A1087" s="23" t="s">
        <v>611</v>
      </c>
      <c r="B1087" s="25">
        <v>43642</v>
      </c>
      <c r="C1087" s="26">
        <v>8</v>
      </c>
      <c r="D1087" s="7" t="s">
        <v>311</v>
      </c>
      <c r="E1087" s="27">
        <v>43640</v>
      </c>
      <c r="F1087" s="28" t="s">
        <v>242</v>
      </c>
      <c r="G1087" s="26"/>
      <c r="H1087" s="26"/>
      <c r="I1087" s="23" t="s">
        <v>310</v>
      </c>
      <c r="J1087" s="29">
        <f ca="1">ROUNDDOWN(表3[[#This Row],[日期]]-TODAY(),1)</f>
        <v>-137</v>
      </c>
    </row>
    <row r="1088" spans="1:10" hidden="1" x14ac:dyDescent="0.2">
      <c r="A1088" s="23" t="s">
        <v>611</v>
      </c>
      <c r="B1088" s="25">
        <v>43642</v>
      </c>
      <c r="C1088" s="26">
        <v>9</v>
      </c>
      <c r="D1088" s="7" t="s">
        <v>736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-137</v>
      </c>
    </row>
    <row r="1089" spans="1:10" hidden="1" x14ac:dyDescent="0.2">
      <c r="A1089" s="23" t="s">
        <v>611</v>
      </c>
      <c r="B1089" s="25">
        <v>43642</v>
      </c>
      <c r="C1089" s="26">
        <v>10</v>
      </c>
      <c r="D1089" s="7" t="s">
        <v>307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-137</v>
      </c>
    </row>
    <row r="1090" spans="1:10" hidden="1" x14ac:dyDescent="0.2">
      <c r="A1090" s="23" t="s">
        <v>611</v>
      </c>
      <c r="B1090" s="25">
        <v>43642</v>
      </c>
      <c r="C1090" s="26">
        <v>11</v>
      </c>
      <c r="D1090" s="7" t="s">
        <v>755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-137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756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-137</v>
      </c>
    </row>
    <row r="1092" spans="1:10" hidden="1" x14ac:dyDescent="0.2">
      <c r="A1092" s="23" t="s">
        <v>611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-136</v>
      </c>
    </row>
    <row r="1093" spans="1:10" hidden="1" x14ac:dyDescent="0.2">
      <c r="A1093" s="23" t="s">
        <v>612</v>
      </c>
      <c r="B1093" s="25">
        <v>43642</v>
      </c>
      <c r="C1093" s="26">
        <v>14</v>
      </c>
      <c r="D1093" s="7" t="s">
        <v>312</v>
      </c>
      <c r="E1093" s="27">
        <v>43641</v>
      </c>
      <c r="F1093" s="28" t="s">
        <v>242</v>
      </c>
      <c r="G1093" s="26"/>
      <c r="H1093" s="26"/>
      <c r="I1093" s="23" t="s">
        <v>310</v>
      </c>
      <c r="J1093" s="29">
        <f ca="1">ROUNDDOWN(表3[[#This Row],[日期]]-TODAY(),1)</f>
        <v>-136</v>
      </c>
    </row>
    <row r="1094" spans="1:10" hidden="1" x14ac:dyDescent="0.2">
      <c r="A1094" s="23" t="s">
        <v>611</v>
      </c>
      <c r="B1094" s="25">
        <v>43642</v>
      </c>
      <c r="C1094" s="26">
        <v>15</v>
      </c>
      <c r="D1094" s="7" t="s">
        <v>313</v>
      </c>
      <c r="E1094" s="27">
        <v>43641</v>
      </c>
      <c r="F1094" s="28" t="s">
        <v>242</v>
      </c>
      <c r="G1094" s="26"/>
      <c r="H1094" s="26"/>
      <c r="I1094" s="23" t="s">
        <v>310</v>
      </c>
      <c r="J1094" s="29">
        <f ca="1">ROUNDDOWN(表3[[#This Row],[日期]]-TODAY(),1)</f>
        <v>-136</v>
      </c>
    </row>
    <row r="1095" spans="1:10" hidden="1" x14ac:dyDescent="0.2">
      <c r="A1095" s="23" t="s">
        <v>612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-136</v>
      </c>
    </row>
    <row r="1096" spans="1:10" hidden="1" x14ac:dyDescent="0.2">
      <c r="A1096" s="23" t="s">
        <v>611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-136</v>
      </c>
    </row>
    <row r="1097" spans="1:10" hidden="1" x14ac:dyDescent="0.2">
      <c r="A1097" s="23" t="s">
        <v>611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-135</v>
      </c>
    </row>
    <row r="1098" spans="1:10" hidden="1" x14ac:dyDescent="0.2">
      <c r="A1098" s="23" t="s">
        <v>611</v>
      </c>
      <c r="B1098" s="25">
        <v>43642</v>
      </c>
      <c r="C1098" s="26">
        <v>19</v>
      </c>
      <c r="D1098" s="7" t="s">
        <v>687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-134</v>
      </c>
    </row>
    <row r="1099" spans="1:10" hidden="1" x14ac:dyDescent="0.2">
      <c r="A1099" s="23" t="s">
        <v>611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-135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452</v>
      </c>
      <c r="E1100" s="27">
        <v>43633</v>
      </c>
      <c r="F1100" s="28" t="s">
        <v>760</v>
      </c>
      <c r="G1100" s="26"/>
      <c r="H1100" s="26"/>
      <c r="I1100" s="23" t="s">
        <v>27</v>
      </c>
      <c r="J1100" s="29">
        <f ca="1">ROUNDDOWN(表3[[#This Row],[日期]]-TODAY(),1)</f>
        <v>-144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-144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-144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-144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-143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-143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-143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-143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-143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-143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-143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453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-141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-141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-141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-141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-141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-141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-141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-141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757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-140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-140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-140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437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-140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-140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-140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759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-140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-140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-140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-140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-140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-140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-140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-140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455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-139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456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-139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-139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-138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-139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-138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-138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-138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-137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-134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854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-135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305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-133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997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-133</v>
      </c>
    </row>
    <row r="1146" spans="1:10" hidden="1" x14ac:dyDescent="0.2">
      <c r="A1146" s="23" t="s">
        <v>651</v>
      </c>
      <c r="B1146" s="25">
        <v>43642</v>
      </c>
      <c r="C1146" s="26">
        <v>1</v>
      </c>
      <c r="D1146" s="7" t="s">
        <v>364</v>
      </c>
      <c r="E1146" s="27">
        <v>43629</v>
      </c>
      <c r="F1146" s="28" t="s">
        <v>654</v>
      </c>
      <c r="G1146" s="26"/>
      <c r="H1146" s="26"/>
      <c r="I1146" s="23"/>
      <c r="J1146" s="29">
        <f ca="1">ROUNDDOWN(表3[[#This Row],[日期]]-TODAY(),1)</f>
        <v>-148</v>
      </c>
    </row>
    <row r="1147" spans="1:10" hidden="1" x14ac:dyDescent="0.2">
      <c r="A1147" s="23" t="s">
        <v>652</v>
      </c>
      <c r="B1147" s="25">
        <v>43642</v>
      </c>
      <c r="C1147" s="26">
        <v>2</v>
      </c>
      <c r="D1147" s="7" t="s">
        <v>656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-148</v>
      </c>
    </row>
    <row r="1148" spans="1:10" hidden="1" x14ac:dyDescent="0.2">
      <c r="A1148" s="23" t="s">
        <v>651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-148</v>
      </c>
    </row>
    <row r="1149" spans="1:10" hidden="1" x14ac:dyDescent="0.2">
      <c r="A1149" s="23" t="s">
        <v>653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-141</v>
      </c>
    </row>
    <row r="1150" spans="1:10" hidden="1" x14ac:dyDescent="0.2">
      <c r="A1150" s="23" t="s">
        <v>652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-141</v>
      </c>
    </row>
    <row r="1151" spans="1:10" hidden="1" x14ac:dyDescent="0.2">
      <c r="A1151" s="23" t="s">
        <v>652</v>
      </c>
      <c r="B1151" s="25">
        <v>43642</v>
      </c>
      <c r="C1151" s="26">
        <v>6</v>
      </c>
      <c r="D1151" s="7" t="s">
        <v>689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-141</v>
      </c>
    </row>
    <row r="1152" spans="1:10" hidden="1" x14ac:dyDescent="0.2">
      <c r="A1152" s="23" t="s">
        <v>651</v>
      </c>
      <c r="B1152" s="25">
        <v>43642</v>
      </c>
      <c r="C1152" s="26">
        <v>7</v>
      </c>
      <c r="D1152" s="7" t="s">
        <v>307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-141</v>
      </c>
    </row>
    <row r="1153" spans="1:10" hidden="1" x14ac:dyDescent="0.2">
      <c r="A1153" s="23" t="s">
        <v>651</v>
      </c>
      <c r="B1153" s="25">
        <v>43642</v>
      </c>
      <c r="C1153" s="26">
        <v>8</v>
      </c>
      <c r="D1153" s="7" t="s">
        <v>416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-140</v>
      </c>
    </row>
    <row r="1154" spans="1:10" hidden="1" x14ac:dyDescent="0.2">
      <c r="A1154" s="23" t="s">
        <v>651</v>
      </c>
      <c r="B1154" s="25">
        <v>43642</v>
      </c>
      <c r="C1154" s="26">
        <v>9</v>
      </c>
      <c r="D1154" s="7" t="s">
        <v>736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-140</v>
      </c>
    </row>
    <row r="1155" spans="1:10" hidden="1" x14ac:dyDescent="0.2">
      <c r="A1155" s="23" t="s">
        <v>652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-140</v>
      </c>
    </row>
    <row r="1156" spans="1:10" hidden="1" x14ac:dyDescent="0.2">
      <c r="A1156" s="23" t="s">
        <v>651</v>
      </c>
      <c r="B1156" s="25">
        <v>43642</v>
      </c>
      <c r="C1156" s="26">
        <v>11</v>
      </c>
      <c r="D1156" s="7" t="s">
        <v>685</v>
      </c>
      <c r="E1156" s="27">
        <v>43637</v>
      </c>
      <c r="F1156" s="28" t="s">
        <v>242</v>
      </c>
      <c r="G1156" s="26"/>
      <c r="H1156" s="26"/>
      <c r="I1156" s="23" t="s">
        <v>310</v>
      </c>
      <c r="J1156" s="29">
        <f ca="1">ROUNDDOWN(表3[[#This Row],[日期]]-TODAY(),1)</f>
        <v>-140</v>
      </c>
    </row>
    <row r="1157" spans="1:10" hidden="1" x14ac:dyDescent="0.2">
      <c r="A1157" s="23" t="s">
        <v>652</v>
      </c>
      <c r="B1157" s="25">
        <v>43642</v>
      </c>
      <c r="C1157" s="26">
        <v>12</v>
      </c>
      <c r="D1157" s="7" t="s">
        <v>313</v>
      </c>
      <c r="E1157" s="27">
        <v>43637</v>
      </c>
      <c r="F1157" s="28" t="s">
        <v>242</v>
      </c>
      <c r="G1157" s="26"/>
      <c r="H1157" s="26"/>
      <c r="I1157" s="23" t="s">
        <v>310</v>
      </c>
      <c r="J1157" s="29">
        <f ca="1">ROUNDDOWN(表3[[#This Row],[日期]]-TODAY(),1)</f>
        <v>-140</v>
      </c>
    </row>
    <row r="1158" spans="1:10" hidden="1" x14ac:dyDescent="0.2">
      <c r="A1158" s="23" t="s">
        <v>651</v>
      </c>
      <c r="B1158" s="25">
        <v>43642</v>
      </c>
      <c r="C1158" s="26">
        <v>13</v>
      </c>
      <c r="D1158" s="7" t="s">
        <v>309</v>
      </c>
      <c r="E1158" s="27">
        <v>43637</v>
      </c>
      <c r="F1158" s="28" t="s">
        <v>242</v>
      </c>
      <c r="G1158" s="26"/>
      <c r="H1158" s="26"/>
      <c r="I1158" s="23" t="s">
        <v>310</v>
      </c>
      <c r="J1158" s="29">
        <f ca="1">ROUNDDOWN(表3[[#This Row],[日期]]-TODAY(),1)</f>
        <v>-140</v>
      </c>
    </row>
    <row r="1159" spans="1:10" hidden="1" x14ac:dyDescent="0.2">
      <c r="A1159" s="23" t="s">
        <v>653</v>
      </c>
      <c r="B1159" s="25">
        <v>43642</v>
      </c>
      <c r="C1159" s="26">
        <v>14</v>
      </c>
      <c r="D1159" s="7" t="s">
        <v>311</v>
      </c>
      <c r="E1159" s="27">
        <v>43638</v>
      </c>
      <c r="F1159" s="28" t="s">
        <v>242</v>
      </c>
      <c r="G1159" s="26"/>
      <c r="H1159" s="26"/>
      <c r="I1159" s="23" t="s">
        <v>310</v>
      </c>
      <c r="J1159" s="29">
        <f ca="1">ROUNDDOWN(表3[[#This Row],[日期]]-TODAY(),1)</f>
        <v>-139</v>
      </c>
    </row>
    <row r="1160" spans="1:10" hidden="1" x14ac:dyDescent="0.2">
      <c r="A1160" s="23" t="s">
        <v>651</v>
      </c>
      <c r="B1160" s="25">
        <v>43642</v>
      </c>
      <c r="C1160" s="26">
        <v>15</v>
      </c>
      <c r="D1160" s="7" t="s">
        <v>271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-139</v>
      </c>
    </row>
    <row r="1161" spans="1:10" hidden="1" x14ac:dyDescent="0.2">
      <c r="A1161" s="23" t="s">
        <v>652</v>
      </c>
      <c r="B1161" s="25">
        <v>43642</v>
      </c>
      <c r="C1161" s="26">
        <v>16</v>
      </c>
      <c r="D1161" s="7" t="s">
        <v>273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-137</v>
      </c>
    </row>
    <row r="1162" spans="1:10" hidden="1" x14ac:dyDescent="0.2">
      <c r="A1162" s="23" t="s">
        <v>651</v>
      </c>
      <c r="B1162" s="25">
        <v>43642</v>
      </c>
      <c r="C1162" s="26">
        <v>17</v>
      </c>
      <c r="D1162" s="7" t="s">
        <v>275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-136</v>
      </c>
    </row>
    <row r="1163" spans="1:10" hidden="1" x14ac:dyDescent="0.2">
      <c r="A1163" s="23" t="s">
        <v>652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-135</v>
      </c>
    </row>
    <row r="1164" spans="1:10" hidden="1" x14ac:dyDescent="0.2">
      <c r="A1164" s="23" t="s">
        <v>652</v>
      </c>
      <c r="B1164" s="25">
        <v>43642</v>
      </c>
      <c r="C1164" s="26">
        <v>19</v>
      </c>
      <c r="D1164" s="7" t="s">
        <v>305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-135</v>
      </c>
    </row>
    <row r="1165" spans="1:10" hidden="1" x14ac:dyDescent="0.2">
      <c r="A1165" s="23" t="s">
        <v>2831</v>
      </c>
      <c r="B1165" s="25">
        <v>43642</v>
      </c>
      <c r="C1165" s="26">
        <v>1</v>
      </c>
      <c r="D1165" s="7" t="s">
        <v>507</v>
      </c>
      <c r="E1165" s="27">
        <v>43636</v>
      </c>
      <c r="F1165" s="28" t="s">
        <v>869</v>
      </c>
      <c r="G1165" s="26"/>
      <c r="H1165" s="26"/>
      <c r="I1165" s="23"/>
      <c r="J1165" s="29">
        <f ca="1">ROUNDDOWN(表3[[#This Row],[日期]]-TODAY(),1)</f>
        <v>-141</v>
      </c>
    </row>
    <row r="1166" spans="1:10" hidden="1" x14ac:dyDescent="0.2">
      <c r="A1166" s="23" t="s">
        <v>2831</v>
      </c>
      <c r="B1166" s="25">
        <v>43642</v>
      </c>
      <c r="C1166" s="26">
        <v>2</v>
      </c>
      <c r="D1166" s="7" t="s">
        <v>510</v>
      </c>
      <c r="E1166" s="27">
        <v>43636</v>
      </c>
      <c r="F1166" s="28" t="s">
        <v>869</v>
      </c>
      <c r="G1166" s="26"/>
      <c r="H1166" s="26"/>
      <c r="I1166" s="23"/>
      <c r="J1166" s="29">
        <f ca="1">ROUNDDOWN(表3[[#This Row],[日期]]-TODAY(),1)</f>
        <v>-141</v>
      </c>
    </row>
    <row r="1167" spans="1:10" hidden="1" x14ac:dyDescent="0.2">
      <c r="A1167" s="23" t="s">
        <v>2831</v>
      </c>
      <c r="B1167" s="25">
        <v>43642</v>
      </c>
      <c r="C1167" s="26">
        <v>3</v>
      </c>
      <c r="D1167" s="7" t="s">
        <v>512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-141</v>
      </c>
    </row>
    <row r="1168" spans="1:10" hidden="1" x14ac:dyDescent="0.2">
      <c r="A1168" s="23" t="s">
        <v>2831</v>
      </c>
      <c r="B1168" s="25">
        <v>43642</v>
      </c>
      <c r="C1168" s="26">
        <v>4</v>
      </c>
      <c r="D1168" s="7" t="s">
        <v>514</v>
      </c>
      <c r="E1168" s="27">
        <v>43636</v>
      </c>
      <c r="F1168" s="28" t="s">
        <v>869</v>
      </c>
      <c r="G1168" s="26"/>
      <c r="H1168" s="26"/>
      <c r="I1168" s="23"/>
      <c r="J1168" s="29">
        <f ca="1">ROUNDDOWN(表3[[#This Row],[日期]]-TODAY(),1)</f>
        <v>-141</v>
      </c>
    </row>
    <row r="1169" spans="1:10" hidden="1" x14ac:dyDescent="0.2">
      <c r="A1169" s="23" t="s">
        <v>2831</v>
      </c>
      <c r="B1169" s="25">
        <v>43642</v>
      </c>
      <c r="C1169" s="26">
        <v>5</v>
      </c>
      <c r="D1169" s="7" t="s">
        <v>517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-141</v>
      </c>
    </row>
    <row r="1170" spans="1:10" hidden="1" x14ac:dyDescent="0.2">
      <c r="A1170" s="23" t="s">
        <v>2831</v>
      </c>
      <c r="B1170" s="25">
        <v>43642</v>
      </c>
      <c r="C1170" s="26">
        <v>6</v>
      </c>
      <c r="D1170" s="7" t="s">
        <v>519</v>
      </c>
      <c r="E1170" s="27">
        <v>43640</v>
      </c>
      <c r="F1170" s="28" t="s">
        <v>242</v>
      </c>
      <c r="G1170" s="26"/>
      <c r="H1170" s="26"/>
      <c r="I1170" s="23" t="s">
        <v>529</v>
      </c>
      <c r="J1170" s="29">
        <f ca="1">ROUNDDOWN(表3[[#This Row],[日期]]-TODAY(),1)</f>
        <v>-137</v>
      </c>
    </row>
    <row r="1171" spans="1:10" hidden="1" x14ac:dyDescent="0.2">
      <c r="A1171" s="23" t="s">
        <v>2831</v>
      </c>
      <c r="B1171" s="25">
        <v>43642</v>
      </c>
      <c r="C1171" s="26">
        <v>7</v>
      </c>
      <c r="D1171" s="7" t="s">
        <v>521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-137</v>
      </c>
    </row>
    <row r="1172" spans="1:10" hidden="1" x14ac:dyDescent="0.2">
      <c r="A1172" s="23" t="s">
        <v>2831</v>
      </c>
      <c r="B1172" s="25">
        <v>43642</v>
      </c>
      <c r="C1172" s="26">
        <v>8</v>
      </c>
      <c r="D1172" s="7" t="s">
        <v>523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-137</v>
      </c>
    </row>
    <row r="1173" spans="1:10" hidden="1" x14ac:dyDescent="0.2">
      <c r="A1173" s="23" t="s">
        <v>2831</v>
      </c>
      <c r="B1173" s="25">
        <v>43642</v>
      </c>
      <c r="C1173" s="26">
        <v>9</v>
      </c>
      <c r="D1173" s="7" t="s">
        <v>875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-134</v>
      </c>
    </row>
    <row r="1174" spans="1:10" hidden="1" x14ac:dyDescent="0.2">
      <c r="A1174" s="23" t="s">
        <v>2831</v>
      </c>
      <c r="B1174" s="25">
        <v>43642</v>
      </c>
      <c r="C1174" s="26">
        <v>10</v>
      </c>
      <c r="D1174" s="7" t="s">
        <v>527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-134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452</v>
      </c>
      <c r="E1175" s="27">
        <v>43633</v>
      </c>
      <c r="F1175" s="28" t="s">
        <v>760</v>
      </c>
      <c r="G1175" s="26"/>
      <c r="H1175" s="26"/>
      <c r="I1175" s="23" t="s">
        <v>27</v>
      </c>
      <c r="J1175" s="29">
        <f ca="1">ROUNDDOWN(表3[[#This Row],[日期]]-TODAY(),1)</f>
        <v>-144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-144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-144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-144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-143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-143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-143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-143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-143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852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-142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-142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-142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453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-137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-137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-137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-137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-137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-137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-137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-137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757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-136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-136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-136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437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-136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-136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905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-136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759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-136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-136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-136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-136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-136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-136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-136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-136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455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-136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456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-136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-136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-136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-136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-135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-135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-135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-135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-134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854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-135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305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-133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997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-133</v>
      </c>
    </row>
    <row r="1222" spans="1:10" hidden="1" x14ac:dyDescent="0.2">
      <c r="A1222" s="23" t="s">
        <v>2848</v>
      </c>
      <c r="B1222" s="25">
        <v>43647</v>
      </c>
      <c r="C1222" s="26">
        <v>1</v>
      </c>
      <c r="D1222" s="7" t="s">
        <v>1153</v>
      </c>
      <c r="E1222" s="27">
        <v>43647</v>
      </c>
      <c r="F1222" s="28" t="s">
        <v>1143</v>
      </c>
      <c r="G1222" s="26"/>
      <c r="H1222" s="26"/>
      <c r="I1222" s="23" t="s">
        <v>1154</v>
      </c>
      <c r="J1222" s="29">
        <f ca="1">ROUNDDOWN(表3[[#This Row],[日期]]-TODAY(),1)</f>
        <v>-130</v>
      </c>
    </row>
    <row r="1223" spans="1:10" hidden="1" x14ac:dyDescent="0.2">
      <c r="A1223" s="23" t="s">
        <v>2848</v>
      </c>
      <c r="B1223" s="25">
        <v>43647</v>
      </c>
      <c r="C1223" s="26">
        <v>2</v>
      </c>
      <c r="D1223" s="7" t="s">
        <v>467</v>
      </c>
      <c r="E1223" s="27">
        <v>43652</v>
      </c>
      <c r="F1223" s="28" t="s">
        <v>242</v>
      </c>
      <c r="G1223" s="26"/>
      <c r="H1223" s="26"/>
      <c r="I1223" s="23" t="s">
        <v>1155</v>
      </c>
      <c r="J1223" s="29">
        <f ca="1">ROUNDDOWN(表3[[#This Row],[日期]]-TODAY(),1)</f>
        <v>-125</v>
      </c>
    </row>
    <row r="1224" spans="1:10" hidden="1" x14ac:dyDescent="0.2">
      <c r="A1224" s="23" t="s">
        <v>2848</v>
      </c>
      <c r="B1224" s="25">
        <v>43647</v>
      </c>
      <c r="C1224" s="26">
        <v>3</v>
      </c>
      <c r="D1224" s="7" t="s">
        <v>1600</v>
      </c>
      <c r="E1224" s="27">
        <v>43661</v>
      </c>
      <c r="F1224" s="28" t="s">
        <v>242</v>
      </c>
      <c r="G1224" s="26">
        <v>3</v>
      </c>
      <c r="H1224" s="26"/>
      <c r="I1224" s="23" t="s">
        <v>1155</v>
      </c>
      <c r="J1224" s="29">
        <f ca="1">ROUNDDOWN(表3[[#This Row],[日期]]-TODAY(),1)</f>
        <v>-116</v>
      </c>
    </row>
    <row r="1225" spans="1:10" hidden="1" x14ac:dyDescent="0.2">
      <c r="A1225" s="23" t="s">
        <v>2848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1184</v>
      </c>
      <c r="G1225" s="26"/>
      <c r="H1225" s="26"/>
      <c r="I1225" s="23" t="s">
        <v>219</v>
      </c>
      <c r="J1225" s="29">
        <f ca="1">ROUNDDOWN(表3[[#This Row],[日期]]-TODAY(),1)</f>
        <v>-109</v>
      </c>
    </row>
    <row r="1226" spans="1:10" hidden="1" x14ac:dyDescent="0.2">
      <c r="A1226" s="23" t="s">
        <v>2848</v>
      </c>
      <c r="B1226" s="25">
        <v>43647</v>
      </c>
      <c r="C1226" s="26">
        <v>5</v>
      </c>
      <c r="D1226" s="7" t="s">
        <v>1368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-102</v>
      </c>
    </row>
    <row r="1227" spans="1:10" hidden="1" x14ac:dyDescent="0.2">
      <c r="A1227" s="23" t="s">
        <v>2848</v>
      </c>
      <c r="B1227" s="25">
        <v>43647</v>
      </c>
      <c r="C1227" s="26">
        <v>6</v>
      </c>
      <c r="D1227" s="7" t="s">
        <v>1156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-101</v>
      </c>
    </row>
    <row r="1228" spans="1:10" hidden="1" x14ac:dyDescent="0.2">
      <c r="A1228" s="23" t="s">
        <v>2848</v>
      </c>
      <c r="B1228" s="25">
        <v>43647</v>
      </c>
      <c r="C1228" s="26">
        <v>7</v>
      </c>
      <c r="D1228" s="7" t="s">
        <v>1158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-102</v>
      </c>
    </row>
    <row r="1229" spans="1:10" hidden="1" x14ac:dyDescent="0.2">
      <c r="A1229" s="23" t="s">
        <v>2848</v>
      </c>
      <c r="B1229" s="25">
        <v>43647</v>
      </c>
      <c r="C1229" s="26">
        <v>8</v>
      </c>
      <c r="D1229" s="7" t="s">
        <v>1159</v>
      </c>
      <c r="E1229" s="27">
        <v>43780</v>
      </c>
      <c r="F1229" s="28" t="s">
        <v>1148</v>
      </c>
      <c r="G1229" s="26"/>
      <c r="H1229" s="26"/>
      <c r="I1229" s="23"/>
      <c r="J1229" s="29">
        <f ca="1">ROUNDDOWN(表3[[#This Row],[日期]]-TODAY(),1)</f>
        <v>3</v>
      </c>
    </row>
    <row r="1230" spans="1:10" hidden="1" x14ac:dyDescent="0.2">
      <c r="A1230" s="23" t="s">
        <v>2848</v>
      </c>
      <c r="B1230" s="25">
        <v>43647</v>
      </c>
      <c r="C1230" s="26">
        <v>9</v>
      </c>
      <c r="D1230" s="7" t="s">
        <v>1848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-101</v>
      </c>
    </row>
    <row r="1231" spans="1:10" hidden="1" x14ac:dyDescent="0.2">
      <c r="A1231" s="23" t="s">
        <v>2848</v>
      </c>
      <c r="B1231" s="25">
        <v>43647</v>
      </c>
      <c r="C1231" s="26">
        <v>10</v>
      </c>
      <c r="D1231" s="7" t="s">
        <v>1849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-101</v>
      </c>
    </row>
    <row r="1232" spans="1:10" hidden="1" x14ac:dyDescent="0.2">
      <c r="A1232" s="4" t="s">
        <v>2848</v>
      </c>
      <c r="B1232" s="37">
        <v>43647</v>
      </c>
      <c r="C1232" s="12">
        <v>11</v>
      </c>
      <c r="D1232" s="38" t="s">
        <v>1850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-101</v>
      </c>
    </row>
    <row r="1233" spans="1:10" hidden="1" x14ac:dyDescent="0.2">
      <c r="A1233" s="4" t="s">
        <v>2848</v>
      </c>
      <c r="B1233" s="37">
        <v>43647</v>
      </c>
      <c r="C1233" s="12">
        <v>12</v>
      </c>
      <c r="D1233" s="38" t="s">
        <v>1618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-102</v>
      </c>
    </row>
    <row r="1234" spans="1:10" hidden="1" x14ac:dyDescent="0.2">
      <c r="A1234" s="4" t="s">
        <v>2848</v>
      </c>
      <c r="B1234" s="37">
        <v>43647</v>
      </c>
      <c r="C1234" s="12">
        <v>13</v>
      </c>
      <c r="D1234" s="38" t="s">
        <v>2255</v>
      </c>
      <c r="E1234" s="39">
        <v>43690</v>
      </c>
      <c r="F1234" s="40" t="s">
        <v>1184</v>
      </c>
      <c r="G1234" s="12"/>
      <c r="H1234" s="12"/>
      <c r="J1234" s="41">
        <f ca="1">ROUNDDOWN(表3[[#This Row],[日期]]-TODAY(),1)</f>
        <v>-87</v>
      </c>
    </row>
    <row r="1235" spans="1:10" hidden="1" x14ac:dyDescent="0.2">
      <c r="A1235" s="23" t="s">
        <v>2848</v>
      </c>
      <c r="B1235" s="25">
        <v>43647</v>
      </c>
      <c r="C1235" s="26">
        <v>14</v>
      </c>
      <c r="D1235" s="7" t="s">
        <v>1157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-100</v>
      </c>
    </row>
    <row r="1236" spans="1:10" hidden="1" x14ac:dyDescent="0.2">
      <c r="A1236" s="23" t="s">
        <v>2847</v>
      </c>
      <c r="B1236" s="25">
        <v>43647</v>
      </c>
      <c r="C1236" s="26">
        <v>1</v>
      </c>
      <c r="D1236" s="7" t="s">
        <v>745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-130</v>
      </c>
    </row>
    <row r="1237" spans="1:10" hidden="1" x14ac:dyDescent="0.2">
      <c r="A1237" s="23" t="s">
        <v>2847</v>
      </c>
      <c r="B1237" s="25">
        <v>43647</v>
      </c>
      <c r="C1237" s="26">
        <v>2</v>
      </c>
      <c r="D1237" s="7" t="s">
        <v>1028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-130</v>
      </c>
    </row>
    <row r="1238" spans="1:10" hidden="1" x14ac:dyDescent="0.2">
      <c r="A1238" s="23" t="s">
        <v>2847</v>
      </c>
      <c r="B1238" s="25">
        <v>43647</v>
      </c>
      <c r="C1238" s="26">
        <v>3</v>
      </c>
      <c r="D1238" s="7" t="s">
        <v>1029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-130</v>
      </c>
    </row>
    <row r="1239" spans="1:10" hidden="1" x14ac:dyDescent="0.2">
      <c r="A1239" s="23" t="s">
        <v>2847</v>
      </c>
      <c r="B1239" s="25">
        <v>43647</v>
      </c>
      <c r="C1239" s="26">
        <v>4</v>
      </c>
      <c r="D1239" s="7" t="s">
        <v>1030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-130</v>
      </c>
    </row>
    <row r="1240" spans="1:10" hidden="1" x14ac:dyDescent="0.2">
      <c r="A1240" s="23" t="s">
        <v>2847</v>
      </c>
      <c r="B1240" s="25">
        <v>43647</v>
      </c>
      <c r="C1240" s="26">
        <v>5</v>
      </c>
      <c r="D1240" s="7" t="s">
        <v>899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-130</v>
      </c>
    </row>
    <row r="1241" spans="1:10" hidden="1" x14ac:dyDescent="0.2">
      <c r="A1241" s="23" t="s">
        <v>2847</v>
      </c>
      <c r="B1241" s="25">
        <v>43647</v>
      </c>
      <c r="C1241" s="26">
        <v>6</v>
      </c>
      <c r="D1241" s="7" t="s">
        <v>1027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-130</v>
      </c>
    </row>
    <row r="1242" spans="1:10" hidden="1" x14ac:dyDescent="0.2">
      <c r="A1242" s="23" t="s">
        <v>2847</v>
      </c>
      <c r="B1242" s="25">
        <v>43647</v>
      </c>
      <c r="C1242" s="26">
        <v>7</v>
      </c>
      <c r="D1242" s="7" t="s">
        <v>738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-130</v>
      </c>
    </row>
    <row r="1243" spans="1:10" hidden="1" x14ac:dyDescent="0.2">
      <c r="A1243" s="23" t="s">
        <v>2847</v>
      </c>
      <c r="B1243" s="25">
        <v>43647</v>
      </c>
      <c r="C1243" s="26">
        <v>8</v>
      </c>
      <c r="D1243" s="7" t="s">
        <v>1032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-130</v>
      </c>
    </row>
    <row r="1244" spans="1:10" hidden="1" x14ac:dyDescent="0.2">
      <c r="A1244" s="23" t="s">
        <v>2847</v>
      </c>
      <c r="B1244" s="25">
        <v>43647</v>
      </c>
      <c r="C1244" s="26">
        <v>9</v>
      </c>
      <c r="D1244" s="7" t="s">
        <v>1045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-128</v>
      </c>
    </row>
    <row r="1245" spans="1:10" hidden="1" x14ac:dyDescent="0.2">
      <c r="A1245" s="23" t="s">
        <v>2847</v>
      </c>
      <c r="B1245" s="25">
        <v>43647</v>
      </c>
      <c r="C1245" s="26">
        <v>10</v>
      </c>
      <c r="D1245" s="7" t="s">
        <v>738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-128</v>
      </c>
    </row>
    <row r="1246" spans="1:10" hidden="1" x14ac:dyDescent="0.2">
      <c r="A1246" s="23" t="s">
        <v>2847</v>
      </c>
      <c r="B1246" s="25">
        <v>43647</v>
      </c>
      <c r="C1246" s="26">
        <v>11</v>
      </c>
      <c r="D1246" s="7" t="s">
        <v>1025</v>
      </c>
      <c r="E1246" s="27">
        <v>43650</v>
      </c>
      <c r="F1246" s="28" t="s">
        <v>242</v>
      </c>
      <c r="G1246" s="26"/>
      <c r="H1246" s="26"/>
      <c r="I1246" s="23" t="s">
        <v>743</v>
      </c>
      <c r="J1246" s="29">
        <f ca="1">ROUNDDOWN(表3[[#This Row],[日期]]-TODAY(),1)</f>
        <v>-127</v>
      </c>
    </row>
    <row r="1247" spans="1:10" hidden="1" x14ac:dyDescent="0.2">
      <c r="A1247" s="23" t="s">
        <v>2847</v>
      </c>
      <c r="B1247" s="25">
        <v>43647</v>
      </c>
      <c r="C1247" s="26">
        <v>12</v>
      </c>
      <c r="D1247" s="7" t="s">
        <v>899</v>
      </c>
      <c r="E1247" s="27">
        <v>43650</v>
      </c>
      <c r="F1247" s="28" t="s">
        <v>242</v>
      </c>
      <c r="G1247" s="26"/>
      <c r="H1247" s="26"/>
      <c r="I1247" s="23" t="s">
        <v>743</v>
      </c>
      <c r="J1247" s="29">
        <f ca="1">ROUNDDOWN(表3[[#This Row],[日期]]-TODAY(),1)</f>
        <v>-127</v>
      </c>
    </row>
    <row r="1248" spans="1:10" hidden="1" x14ac:dyDescent="0.2">
      <c r="A1248" s="23" t="s">
        <v>2847</v>
      </c>
      <c r="B1248" s="25">
        <v>43647</v>
      </c>
      <c r="C1248" s="26">
        <v>13</v>
      </c>
      <c r="D1248" s="7" t="s">
        <v>1031</v>
      </c>
      <c r="E1248" s="27">
        <v>43651</v>
      </c>
      <c r="F1248" s="28" t="s">
        <v>1208</v>
      </c>
      <c r="G1248" s="26"/>
      <c r="H1248" s="26"/>
      <c r="I1248" s="23" t="s">
        <v>220</v>
      </c>
      <c r="J1248" s="29">
        <f ca="1">ROUNDDOWN(表3[[#This Row],[日期]]-TODAY(),1)</f>
        <v>-126</v>
      </c>
    </row>
    <row r="1249" spans="1:10" hidden="1" x14ac:dyDescent="0.2">
      <c r="A1249" s="23" t="s">
        <v>2847</v>
      </c>
      <c r="B1249" s="25">
        <v>43647</v>
      </c>
      <c r="C1249" s="26">
        <v>14</v>
      </c>
      <c r="D1249" s="7" t="s">
        <v>738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-123</v>
      </c>
    </row>
    <row r="1250" spans="1:10" hidden="1" x14ac:dyDescent="0.2">
      <c r="A1250" s="23" t="s">
        <v>2847</v>
      </c>
      <c r="B1250" s="25">
        <v>43647</v>
      </c>
      <c r="C1250" s="26">
        <v>15</v>
      </c>
      <c r="D1250" s="7" t="s">
        <v>1026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-126</v>
      </c>
    </row>
    <row r="1251" spans="1:10" hidden="1" x14ac:dyDescent="0.2">
      <c r="A1251" s="23" t="s">
        <v>2847</v>
      </c>
      <c r="B1251" s="25">
        <v>43647</v>
      </c>
      <c r="C1251" s="26">
        <v>16</v>
      </c>
      <c r="D1251" s="7" t="s">
        <v>900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-125</v>
      </c>
    </row>
    <row r="1252" spans="1:10" hidden="1" x14ac:dyDescent="0.2">
      <c r="A1252" s="23" t="s">
        <v>2847</v>
      </c>
      <c r="B1252" s="25">
        <v>43647</v>
      </c>
      <c r="C1252" s="26">
        <v>17</v>
      </c>
      <c r="D1252" s="7" t="s">
        <v>1053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-129</v>
      </c>
    </row>
    <row r="1253" spans="1:10" hidden="1" x14ac:dyDescent="0.2">
      <c r="A1253" s="23" t="s">
        <v>2847</v>
      </c>
      <c r="B1253" s="25">
        <v>43647</v>
      </c>
      <c r="C1253" s="26">
        <v>18</v>
      </c>
      <c r="D1253" s="7" t="s">
        <v>1160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-126</v>
      </c>
    </row>
    <row r="1254" spans="1:10" hidden="1" x14ac:dyDescent="0.2">
      <c r="A1254" s="23" t="s">
        <v>2847</v>
      </c>
      <c r="B1254" s="25">
        <v>43647</v>
      </c>
      <c r="C1254" s="26">
        <v>19</v>
      </c>
      <c r="D1254" s="7" t="s">
        <v>1172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-126</v>
      </c>
    </row>
    <row r="1255" spans="1:10" hidden="1" x14ac:dyDescent="0.2">
      <c r="A1255" s="23" t="s">
        <v>2847</v>
      </c>
      <c r="B1255" s="25">
        <v>43647</v>
      </c>
      <c r="C1255" s="26">
        <v>20</v>
      </c>
      <c r="D1255" s="7" t="s">
        <v>1198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-120</v>
      </c>
    </row>
    <row r="1256" spans="1:10" hidden="1" x14ac:dyDescent="0.2">
      <c r="A1256" s="23" t="s">
        <v>2847</v>
      </c>
      <c r="B1256" s="25">
        <v>43647</v>
      </c>
      <c r="C1256" s="26">
        <v>21</v>
      </c>
      <c r="D1256" s="7" t="s">
        <v>1257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-123</v>
      </c>
    </row>
    <row r="1257" spans="1:10" hidden="1" x14ac:dyDescent="0.2">
      <c r="A1257" s="23" t="s">
        <v>2847</v>
      </c>
      <c r="B1257" s="25">
        <v>43647</v>
      </c>
      <c r="C1257" s="26">
        <v>22</v>
      </c>
      <c r="D1257" s="7" t="s">
        <v>1303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-120</v>
      </c>
    </row>
    <row r="1258" spans="1:10" hidden="1" x14ac:dyDescent="0.2">
      <c r="A1258" s="23" t="s">
        <v>944</v>
      </c>
      <c r="B1258" s="25">
        <v>43649</v>
      </c>
      <c r="C1258" s="26">
        <v>1</v>
      </c>
      <c r="D1258" s="7" t="s">
        <v>364</v>
      </c>
      <c r="E1258" s="27">
        <v>43642</v>
      </c>
      <c r="F1258" s="28" t="s">
        <v>945</v>
      </c>
      <c r="G1258" s="26"/>
      <c r="H1258" s="26"/>
      <c r="I1258" s="23"/>
      <c r="J1258" s="29">
        <f ca="1">ROUNDDOWN(表3[[#This Row],[日期]]-TODAY(),1)</f>
        <v>-135</v>
      </c>
    </row>
    <row r="1259" spans="1:10" hidden="1" x14ac:dyDescent="0.2">
      <c r="A1259" s="23" t="s">
        <v>944</v>
      </c>
      <c r="B1259" s="25">
        <v>43649</v>
      </c>
      <c r="C1259" s="26">
        <v>2</v>
      </c>
      <c r="D1259" s="7" t="s">
        <v>863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-134</v>
      </c>
    </row>
    <row r="1260" spans="1:10" hidden="1" x14ac:dyDescent="0.2">
      <c r="A1260" s="23" t="s">
        <v>944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-134</v>
      </c>
    </row>
    <row r="1261" spans="1:10" hidden="1" x14ac:dyDescent="0.2">
      <c r="A1261" s="23" t="s">
        <v>944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-134</v>
      </c>
    </row>
    <row r="1262" spans="1:10" hidden="1" x14ac:dyDescent="0.2">
      <c r="A1262" s="23" t="s">
        <v>944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-133</v>
      </c>
    </row>
    <row r="1263" spans="1:10" hidden="1" x14ac:dyDescent="0.2">
      <c r="A1263" s="23" t="s">
        <v>944</v>
      </c>
      <c r="B1263" s="25">
        <v>43649</v>
      </c>
      <c r="C1263" s="26">
        <v>6</v>
      </c>
      <c r="D1263" s="7" t="s">
        <v>864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-133</v>
      </c>
    </row>
    <row r="1264" spans="1:10" hidden="1" x14ac:dyDescent="0.2">
      <c r="A1264" s="23" t="s">
        <v>944</v>
      </c>
      <c r="B1264" s="25">
        <v>43649</v>
      </c>
      <c r="C1264" s="26">
        <v>7</v>
      </c>
      <c r="D1264" s="7" t="s">
        <v>309</v>
      </c>
      <c r="E1264" s="27">
        <v>43644</v>
      </c>
      <c r="F1264" s="28" t="s">
        <v>242</v>
      </c>
      <c r="G1264" s="26"/>
      <c r="H1264" s="26"/>
      <c r="I1264" s="23" t="s">
        <v>310</v>
      </c>
      <c r="J1264" s="29">
        <f ca="1">ROUNDDOWN(表3[[#This Row],[日期]]-TODAY(),1)</f>
        <v>-133</v>
      </c>
    </row>
    <row r="1265" spans="1:10" hidden="1" x14ac:dyDescent="0.2">
      <c r="A1265" s="23" t="s">
        <v>1000</v>
      </c>
      <c r="B1265" s="25">
        <v>43649</v>
      </c>
      <c r="C1265" s="26">
        <v>7.1</v>
      </c>
      <c r="D1265" s="7" t="s">
        <v>1001</v>
      </c>
      <c r="E1265" s="27">
        <v>43644</v>
      </c>
      <c r="F1265" s="28" t="s">
        <v>242</v>
      </c>
      <c r="G1265" s="26"/>
      <c r="H1265" s="26"/>
      <c r="I1265" s="23" t="s">
        <v>999</v>
      </c>
      <c r="J1265" s="29">
        <f ca="1">ROUNDDOWN(表3[[#This Row],[日期]]-TODAY(),1)</f>
        <v>-133</v>
      </c>
    </row>
    <row r="1266" spans="1:10" hidden="1" x14ac:dyDescent="0.2">
      <c r="A1266" s="23" t="s">
        <v>944</v>
      </c>
      <c r="B1266" s="25">
        <v>43649</v>
      </c>
      <c r="C1266" s="26">
        <v>8</v>
      </c>
      <c r="D1266" s="7" t="s">
        <v>311</v>
      </c>
      <c r="E1266" s="27">
        <v>43647</v>
      </c>
      <c r="F1266" s="28" t="s">
        <v>242</v>
      </c>
      <c r="G1266" s="26"/>
      <c r="H1266" s="26"/>
      <c r="I1266" s="23" t="s">
        <v>310</v>
      </c>
      <c r="J1266" s="29">
        <f ca="1">ROUNDDOWN(表3[[#This Row],[日期]]-TODAY(),1)</f>
        <v>-130</v>
      </c>
    </row>
    <row r="1267" spans="1:10" hidden="1" x14ac:dyDescent="0.2">
      <c r="A1267" s="23" t="s">
        <v>944</v>
      </c>
      <c r="B1267" s="25">
        <v>43649</v>
      </c>
      <c r="C1267" s="26">
        <v>9</v>
      </c>
      <c r="D1267" s="7" t="s">
        <v>307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-130</v>
      </c>
    </row>
    <row r="1268" spans="1:10" hidden="1" x14ac:dyDescent="0.2">
      <c r="A1268" s="23" t="s">
        <v>944</v>
      </c>
      <c r="B1268" s="25">
        <v>43649</v>
      </c>
      <c r="C1268" s="26">
        <v>10</v>
      </c>
      <c r="D1268" s="7" t="s">
        <v>865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-130</v>
      </c>
    </row>
    <row r="1269" spans="1:10" hidden="1" x14ac:dyDescent="0.2">
      <c r="A1269" s="23" t="s">
        <v>944</v>
      </c>
      <c r="B1269" s="25">
        <v>43649</v>
      </c>
      <c r="C1269" s="26">
        <v>11</v>
      </c>
      <c r="D1269" s="7" t="s">
        <v>866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-130</v>
      </c>
    </row>
    <row r="1270" spans="1:10" hidden="1" x14ac:dyDescent="0.2">
      <c r="A1270" s="23" t="s">
        <v>944</v>
      </c>
      <c r="B1270" s="25">
        <v>43649</v>
      </c>
      <c r="C1270" s="26">
        <v>12</v>
      </c>
      <c r="D1270" s="7" t="s">
        <v>867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-130</v>
      </c>
    </row>
    <row r="1271" spans="1:10" hidden="1" x14ac:dyDescent="0.2">
      <c r="A1271" s="23" t="s">
        <v>944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-130</v>
      </c>
    </row>
    <row r="1272" spans="1:10" hidden="1" x14ac:dyDescent="0.2">
      <c r="A1272" s="23" t="s">
        <v>944</v>
      </c>
      <c r="B1272" s="25">
        <v>43649</v>
      </c>
      <c r="C1272" s="26">
        <v>14</v>
      </c>
      <c r="D1272" s="7" t="s">
        <v>868</v>
      </c>
      <c r="E1272" s="27">
        <v>43647</v>
      </c>
      <c r="F1272" s="28" t="s">
        <v>242</v>
      </c>
      <c r="G1272" s="26"/>
      <c r="H1272" s="26"/>
      <c r="I1272" s="23" t="s">
        <v>310</v>
      </c>
      <c r="J1272" s="29">
        <f ca="1">ROUNDDOWN(表3[[#This Row],[日期]]-TODAY(),1)</f>
        <v>-130</v>
      </c>
    </row>
    <row r="1273" spans="1:10" hidden="1" x14ac:dyDescent="0.2">
      <c r="A1273" s="23" t="s">
        <v>944</v>
      </c>
      <c r="B1273" s="25">
        <v>43649</v>
      </c>
      <c r="C1273" s="26">
        <v>15</v>
      </c>
      <c r="D1273" s="7" t="s">
        <v>313</v>
      </c>
      <c r="E1273" s="27">
        <v>43647</v>
      </c>
      <c r="F1273" s="28" t="s">
        <v>242</v>
      </c>
      <c r="G1273" s="26"/>
      <c r="H1273" s="26"/>
      <c r="I1273" s="23" t="s">
        <v>310</v>
      </c>
      <c r="J1273" s="29">
        <f ca="1">ROUNDDOWN(表3[[#This Row],[日期]]-TODAY(),1)</f>
        <v>-130</v>
      </c>
    </row>
    <row r="1274" spans="1:10" hidden="1" x14ac:dyDescent="0.2">
      <c r="A1274" s="23" t="s">
        <v>944</v>
      </c>
      <c r="B1274" s="25">
        <v>43649</v>
      </c>
      <c r="C1274" s="26">
        <v>16</v>
      </c>
      <c r="D1274" s="7" t="s">
        <v>271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-130</v>
      </c>
    </row>
    <row r="1275" spans="1:10" hidden="1" x14ac:dyDescent="0.2">
      <c r="A1275" s="23" t="s">
        <v>944</v>
      </c>
      <c r="B1275" s="25">
        <v>43649</v>
      </c>
      <c r="C1275" s="26">
        <v>17</v>
      </c>
      <c r="D1275" s="7" t="s">
        <v>273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-128</v>
      </c>
    </row>
    <row r="1276" spans="1:10" hidden="1" x14ac:dyDescent="0.2">
      <c r="A1276" s="23" t="s">
        <v>944</v>
      </c>
      <c r="B1276" s="25">
        <v>43649</v>
      </c>
      <c r="C1276" s="26">
        <v>18</v>
      </c>
      <c r="D1276" s="7" t="s">
        <v>275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-128</v>
      </c>
    </row>
    <row r="1277" spans="1:10" hidden="1" x14ac:dyDescent="0.2">
      <c r="A1277" s="23" t="s">
        <v>944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-127</v>
      </c>
    </row>
    <row r="1278" spans="1:10" hidden="1" x14ac:dyDescent="0.2">
      <c r="A1278" s="23" t="s">
        <v>944</v>
      </c>
      <c r="B1278" s="25">
        <v>43649</v>
      </c>
      <c r="C1278" s="26">
        <v>20</v>
      </c>
      <c r="D1278" s="7" t="s">
        <v>305</v>
      </c>
      <c r="E1278" s="27">
        <v>43650</v>
      </c>
      <c r="F1278" s="28" t="s">
        <v>1208</v>
      </c>
      <c r="G1278" s="26"/>
      <c r="H1278" s="26"/>
      <c r="I1278" s="23"/>
      <c r="J1278" s="29">
        <f ca="1">ROUNDDOWN(表3[[#This Row],[日期]]-TODAY(),1)</f>
        <v>-127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927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-137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-136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-136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-136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-136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-136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-136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-136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928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-134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-134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-134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-134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-134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-134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-134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-134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929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-133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-133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-133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930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-133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-133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931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-133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759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-133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-133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-133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-133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-133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-133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-133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-133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932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-132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933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-132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-131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1024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-130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-130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941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-130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-130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-130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-130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-129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934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-127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305</v>
      </c>
      <c r="E1320" s="27">
        <v>43650</v>
      </c>
      <c r="F1320" s="28" t="s">
        <v>1208</v>
      </c>
      <c r="G1320" s="26"/>
      <c r="H1320" s="26"/>
      <c r="I1320" s="23"/>
      <c r="J1320" s="29">
        <f ca="1">ROUNDDOWN(表3[[#This Row],[日期]]-TODAY(),1)</f>
        <v>-127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1223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-125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1317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-121</v>
      </c>
    </row>
    <row r="1323" spans="1:10" hidden="1" x14ac:dyDescent="0.2">
      <c r="A1323" s="23" t="s">
        <v>860</v>
      </c>
      <c r="B1323" s="25">
        <v>43649</v>
      </c>
      <c r="C1323" s="26">
        <v>1</v>
      </c>
      <c r="D1323" s="7" t="s">
        <v>364</v>
      </c>
      <c r="E1323" s="27">
        <v>43636</v>
      </c>
      <c r="F1323" s="28" t="s">
        <v>869</v>
      </c>
      <c r="G1323" s="26"/>
      <c r="H1323" s="26"/>
      <c r="I1323" s="23"/>
      <c r="J1323" s="29">
        <f ca="1">ROUNDDOWN(表3[[#This Row],[日期]]-TODAY(),1)</f>
        <v>-141</v>
      </c>
    </row>
    <row r="1324" spans="1:10" hidden="1" x14ac:dyDescent="0.2">
      <c r="A1324" s="23" t="s">
        <v>860</v>
      </c>
      <c r="B1324" s="25">
        <v>43649</v>
      </c>
      <c r="C1324" s="26">
        <v>2</v>
      </c>
      <c r="D1324" s="7" t="s">
        <v>863</v>
      </c>
      <c r="E1324" s="27">
        <v>43636</v>
      </c>
      <c r="F1324" s="28" t="s">
        <v>869</v>
      </c>
      <c r="G1324" s="26"/>
      <c r="H1324" s="26"/>
      <c r="I1324" s="23"/>
      <c r="J1324" s="29">
        <f ca="1">ROUNDDOWN(表3[[#This Row],[日期]]-TODAY(),1)</f>
        <v>-141</v>
      </c>
    </row>
    <row r="1325" spans="1:10" hidden="1" x14ac:dyDescent="0.2">
      <c r="A1325" s="23" t="s">
        <v>860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869</v>
      </c>
      <c r="G1325" s="26"/>
      <c r="H1325" s="26"/>
      <c r="I1325" s="23"/>
      <c r="J1325" s="29">
        <f ca="1">ROUNDDOWN(表3[[#This Row],[日期]]-TODAY(),1)</f>
        <v>-141</v>
      </c>
    </row>
    <row r="1326" spans="1:10" hidden="1" x14ac:dyDescent="0.2">
      <c r="A1326" s="23" t="s">
        <v>860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-134</v>
      </c>
    </row>
    <row r="1327" spans="1:10" hidden="1" x14ac:dyDescent="0.2">
      <c r="A1327" s="23" t="s">
        <v>860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-134</v>
      </c>
    </row>
    <row r="1328" spans="1:10" hidden="1" x14ac:dyDescent="0.2">
      <c r="A1328" s="23" t="s">
        <v>860</v>
      </c>
      <c r="B1328" s="25">
        <v>43649</v>
      </c>
      <c r="C1328" s="26">
        <v>6</v>
      </c>
      <c r="D1328" s="7" t="s">
        <v>971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-134</v>
      </c>
    </row>
    <row r="1329" spans="1:10" hidden="1" x14ac:dyDescent="0.2">
      <c r="A1329" s="23" t="s">
        <v>860</v>
      </c>
      <c r="B1329" s="25">
        <v>43649</v>
      </c>
      <c r="C1329" s="26">
        <v>7</v>
      </c>
      <c r="D1329" s="7" t="s">
        <v>307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-134</v>
      </c>
    </row>
    <row r="1330" spans="1:10" hidden="1" x14ac:dyDescent="0.2">
      <c r="A1330" s="23" t="s">
        <v>860</v>
      </c>
      <c r="B1330" s="25">
        <v>43649</v>
      </c>
      <c r="C1330" s="26">
        <v>8</v>
      </c>
      <c r="D1330" s="7" t="s">
        <v>865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-134</v>
      </c>
    </row>
    <row r="1331" spans="1:10" hidden="1" x14ac:dyDescent="0.2">
      <c r="A1331" s="23" t="s">
        <v>860</v>
      </c>
      <c r="B1331" s="25">
        <v>43649</v>
      </c>
      <c r="C1331" s="26">
        <v>9</v>
      </c>
      <c r="D1331" s="7" t="s">
        <v>866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-133</v>
      </c>
    </row>
    <row r="1332" spans="1:10" hidden="1" x14ac:dyDescent="0.2">
      <c r="A1332" s="23" t="s">
        <v>860</v>
      </c>
      <c r="B1332" s="25">
        <v>43649</v>
      </c>
      <c r="C1332" s="26">
        <v>10</v>
      </c>
      <c r="D1332" s="7" t="s">
        <v>867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-133</v>
      </c>
    </row>
    <row r="1333" spans="1:10" hidden="1" x14ac:dyDescent="0.2">
      <c r="A1333" s="23" t="s">
        <v>860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-133</v>
      </c>
    </row>
    <row r="1334" spans="1:10" hidden="1" x14ac:dyDescent="0.2">
      <c r="A1334" s="23" t="s">
        <v>860</v>
      </c>
      <c r="B1334" s="25">
        <v>43649</v>
      </c>
      <c r="C1334" s="26">
        <v>12</v>
      </c>
      <c r="D1334" s="7" t="s">
        <v>868</v>
      </c>
      <c r="E1334" s="27">
        <v>43644</v>
      </c>
      <c r="F1334" s="28" t="s">
        <v>242</v>
      </c>
      <c r="G1334" s="26"/>
      <c r="H1334" s="26"/>
      <c r="I1334" s="23" t="s">
        <v>310</v>
      </c>
      <c r="J1334" s="29">
        <f ca="1">ROUNDDOWN(表3[[#This Row],[日期]]-TODAY(),1)</f>
        <v>-133</v>
      </c>
    </row>
    <row r="1335" spans="1:10" hidden="1" x14ac:dyDescent="0.2">
      <c r="A1335" s="23" t="s">
        <v>860</v>
      </c>
      <c r="B1335" s="25">
        <v>43649</v>
      </c>
      <c r="C1335" s="26">
        <v>13</v>
      </c>
      <c r="D1335" s="7" t="s">
        <v>313</v>
      </c>
      <c r="E1335" s="27">
        <v>43644</v>
      </c>
      <c r="F1335" s="28" t="s">
        <v>242</v>
      </c>
      <c r="G1335" s="26"/>
      <c r="H1335" s="26"/>
      <c r="I1335" s="23" t="s">
        <v>310</v>
      </c>
      <c r="J1335" s="29">
        <f ca="1">ROUNDDOWN(表3[[#This Row],[日期]]-TODAY(),1)</f>
        <v>-133</v>
      </c>
    </row>
    <row r="1336" spans="1:10" hidden="1" x14ac:dyDescent="0.2">
      <c r="A1336" s="23" t="s">
        <v>860</v>
      </c>
      <c r="B1336" s="25">
        <v>43649</v>
      </c>
      <c r="C1336" s="26">
        <v>14</v>
      </c>
      <c r="D1336" s="7" t="s">
        <v>309</v>
      </c>
      <c r="E1336" s="27">
        <v>43644</v>
      </c>
      <c r="F1336" s="28" t="s">
        <v>242</v>
      </c>
      <c r="G1336" s="26"/>
      <c r="H1336" s="26"/>
      <c r="I1336" s="23" t="s">
        <v>310</v>
      </c>
      <c r="J1336" s="29">
        <f ca="1">ROUNDDOWN(表3[[#This Row],[日期]]-TODAY(),1)</f>
        <v>-133</v>
      </c>
    </row>
    <row r="1337" spans="1:10" hidden="1" x14ac:dyDescent="0.2">
      <c r="A1337" s="23" t="s">
        <v>860</v>
      </c>
      <c r="B1337" s="25">
        <v>43649</v>
      </c>
      <c r="C1337" s="26">
        <v>15</v>
      </c>
      <c r="D1337" s="7" t="s">
        <v>311</v>
      </c>
      <c r="E1337" s="27">
        <v>43645</v>
      </c>
      <c r="F1337" s="28" t="s">
        <v>242</v>
      </c>
      <c r="G1337" s="26"/>
      <c r="H1337" s="26"/>
      <c r="I1337" s="23" t="s">
        <v>310</v>
      </c>
      <c r="J1337" s="29">
        <f ca="1">ROUNDDOWN(表3[[#This Row],[日期]]-TODAY(),1)</f>
        <v>-132</v>
      </c>
    </row>
    <row r="1338" spans="1:10" hidden="1" x14ac:dyDescent="0.2">
      <c r="A1338" s="23" t="s">
        <v>860</v>
      </c>
      <c r="B1338" s="25">
        <v>43649</v>
      </c>
      <c r="C1338" s="26">
        <v>16</v>
      </c>
      <c r="D1338" s="7" t="s">
        <v>271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-132</v>
      </c>
    </row>
    <row r="1339" spans="1:10" hidden="1" x14ac:dyDescent="0.2">
      <c r="A1339" s="23" t="s">
        <v>860</v>
      </c>
      <c r="B1339" s="25">
        <v>43649</v>
      </c>
      <c r="C1339" s="26">
        <v>17</v>
      </c>
      <c r="D1339" s="7" t="s">
        <v>273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-130</v>
      </c>
    </row>
    <row r="1340" spans="1:10" hidden="1" x14ac:dyDescent="0.2">
      <c r="A1340" s="23" t="s">
        <v>860</v>
      </c>
      <c r="B1340" s="25">
        <v>43649</v>
      </c>
      <c r="C1340" s="26">
        <v>18</v>
      </c>
      <c r="D1340" s="7" t="s">
        <v>275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-129</v>
      </c>
    </row>
    <row r="1341" spans="1:10" hidden="1" x14ac:dyDescent="0.2">
      <c r="A1341" s="23" t="s">
        <v>860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-127</v>
      </c>
    </row>
    <row r="1342" spans="1:10" hidden="1" x14ac:dyDescent="0.2">
      <c r="A1342" s="23" t="s">
        <v>860</v>
      </c>
      <c r="B1342" s="25">
        <v>43649</v>
      </c>
      <c r="C1342" s="26">
        <v>20</v>
      </c>
      <c r="D1342" s="7" t="s">
        <v>305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-128</v>
      </c>
    </row>
    <row r="1343" spans="1:10" hidden="1" x14ac:dyDescent="0.2">
      <c r="A1343" s="23" t="s">
        <v>2831</v>
      </c>
      <c r="B1343" s="25">
        <v>43649</v>
      </c>
      <c r="C1343" s="26">
        <v>1</v>
      </c>
      <c r="D1343" s="7" t="s">
        <v>507</v>
      </c>
      <c r="E1343" s="27">
        <v>43643</v>
      </c>
      <c r="F1343" s="28" t="s">
        <v>975</v>
      </c>
      <c r="G1343" s="26"/>
      <c r="H1343" s="26"/>
      <c r="I1343" s="23"/>
      <c r="J1343" s="29">
        <f ca="1">ROUNDDOWN(表3[[#This Row],[日期]]-TODAY(),1)</f>
        <v>-134</v>
      </c>
    </row>
    <row r="1344" spans="1:10" hidden="1" x14ac:dyDescent="0.2">
      <c r="A1344" s="23" t="s">
        <v>2831</v>
      </c>
      <c r="B1344" s="25">
        <v>43649</v>
      </c>
      <c r="C1344" s="26">
        <v>2</v>
      </c>
      <c r="D1344" s="7" t="s">
        <v>510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-134</v>
      </c>
    </row>
    <row r="1345" spans="1:10" hidden="1" x14ac:dyDescent="0.2">
      <c r="A1345" s="23" t="s">
        <v>2831</v>
      </c>
      <c r="B1345" s="25">
        <v>43649</v>
      </c>
      <c r="C1345" s="26">
        <v>3</v>
      </c>
      <c r="D1345" s="7" t="s">
        <v>977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-134</v>
      </c>
    </row>
    <row r="1346" spans="1:10" hidden="1" x14ac:dyDescent="0.2">
      <c r="A1346" s="23" t="s">
        <v>2831</v>
      </c>
      <c r="B1346" s="25">
        <v>43649</v>
      </c>
      <c r="C1346" s="26">
        <v>4</v>
      </c>
      <c r="D1346" s="7" t="s">
        <v>514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-134</v>
      </c>
    </row>
    <row r="1347" spans="1:10" hidden="1" x14ac:dyDescent="0.2">
      <c r="A1347" s="23" t="s">
        <v>2831</v>
      </c>
      <c r="B1347" s="25">
        <v>43649</v>
      </c>
      <c r="C1347" s="26">
        <v>5</v>
      </c>
      <c r="D1347" s="7" t="s">
        <v>517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-134</v>
      </c>
    </row>
    <row r="1348" spans="1:10" hidden="1" x14ac:dyDescent="0.2">
      <c r="A1348" s="23" t="s">
        <v>2831</v>
      </c>
      <c r="B1348" s="25">
        <v>43649</v>
      </c>
      <c r="C1348" s="26">
        <v>6</v>
      </c>
      <c r="D1348" s="7" t="s">
        <v>519</v>
      </c>
      <c r="E1348" s="27">
        <v>43647</v>
      </c>
      <c r="F1348" s="28" t="s">
        <v>242</v>
      </c>
      <c r="G1348" s="26"/>
      <c r="H1348" s="26"/>
      <c r="I1348" s="23" t="s">
        <v>529</v>
      </c>
      <c r="J1348" s="29">
        <f ca="1">ROUNDDOWN(表3[[#This Row],[日期]]-TODAY(),1)</f>
        <v>-130</v>
      </c>
    </row>
    <row r="1349" spans="1:10" hidden="1" x14ac:dyDescent="0.2">
      <c r="A1349" s="23" t="s">
        <v>2831</v>
      </c>
      <c r="B1349" s="25">
        <v>43649</v>
      </c>
      <c r="C1349" s="26">
        <v>7</v>
      </c>
      <c r="D1349" s="7" t="s">
        <v>978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-130</v>
      </c>
    </row>
    <row r="1350" spans="1:10" hidden="1" x14ac:dyDescent="0.2">
      <c r="A1350" s="23" t="s">
        <v>2831</v>
      </c>
      <c r="B1350" s="25">
        <v>43649</v>
      </c>
      <c r="C1350" s="26">
        <v>8</v>
      </c>
      <c r="D1350" s="7" t="s">
        <v>523</v>
      </c>
      <c r="E1350" s="27">
        <v>43649</v>
      </c>
      <c r="F1350" s="28" t="s">
        <v>242</v>
      </c>
      <c r="G1350" s="26"/>
      <c r="H1350" s="26"/>
      <c r="I1350" s="23" t="s">
        <v>1055</v>
      </c>
      <c r="J1350" s="29">
        <f ca="1">ROUNDDOWN(表3[[#This Row],[日期]]-TODAY(),1)</f>
        <v>-128</v>
      </c>
    </row>
    <row r="1351" spans="1:10" hidden="1" x14ac:dyDescent="0.2">
      <c r="A1351" s="23" t="s">
        <v>2831</v>
      </c>
      <c r="B1351" s="25">
        <v>43649</v>
      </c>
      <c r="C1351" s="26">
        <v>9</v>
      </c>
      <c r="D1351" s="7" t="s">
        <v>305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-127</v>
      </c>
    </row>
    <row r="1352" spans="1:10" hidden="1" x14ac:dyDescent="0.2">
      <c r="A1352" s="23" t="s">
        <v>2831</v>
      </c>
      <c r="B1352" s="25">
        <v>43649</v>
      </c>
      <c r="C1352" s="26">
        <v>10</v>
      </c>
      <c r="D1352" s="7" t="s">
        <v>527</v>
      </c>
      <c r="E1352" s="27">
        <v>43650</v>
      </c>
      <c r="F1352" s="28" t="s">
        <v>1208</v>
      </c>
      <c r="G1352" s="26"/>
      <c r="H1352" s="26"/>
      <c r="I1352" s="23"/>
      <c r="J1352" s="29">
        <f ca="1">ROUNDDOWN(表3[[#This Row],[日期]]-TODAY(),1)</f>
        <v>-127</v>
      </c>
    </row>
    <row r="1353" spans="1:10" hidden="1" x14ac:dyDescent="0.2">
      <c r="A1353" s="23" t="s">
        <v>985</v>
      </c>
      <c r="B1353" s="25">
        <v>43651</v>
      </c>
      <c r="C1353" s="26">
        <v>1</v>
      </c>
      <c r="D1353" s="7" t="s">
        <v>984</v>
      </c>
      <c r="E1353" s="27">
        <v>43643</v>
      </c>
      <c r="F1353" s="28" t="s">
        <v>975</v>
      </c>
      <c r="G1353" s="26"/>
      <c r="H1353" s="26"/>
      <c r="I1353" s="23"/>
      <c r="J1353" s="29">
        <f ca="1">ROUNDDOWN(表3[[#This Row],[日期]]-TODAY(),1)</f>
        <v>-134</v>
      </c>
    </row>
    <row r="1354" spans="1:10" hidden="1" x14ac:dyDescent="0.2">
      <c r="A1354" s="23" t="s">
        <v>985</v>
      </c>
      <c r="B1354" s="25">
        <v>43651</v>
      </c>
      <c r="C1354" s="26">
        <v>2</v>
      </c>
      <c r="D1354" s="7" t="s">
        <v>993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-133</v>
      </c>
    </row>
    <row r="1355" spans="1:10" hidden="1" x14ac:dyDescent="0.2">
      <c r="A1355" s="23" t="s">
        <v>985</v>
      </c>
      <c r="B1355" s="25">
        <v>43651</v>
      </c>
      <c r="C1355" s="26">
        <v>3</v>
      </c>
      <c r="D1355" s="7" t="s">
        <v>1018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-130</v>
      </c>
    </row>
    <row r="1356" spans="1:10" hidden="1" x14ac:dyDescent="0.2">
      <c r="A1356" s="23" t="s">
        <v>985</v>
      </c>
      <c r="B1356" s="25">
        <v>43651</v>
      </c>
      <c r="C1356" s="26">
        <v>4</v>
      </c>
      <c r="D1356" s="7" t="s">
        <v>1038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-131</v>
      </c>
    </row>
    <row r="1357" spans="1:10" hidden="1" x14ac:dyDescent="0.2">
      <c r="A1357" s="23" t="s">
        <v>985</v>
      </c>
      <c r="B1357" s="25">
        <v>43651</v>
      </c>
      <c r="C1357" s="26">
        <v>5</v>
      </c>
      <c r="D1357" s="7" t="s">
        <v>1040</v>
      </c>
      <c r="E1357" s="27">
        <v>43648</v>
      </c>
      <c r="F1357" s="28" t="s">
        <v>1074</v>
      </c>
      <c r="G1357" s="26"/>
      <c r="H1357" s="26"/>
      <c r="I1357" s="23"/>
      <c r="J1357" s="29">
        <f ca="1">ROUNDDOWN(表3[[#This Row],[日期]]-TODAY(),1)</f>
        <v>-129</v>
      </c>
    </row>
    <row r="1358" spans="1:10" hidden="1" x14ac:dyDescent="0.2">
      <c r="A1358" s="23" t="s">
        <v>985</v>
      </c>
      <c r="B1358" s="25">
        <v>43651</v>
      </c>
      <c r="C1358" s="26">
        <v>6</v>
      </c>
      <c r="D1358" s="7" t="s">
        <v>1056</v>
      </c>
      <c r="E1358" s="27">
        <v>43648</v>
      </c>
      <c r="F1358" s="28" t="s">
        <v>1074</v>
      </c>
      <c r="G1358" s="26"/>
      <c r="H1358" s="26"/>
      <c r="I1358" s="23"/>
      <c r="J1358" s="29">
        <f ca="1">ROUNDDOWN(表3[[#This Row],[日期]]-TODAY(),1)</f>
        <v>-129</v>
      </c>
    </row>
    <row r="1359" spans="1:10" hidden="1" x14ac:dyDescent="0.2">
      <c r="A1359" s="23" t="s">
        <v>985</v>
      </c>
      <c r="B1359" s="25">
        <v>43651</v>
      </c>
      <c r="C1359" s="26">
        <v>6.5</v>
      </c>
      <c r="D1359" s="7" t="s">
        <v>1046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-130</v>
      </c>
    </row>
    <row r="1360" spans="1:10" hidden="1" x14ac:dyDescent="0.2">
      <c r="A1360" s="23" t="s">
        <v>985</v>
      </c>
      <c r="B1360" s="25">
        <v>43651</v>
      </c>
      <c r="C1360" s="26">
        <v>7</v>
      </c>
      <c r="D1360" s="7" t="s">
        <v>1061</v>
      </c>
      <c r="E1360" s="27">
        <v>43648</v>
      </c>
      <c r="F1360" s="28" t="s">
        <v>1074</v>
      </c>
      <c r="G1360" s="26"/>
      <c r="H1360" s="26"/>
      <c r="I1360" s="23"/>
      <c r="J1360" s="29">
        <f ca="1">ROUNDDOWN(表3[[#This Row],[日期]]-TODAY(),1)</f>
        <v>-129</v>
      </c>
    </row>
    <row r="1361" spans="1:10" hidden="1" x14ac:dyDescent="0.2">
      <c r="A1361" s="23" t="s">
        <v>985</v>
      </c>
      <c r="B1361" s="25">
        <v>43651</v>
      </c>
      <c r="C1361" s="26">
        <v>8</v>
      </c>
      <c r="D1361" s="7" t="s">
        <v>1035</v>
      </c>
      <c r="E1361" s="27">
        <v>43648</v>
      </c>
      <c r="F1361" s="28" t="s">
        <v>1074</v>
      </c>
      <c r="G1361" s="26"/>
      <c r="H1361" s="26"/>
      <c r="I1361" s="23"/>
      <c r="J1361" s="29">
        <f ca="1">ROUNDDOWN(表3[[#This Row],[日期]]-TODAY(),1)</f>
        <v>-129</v>
      </c>
    </row>
    <row r="1362" spans="1:10" hidden="1" x14ac:dyDescent="0.2">
      <c r="A1362" s="23" t="s">
        <v>985</v>
      </c>
      <c r="B1362" s="25">
        <v>43651</v>
      </c>
      <c r="C1362" s="26">
        <v>9</v>
      </c>
      <c r="D1362" s="7" t="s">
        <v>1057</v>
      </c>
      <c r="E1362" s="27">
        <v>43648</v>
      </c>
      <c r="F1362" s="28" t="s">
        <v>1074</v>
      </c>
      <c r="G1362" s="26"/>
      <c r="H1362" s="26"/>
      <c r="I1362" s="23"/>
      <c r="J1362" s="29">
        <f ca="1">ROUNDDOWN(表3[[#This Row],[日期]]-TODAY(),1)</f>
        <v>-129</v>
      </c>
    </row>
    <row r="1363" spans="1:10" hidden="1" x14ac:dyDescent="0.2">
      <c r="A1363" s="23" t="s">
        <v>985</v>
      </c>
      <c r="B1363" s="25">
        <v>43651</v>
      </c>
      <c r="C1363" s="26">
        <v>10</v>
      </c>
      <c r="D1363" s="7" t="s">
        <v>1058</v>
      </c>
      <c r="E1363" s="27">
        <v>43648</v>
      </c>
      <c r="F1363" s="28" t="s">
        <v>1074</v>
      </c>
      <c r="G1363" s="26"/>
      <c r="H1363" s="26"/>
      <c r="I1363" s="23"/>
      <c r="J1363" s="29">
        <f ca="1">ROUNDDOWN(表3[[#This Row],[日期]]-TODAY(),1)</f>
        <v>-129</v>
      </c>
    </row>
    <row r="1364" spans="1:10" hidden="1" x14ac:dyDescent="0.2">
      <c r="A1364" s="23" t="s">
        <v>985</v>
      </c>
      <c r="B1364" s="25">
        <v>43651</v>
      </c>
      <c r="C1364" s="26">
        <v>11</v>
      </c>
      <c r="D1364" s="7" t="s">
        <v>1059</v>
      </c>
      <c r="E1364" s="27">
        <v>43648</v>
      </c>
      <c r="F1364" s="28" t="s">
        <v>1074</v>
      </c>
      <c r="G1364" s="26"/>
      <c r="H1364" s="26"/>
      <c r="I1364" s="23"/>
      <c r="J1364" s="29">
        <f ca="1">ROUNDDOWN(表3[[#This Row],[日期]]-TODAY(),1)</f>
        <v>-129</v>
      </c>
    </row>
    <row r="1365" spans="1:10" hidden="1" x14ac:dyDescent="0.2">
      <c r="A1365" s="23" t="s">
        <v>985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1074</v>
      </c>
      <c r="G1365" s="26"/>
      <c r="H1365" s="26"/>
      <c r="I1365" s="23"/>
      <c r="J1365" s="29">
        <f ca="1">ROUNDDOWN(表3[[#This Row],[日期]]-TODAY(),1)</f>
        <v>-129</v>
      </c>
    </row>
    <row r="1366" spans="1:10" hidden="1" x14ac:dyDescent="0.2">
      <c r="A1366" s="23" t="s">
        <v>985</v>
      </c>
      <c r="B1366" s="25">
        <v>43651</v>
      </c>
      <c r="C1366" s="26">
        <v>13</v>
      </c>
      <c r="D1366" s="7" t="s">
        <v>311</v>
      </c>
      <c r="E1366" s="27">
        <v>43648</v>
      </c>
      <c r="F1366" s="28" t="s">
        <v>1074</v>
      </c>
      <c r="G1366" s="26"/>
      <c r="H1366" s="26"/>
      <c r="I1366" s="23"/>
      <c r="J1366" s="29">
        <f ca="1">ROUNDDOWN(表3[[#This Row],[日期]]-TODAY(),1)</f>
        <v>-129</v>
      </c>
    </row>
    <row r="1367" spans="1:10" hidden="1" x14ac:dyDescent="0.2">
      <c r="A1367" s="23" t="s">
        <v>985</v>
      </c>
      <c r="B1367" s="25">
        <v>43651</v>
      </c>
      <c r="C1367" s="26">
        <v>14</v>
      </c>
      <c r="D1367" s="7" t="s">
        <v>868</v>
      </c>
      <c r="E1367" s="27">
        <v>43648</v>
      </c>
      <c r="F1367" s="28" t="s">
        <v>1074</v>
      </c>
      <c r="G1367" s="26"/>
      <c r="H1367" s="26"/>
      <c r="I1367" s="23"/>
      <c r="J1367" s="29">
        <f ca="1">ROUNDDOWN(表3[[#This Row],[日期]]-TODAY(),1)</f>
        <v>-129</v>
      </c>
    </row>
    <row r="1368" spans="1:10" hidden="1" x14ac:dyDescent="0.2">
      <c r="A1368" s="23" t="s">
        <v>985</v>
      </c>
      <c r="B1368" s="25">
        <v>43651</v>
      </c>
      <c r="C1368" s="26">
        <v>15</v>
      </c>
      <c r="D1368" s="7" t="s">
        <v>313</v>
      </c>
      <c r="E1368" s="27">
        <v>43648</v>
      </c>
      <c r="F1368" s="28" t="s">
        <v>1074</v>
      </c>
      <c r="G1368" s="26"/>
      <c r="H1368" s="26"/>
      <c r="I1368" s="23"/>
      <c r="J1368" s="29">
        <f ca="1">ROUNDDOWN(表3[[#This Row],[日期]]-TODAY(),1)</f>
        <v>-129</v>
      </c>
    </row>
    <row r="1369" spans="1:10" hidden="1" x14ac:dyDescent="0.2">
      <c r="A1369" s="23" t="s">
        <v>985</v>
      </c>
      <c r="B1369" s="25">
        <v>43651</v>
      </c>
      <c r="C1369" s="26">
        <v>15</v>
      </c>
      <c r="D1369" s="7" t="s">
        <v>273</v>
      </c>
      <c r="E1369" s="27">
        <v>43652</v>
      </c>
      <c r="F1369" s="28" t="s">
        <v>287</v>
      </c>
      <c r="G1369" s="26"/>
      <c r="H1369" s="26"/>
      <c r="I1369" s="23"/>
      <c r="J1369" s="29">
        <f ca="1">ROUNDDOWN(表3[[#This Row],[日期]]-TODAY(),1)</f>
        <v>-125</v>
      </c>
    </row>
    <row r="1370" spans="1:10" hidden="1" x14ac:dyDescent="0.2">
      <c r="A1370" s="23" t="s">
        <v>985</v>
      </c>
      <c r="B1370" s="25">
        <v>43651</v>
      </c>
      <c r="C1370" s="26">
        <v>16</v>
      </c>
      <c r="D1370" s="7" t="s">
        <v>275</v>
      </c>
      <c r="E1370" s="27">
        <v>43653</v>
      </c>
      <c r="F1370" s="28" t="s">
        <v>287</v>
      </c>
      <c r="G1370" s="26"/>
      <c r="H1370" s="26"/>
      <c r="I1370" s="23"/>
      <c r="J1370" s="29">
        <f ca="1">ROUNDDOWN(表3[[#This Row],[日期]]-TODAY(),1)</f>
        <v>-124</v>
      </c>
    </row>
    <row r="1371" spans="1:10" hidden="1" x14ac:dyDescent="0.2">
      <c r="A1371" s="23" t="s">
        <v>985</v>
      </c>
      <c r="B1371" s="25">
        <v>43651</v>
      </c>
      <c r="C1371" s="26">
        <v>16</v>
      </c>
      <c r="D1371" s="7" t="s">
        <v>271</v>
      </c>
      <c r="E1371" s="27">
        <v>43648</v>
      </c>
      <c r="F1371" s="28" t="s">
        <v>287</v>
      </c>
      <c r="G1371" s="26"/>
      <c r="H1371" s="26"/>
      <c r="I1371" s="23"/>
      <c r="J1371" s="29">
        <f ca="1">ROUNDDOWN(表3[[#This Row],[日期]]-TODAY(),1)</f>
        <v>-129</v>
      </c>
    </row>
    <row r="1372" spans="1:10" hidden="1" x14ac:dyDescent="0.2">
      <c r="A1372" s="23" t="s">
        <v>985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287</v>
      </c>
      <c r="G1372" s="26"/>
      <c r="H1372" s="26"/>
      <c r="I1372" s="23"/>
      <c r="J1372" s="29">
        <f ca="1">ROUNDDOWN(表3[[#This Row],[日期]]-TODAY(),1)</f>
        <v>-123</v>
      </c>
    </row>
    <row r="1373" spans="1:10" hidden="1" x14ac:dyDescent="0.2">
      <c r="A1373" s="23" t="s">
        <v>985</v>
      </c>
      <c r="B1373" s="25">
        <v>43651</v>
      </c>
      <c r="C1373" s="26">
        <v>18</v>
      </c>
      <c r="D1373" s="7" t="s">
        <v>305</v>
      </c>
      <c r="E1373" s="27">
        <v>43654</v>
      </c>
      <c r="F1373" s="28" t="s">
        <v>287</v>
      </c>
      <c r="G1373" s="26"/>
      <c r="H1373" s="26"/>
      <c r="I1373" s="23"/>
      <c r="J1373" s="29">
        <f ca="1">ROUNDDOWN(表3[[#This Row],[日期]]-TODAY(),1)</f>
        <v>-123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927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-137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-136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942</v>
      </c>
      <c r="G1376" s="26"/>
      <c r="H1376" s="26"/>
      <c r="I1376" s="23"/>
      <c r="J1376" s="29">
        <f ca="1">ROUNDDOWN(表3[[#This Row],[日期]]-TODAY(),1)</f>
        <v>-136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942</v>
      </c>
      <c r="G1377" s="26"/>
      <c r="H1377" s="26"/>
      <c r="I1377" s="23"/>
      <c r="J1377" s="29">
        <f ca="1">ROUNDDOWN(表3[[#This Row],[日期]]-TODAY(),1)</f>
        <v>-136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942</v>
      </c>
      <c r="G1378" s="26"/>
      <c r="H1378" s="26"/>
      <c r="I1378" s="23"/>
      <c r="J1378" s="29">
        <f ca="1">ROUNDDOWN(表3[[#This Row],[日期]]-TODAY(),1)</f>
        <v>-136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942</v>
      </c>
      <c r="G1379" s="26"/>
      <c r="H1379" s="26"/>
      <c r="I1379" s="23"/>
      <c r="J1379" s="29">
        <f ca="1">ROUNDDOWN(表3[[#This Row],[日期]]-TODAY(),1)</f>
        <v>-136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942</v>
      </c>
      <c r="G1380" s="26"/>
      <c r="H1380" s="26"/>
      <c r="I1380" s="23" t="s">
        <v>30</v>
      </c>
      <c r="J1380" s="29">
        <f ca="1">ROUNDDOWN(表3[[#This Row],[日期]]-TODAY(),1)</f>
        <v>-136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942</v>
      </c>
      <c r="G1381" s="26"/>
      <c r="H1381" s="26"/>
      <c r="I1381" s="23"/>
      <c r="J1381" s="29">
        <f ca="1">ROUNDDOWN(表3[[#This Row],[日期]]-TODAY(),1)</f>
        <v>-136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928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-130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-130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-130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-130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-130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-130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-130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-130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929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-129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-129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-129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930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-129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-129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931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-129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759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-129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-129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-128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-128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-129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-129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-129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-129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932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-129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933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-129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941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-129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-129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-129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1023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-128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-128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-128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-127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-125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934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-127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305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-125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1223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-123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2802</v>
      </c>
      <c r="E1417" s="39">
        <v>43728</v>
      </c>
      <c r="F1417" s="40" t="s">
        <v>2801</v>
      </c>
      <c r="G1417" s="12"/>
      <c r="H1417" s="12"/>
      <c r="J1417" s="41">
        <f ca="1">ROUNDDOWN(表3[[#This Row],[日期]]-TODAY(),1)</f>
        <v>-49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2948</v>
      </c>
      <c r="E1418" s="39">
        <v>43737</v>
      </c>
      <c r="F1418" s="40" t="s">
        <v>242</v>
      </c>
      <c r="G1418" s="12"/>
      <c r="H1418" s="12" t="s">
        <v>2861</v>
      </c>
      <c r="J1418" s="41">
        <f ca="1">ROUNDDOWN(表3[[#This Row],[日期]]-TODAY(),1)</f>
        <v>-40</v>
      </c>
    </row>
    <row r="1419" spans="1:10" hidden="1" x14ac:dyDescent="0.2">
      <c r="A1419" s="23" t="s">
        <v>702</v>
      </c>
      <c r="B1419" s="25">
        <v>43653</v>
      </c>
      <c r="C1419" s="26">
        <v>1</v>
      </c>
      <c r="D1419" s="7" t="s">
        <v>706</v>
      </c>
      <c r="E1419" s="27">
        <v>43630</v>
      </c>
      <c r="F1419" s="28" t="s">
        <v>713</v>
      </c>
      <c r="G1419" s="26"/>
      <c r="H1419" s="26"/>
      <c r="I1419" s="23"/>
      <c r="J1419" s="29">
        <f ca="1">ROUNDDOWN(表3[[#This Row],[日期]]-TODAY(),1)</f>
        <v>-147</v>
      </c>
    </row>
    <row r="1420" spans="1:10" hidden="1" x14ac:dyDescent="0.2">
      <c r="A1420" s="23" t="s">
        <v>702</v>
      </c>
      <c r="B1420" s="25">
        <v>43653</v>
      </c>
      <c r="C1420" s="26">
        <v>2</v>
      </c>
      <c r="D1420" s="7" t="s">
        <v>707</v>
      </c>
      <c r="E1420" s="27">
        <v>43630</v>
      </c>
      <c r="F1420" s="28" t="s">
        <v>713</v>
      </c>
      <c r="G1420" s="26"/>
      <c r="H1420" s="26"/>
      <c r="I1420" s="23"/>
      <c r="J1420" s="29">
        <f ca="1">ROUNDDOWN(表3[[#This Row],[日期]]-TODAY(),1)</f>
        <v>-147</v>
      </c>
    </row>
    <row r="1421" spans="1:10" hidden="1" x14ac:dyDescent="0.2">
      <c r="A1421" s="23" t="s">
        <v>702</v>
      </c>
      <c r="B1421" s="25">
        <v>43653</v>
      </c>
      <c r="C1421" s="26">
        <v>3</v>
      </c>
      <c r="D1421" s="7" t="s">
        <v>708</v>
      </c>
      <c r="E1421" s="27">
        <v>43633</v>
      </c>
      <c r="F1421" s="28" t="s">
        <v>242</v>
      </c>
      <c r="G1421" s="26"/>
      <c r="H1421" s="26"/>
      <c r="I1421" s="23" t="s">
        <v>1052</v>
      </c>
      <c r="J1421" s="29">
        <f ca="1">ROUNDDOWN(表3[[#This Row],[日期]]-TODAY(),1)</f>
        <v>-144</v>
      </c>
    </row>
    <row r="1422" spans="1:10" hidden="1" x14ac:dyDescent="0.2">
      <c r="A1422" s="23" t="s">
        <v>702</v>
      </c>
      <c r="B1422" s="25">
        <v>43653</v>
      </c>
      <c r="C1422" s="26">
        <v>4</v>
      </c>
      <c r="D1422" s="7" t="s">
        <v>701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-130</v>
      </c>
    </row>
    <row r="1423" spans="1:10" hidden="1" x14ac:dyDescent="0.2">
      <c r="A1423" s="23" t="s">
        <v>702</v>
      </c>
      <c r="B1423" s="25">
        <v>43653</v>
      </c>
      <c r="C1423" s="26">
        <v>5</v>
      </c>
      <c r="D1423" s="7" t="s">
        <v>710</v>
      </c>
      <c r="E1423" s="27">
        <v>43647</v>
      </c>
      <c r="F1423" s="28" t="s">
        <v>242</v>
      </c>
      <c r="G1423" s="26"/>
      <c r="H1423" s="26"/>
      <c r="I1423" s="23" t="s">
        <v>1051</v>
      </c>
      <c r="J1423" s="29">
        <f ca="1">ROUNDDOWN(表3[[#This Row],[日期]]-TODAY(),1)</f>
        <v>-130</v>
      </c>
    </row>
    <row r="1424" spans="1:10" hidden="1" x14ac:dyDescent="0.2">
      <c r="A1424" s="23" t="s">
        <v>702</v>
      </c>
      <c r="B1424" s="25">
        <v>43653</v>
      </c>
      <c r="C1424" s="26">
        <v>7</v>
      </c>
      <c r="D1424" s="7" t="s">
        <v>715</v>
      </c>
      <c r="E1424" s="27">
        <v>43651</v>
      </c>
      <c r="F1424" s="28" t="s">
        <v>1184</v>
      </c>
      <c r="G1424" s="26"/>
      <c r="H1424" s="26"/>
      <c r="I1424" s="23" t="s">
        <v>714</v>
      </c>
      <c r="J1424" s="29">
        <f ca="1">ROUNDDOWN(表3[[#This Row],[日期]]-TODAY(),1)</f>
        <v>-126</v>
      </c>
    </row>
    <row r="1425" spans="1:10" hidden="1" x14ac:dyDescent="0.2">
      <c r="A1425" s="23" t="s">
        <v>702</v>
      </c>
      <c r="B1425" s="25">
        <v>43653</v>
      </c>
      <c r="C1425" s="26">
        <v>8</v>
      </c>
      <c r="D1425" s="7" t="s">
        <v>716</v>
      </c>
      <c r="E1425" s="27">
        <v>43651</v>
      </c>
      <c r="F1425" s="28" t="s">
        <v>1184</v>
      </c>
      <c r="G1425" s="26"/>
      <c r="H1425" s="26"/>
      <c r="I1425" s="23" t="s">
        <v>714</v>
      </c>
      <c r="J1425" s="29">
        <f ca="1">ROUNDDOWN(表3[[#This Row],[日期]]-TODAY(),1)</f>
        <v>-126</v>
      </c>
    </row>
    <row r="1426" spans="1:10" hidden="1" x14ac:dyDescent="0.2">
      <c r="A1426" s="23" t="s">
        <v>702</v>
      </c>
      <c r="B1426" s="25">
        <v>43653</v>
      </c>
      <c r="C1426" s="26">
        <v>9</v>
      </c>
      <c r="D1426" s="7" t="s">
        <v>703</v>
      </c>
      <c r="E1426" s="27">
        <v>43651</v>
      </c>
      <c r="F1426" s="28" t="s">
        <v>1184</v>
      </c>
      <c r="G1426" s="26"/>
      <c r="H1426" s="26"/>
      <c r="I1426" s="23" t="s">
        <v>714</v>
      </c>
      <c r="J1426" s="29">
        <f ca="1">ROUNDDOWN(表3[[#This Row],[日期]]-TODAY(),1)</f>
        <v>-126</v>
      </c>
    </row>
    <row r="1427" spans="1:10" hidden="1" x14ac:dyDescent="0.2">
      <c r="A1427" s="23" t="s">
        <v>702</v>
      </c>
      <c r="B1427" s="25">
        <v>43653</v>
      </c>
      <c r="C1427" s="26">
        <v>10</v>
      </c>
      <c r="D1427" s="7" t="s">
        <v>704</v>
      </c>
      <c r="E1427" s="27">
        <v>43651</v>
      </c>
      <c r="F1427" s="28" t="s">
        <v>1184</v>
      </c>
      <c r="G1427" s="26"/>
      <c r="H1427" s="26"/>
      <c r="I1427" s="23" t="s">
        <v>714</v>
      </c>
      <c r="J1427" s="29">
        <f ca="1">ROUNDDOWN(表3[[#This Row],[日期]]-TODAY(),1)</f>
        <v>-126</v>
      </c>
    </row>
    <row r="1428" spans="1:10" hidden="1" x14ac:dyDescent="0.2">
      <c r="A1428" s="23" t="s">
        <v>702</v>
      </c>
      <c r="B1428" s="25">
        <v>43653</v>
      </c>
      <c r="C1428" s="26">
        <v>11</v>
      </c>
      <c r="D1428" s="7" t="s">
        <v>1343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-121</v>
      </c>
    </row>
    <row r="1429" spans="1:10" hidden="1" x14ac:dyDescent="0.2">
      <c r="A1429" s="23" t="s">
        <v>702</v>
      </c>
      <c r="B1429" s="25">
        <v>43653</v>
      </c>
      <c r="C1429" s="26">
        <v>12</v>
      </c>
      <c r="D1429" s="7" t="s">
        <v>717</v>
      </c>
      <c r="E1429" s="27">
        <v>43657</v>
      </c>
      <c r="F1429" s="28" t="s">
        <v>1184</v>
      </c>
      <c r="G1429" s="26"/>
      <c r="H1429" s="26"/>
      <c r="I1429" s="23" t="s">
        <v>714</v>
      </c>
      <c r="J1429" s="29">
        <f ca="1">ROUNDDOWN(表3[[#This Row],[日期]]-TODAY(),1)</f>
        <v>-120</v>
      </c>
    </row>
    <row r="1430" spans="1:10" hidden="1" x14ac:dyDescent="0.2">
      <c r="A1430" s="23" t="s">
        <v>702</v>
      </c>
      <c r="B1430" s="25">
        <v>43653</v>
      </c>
      <c r="C1430" s="26">
        <v>13</v>
      </c>
      <c r="D1430" s="7" t="s">
        <v>1345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-120</v>
      </c>
    </row>
    <row r="1431" spans="1:10" hidden="1" x14ac:dyDescent="0.2">
      <c r="A1431" s="23" t="s">
        <v>1439</v>
      </c>
      <c r="B1431" s="25">
        <v>43653</v>
      </c>
      <c r="C1431" s="26">
        <v>14</v>
      </c>
      <c r="D1431" s="7" t="s">
        <v>1464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-119</v>
      </c>
    </row>
    <row r="1432" spans="1:10" hidden="1" x14ac:dyDescent="0.2">
      <c r="A1432" s="23" t="s">
        <v>700</v>
      </c>
      <c r="B1432" s="25">
        <v>43653</v>
      </c>
      <c r="C1432" s="26">
        <v>15</v>
      </c>
      <c r="D1432" s="7" t="s">
        <v>1465</v>
      </c>
      <c r="E1432" s="27">
        <v>43661</v>
      </c>
      <c r="F1432" s="28" t="s">
        <v>1184</v>
      </c>
      <c r="G1432" s="26"/>
      <c r="H1432" s="26"/>
      <c r="I1432" s="23"/>
      <c r="J1432" s="29">
        <f ca="1">ROUNDDOWN(表3[[#This Row],[日期]]-TODAY(),1)</f>
        <v>-116</v>
      </c>
    </row>
    <row r="1433" spans="1:10" hidden="1" x14ac:dyDescent="0.2">
      <c r="A1433" s="23" t="s">
        <v>702</v>
      </c>
      <c r="B1433" s="25">
        <v>43653</v>
      </c>
      <c r="C1433" s="26">
        <v>16</v>
      </c>
      <c r="D1433" s="7" t="s">
        <v>1274</v>
      </c>
      <c r="E1433" s="27">
        <v>43661</v>
      </c>
      <c r="F1433" s="28" t="s">
        <v>1184</v>
      </c>
      <c r="G1433" s="26"/>
      <c r="H1433" s="26"/>
      <c r="I1433" s="23"/>
      <c r="J1433" s="29">
        <f ca="1">ROUNDDOWN(表3[[#This Row],[日期]]-TODAY(),1)</f>
        <v>-116</v>
      </c>
    </row>
    <row r="1434" spans="1:10" hidden="1" x14ac:dyDescent="0.2">
      <c r="A1434" s="23" t="s">
        <v>702</v>
      </c>
      <c r="B1434" s="25">
        <v>43653</v>
      </c>
      <c r="C1434" s="26">
        <v>17</v>
      </c>
      <c r="D1434" s="7" t="s">
        <v>1199</v>
      </c>
      <c r="E1434" s="27">
        <v>43659</v>
      </c>
      <c r="F1434" s="28" t="s">
        <v>242</v>
      </c>
      <c r="G1434" s="26"/>
      <c r="H1434" s="26"/>
      <c r="I1434" s="23" t="s">
        <v>1280</v>
      </c>
      <c r="J1434" s="29">
        <f ca="1">ROUNDDOWN(表3[[#This Row],[日期]]-TODAY(),1)</f>
        <v>-118</v>
      </c>
    </row>
    <row r="1435" spans="1:10" hidden="1" x14ac:dyDescent="0.2">
      <c r="A1435" s="23" t="s">
        <v>702</v>
      </c>
      <c r="B1435" s="25">
        <v>43653</v>
      </c>
      <c r="C1435" s="26">
        <v>18</v>
      </c>
      <c r="D1435" s="7" t="s">
        <v>1200</v>
      </c>
      <c r="E1435" s="27">
        <v>43661</v>
      </c>
      <c r="F1435" s="28" t="s">
        <v>242</v>
      </c>
      <c r="G1435" s="26">
        <v>4</v>
      </c>
      <c r="H1435" s="26"/>
      <c r="I1435" s="23" t="s">
        <v>1280</v>
      </c>
      <c r="J1435" s="29">
        <f ca="1">ROUNDDOWN(表3[[#This Row],[日期]]-TODAY(),1)</f>
        <v>-116</v>
      </c>
    </row>
    <row r="1436" spans="1:10" hidden="1" x14ac:dyDescent="0.2">
      <c r="A1436" s="23" t="s">
        <v>702</v>
      </c>
      <c r="B1436" s="25">
        <v>43653</v>
      </c>
      <c r="C1436" s="26">
        <v>19</v>
      </c>
      <c r="D1436" s="7" t="s">
        <v>1201</v>
      </c>
      <c r="E1436" s="27">
        <v>43662</v>
      </c>
      <c r="F1436" s="28" t="s">
        <v>242</v>
      </c>
      <c r="G1436" s="26">
        <v>0</v>
      </c>
      <c r="H1436" s="26"/>
      <c r="I1436" s="23" t="s">
        <v>1280</v>
      </c>
      <c r="J1436" s="29">
        <f ca="1">ROUNDDOWN(表3[[#This Row],[日期]]-TODAY(),1)</f>
        <v>-115</v>
      </c>
    </row>
    <row r="1437" spans="1:10" hidden="1" x14ac:dyDescent="0.2">
      <c r="A1437" s="23" t="s">
        <v>702</v>
      </c>
      <c r="B1437" s="25">
        <v>43653</v>
      </c>
      <c r="C1437" s="26">
        <v>20</v>
      </c>
      <c r="D1437" s="7" t="s">
        <v>1685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-105</v>
      </c>
    </row>
    <row r="1438" spans="1:10" hidden="1" x14ac:dyDescent="0.2">
      <c r="A1438" s="23" t="s">
        <v>702</v>
      </c>
      <c r="B1438" s="25">
        <v>43653</v>
      </c>
      <c r="C1438" s="12">
        <v>21</v>
      </c>
      <c r="D1438" s="38" t="s">
        <v>1686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-105</v>
      </c>
    </row>
    <row r="1439" spans="1:10" hidden="1" x14ac:dyDescent="0.2">
      <c r="A1439" s="23" t="s">
        <v>702</v>
      </c>
      <c r="B1439" s="25">
        <v>43653</v>
      </c>
      <c r="C1439" s="12">
        <v>22</v>
      </c>
      <c r="D1439" s="38" t="s">
        <v>1888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-101</v>
      </c>
    </row>
    <row r="1440" spans="1:10" hidden="1" x14ac:dyDescent="0.2">
      <c r="A1440" s="23" t="s">
        <v>2831</v>
      </c>
      <c r="B1440" s="25">
        <v>43653</v>
      </c>
      <c r="C1440" s="26">
        <v>1</v>
      </c>
      <c r="D1440" s="7" t="s">
        <v>507</v>
      </c>
      <c r="E1440" s="27">
        <v>43650</v>
      </c>
      <c r="F1440" s="28" t="s">
        <v>1143</v>
      </c>
      <c r="G1440" s="26"/>
      <c r="H1440" s="26"/>
      <c r="I1440" s="23"/>
      <c r="J1440" s="29">
        <f ca="1">ROUNDDOWN(表3[[#This Row],[日期]]-TODAY(),1)</f>
        <v>-127</v>
      </c>
    </row>
    <row r="1441" spans="1:10" hidden="1" x14ac:dyDescent="0.2">
      <c r="A1441" s="23" t="s">
        <v>2831</v>
      </c>
      <c r="B1441" s="25">
        <v>43653</v>
      </c>
      <c r="C1441" s="26">
        <v>2</v>
      </c>
      <c r="D1441" s="7" t="s">
        <v>510</v>
      </c>
      <c r="E1441" s="27">
        <v>43650</v>
      </c>
      <c r="F1441" s="28" t="s">
        <v>1143</v>
      </c>
      <c r="G1441" s="26"/>
      <c r="H1441" s="26"/>
      <c r="I1441" s="23"/>
      <c r="J1441" s="29">
        <f ca="1">ROUNDDOWN(表3[[#This Row],[日期]]-TODAY(),1)</f>
        <v>-127</v>
      </c>
    </row>
    <row r="1442" spans="1:10" hidden="1" x14ac:dyDescent="0.2">
      <c r="A1442" s="23" t="s">
        <v>2831</v>
      </c>
      <c r="B1442" s="25">
        <v>43653</v>
      </c>
      <c r="C1442" s="26">
        <v>3</v>
      </c>
      <c r="D1442" s="7" t="s">
        <v>977</v>
      </c>
      <c r="E1442" s="27">
        <v>43650</v>
      </c>
      <c r="F1442" s="28" t="s">
        <v>1143</v>
      </c>
      <c r="G1442" s="26"/>
      <c r="H1442" s="26"/>
      <c r="I1442" s="23"/>
      <c r="J1442" s="29">
        <f ca="1">ROUNDDOWN(表3[[#This Row],[日期]]-TODAY(),1)</f>
        <v>-127</v>
      </c>
    </row>
    <row r="1443" spans="1:10" hidden="1" x14ac:dyDescent="0.2">
      <c r="A1443" s="23" t="s">
        <v>2831</v>
      </c>
      <c r="B1443" s="25">
        <v>43653</v>
      </c>
      <c r="C1443" s="26">
        <v>4</v>
      </c>
      <c r="D1443" s="7" t="s">
        <v>514</v>
      </c>
      <c r="E1443" s="27">
        <v>43650</v>
      </c>
      <c r="F1443" s="28" t="s">
        <v>1143</v>
      </c>
      <c r="G1443" s="26"/>
      <c r="H1443" s="26"/>
      <c r="I1443" s="23"/>
      <c r="J1443" s="29">
        <f ca="1">ROUNDDOWN(表3[[#This Row],[日期]]-TODAY(),1)</f>
        <v>-127</v>
      </c>
    </row>
    <row r="1444" spans="1:10" hidden="1" x14ac:dyDescent="0.2">
      <c r="A1444" s="23" t="s">
        <v>2831</v>
      </c>
      <c r="B1444" s="25">
        <v>43653</v>
      </c>
      <c r="C1444" s="26">
        <v>5</v>
      </c>
      <c r="D1444" s="7" t="s">
        <v>517</v>
      </c>
      <c r="E1444" s="27">
        <v>43650</v>
      </c>
      <c r="F1444" s="28" t="s">
        <v>1143</v>
      </c>
      <c r="G1444" s="26"/>
      <c r="H1444" s="26"/>
      <c r="I1444" s="23"/>
      <c r="J1444" s="29">
        <f ca="1">ROUNDDOWN(表3[[#This Row],[日期]]-TODAY(),1)</f>
        <v>-127</v>
      </c>
    </row>
    <row r="1445" spans="1:10" hidden="1" x14ac:dyDescent="0.2">
      <c r="A1445" s="23" t="s">
        <v>2831</v>
      </c>
      <c r="B1445" s="25">
        <v>43653</v>
      </c>
      <c r="C1445" s="26">
        <v>6</v>
      </c>
      <c r="D1445" s="7" t="s">
        <v>519</v>
      </c>
      <c r="E1445" s="27">
        <v>43651</v>
      </c>
      <c r="F1445" s="28" t="s">
        <v>242</v>
      </c>
      <c r="G1445" s="26"/>
      <c r="H1445" s="26"/>
      <c r="I1445" s="23" t="s">
        <v>529</v>
      </c>
      <c r="J1445" s="29">
        <f ca="1">ROUNDDOWN(表3[[#This Row],[日期]]-TODAY(),1)</f>
        <v>-126</v>
      </c>
    </row>
    <row r="1446" spans="1:10" hidden="1" x14ac:dyDescent="0.2">
      <c r="A1446" s="23" t="s">
        <v>2831</v>
      </c>
      <c r="B1446" s="25">
        <v>43653</v>
      </c>
      <c r="C1446" s="26">
        <v>7</v>
      </c>
      <c r="D1446" s="7" t="s">
        <v>978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-126</v>
      </c>
    </row>
    <row r="1447" spans="1:10" hidden="1" x14ac:dyDescent="0.2">
      <c r="A1447" s="23" t="s">
        <v>2831</v>
      </c>
      <c r="B1447" s="25">
        <v>43653</v>
      </c>
      <c r="C1447" s="26">
        <v>8</v>
      </c>
      <c r="D1447" s="7" t="s">
        <v>523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-126</v>
      </c>
    </row>
    <row r="1448" spans="1:10" hidden="1" x14ac:dyDescent="0.2">
      <c r="A1448" s="23" t="s">
        <v>2831</v>
      </c>
      <c r="B1448" s="25">
        <v>43653</v>
      </c>
      <c r="C1448" s="26">
        <v>9</v>
      </c>
      <c r="D1448" s="7" t="s">
        <v>305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-123</v>
      </c>
    </row>
    <row r="1449" spans="1:10" hidden="1" x14ac:dyDescent="0.2">
      <c r="A1449" s="23" t="s">
        <v>2831</v>
      </c>
      <c r="B1449" s="25">
        <v>43653</v>
      </c>
      <c r="C1449" s="26">
        <v>10</v>
      </c>
      <c r="D1449" s="7" t="s">
        <v>527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-123</v>
      </c>
    </row>
    <row r="1450" spans="1:10" hidden="1" x14ac:dyDescent="0.2">
      <c r="A1450" s="23" t="s">
        <v>1013</v>
      </c>
      <c r="B1450" s="25">
        <v>43654</v>
      </c>
      <c r="C1450" s="26">
        <v>1</v>
      </c>
      <c r="D1450" s="7" t="s">
        <v>984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-136</v>
      </c>
    </row>
    <row r="1451" spans="1:10" hidden="1" x14ac:dyDescent="0.2">
      <c r="A1451" s="23" t="s">
        <v>985</v>
      </c>
      <c r="B1451" s="25">
        <v>43654</v>
      </c>
      <c r="C1451" s="26">
        <v>2</v>
      </c>
      <c r="D1451" s="7" t="s">
        <v>695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-136</v>
      </c>
    </row>
    <row r="1452" spans="1:10" hidden="1" x14ac:dyDescent="0.2">
      <c r="A1452" s="23" t="s">
        <v>985</v>
      </c>
      <c r="B1452" s="25">
        <v>43654</v>
      </c>
      <c r="C1452" s="26">
        <v>3</v>
      </c>
      <c r="D1452" s="7" t="s">
        <v>1039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-131</v>
      </c>
    </row>
    <row r="1453" spans="1:10" hidden="1" x14ac:dyDescent="0.2">
      <c r="A1453" s="23" t="s">
        <v>985</v>
      </c>
      <c r="B1453" s="25">
        <v>43654</v>
      </c>
      <c r="C1453" s="26">
        <v>4</v>
      </c>
      <c r="D1453" s="7" t="s">
        <v>1041</v>
      </c>
      <c r="E1453" s="27">
        <v>43650</v>
      </c>
      <c r="F1453" s="28" t="s">
        <v>1184</v>
      </c>
      <c r="G1453" s="26"/>
      <c r="H1453" s="26"/>
      <c r="I1453" s="23"/>
      <c r="J1453" s="29">
        <f ca="1">ROUNDDOWN(表3[[#This Row],[日期]]-TODAY(),1)</f>
        <v>-127</v>
      </c>
    </row>
    <row r="1454" spans="1:10" hidden="1" x14ac:dyDescent="0.2">
      <c r="A1454" s="23" t="s">
        <v>985</v>
      </c>
      <c r="B1454" s="25">
        <v>43654</v>
      </c>
      <c r="C1454" s="26">
        <v>5</v>
      </c>
      <c r="D1454" s="7" t="s">
        <v>1056</v>
      </c>
      <c r="E1454" s="27">
        <v>43650</v>
      </c>
      <c r="F1454" s="28" t="s">
        <v>1184</v>
      </c>
      <c r="G1454" s="26"/>
      <c r="H1454" s="26"/>
      <c r="I1454" s="23"/>
      <c r="J1454" s="29">
        <f ca="1">ROUNDDOWN(表3[[#This Row],[日期]]-TODAY(),1)</f>
        <v>-127</v>
      </c>
    </row>
    <row r="1455" spans="1:10" hidden="1" x14ac:dyDescent="0.2">
      <c r="A1455" s="23" t="s">
        <v>985</v>
      </c>
      <c r="B1455" s="25">
        <v>43654</v>
      </c>
      <c r="C1455" s="26">
        <v>5.0999999999999996</v>
      </c>
      <c r="D1455" s="7" t="s">
        <v>1046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-130</v>
      </c>
    </row>
    <row r="1456" spans="1:10" hidden="1" x14ac:dyDescent="0.2">
      <c r="A1456" s="23" t="s">
        <v>985</v>
      </c>
      <c r="B1456" s="25">
        <v>43654</v>
      </c>
      <c r="C1456" s="26">
        <v>6</v>
      </c>
      <c r="D1456" s="7" t="s">
        <v>1035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-127</v>
      </c>
    </row>
    <row r="1457" spans="1:10" hidden="1" x14ac:dyDescent="0.2">
      <c r="A1457" s="23" t="s">
        <v>985</v>
      </c>
      <c r="B1457" s="25">
        <v>43654</v>
      </c>
      <c r="C1457" s="26">
        <v>7</v>
      </c>
      <c r="D1457" s="7" t="s">
        <v>1139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-128</v>
      </c>
    </row>
    <row r="1458" spans="1:10" hidden="1" x14ac:dyDescent="0.2">
      <c r="A1458" s="23" t="s">
        <v>985</v>
      </c>
      <c r="B1458" s="25">
        <v>43654</v>
      </c>
      <c r="C1458" s="26">
        <v>7.1</v>
      </c>
      <c r="D1458" s="7" t="s">
        <v>1142</v>
      </c>
      <c r="E1458" s="27">
        <v>43649</v>
      </c>
      <c r="F1458" s="28" t="s">
        <v>1143</v>
      </c>
      <c r="G1458" s="26"/>
      <c r="H1458" s="26"/>
      <c r="I1458" s="23"/>
      <c r="J1458" s="29">
        <f ca="1">ROUNDDOWN(表3[[#This Row],[日期]]-TODAY(),1)</f>
        <v>-128</v>
      </c>
    </row>
    <row r="1459" spans="1:10" hidden="1" x14ac:dyDescent="0.2">
      <c r="A1459" s="23" t="s">
        <v>985</v>
      </c>
      <c r="B1459" s="25">
        <v>43654</v>
      </c>
      <c r="C1459" s="26">
        <v>8</v>
      </c>
      <c r="D1459" s="7" t="s">
        <v>1140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-127</v>
      </c>
    </row>
    <row r="1460" spans="1:10" hidden="1" x14ac:dyDescent="0.2">
      <c r="A1460" s="23" t="s">
        <v>985</v>
      </c>
      <c r="B1460" s="25">
        <v>43654</v>
      </c>
      <c r="C1460" s="26">
        <v>9</v>
      </c>
      <c r="D1460" s="7" t="s">
        <v>1060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-127</v>
      </c>
    </row>
    <row r="1461" spans="1:10" hidden="1" x14ac:dyDescent="0.2">
      <c r="A1461" s="23" t="s">
        <v>985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-127</v>
      </c>
    </row>
    <row r="1462" spans="1:10" hidden="1" x14ac:dyDescent="0.2">
      <c r="A1462" s="23" t="s">
        <v>985</v>
      </c>
      <c r="B1462" s="25">
        <v>43654</v>
      </c>
      <c r="C1462" s="26">
        <v>11</v>
      </c>
      <c r="D1462" s="7" t="s">
        <v>1144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-127</v>
      </c>
    </row>
    <row r="1463" spans="1:10" hidden="1" x14ac:dyDescent="0.2">
      <c r="A1463" s="23" t="s">
        <v>985</v>
      </c>
      <c r="B1463" s="25">
        <v>43654</v>
      </c>
      <c r="C1463" s="26">
        <v>12</v>
      </c>
      <c r="D1463" s="7" t="s">
        <v>868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-127</v>
      </c>
    </row>
    <row r="1464" spans="1:10" hidden="1" x14ac:dyDescent="0.2">
      <c r="A1464" s="23" t="s">
        <v>985</v>
      </c>
      <c r="B1464" s="25">
        <v>43654</v>
      </c>
      <c r="C1464" s="26">
        <v>13</v>
      </c>
      <c r="D1464" s="7" t="s">
        <v>313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-127</v>
      </c>
    </row>
    <row r="1465" spans="1:10" hidden="1" x14ac:dyDescent="0.2">
      <c r="A1465" s="23" t="s">
        <v>985</v>
      </c>
      <c r="B1465" s="25">
        <v>43654</v>
      </c>
      <c r="C1465" s="26">
        <v>14</v>
      </c>
      <c r="D1465" s="7" t="s">
        <v>271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-127</v>
      </c>
    </row>
    <row r="1466" spans="1:10" hidden="1" x14ac:dyDescent="0.2">
      <c r="A1466" s="23" t="s">
        <v>985</v>
      </c>
      <c r="B1466" s="25">
        <v>43654</v>
      </c>
      <c r="C1466" s="26">
        <v>15</v>
      </c>
      <c r="D1466" s="7" t="s">
        <v>273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-126</v>
      </c>
    </row>
    <row r="1467" spans="1:10" hidden="1" x14ac:dyDescent="0.2">
      <c r="A1467" s="23" t="s">
        <v>985</v>
      </c>
      <c r="B1467" s="25">
        <v>43654</v>
      </c>
      <c r="C1467" s="26">
        <v>16</v>
      </c>
      <c r="D1467" s="7" t="s">
        <v>275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-125</v>
      </c>
    </row>
    <row r="1468" spans="1:10" hidden="1" x14ac:dyDescent="0.2">
      <c r="A1468" s="23" t="s">
        <v>985</v>
      </c>
      <c r="B1468" s="25">
        <v>43654</v>
      </c>
      <c r="C1468" s="26">
        <v>17</v>
      </c>
      <c r="D1468" s="7" t="s">
        <v>1276</v>
      </c>
      <c r="E1468" s="27">
        <v>43665</v>
      </c>
      <c r="F1468" s="28" t="s">
        <v>1184</v>
      </c>
      <c r="G1468" s="26"/>
      <c r="H1468" s="26"/>
      <c r="I1468" s="23" t="s">
        <v>1438</v>
      </c>
      <c r="J1468" s="29">
        <f ca="1">ROUNDDOWN(表3[[#This Row],[日期]]-TODAY(),1)</f>
        <v>-112</v>
      </c>
    </row>
    <row r="1469" spans="1:10" hidden="1" x14ac:dyDescent="0.2">
      <c r="A1469" s="23" t="s">
        <v>985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-106</v>
      </c>
    </row>
    <row r="1470" spans="1:10" hidden="1" x14ac:dyDescent="0.2">
      <c r="A1470" s="23" t="s">
        <v>985</v>
      </c>
      <c r="B1470" s="25">
        <v>43654</v>
      </c>
      <c r="C1470" s="26">
        <v>19</v>
      </c>
      <c r="D1470" s="7" t="s">
        <v>305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-124</v>
      </c>
    </row>
    <row r="1471" spans="1:10" hidden="1" x14ac:dyDescent="0.2">
      <c r="A1471" s="23" t="s">
        <v>985</v>
      </c>
      <c r="B1471" s="25">
        <v>43654</v>
      </c>
      <c r="C1471" s="26">
        <v>20</v>
      </c>
      <c r="D1471" s="7" t="s">
        <v>1277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-121</v>
      </c>
    </row>
    <row r="1472" spans="1:10" hidden="1" x14ac:dyDescent="0.2">
      <c r="A1472" s="23" t="s">
        <v>985</v>
      </c>
      <c r="B1472" s="25">
        <v>43654</v>
      </c>
      <c r="C1472" s="26">
        <v>21</v>
      </c>
      <c r="D1472" s="7" t="s">
        <v>1342</v>
      </c>
      <c r="E1472" s="27">
        <v>43656</v>
      </c>
      <c r="F1472" s="28" t="s">
        <v>1184</v>
      </c>
      <c r="G1472" s="26"/>
      <c r="H1472" s="26"/>
      <c r="I1472" s="23" t="s">
        <v>1341</v>
      </c>
      <c r="J1472" s="29">
        <f ca="1">ROUNDDOWN(表3[[#This Row],[日期]]-TODAY(),1)</f>
        <v>-121</v>
      </c>
    </row>
    <row r="1473" spans="1:10" hidden="1" x14ac:dyDescent="0.2">
      <c r="A1473" s="23" t="s">
        <v>985</v>
      </c>
      <c r="B1473" s="25">
        <v>43654</v>
      </c>
      <c r="C1473" s="12">
        <v>22</v>
      </c>
      <c r="D1473" s="38" t="s">
        <v>1955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-101</v>
      </c>
    </row>
    <row r="1474" spans="1:10" hidden="1" x14ac:dyDescent="0.2">
      <c r="A1474" s="23" t="s">
        <v>985</v>
      </c>
      <c r="B1474" s="25">
        <v>43654</v>
      </c>
      <c r="C1474" s="12">
        <v>23</v>
      </c>
      <c r="D1474" s="38" t="s">
        <v>1956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-100</v>
      </c>
    </row>
    <row r="1475" spans="1:10" hidden="1" x14ac:dyDescent="0.2">
      <c r="A1475" s="23" t="s">
        <v>2847</v>
      </c>
      <c r="B1475" s="25">
        <v>43654</v>
      </c>
      <c r="C1475" s="26">
        <v>1</v>
      </c>
      <c r="D1475" s="7" t="s">
        <v>1258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-123</v>
      </c>
    </row>
    <row r="1476" spans="1:10" hidden="1" x14ac:dyDescent="0.2">
      <c r="A1476" s="23" t="s">
        <v>2847</v>
      </c>
      <c r="B1476" s="25">
        <v>43654</v>
      </c>
      <c r="C1476" s="26">
        <v>2</v>
      </c>
      <c r="D1476" s="7" t="s">
        <v>745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-123</v>
      </c>
    </row>
    <row r="1477" spans="1:10" hidden="1" x14ac:dyDescent="0.2">
      <c r="A1477" s="23" t="s">
        <v>2847</v>
      </c>
      <c r="B1477" s="25">
        <v>43654</v>
      </c>
      <c r="C1477" s="26">
        <v>3</v>
      </c>
      <c r="D1477" s="7" t="s">
        <v>1028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-126</v>
      </c>
    </row>
    <row r="1478" spans="1:10" hidden="1" x14ac:dyDescent="0.2">
      <c r="A1478" s="23" t="s">
        <v>2847</v>
      </c>
      <c r="B1478" s="25">
        <v>43654</v>
      </c>
      <c r="C1478" s="26">
        <v>4</v>
      </c>
      <c r="D1478" s="7" t="s">
        <v>1209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-125</v>
      </c>
    </row>
    <row r="1479" spans="1:10" hidden="1" x14ac:dyDescent="0.2">
      <c r="A1479" s="23" t="s">
        <v>2847</v>
      </c>
      <c r="B1479" s="25">
        <v>43654</v>
      </c>
      <c r="C1479" s="26">
        <v>5</v>
      </c>
      <c r="D1479" s="7" t="s">
        <v>1281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-122</v>
      </c>
    </row>
    <row r="1480" spans="1:10" hidden="1" x14ac:dyDescent="0.2">
      <c r="A1480" s="23" t="s">
        <v>2847</v>
      </c>
      <c r="B1480" s="25">
        <v>43654</v>
      </c>
      <c r="C1480" s="26">
        <v>6</v>
      </c>
      <c r="D1480" s="7" t="s">
        <v>1278</v>
      </c>
      <c r="E1480" s="27">
        <v>43658</v>
      </c>
      <c r="F1480" s="28" t="s">
        <v>242</v>
      </c>
      <c r="G1480" s="26"/>
      <c r="H1480" s="26"/>
      <c r="I1480" s="23" t="s">
        <v>1279</v>
      </c>
      <c r="J1480" s="29">
        <f ca="1">ROUNDDOWN(表3[[#This Row],[日期]]-TODAY(),1)</f>
        <v>-119</v>
      </c>
    </row>
    <row r="1481" spans="1:10" hidden="1" x14ac:dyDescent="0.2">
      <c r="A1481" s="23" t="s">
        <v>2847</v>
      </c>
      <c r="B1481" s="25">
        <v>43654</v>
      </c>
      <c r="C1481" s="26">
        <v>7</v>
      </c>
      <c r="D1481" s="7" t="s">
        <v>899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-123</v>
      </c>
    </row>
    <row r="1482" spans="1:10" hidden="1" x14ac:dyDescent="0.2">
      <c r="A1482" s="23" t="s">
        <v>2847</v>
      </c>
      <c r="B1482" s="25">
        <v>43654</v>
      </c>
      <c r="C1482" s="26">
        <v>8</v>
      </c>
      <c r="D1482" s="7" t="s">
        <v>1027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-123</v>
      </c>
    </row>
    <row r="1483" spans="1:10" hidden="1" x14ac:dyDescent="0.2">
      <c r="A1483" s="23" t="s">
        <v>2847</v>
      </c>
      <c r="B1483" s="25">
        <v>43654</v>
      </c>
      <c r="C1483" s="26">
        <v>9</v>
      </c>
      <c r="D1483" s="7" t="s">
        <v>738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-123</v>
      </c>
    </row>
    <row r="1484" spans="1:10" hidden="1" x14ac:dyDescent="0.2">
      <c r="A1484" s="23" t="s">
        <v>2847</v>
      </c>
      <c r="B1484" s="25">
        <v>43654</v>
      </c>
      <c r="C1484" s="26">
        <v>10</v>
      </c>
      <c r="D1484" s="7" t="s">
        <v>738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-121</v>
      </c>
    </row>
    <row r="1485" spans="1:10" hidden="1" x14ac:dyDescent="0.2">
      <c r="A1485" s="23" t="s">
        <v>2847</v>
      </c>
      <c r="B1485" s="25">
        <v>43654</v>
      </c>
      <c r="C1485" s="26">
        <v>11</v>
      </c>
      <c r="D1485" s="7" t="s">
        <v>1025</v>
      </c>
      <c r="E1485" s="27">
        <v>43657</v>
      </c>
      <c r="F1485" s="28" t="s">
        <v>242</v>
      </c>
      <c r="G1485" s="26"/>
      <c r="H1485" s="26"/>
      <c r="I1485" s="23" t="s">
        <v>743</v>
      </c>
      <c r="J1485" s="29">
        <f ca="1">ROUNDDOWN(表3[[#This Row],[日期]]-TODAY(),1)</f>
        <v>-120</v>
      </c>
    </row>
    <row r="1486" spans="1:10" hidden="1" x14ac:dyDescent="0.2">
      <c r="A1486" s="23" t="s">
        <v>2847</v>
      </c>
      <c r="B1486" s="25">
        <v>43654</v>
      </c>
      <c r="C1486" s="26">
        <v>12</v>
      </c>
      <c r="D1486" s="7" t="s">
        <v>899</v>
      </c>
      <c r="E1486" s="27">
        <v>43657</v>
      </c>
      <c r="F1486" s="28" t="s">
        <v>242</v>
      </c>
      <c r="G1486" s="26"/>
      <c r="H1486" s="26"/>
      <c r="I1486" s="23" t="s">
        <v>743</v>
      </c>
      <c r="J1486" s="29">
        <f ca="1">ROUNDDOWN(表3[[#This Row],[日期]]-TODAY(),1)</f>
        <v>-120</v>
      </c>
    </row>
    <row r="1487" spans="1:10" hidden="1" x14ac:dyDescent="0.2">
      <c r="A1487" s="23" t="s">
        <v>2847</v>
      </c>
      <c r="B1487" s="25">
        <v>43654</v>
      </c>
      <c r="C1487" s="26">
        <v>13</v>
      </c>
      <c r="D1487" s="7" t="s">
        <v>1031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-116</v>
      </c>
    </row>
    <row r="1488" spans="1:10" hidden="1" x14ac:dyDescent="0.2">
      <c r="A1488" s="23" t="s">
        <v>2847</v>
      </c>
      <c r="B1488" s="25">
        <v>43654</v>
      </c>
      <c r="C1488" s="26">
        <v>14</v>
      </c>
      <c r="D1488" s="7" t="s">
        <v>738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-119</v>
      </c>
    </row>
    <row r="1489" spans="1:10" hidden="1" x14ac:dyDescent="0.2">
      <c r="A1489" s="23" t="s">
        <v>2847</v>
      </c>
      <c r="B1489" s="25">
        <v>43654</v>
      </c>
      <c r="C1489" s="26">
        <v>15</v>
      </c>
      <c r="D1489" s="7" t="s">
        <v>1026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-119</v>
      </c>
    </row>
    <row r="1490" spans="1:10" hidden="1" x14ac:dyDescent="0.2">
      <c r="A1490" s="23" t="s">
        <v>2847</v>
      </c>
      <c r="B1490" s="25">
        <v>43654</v>
      </c>
      <c r="C1490" s="26">
        <v>16</v>
      </c>
      <c r="D1490" s="7" t="s">
        <v>900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-119</v>
      </c>
    </row>
    <row r="1491" spans="1:10" hidden="1" x14ac:dyDescent="0.2">
      <c r="A1491" s="23" t="s">
        <v>2847</v>
      </c>
      <c r="B1491" s="25">
        <v>43654</v>
      </c>
      <c r="C1491" s="26">
        <v>17</v>
      </c>
      <c r="D1491" s="7" t="s">
        <v>1320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-120</v>
      </c>
    </row>
    <row r="1492" spans="1:10" hidden="1" x14ac:dyDescent="0.2">
      <c r="A1492" s="23" t="s">
        <v>2847</v>
      </c>
      <c r="B1492" s="25">
        <v>43654</v>
      </c>
      <c r="C1492" s="26">
        <v>19</v>
      </c>
      <c r="D1492" s="7" t="s">
        <v>1357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-120</v>
      </c>
    </row>
    <row r="1493" spans="1:10" hidden="1" x14ac:dyDescent="0.2">
      <c r="A1493" s="23" t="s">
        <v>2847</v>
      </c>
      <c r="B1493" s="25">
        <v>43654</v>
      </c>
      <c r="C1493" s="26">
        <v>20</v>
      </c>
      <c r="D1493" s="7" t="s">
        <v>1365</v>
      </c>
      <c r="E1493" s="27">
        <v>43657</v>
      </c>
      <c r="F1493" s="28" t="s">
        <v>1184</v>
      </c>
      <c r="G1493" s="26"/>
      <c r="H1493" s="26"/>
      <c r="I1493" s="23"/>
      <c r="J1493" s="29">
        <f ca="1">ROUNDDOWN(表3[[#This Row],[日期]]-TODAY(),1)</f>
        <v>-120</v>
      </c>
    </row>
    <row r="1494" spans="1:10" hidden="1" x14ac:dyDescent="0.2">
      <c r="A1494" s="23" t="s">
        <v>2847</v>
      </c>
      <c r="B1494" s="25">
        <v>43654</v>
      </c>
      <c r="C1494" s="26">
        <v>21</v>
      </c>
      <c r="D1494" s="7" t="s">
        <v>1367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-119</v>
      </c>
    </row>
    <row r="1495" spans="1:10" hidden="1" x14ac:dyDescent="0.2">
      <c r="A1495" s="23" t="s">
        <v>2847</v>
      </c>
      <c r="B1495" s="25">
        <v>43654</v>
      </c>
      <c r="C1495" s="26">
        <v>22</v>
      </c>
      <c r="D1495" s="7" t="s">
        <v>1391</v>
      </c>
      <c r="E1495" s="27">
        <v>43657</v>
      </c>
      <c r="F1495" s="28" t="s">
        <v>1184</v>
      </c>
      <c r="G1495" s="26"/>
      <c r="H1495" s="26"/>
      <c r="I1495" s="23"/>
      <c r="J1495" s="29">
        <f ca="1">ROUNDDOWN(表3[[#This Row],[日期]]-TODAY(),1)</f>
        <v>-120</v>
      </c>
    </row>
    <row r="1496" spans="1:10" hidden="1" x14ac:dyDescent="0.2">
      <c r="A1496" s="23" t="s">
        <v>2847</v>
      </c>
      <c r="B1496" s="25">
        <v>43654</v>
      </c>
      <c r="C1496" s="26">
        <v>23</v>
      </c>
      <c r="D1496" s="7" t="s">
        <v>1398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-120</v>
      </c>
    </row>
    <row r="1497" spans="1:10" hidden="1" x14ac:dyDescent="0.2">
      <c r="A1497" s="23" t="s">
        <v>2847</v>
      </c>
      <c r="B1497" s="25">
        <v>43654</v>
      </c>
      <c r="C1497" s="26">
        <v>24</v>
      </c>
      <c r="D1497" s="7" t="s">
        <v>1415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-120</v>
      </c>
    </row>
    <row r="1498" spans="1:10" hidden="1" x14ac:dyDescent="0.2">
      <c r="A1498" s="23" t="s">
        <v>2847</v>
      </c>
      <c r="B1498" s="25">
        <v>43654</v>
      </c>
      <c r="C1498" s="26">
        <v>25</v>
      </c>
      <c r="D1498" s="7" t="s">
        <v>1418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-115</v>
      </c>
    </row>
    <row r="1499" spans="1:10" hidden="1" x14ac:dyDescent="0.2">
      <c r="A1499" s="23" t="s">
        <v>2847</v>
      </c>
      <c r="B1499" s="25">
        <v>43654</v>
      </c>
      <c r="C1499" s="26">
        <v>26</v>
      </c>
      <c r="D1499" s="7" t="s">
        <v>1453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-119</v>
      </c>
    </row>
    <row r="1500" spans="1:10" hidden="1" x14ac:dyDescent="0.2">
      <c r="A1500" s="23" t="s">
        <v>2847</v>
      </c>
      <c r="B1500" s="25">
        <v>43654</v>
      </c>
      <c r="C1500" s="26">
        <v>27</v>
      </c>
      <c r="D1500" s="7" t="s">
        <v>1454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-117</v>
      </c>
    </row>
    <row r="1501" spans="1:10" hidden="1" x14ac:dyDescent="0.2">
      <c r="A1501" s="23" t="s">
        <v>2847</v>
      </c>
      <c r="B1501" s="25">
        <v>43654</v>
      </c>
      <c r="C1501" s="26">
        <v>28</v>
      </c>
      <c r="D1501" s="7" t="s">
        <v>1444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-119</v>
      </c>
    </row>
    <row r="1502" spans="1:10" hidden="1" x14ac:dyDescent="0.2">
      <c r="A1502" s="23" t="s">
        <v>2847</v>
      </c>
      <c r="B1502" s="25">
        <v>43654</v>
      </c>
      <c r="C1502" s="26">
        <v>29</v>
      </c>
      <c r="D1502" s="7" t="s">
        <v>1445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-119</v>
      </c>
    </row>
    <row r="1503" spans="1:10" hidden="1" x14ac:dyDescent="0.2">
      <c r="A1503" s="23" t="s">
        <v>2847</v>
      </c>
      <c r="B1503" s="25">
        <v>43654</v>
      </c>
      <c r="C1503" s="26">
        <v>30</v>
      </c>
      <c r="D1503" s="7" t="s">
        <v>1446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-119</v>
      </c>
    </row>
    <row r="1504" spans="1:10" hidden="1" x14ac:dyDescent="0.2">
      <c r="A1504" s="23" t="s">
        <v>2847</v>
      </c>
      <c r="B1504" s="25">
        <v>43654</v>
      </c>
      <c r="C1504" s="26">
        <v>31</v>
      </c>
      <c r="D1504" s="7" t="s">
        <v>1455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-117</v>
      </c>
    </row>
    <row r="1505" spans="1:10" hidden="1" x14ac:dyDescent="0.2">
      <c r="A1505" s="23" t="s">
        <v>2847</v>
      </c>
      <c r="B1505" s="25">
        <v>43654</v>
      </c>
      <c r="C1505" s="26">
        <v>32</v>
      </c>
      <c r="D1505" s="7" t="s">
        <v>1463</v>
      </c>
      <c r="E1505" s="27">
        <v>43658</v>
      </c>
      <c r="F1505" s="28" t="s">
        <v>1184</v>
      </c>
      <c r="G1505" s="26"/>
      <c r="H1505" s="26"/>
      <c r="I1505" s="23"/>
      <c r="J1505" s="29">
        <f ca="1">ROUNDDOWN(表3[[#This Row],[日期]]-TODAY(),1)</f>
        <v>-119</v>
      </c>
    </row>
    <row r="1506" spans="1:10" hidden="1" x14ac:dyDescent="0.2">
      <c r="A1506" s="23" t="s">
        <v>2847</v>
      </c>
      <c r="B1506" s="25">
        <v>43654</v>
      </c>
      <c r="C1506" s="26">
        <v>33</v>
      </c>
      <c r="D1506" s="7" t="s">
        <v>1473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-118</v>
      </c>
    </row>
    <row r="1507" spans="1:10" hidden="1" x14ac:dyDescent="0.2">
      <c r="A1507" s="23" t="s">
        <v>2847</v>
      </c>
      <c r="B1507" s="25">
        <v>43654</v>
      </c>
      <c r="C1507" s="26">
        <v>34</v>
      </c>
      <c r="D1507" s="7" t="s">
        <v>1494</v>
      </c>
      <c r="E1507" s="27">
        <v>43659</v>
      </c>
      <c r="F1507" s="28" t="s">
        <v>1489</v>
      </c>
      <c r="G1507" s="26"/>
      <c r="H1507" s="26"/>
      <c r="I1507" s="23"/>
      <c r="J1507" s="29">
        <f ca="1">ROUNDDOWN(表3[[#This Row],[日期]]-TODAY(),1)</f>
        <v>-118</v>
      </c>
    </row>
    <row r="1508" spans="1:10" hidden="1" x14ac:dyDescent="0.2">
      <c r="A1508" s="23" t="s">
        <v>2847</v>
      </c>
      <c r="B1508" s="25">
        <v>43654</v>
      </c>
      <c r="C1508" s="26">
        <v>35</v>
      </c>
      <c r="D1508" s="7" t="s">
        <v>1495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-116</v>
      </c>
    </row>
    <row r="1509" spans="1:10" hidden="1" x14ac:dyDescent="0.2">
      <c r="A1509" s="23" t="s">
        <v>1022</v>
      </c>
      <c r="B1509" s="25">
        <v>43654.083333333336</v>
      </c>
      <c r="C1509" s="26">
        <v>1</v>
      </c>
      <c r="D1509" s="7" t="s">
        <v>1034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-133</v>
      </c>
    </row>
    <row r="1510" spans="1:10" hidden="1" x14ac:dyDescent="0.2">
      <c r="A1510" s="23" t="s">
        <v>1022</v>
      </c>
      <c r="B1510" s="25">
        <v>43654.083333333336</v>
      </c>
      <c r="C1510" s="26">
        <v>2</v>
      </c>
      <c r="D1510" s="7" t="s">
        <v>1036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-131</v>
      </c>
    </row>
    <row r="1511" spans="1:10" hidden="1" x14ac:dyDescent="0.2">
      <c r="A1511" s="23" t="s">
        <v>1022</v>
      </c>
      <c r="B1511" s="25">
        <v>43654.083333333336</v>
      </c>
      <c r="C1511" s="26">
        <v>3</v>
      </c>
      <c r="D1511" s="7" t="s">
        <v>1091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-127</v>
      </c>
    </row>
    <row r="1512" spans="1:10" hidden="1" x14ac:dyDescent="0.2">
      <c r="A1512" s="23" t="s">
        <v>1022</v>
      </c>
      <c r="B1512" s="25">
        <v>43654.083333333336</v>
      </c>
      <c r="C1512" s="26">
        <v>4</v>
      </c>
      <c r="D1512" s="7" t="s">
        <v>1035</v>
      </c>
      <c r="E1512" s="27">
        <v>43651</v>
      </c>
      <c r="F1512" s="28" t="s">
        <v>1182</v>
      </c>
      <c r="G1512" s="26"/>
      <c r="H1512" s="26"/>
      <c r="I1512" s="23"/>
      <c r="J1512" s="29">
        <f ca="1">ROUNDDOWN(表3[[#This Row],[日期]]-TODAY(),1)</f>
        <v>-126</v>
      </c>
    </row>
    <row r="1513" spans="1:10" hidden="1" x14ac:dyDescent="0.2">
      <c r="A1513" s="23" t="s">
        <v>1022</v>
      </c>
      <c r="B1513" s="25">
        <v>43654.083333333336</v>
      </c>
      <c r="C1513" s="26">
        <v>5</v>
      </c>
      <c r="D1513" s="7" t="s">
        <v>867</v>
      </c>
      <c r="E1513" s="27">
        <v>43651</v>
      </c>
      <c r="F1513" s="28" t="s">
        <v>1182</v>
      </c>
      <c r="G1513" s="26"/>
      <c r="H1513" s="26"/>
      <c r="I1513" s="23" t="s">
        <v>147</v>
      </c>
      <c r="J1513" s="29">
        <f ca="1">ROUNDDOWN(表3[[#This Row],[日期]]-TODAY(),1)</f>
        <v>-126</v>
      </c>
    </row>
    <row r="1514" spans="1:10" hidden="1" x14ac:dyDescent="0.2">
      <c r="A1514" s="23" t="s">
        <v>1022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1182</v>
      </c>
      <c r="G1514" s="26"/>
      <c r="H1514" s="26"/>
      <c r="I1514" s="23"/>
      <c r="J1514" s="29">
        <f ca="1">ROUNDDOWN(表3[[#This Row],[日期]]-TODAY(),1)</f>
        <v>-126</v>
      </c>
    </row>
    <row r="1515" spans="1:10" hidden="1" x14ac:dyDescent="0.2">
      <c r="A1515" s="23" t="s">
        <v>1022</v>
      </c>
      <c r="B1515" s="25">
        <v>43654.083333333336</v>
      </c>
      <c r="C1515" s="26">
        <v>7</v>
      </c>
      <c r="D1515" s="7" t="s">
        <v>309</v>
      </c>
      <c r="E1515" s="27">
        <v>43650</v>
      </c>
      <c r="F1515" s="28" t="s">
        <v>242</v>
      </c>
      <c r="G1515" s="26"/>
      <c r="H1515" s="26"/>
      <c r="I1515" s="23" t="s">
        <v>310</v>
      </c>
      <c r="J1515" s="29">
        <f ca="1">ROUNDDOWN(表3[[#This Row],[日期]]-TODAY(),1)</f>
        <v>-127</v>
      </c>
    </row>
    <row r="1516" spans="1:10" hidden="1" x14ac:dyDescent="0.2">
      <c r="A1516" s="23" t="s">
        <v>1022</v>
      </c>
      <c r="B1516" s="25">
        <v>43654.083333333336</v>
      </c>
      <c r="C1516" s="26">
        <v>8</v>
      </c>
      <c r="D1516" s="7" t="s">
        <v>311</v>
      </c>
      <c r="E1516" s="27">
        <v>43652</v>
      </c>
      <c r="F1516" s="28" t="s">
        <v>1245</v>
      </c>
      <c r="G1516" s="26"/>
      <c r="H1516" s="26"/>
      <c r="I1516" s="23" t="s">
        <v>310</v>
      </c>
      <c r="J1516" s="29">
        <f ca="1">ROUNDDOWN(表3[[#This Row],[日期]]-TODAY(),1)</f>
        <v>-125</v>
      </c>
    </row>
    <row r="1517" spans="1:10" hidden="1" x14ac:dyDescent="0.2">
      <c r="A1517" s="23" t="s">
        <v>1022</v>
      </c>
      <c r="B1517" s="25">
        <v>43654.083333333336</v>
      </c>
      <c r="C1517" s="26">
        <v>9</v>
      </c>
      <c r="D1517" s="7" t="s">
        <v>868</v>
      </c>
      <c r="E1517" s="27">
        <v>43652</v>
      </c>
      <c r="F1517" s="28" t="s">
        <v>1245</v>
      </c>
      <c r="G1517" s="26"/>
      <c r="H1517" s="26"/>
      <c r="I1517" s="23" t="s">
        <v>310</v>
      </c>
      <c r="J1517" s="29">
        <f ca="1">ROUNDDOWN(表3[[#This Row],[日期]]-TODAY(),1)</f>
        <v>-125</v>
      </c>
    </row>
    <row r="1518" spans="1:10" hidden="1" x14ac:dyDescent="0.2">
      <c r="A1518" s="23" t="s">
        <v>1022</v>
      </c>
      <c r="B1518" s="25">
        <v>43654.083333333336</v>
      </c>
      <c r="C1518" s="26">
        <v>10</v>
      </c>
      <c r="D1518" s="7" t="s">
        <v>313</v>
      </c>
      <c r="E1518" s="27">
        <v>43652</v>
      </c>
      <c r="F1518" s="28" t="s">
        <v>1245</v>
      </c>
      <c r="G1518" s="26"/>
      <c r="H1518" s="26"/>
      <c r="I1518" s="23" t="s">
        <v>310</v>
      </c>
      <c r="J1518" s="29">
        <f ca="1">ROUNDDOWN(表3[[#This Row],[日期]]-TODAY(),1)</f>
        <v>-125</v>
      </c>
    </row>
    <row r="1519" spans="1:10" hidden="1" x14ac:dyDescent="0.2">
      <c r="A1519" s="23" t="s">
        <v>1022</v>
      </c>
      <c r="B1519" s="25">
        <v>43654.083333333336</v>
      </c>
      <c r="C1519" s="26">
        <v>11</v>
      </c>
      <c r="D1519" s="7" t="s">
        <v>271</v>
      </c>
      <c r="E1519" s="27">
        <v>43652</v>
      </c>
      <c r="F1519" s="28" t="s">
        <v>1245</v>
      </c>
      <c r="G1519" s="26"/>
      <c r="H1519" s="26"/>
      <c r="I1519" s="23"/>
      <c r="J1519" s="29">
        <f ca="1">ROUNDDOWN(表3[[#This Row],[日期]]-TODAY(),1)</f>
        <v>-125</v>
      </c>
    </row>
    <row r="1520" spans="1:10" hidden="1" x14ac:dyDescent="0.2">
      <c r="A1520" s="23" t="s">
        <v>1022</v>
      </c>
      <c r="B1520" s="25">
        <v>43654.083333333336</v>
      </c>
      <c r="C1520" s="26">
        <v>12</v>
      </c>
      <c r="D1520" s="7" t="s">
        <v>273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-125</v>
      </c>
    </row>
    <row r="1521" spans="1:10" hidden="1" x14ac:dyDescent="0.2">
      <c r="A1521" s="23" t="s">
        <v>1022</v>
      </c>
      <c r="B1521" s="25">
        <v>43654.083333333336</v>
      </c>
      <c r="C1521" s="26">
        <v>13</v>
      </c>
      <c r="D1521" s="7" t="s">
        <v>275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-122</v>
      </c>
    </row>
    <row r="1522" spans="1:10" hidden="1" x14ac:dyDescent="0.2">
      <c r="A1522" s="23" t="s">
        <v>1022</v>
      </c>
      <c r="B1522" s="25">
        <v>43654.083333333336</v>
      </c>
      <c r="C1522" s="26">
        <v>14</v>
      </c>
      <c r="D1522" s="7" t="s">
        <v>1276</v>
      </c>
      <c r="E1522" s="27">
        <v>43665</v>
      </c>
      <c r="F1522" s="28" t="s">
        <v>1184</v>
      </c>
      <c r="G1522" s="26"/>
      <c r="H1522" s="26"/>
      <c r="I1522" s="23"/>
      <c r="J1522" s="29">
        <f ca="1">ROUNDDOWN(表3[[#This Row],[日期]]-TODAY(),1)</f>
        <v>-112</v>
      </c>
    </row>
    <row r="1523" spans="1:10" hidden="1" x14ac:dyDescent="0.2">
      <c r="A1523" s="23" t="s">
        <v>1022</v>
      </c>
      <c r="B1523" s="25">
        <v>43654.083333333336</v>
      </c>
      <c r="C1523" s="26">
        <v>15</v>
      </c>
      <c r="D1523" s="7" t="s">
        <v>1254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-106</v>
      </c>
    </row>
    <row r="1524" spans="1:10" hidden="1" x14ac:dyDescent="0.2">
      <c r="A1524" s="23" t="s">
        <v>1022</v>
      </c>
      <c r="B1524" s="25">
        <v>43654.083333333336</v>
      </c>
      <c r="C1524" s="26">
        <v>16</v>
      </c>
      <c r="D1524" s="7" t="s">
        <v>305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-121</v>
      </c>
    </row>
    <row r="1525" spans="1:10" hidden="1" x14ac:dyDescent="0.2">
      <c r="A1525" s="23" t="s">
        <v>1022</v>
      </c>
      <c r="B1525" s="25">
        <v>43654.083333333336</v>
      </c>
      <c r="C1525" s="26">
        <v>17</v>
      </c>
      <c r="D1525" s="7" t="s">
        <v>1885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-106</v>
      </c>
    </row>
    <row r="1526" spans="1:10" hidden="1" x14ac:dyDescent="0.2">
      <c r="A1526" s="23" t="s">
        <v>2831</v>
      </c>
      <c r="B1526" s="25">
        <v>43655</v>
      </c>
      <c r="C1526" s="26">
        <v>1</v>
      </c>
      <c r="D1526" s="7" t="s">
        <v>1256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-121</v>
      </c>
    </row>
    <row r="1527" spans="1:10" hidden="1" x14ac:dyDescent="0.2">
      <c r="A1527" s="23" t="s">
        <v>2831</v>
      </c>
      <c r="B1527" s="25">
        <v>43655</v>
      </c>
      <c r="C1527" s="26">
        <v>2</v>
      </c>
      <c r="D1527" s="7" t="s">
        <v>1237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-125</v>
      </c>
    </row>
    <row r="1528" spans="1:10" hidden="1" x14ac:dyDescent="0.2">
      <c r="A1528" s="23" t="s">
        <v>2831</v>
      </c>
      <c r="B1528" s="25">
        <v>43655</v>
      </c>
      <c r="C1528" s="26">
        <v>3</v>
      </c>
      <c r="D1528" s="7" t="s">
        <v>1275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-123</v>
      </c>
    </row>
    <row r="1529" spans="1:10" hidden="1" x14ac:dyDescent="0.2">
      <c r="A1529" s="23" t="s">
        <v>2831</v>
      </c>
      <c r="B1529" s="25">
        <v>43655</v>
      </c>
      <c r="C1529" s="26">
        <v>4</v>
      </c>
      <c r="D1529" s="7" t="s">
        <v>1239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-123</v>
      </c>
    </row>
    <row r="1530" spans="1:10" hidden="1" x14ac:dyDescent="0.2">
      <c r="A1530" s="23" t="s">
        <v>2831</v>
      </c>
      <c r="B1530" s="25">
        <v>43655</v>
      </c>
      <c r="C1530" s="26">
        <v>5</v>
      </c>
      <c r="D1530" s="7" t="s">
        <v>1307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-121</v>
      </c>
    </row>
    <row r="1531" spans="1:10" hidden="1" x14ac:dyDescent="0.2">
      <c r="A1531" s="23" t="s">
        <v>2831</v>
      </c>
      <c r="B1531" s="25">
        <v>43655</v>
      </c>
      <c r="C1531" s="26">
        <v>11</v>
      </c>
      <c r="D1531" s="7" t="s">
        <v>1322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-121</v>
      </c>
    </row>
    <row r="1532" spans="1:10" hidden="1" x14ac:dyDescent="0.2">
      <c r="A1532" s="23" t="s">
        <v>2831</v>
      </c>
      <c r="B1532" s="25">
        <v>43655</v>
      </c>
      <c r="C1532" s="26">
        <v>12</v>
      </c>
      <c r="D1532" s="7" t="s">
        <v>1325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-121</v>
      </c>
    </row>
    <row r="1533" spans="1:10" hidden="1" x14ac:dyDescent="0.2">
      <c r="A1533" s="23" t="s">
        <v>2831</v>
      </c>
      <c r="B1533" s="25">
        <v>43655</v>
      </c>
      <c r="C1533" s="26">
        <v>13</v>
      </c>
      <c r="D1533" s="7" t="s">
        <v>1327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-121</v>
      </c>
    </row>
    <row r="1534" spans="1:10" hidden="1" x14ac:dyDescent="0.2">
      <c r="A1534" s="23" t="s">
        <v>2831</v>
      </c>
      <c r="B1534" s="25">
        <v>43655</v>
      </c>
      <c r="C1534" s="26">
        <v>14</v>
      </c>
      <c r="D1534" s="7" t="s">
        <v>305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-121</v>
      </c>
    </row>
    <row r="1535" spans="1:10" hidden="1" x14ac:dyDescent="0.2">
      <c r="A1535" s="23" t="s">
        <v>2831</v>
      </c>
      <c r="B1535" s="25">
        <v>43655</v>
      </c>
      <c r="C1535" s="26">
        <v>15</v>
      </c>
      <c r="D1535" s="7" t="s">
        <v>1329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-121</v>
      </c>
    </row>
    <row r="1536" spans="1:10" hidden="1" x14ac:dyDescent="0.2">
      <c r="A1536" s="23" t="s">
        <v>2831</v>
      </c>
      <c r="B1536" s="25">
        <v>43655</v>
      </c>
      <c r="C1536" s="26">
        <v>16</v>
      </c>
      <c r="D1536" s="7" t="s">
        <v>1355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-121</v>
      </c>
    </row>
    <row r="1537" spans="1:10" hidden="1" x14ac:dyDescent="0.2">
      <c r="A1537" s="23" t="s">
        <v>2831</v>
      </c>
      <c r="B1537" s="25">
        <v>43655</v>
      </c>
      <c r="C1537" s="26">
        <v>17</v>
      </c>
      <c r="D1537" s="7" t="s">
        <v>1331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-121</v>
      </c>
    </row>
    <row r="1538" spans="1:10" hidden="1" x14ac:dyDescent="0.2">
      <c r="A1538" s="23" t="s">
        <v>2831</v>
      </c>
      <c r="B1538" s="25">
        <v>43655</v>
      </c>
      <c r="C1538" s="26">
        <v>18</v>
      </c>
      <c r="D1538" s="7" t="s">
        <v>1333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-121</v>
      </c>
    </row>
    <row r="1539" spans="1:10" hidden="1" x14ac:dyDescent="0.2">
      <c r="A1539" s="23" t="s">
        <v>2831</v>
      </c>
      <c r="B1539" s="25">
        <v>43655</v>
      </c>
      <c r="C1539" s="26">
        <v>19</v>
      </c>
      <c r="D1539" s="7" t="s">
        <v>1361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-121</v>
      </c>
    </row>
    <row r="1540" spans="1:10" hidden="1" x14ac:dyDescent="0.2">
      <c r="A1540" s="23" t="s">
        <v>2831</v>
      </c>
      <c r="B1540" s="25">
        <v>43655</v>
      </c>
      <c r="C1540" s="26">
        <v>20</v>
      </c>
      <c r="D1540" s="7" t="s">
        <v>1366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-120</v>
      </c>
    </row>
    <row r="1541" spans="1:10" hidden="1" x14ac:dyDescent="0.2">
      <c r="A1541" s="23" t="s">
        <v>2831</v>
      </c>
      <c r="B1541" s="25">
        <v>43655</v>
      </c>
      <c r="C1541" s="26">
        <v>21</v>
      </c>
      <c r="D1541" s="7" t="s">
        <v>1412</v>
      </c>
      <c r="E1541" s="27">
        <v>43676</v>
      </c>
      <c r="F1541" s="28" t="s">
        <v>1184</v>
      </c>
      <c r="G1541" s="26"/>
      <c r="H1541" s="26"/>
      <c r="I1541" s="23"/>
      <c r="J1541" s="29">
        <f ca="1">ROUNDDOWN(表3[[#This Row],[日期]]-TODAY(),1)</f>
        <v>-101</v>
      </c>
    </row>
    <row r="1542" spans="1:10" hidden="1" x14ac:dyDescent="0.2">
      <c r="A1542" s="23" t="s">
        <v>2831</v>
      </c>
      <c r="B1542" s="25">
        <v>43655</v>
      </c>
      <c r="C1542" s="26">
        <v>22</v>
      </c>
      <c r="D1542" s="7" t="s">
        <v>1402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-120</v>
      </c>
    </row>
    <row r="1543" spans="1:10" hidden="1" x14ac:dyDescent="0.2">
      <c r="A1543" s="23" t="s">
        <v>2831</v>
      </c>
      <c r="B1543" s="25">
        <v>43655</v>
      </c>
      <c r="C1543" s="26">
        <v>23</v>
      </c>
      <c r="D1543" s="7" t="s">
        <v>1399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-120</v>
      </c>
    </row>
    <row r="1544" spans="1:10" hidden="1" x14ac:dyDescent="0.2">
      <c r="A1544" s="23" t="s">
        <v>2831</v>
      </c>
      <c r="B1544" s="25">
        <v>43655</v>
      </c>
      <c r="C1544" s="26">
        <v>24</v>
      </c>
      <c r="D1544" s="7" t="s">
        <v>1400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-120</v>
      </c>
    </row>
    <row r="1545" spans="1:10" hidden="1" x14ac:dyDescent="0.2">
      <c r="A1545" s="23" t="s">
        <v>2831</v>
      </c>
      <c r="B1545" s="25">
        <v>43655</v>
      </c>
      <c r="C1545" s="26">
        <v>25</v>
      </c>
      <c r="D1545" s="7" t="s">
        <v>1401</v>
      </c>
      <c r="E1545" s="27">
        <v>43657</v>
      </c>
      <c r="F1545" s="28" t="s">
        <v>1184</v>
      </c>
      <c r="G1545" s="26"/>
      <c r="H1545" s="26"/>
      <c r="I1545" s="23"/>
      <c r="J1545" s="29">
        <f ca="1">ROUNDDOWN(表3[[#This Row],[日期]]-TODAY(),1)</f>
        <v>-120</v>
      </c>
    </row>
    <row r="1546" spans="1:10" hidden="1" x14ac:dyDescent="0.2">
      <c r="A1546" s="23" t="s">
        <v>2831</v>
      </c>
      <c r="B1546" s="25">
        <v>43655</v>
      </c>
      <c r="C1546" s="12">
        <v>26</v>
      </c>
      <c r="D1546" s="38" t="s">
        <v>1735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-109</v>
      </c>
    </row>
    <row r="1547" spans="1:10" hidden="1" x14ac:dyDescent="0.2">
      <c r="A1547" s="23" t="s">
        <v>2831</v>
      </c>
      <c r="B1547" s="25">
        <v>43655.041666666664</v>
      </c>
      <c r="C1547" s="26">
        <v>2</v>
      </c>
      <c r="D1547" s="7" t="s">
        <v>1238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-123</v>
      </c>
    </row>
    <row r="1548" spans="1:10" hidden="1" x14ac:dyDescent="0.2">
      <c r="A1548" s="23" t="s">
        <v>2831</v>
      </c>
      <c r="B1548" s="25">
        <v>43655.041666666664</v>
      </c>
      <c r="C1548" s="26">
        <v>3</v>
      </c>
      <c r="D1548" s="7" t="s">
        <v>1271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-122</v>
      </c>
    </row>
    <row r="1549" spans="1:10" hidden="1" x14ac:dyDescent="0.2">
      <c r="A1549" s="23" t="s">
        <v>2831</v>
      </c>
      <c r="B1549" s="25">
        <v>43655.041666666664</v>
      </c>
      <c r="C1549" s="12">
        <v>4</v>
      </c>
      <c r="D1549" s="38" t="s">
        <v>1735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-109</v>
      </c>
    </row>
    <row r="1550" spans="1:10" hidden="1" x14ac:dyDescent="0.2">
      <c r="A1550" s="23" t="s">
        <v>983</v>
      </c>
      <c r="B1550" s="25">
        <v>43656</v>
      </c>
      <c r="C1550" s="26">
        <v>1</v>
      </c>
      <c r="D1550" s="7" t="s">
        <v>364</v>
      </c>
      <c r="E1550" s="27">
        <v>43643</v>
      </c>
      <c r="F1550" s="28" t="s">
        <v>975</v>
      </c>
      <c r="G1550" s="26"/>
      <c r="H1550" s="26"/>
      <c r="I1550" s="23"/>
      <c r="J1550" s="29">
        <f ca="1">ROUNDDOWN(表3[[#This Row],[日期]]-TODAY(),1)</f>
        <v>-134</v>
      </c>
    </row>
    <row r="1551" spans="1:10" hidden="1" x14ac:dyDescent="0.2">
      <c r="A1551" s="23" t="s">
        <v>983</v>
      </c>
      <c r="B1551" s="25">
        <v>43656</v>
      </c>
      <c r="C1551" s="26">
        <v>2</v>
      </c>
      <c r="D1551" s="7" t="s">
        <v>863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-128</v>
      </c>
    </row>
    <row r="1552" spans="1:10" hidden="1" x14ac:dyDescent="0.2">
      <c r="A1552" s="23" t="s">
        <v>983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-128</v>
      </c>
    </row>
    <row r="1553" spans="1:10" hidden="1" x14ac:dyDescent="0.2">
      <c r="A1553" s="23" t="s">
        <v>983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-127</v>
      </c>
    </row>
    <row r="1554" spans="1:10" hidden="1" x14ac:dyDescent="0.2">
      <c r="A1554" s="23" t="s">
        <v>983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-127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1222</v>
      </c>
      <c r="E1555" s="27">
        <v>43652</v>
      </c>
      <c r="F1555" s="28" t="s">
        <v>1208</v>
      </c>
      <c r="G1555" s="26"/>
      <c r="H1555" s="26"/>
      <c r="I1555" s="23"/>
      <c r="J1555" s="29">
        <f ca="1">ROUNDDOWN(表3[[#This Row],[日期]]-TODAY(),1)</f>
        <v>-125</v>
      </c>
    </row>
    <row r="1556" spans="1:10" hidden="1" x14ac:dyDescent="0.2">
      <c r="A1556" s="23" t="s">
        <v>983</v>
      </c>
      <c r="B1556" s="25">
        <v>43656</v>
      </c>
      <c r="C1556" s="26">
        <v>6</v>
      </c>
      <c r="D1556" s="7" t="s">
        <v>864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-127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1178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-125</v>
      </c>
    </row>
    <row r="1558" spans="1:10" hidden="1" x14ac:dyDescent="0.2">
      <c r="A1558" s="23" t="s">
        <v>983</v>
      </c>
      <c r="B1558" s="25">
        <v>43656</v>
      </c>
      <c r="C1558" s="26">
        <v>7</v>
      </c>
      <c r="D1558" s="7" t="s">
        <v>309</v>
      </c>
      <c r="E1558" s="27">
        <v>43652</v>
      </c>
      <c r="F1558" s="28" t="s">
        <v>242</v>
      </c>
      <c r="G1558" s="26"/>
      <c r="H1558" s="26"/>
      <c r="I1558" s="23" t="s">
        <v>310</v>
      </c>
      <c r="J1558" s="29">
        <f ca="1">ROUNDDOWN(表3[[#This Row],[日期]]-TODAY(),1)</f>
        <v>-125</v>
      </c>
    </row>
    <row r="1559" spans="1:10" hidden="1" x14ac:dyDescent="0.2">
      <c r="A1559" s="23" t="s">
        <v>983</v>
      </c>
      <c r="B1559" s="25">
        <v>43656</v>
      </c>
      <c r="C1559" s="26">
        <v>8</v>
      </c>
      <c r="D1559" s="7" t="s">
        <v>311</v>
      </c>
      <c r="E1559" s="27">
        <v>43654</v>
      </c>
      <c r="F1559" s="28" t="s">
        <v>242</v>
      </c>
      <c r="G1559" s="26"/>
      <c r="H1559" s="26"/>
      <c r="I1559" s="23" t="s">
        <v>310</v>
      </c>
      <c r="J1559" s="29">
        <f ca="1">ROUNDDOWN(表3[[#This Row],[日期]]-TODAY(),1)</f>
        <v>-123</v>
      </c>
    </row>
    <row r="1560" spans="1:10" hidden="1" x14ac:dyDescent="0.2">
      <c r="A1560" s="23" t="s">
        <v>983</v>
      </c>
      <c r="B1560" s="25">
        <v>43656</v>
      </c>
      <c r="C1560" s="26">
        <v>9</v>
      </c>
      <c r="D1560" s="7" t="s">
        <v>1260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-123</v>
      </c>
    </row>
    <row r="1561" spans="1:10" hidden="1" x14ac:dyDescent="0.2">
      <c r="A1561" s="23" t="s">
        <v>983</v>
      </c>
      <c r="B1561" s="25">
        <v>43656</v>
      </c>
      <c r="C1561" s="26">
        <v>10</v>
      </c>
      <c r="D1561" s="7" t="s">
        <v>1221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-123</v>
      </c>
    </row>
    <row r="1562" spans="1:10" hidden="1" x14ac:dyDescent="0.2">
      <c r="A1562" s="23" t="s">
        <v>983</v>
      </c>
      <c r="B1562" s="25">
        <v>43656</v>
      </c>
      <c r="C1562" s="26">
        <v>11</v>
      </c>
      <c r="D1562" s="7" t="s">
        <v>866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-123</v>
      </c>
    </row>
    <row r="1563" spans="1:10" hidden="1" x14ac:dyDescent="0.2">
      <c r="A1563" s="23" t="s">
        <v>983</v>
      </c>
      <c r="B1563" s="25">
        <v>43656</v>
      </c>
      <c r="C1563" s="26">
        <v>12</v>
      </c>
      <c r="D1563" s="7" t="s">
        <v>1243</v>
      </c>
      <c r="E1563" s="27">
        <v>43653</v>
      </c>
      <c r="F1563" s="28" t="s">
        <v>1245</v>
      </c>
      <c r="G1563" s="26"/>
      <c r="H1563" s="26"/>
      <c r="I1563" s="23" t="s">
        <v>147</v>
      </c>
      <c r="J1563" s="29">
        <f ca="1">ROUNDDOWN(表3[[#This Row],[日期]]-TODAY(),1)</f>
        <v>-124</v>
      </c>
    </row>
    <row r="1564" spans="1:10" hidden="1" x14ac:dyDescent="0.2">
      <c r="A1564" s="23" t="s">
        <v>1244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-123</v>
      </c>
    </row>
    <row r="1565" spans="1:10" hidden="1" x14ac:dyDescent="0.2">
      <c r="A1565" s="23" t="s">
        <v>983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-123</v>
      </c>
    </row>
    <row r="1566" spans="1:10" hidden="1" x14ac:dyDescent="0.2">
      <c r="A1566" s="23" t="s">
        <v>983</v>
      </c>
      <c r="B1566" s="25">
        <v>43656</v>
      </c>
      <c r="C1566" s="26">
        <v>14</v>
      </c>
      <c r="D1566" s="7" t="s">
        <v>868</v>
      </c>
      <c r="E1566" s="27">
        <v>43654</v>
      </c>
      <c r="F1566" s="28" t="s">
        <v>242</v>
      </c>
      <c r="G1566" s="26"/>
      <c r="H1566" s="26"/>
      <c r="I1566" s="23" t="s">
        <v>310</v>
      </c>
      <c r="J1566" s="29">
        <f ca="1">ROUNDDOWN(表3[[#This Row],[日期]]-TODAY(),1)</f>
        <v>-123</v>
      </c>
    </row>
    <row r="1567" spans="1:10" hidden="1" x14ac:dyDescent="0.2">
      <c r="A1567" s="23" t="s">
        <v>983</v>
      </c>
      <c r="B1567" s="25">
        <v>43656</v>
      </c>
      <c r="C1567" s="26">
        <v>15</v>
      </c>
      <c r="D1567" s="7" t="s">
        <v>313</v>
      </c>
      <c r="E1567" s="27">
        <v>43654</v>
      </c>
      <c r="F1567" s="28" t="s">
        <v>242</v>
      </c>
      <c r="G1567" s="26"/>
      <c r="H1567" s="26"/>
      <c r="I1567" s="23" t="s">
        <v>310</v>
      </c>
      <c r="J1567" s="29">
        <f ca="1">ROUNDDOWN(表3[[#This Row],[日期]]-TODAY(),1)</f>
        <v>-123</v>
      </c>
    </row>
    <row r="1568" spans="1:10" hidden="1" x14ac:dyDescent="0.2">
      <c r="A1568" s="23" t="s">
        <v>983</v>
      </c>
      <c r="B1568" s="25">
        <v>43656</v>
      </c>
      <c r="C1568" s="26">
        <v>16</v>
      </c>
      <c r="D1568" s="7" t="s">
        <v>271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-123</v>
      </c>
    </row>
    <row r="1569" spans="1:10" hidden="1" x14ac:dyDescent="0.2">
      <c r="A1569" s="23" t="s">
        <v>983</v>
      </c>
      <c r="B1569" s="25">
        <v>43656</v>
      </c>
      <c r="C1569" s="26">
        <v>17</v>
      </c>
      <c r="D1569" s="7" t="s">
        <v>273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-122</v>
      </c>
    </row>
    <row r="1570" spans="1:10" hidden="1" x14ac:dyDescent="0.2">
      <c r="A1570" s="23" t="s">
        <v>983</v>
      </c>
      <c r="B1570" s="25">
        <v>43656</v>
      </c>
      <c r="C1570" s="26">
        <v>18</v>
      </c>
      <c r="D1570" s="7" t="s">
        <v>275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-121</v>
      </c>
    </row>
    <row r="1571" spans="1:10" hidden="1" x14ac:dyDescent="0.2">
      <c r="A1571" s="23" t="s">
        <v>983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-121</v>
      </c>
    </row>
    <row r="1572" spans="1:10" hidden="1" x14ac:dyDescent="0.2">
      <c r="A1572" s="23" t="s">
        <v>983</v>
      </c>
      <c r="B1572" s="25">
        <v>43656</v>
      </c>
      <c r="C1572" s="26">
        <v>20</v>
      </c>
      <c r="D1572" s="7" t="s">
        <v>305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-120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927</v>
      </c>
      <c r="E1573" s="27">
        <v>43647</v>
      </c>
      <c r="F1573" s="28" t="s">
        <v>1073</v>
      </c>
      <c r="G1573" s="26"/>
      <c r="H1573" s="26"/>
      <c r="I1573" s="23" t="s">
        <v>27</v>
      </c>
      <c r="J1573" s="29">
        <f ca="1">ROUNDDOWN(表3[[#This Row],[日期]]-TODAY(),1)</f>
        <v>-130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-129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-129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-129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-129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-129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1150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-127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1151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-127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928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-128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-128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-128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-128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-128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-128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1152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-127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-127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929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-126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-126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-126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930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-126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-126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931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-126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759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-126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-126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-125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-125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-126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-126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-125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-125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932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-126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933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-123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-125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1072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-123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-125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1071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-124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-124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-124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-121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-121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934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-121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305</v>
      </c>
      <c r="E1614" s="27">
        <v>43657</v>
      </c>
      <c r="F1614" s="28" t="s">
        <v>1441</v>
      </c>
      <c r="G1614" s="26"/>
      <c r="H1614" s="26"/>
      <c r="I1614" s="23"/>
      <c r="J1614" s="29">
        <f ca="1">ROUNDDOWN(表3[[#This Row],[日期]]-TODAY(),1)</f>
        <v>-120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1223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-119</v>
      </c>
    </row>
    <row r="1616" spans="1:10" hidden="1" x14ac:dyDescent="0.2">
      <c r="A1616" s="23" t="s">
        <v>946</v>
      </c>
      <c r="B1616" s="25">
        <v>43656</v>
      </c>
      <c r="C1616" s="26">
        <v>1</v>
      </c>
      <c r="D1616" s="7" t="s">
        <v>364</v>
      </c>
      <c r="E1616" s="27">
        <v>43642</v>
      </c>
      <c r="F1616" s="28" t="s">
        <v>945</v>
      </c>
      <c r="G1616" s="26"/>
      <c r="H1616" s="26"/>
      <c r="I1616" s="23"/>
      <c r="J1616" s="29">
        <f ca="1">ROUNDDOWN(表3[[#This Row],[日期]]-TODAY(),1)</f>
        <v>-135</v>
      </c>
    </row>
    <row r="1617" spans="1:10" hidden="1" x14ac:dyDescent="0.2">
      <c r="A1617" s="23" t="s">
        <v>946</v>
      </c>
      <c r="B1617" s="25">
        <v>43656</v>
      </c>
      <c r="C1617" s="26">
        <v>2</v>
      </c>
      <c r="D1617" s="7" t="s">
        <v>863</v>
      </c>
      <c r="E1617" s="27">
        <v>43642</v>
      </c>
      <c r="F1617" s="28" t="s">
        <v>954</v>
      </c>
      <c r="G1617" s="26"/>
      <c r="H1617" s="26"/>
      <c r="I1617" s="23"/>
      <c r="J1617" s="29">
        <f ca="1">ROUNDDOWN(表3[[#This Row],[日期]]-TODAY(),1)</f>
        <v>-135</v>
      </c>
    </row>
    <row r="1618" spans="1:10" hidden="1" x14ac:dyDescent="0.2">
      <c r="A1618" s="23" t="s">
        <v>946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-134</v>
      </c>
    </row>
    <row r="1619" spans="1:10" hidden="1" x14ac:dyDescent="0.2">
      <c r="A1619" s="23" t="s">
        <v>946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-127</v>
      </c>
    </row>
    <row r="1620" spans="1:10" hidden="1" x14ac:dyDescent="0.2">
      <c r="A1620" s="23" t="s">
        <v>946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-127</v>
      </c>
    </row>
    <row r="1621" spans="1:10" hidden="1" x14ac:dyDescent="0.2">
      <c r="A1621" s="23" t="s">
        <v>946</v>
      </c>
      <c r="B1621" s="25">
        <v>43656</v>
      </c>
      <c r="C1621" s="26">
        <v>6</v>
      </c>
      <c r="D1621" s="7" t="s">
        <v>864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-127</v>
      </c>
    </row>
    <row r="1622" spans="1:10" hidden="1" x14ac:dyDescent="0.2">
      <c r="A1622" s="23" t="s">
        <v>946</v>
      </c>
      <c r="B1622" s="25">
        <v>43656</v>
      </c>
      <c r="C1622" s="26">
        <v>7</v>
      </c>
      <c r="D1622" s="7" t="s">
        <v>307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-127</v>
      </c>
    </row>
    <row r="1623" spans="1:10" hidden="1" x14ac:dyDescent="0.2">
      <c r="A1623" s="23" t="s">
        <v>946</v>
      </c>
      <c r="B1623" s="25">
        <v>43656</v>
      </c>
      <c r="C1623" s="26">
        <v>8</v>
      </c>
      <c r="D1623" s="7" t="s">
        <v>865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-127</v>
      </c>
    </row>
    <row r="1624" spans="1:10" hidden="1" x14ac:dyDescent="0.2">
      <c r="A1624" s="23" t="s">
        <v>946</v>
      </c>
      <c r="B1624" s="25">
        <v>43656</v>
      </c>
      <c r="C1624" s="26">
        <v>9</v>
      </c>
      <c r="D1624" s="7" t="s">
        <v>866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-123</v>
      </c>
    </row>
    <row r="1625" spans="1:10" hidden="1" x14ac:dyDescent="0.2">
      <c r="A1625" s="23" t="s">
        <v>946</v>
      </c>
      <c r="B1625" s="25">
        <v>43656</v>
      </c>
      <c r="C1625" s="26">
        <v>10</v>
      </c>
      <c r="D1625" s="7" t="s">
        <v>867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-126</v>
      </c>
    </row>
    <row r="1626" spans="1:10" hidden="1" x14ac:dyDescent="0.2">
      <c r="A1626" s="23" t="s">
        <v>946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-126</v>
      </c>
    </row>
    <row r="1627" spans="1:10" hidden="1" x14ac:dyDescent="0.2">
      <c r="A1627" s="23" t="s">
        <v>946</v>
      </c>
      <c r="B1627" s="25">
        <v>43656</v>
      </c>
      <c r="C1627" s="26">
        <v>12</v>
      </c>
      <c r="D1627" s="7" t="s">
        <v>868</v>
      </c>
      <c r="E1627" s="27">
        <v>43651</v>
      </c>
      <c r="F1627" s="28" t="s">
        <v>242</v>
      </c>
      <c r="G1627" s="26"/>
      <c r="H1627" s="26"/>
      <c r="I1627" s="23" t="s">
        <v>310</v>
      </c>
      <c r="J1627" s="29">
        <f ca="1">ROUNDDOWN(表3[[#This Row],[日期]]-TODAY(),1)</f>
        <v>-126</v>
      </c>
    </row>
    <row r="1628" spans="1:10" hidden="1" x14ac:dyDescent="0.2">
      <c r="A1628" s="23" t="s">
        <v>946</v>
      </c>
      <c r="B1628" s="25">
        <v>43656</v>
      </c>
      <c r="C1628" s="26">
        <v>13</v>
      </c>
      <c r="D1628" s="7" t="s">
        <v>313</v>
      </c>
      <c r="E1628" s="27">
        <v>43651</v>
      </c>
      <c r="F1628" s="28" t="s">
        <v>242</v>
      </c>
      <c r="G1628" s="26"/>
      <c r="H1628" s="26"/>
      <c r="I1628" s="23" t="s">
        <v>310</v>
      </c>
      <c r="J1628" s="29">
        <f ca="1">ROUNDDOWN(表3[[#This Row],[日期]]-TODAY(),1)</f>
        <v>-126</v>
      </c>
    </row>
    <row r="1629" spans="1:10" hidden="1" x14ac:dyDescent="0.2">
      <c r="A1629" s="23" t="s">
        <v>946</v>
      </c>
      <c r="B1629" s="25">
        <v>43656</v>
      </c>
      <c r="C1629" s="26">
        <v>14</v>
      </c>
      <c r="D1629" s="7" t="s">
        <v>309</v>
      </c>
      <c r="E1629" s="27">
        <v>43651</v>
      </c>
      <c r="F1629" s="28" t="s">
        <v>242</v>
      </c>
      <c r="G1629" s="26"/>
      <c r="H1629" s="26"/>
      <c r="I1629" s="23" t="s">
        <v>310</v>
      </c>
      <c r="J1629" s="29">
        <f ca="1">ROUNDDOWN(表3[[#This Row],[日期]]-TODAY(),1)</f>
        <v>-126</v>
      </c>
    </row>
    <row r="1630" spans="1:10" hidden="1" x14ac:dyDescent="0.2">
      <c r="A1630" s="23" t="s">
        <v>946</v>
      </c>
      <c r="B1630" s="25">
        <v>43656</v>
      </c>
      <c r="C1630" s="26">
        <v>15</v>
      </c>
      <c r="D1630" s="7" t="s">
        <v>311</v>
      </c>
      <c r="E1630" s="27">
        <v>43652</v>
      </c>
      <c r="F1630" s="28" t="s">
        <v>242</v>
      </c>
      <c r="G1630" s="26"/>
      <c r="H1630" s="26"/>
      <c r="I1630" s="23" t="s">
        <v>310</v>
      </c>
      <c r="J1630" s="29">
        <f ca="1">ROUNDDOWN(表3[[#This Row],[日期]]-TODAY(),1)</f>
        <v>-125</v>
      </c>
    </row>
    <row r="1631" spans="1:10" hidden="1" x14ac:dyDescent="0.2">
      <c r="A1631" s="23" t="s">
        <v>946</v>
      </c>
      <c r="B1631" s="25">
        <v>43656</v>
      </c>
      <c r="C1631" s="26">
        <v>16</v>
      </c>
      <c r="D1631" s="7" t="s">
        <v>271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-125</v>
      </c>
    </row>
    <row r="1632" spans="1:10" hidden="1" x14ac:dyDescent="0.2">
      <c r="A1632" s="23" t="s">
        <v>946</v>
      </c>
      <c r="B1632" s="25">
        <v>43656</v>
      </c>
      <c r="C1632" s="26">
        <v>17</v>
      </c>
      <c r="D1632" s="7" t="s">
        <v>273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-123</v>
      </c>
    </row>
    <row r="1633" spans="1:10" hidden="1" x14ac:dyDescent="0.2">
      <c r="A1633" s="23" t="s">
        <v>946</v>
      </c>
      <c r="B1633" s="25">
        <v>43656</v>
      </c>
      <c r="C1633" s="26">
        <v>18</v>
      </c>
      <c r="D1633" s="7" t="s">
        <v>275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-122</v>
      </c>
    </row>
    <row r="1634" spans="1:10" hidden="1" x14ac:dyDescent="0.2">
      <c r="A1634" s="23" t="s">
        <v>946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-121</v>
      </c>
    </row>
    <row r="1635" spans="1:10" hidden="1" x14ac:dyDescent="0.2">
      <c r="A1635" s="23" t="s">
        <v>946</v>
      </c>
      <c r="B1635" s="25">
        <v>43656</v>
      </c>
      <c r="C1635" s="26">
        <v>20</v>
      </c>
      <c r="D1635" s="7" t="s">
        <v>305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-120</v>
      </c>
    </row>
    <row r="1636" spans="1:10" hidden="1" x14ac:dyDescent="0.2">
      <c r="A1636" s="23" t="s">
        <v>2831</v>
      </c>
      <c r="B1636" s="25">
        <v>43656</v>
      </c>
      <c r="C1636" s="26">
        <v>1</v>
      </c>
      <c r="D1636" s="7" t="s">
        <v>507</v>
      </c>
      <c r="E1636" s="27">
        <v>43650</v>
      </c>
      <c r="F1636" s="28" t="s">
        <v>1143</v>
      </c>
      <c r="G1636" s="26"/>
      <c r="H1636" s="26"/>
      <c r="I1636" s="23"/>
      <c r="J1636" s="29">
        <f ca="1">ROUNDDOWN(表3[[#This Row],[日期]]-TODAY(),1)</f>
        <v>-127</v>
      </c>
    </row>
    <row r="1637" spans="1:10" hidden="1" x14ac:dyDescent="0.2">
      <c r="A1637" s="23" t="s">
        <v>2831</v>
      </c>
      <c r="B1637" s="25">
        <v>43656</v>
      </c>
      <c r="C1637" s="26">
        <v>2</v>
      </c>
      <c r="D1637" s="7" t="s">
        <v>510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-127</v>
      </c>
    </row>
    <row r="1638" spans="1:10" hidden="1" x14ac:dyDescent="0.2">
      <c r="A1638" s="23" t="s">
        <v>2831</v>
      </c>
      <c r="B1638" s="25">
        <v>43656</v>
      </c>
      <c r="C1638" s="26">
        <v>3</v>
      </c>
      <c r="D1638" s="7" t="s">
        <v>977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-127</v>
      </c>
    </row>
    <row r="1639" spans="1:10" hidden="1" x14ac:dyDescent="0.2">
      <c r="A1639" s="23" t="s">
        <v>2831</v>
      </c>
      <c r="B1639" s="25">
        <v>43656</v>
      </c>
      <c r="C1639" s="26">
        <v>3.1</v>
      </c>
      <c r="D1639" s="7" t="s">
        <v>1171</v>
      </c>
      <c r="E1639" s="27">
        <v>43650</v>
      </c>
      <c r="F1639" s="28" t="s">
        <v>1179</v>
      </c>
      <c r="G1639" s="26"/>
      <c r="H1639" s="26"/>
      <c r="I1639" s="23"/>
      <c r="J1639" s="29">
        <f ca="1">ROUNDDOWN(表3[[#This Row],[日期]]-TODAY(),1)</f>
        <v>-127</v>
      </c>
    </row>
    <row r="1640" spans="1:10" hidden="1" x14ac:dyDescent="0.2">
      <c r="A1640" s="23" t="s">
        <v>2831</v>
      </c>
      <c r="B1640" s="25">
        <v>43656</v>
      </c>
      <c r="C1640" s="26">
        <v>4</v>
      </c>
      <c r="D1640" s="7" t="s">
        <v>514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-127</v>
      </c>
    </row>
    <row r="1641" spans="1:10" hidden="1" x14ac:dyDescent="0.2">
      <c r="A1641" s="23" t="s">
        <v>2831</v>
      </c>
      <c r="B1641" s="25">
        <v>43656</v>
      </c>
      <c r="C1641" s="26">
        <v>5</v>
      </c>
      <c r="D1641" s="7" t="s">
        <v>1170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-127</v>
      </c>
    </row>
    <row r="1642" spans="1:10" hidden="1" x14ac:dyDescent="0.2">
      <c r="A1642" s="23" t="s">
        <v>2831</v>
      </c>
      <c r="B1642" s="25">
        <v>43656</v>
      </c>
      <c r="C1642" s="26">
        <v>6</v>
      </c>
      <c r="D1642" s="7" t="s">
        <v>519</v>
      </c>
      <c r="E1642" s="27">
        <v>43654</v>
      </c>
      <c r="F1642" s="28" t="s">
        <v>242</v>
      </c>
      <c r="G1642" s="26"/>
      <c r="H1642" s="26"/>
      <c r="I1642" s="23" t="s">
        <v>529</v>
      </c>
      <c r="J1642" s="29">
        <f ca="1">ROUNDDOWN(表3[[#This Row],[日期]]-TODAY(),1)</f>
        <v>-123</v>
      </c>
    </row>
    <row r="1643" spans="1:10" hidden="1" x14ac:dyDescent="0.2">
      <c r="A1643" s="23" t="s">
        <v>2831</v>
      </c>
      <c r="B1643" s="25">
        <v>43656</v>
      </c>
      <c r="C1643" s="26">
        <v>7</v>
      </c>
      <c r="D1643" s="7" t="s">
        <v>978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-123</v>
      </c>
    </row>
    <row r="1644" spans="1:10" hidden="1" x14ac:dyDescent="0.2">
      <c r="A1644" s="23" t="s">
        <v>2831</v>
      </c>
      <c r="B1644" s="25">
        <v>43656</v>
      </c>
      <c r="C1644" s="26">
        <v>8</v>
      </c>
      <c r="D1644" s="7" t="s">
        <v>523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-123</v>
      </c>
    </row>
    <row r="1645" spans="1:10" hidden="1" x14ac:dyDescent="0.2">
      <c r="A1645" s="23" t="s">
        <v>2831</v>
      </c>
      <c r="B1645" s="25">
        <v>43656</v>
      </c>
      <c r="C1645" s="26">
        <v>9</v>
      </c>
      <c r="D1645" s="7" t="s">
        <v>305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-121</v>
      </c>
    </row>
    <row r="1646" spans="1:10" hidden="1" x14ac:dyDescent="0.2">
      <c r="A1646" s="23" t="s">
        <v>2831</v>
      </c>
      <c r="B1646" s="25">
        <v>43656</v>
      </c>
      <c r="C1646" s="26">
        <v>10</v>
      </c>
      <c r="D1646" s="7" t="s">
        <v>527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-120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975</v>
      </c>
      <c r="G1647" s="26"/>
      <c r="H1647" s="26"/>
      <c r="I1647" s="23"/>
      <c r="J1647" s="29">
        <f ca="1">ROUNDDOWN(表3[[#This Row],[日期]]-TODAY(),1)</f>
        <v>-134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975</v>
      </c>
      <c r="G1648" s="26"/>
      <c r="H1648" s="26"/>
      <c r="I1648" s="23"/>
      <c r="J1648" s="29">
        <f ca="1">ROUNDDOWN(表3[[#This Row],[日期]]-TODAY(),1)</f>
        <v>-134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-133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-134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-133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1002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-130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972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-130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973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-129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1268</v>
      </c>
      <c r="E1655" s="27">
        <v>43648</v>
      </c>
      <c r="F1655" s="28" t="s">
        <v>1270</v>
      </c>
      <c r="G1655" s="26"/>
      <c r="H1655" s="26"/>
      <c r="I1655" s="23"/>
      <c r="J1655" s="29">
        <f ca="1">ROUNDDOWN(表3[[#This Row],[日期]]-TODAY(),1)</f>
        <v>-129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1269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-129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-128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-129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-129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974</v>
      </c>
      <c r="E1660" s="27">
        <v>43649</v>
      </c>
      <c r="F1660" s="28" t="s">
        <v>242</v>
      </c>
      <c r="G1660" s="26"/>
      <c r="H1660" s="26"/>
      <c r="I1660" s="23" t="s">
        <v>256</v>
      </c>
      <c r="J1660" s="29">
        <f ca="1">ROUNDDOWN(表3[[#This Row],[日期]]-TODAY(),1)</f>
        <v>-128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261</v>
      </c>
      <c r="E1661" s="27">
        <v>43651</v>
      </c>
      <c r="F1661" s="28" t="s">
        <v>242</v>
      </c>
      <c r="G1661" s="26"/>
      <c r="H1661" s="26"/>
      <c r="I1661" s="23" t="s">
        <v>259</v>
      </c>
      <c r="J1661" s="29">
        <f ca="1">ROUNDDOWN(表3[[#This Row],[日期]]-TODAY(),1)</f>
        <v>-126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263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-126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265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-126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279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-126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281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-126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283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-126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267</v>
      </c>
      <c r="E1667" s="27">
        <v>43651</v>
      </c>
      <c r="F1667" s="28" t="s">
        <v>1182</v>
      </c>
      <c r="G1667" s="26"/>
      <c r="H1667" s="26"/>
      <c r="I1667" s="23"/>
      <c r="J1667" s="29">
        <f ca="1">ROUNDDOWN(表3[[#This Row],[日期]]-TODAY(),1)</f>
        <v>-126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269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-125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271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-125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273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-123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275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-122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277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-120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1466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-116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1598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-116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1440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-119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927</v>
      </c>
      <c r="E1676" s="27">
        <v>43647</v>
      </c>
      <c r="F1676" s="28" t="s">
        <v>1073</v>
      </c>
      <c r="G1676" s="26"/>
      <c r="H1676" s="26"/>
      <c r="I1676" s="23" t="s">
        <v>27</v>
      </c>
      <c r="J1676" s="29">
        <f ca="1">ROUNDDOWN(表3[[#This Row],[日期]]-TODAY(),1)</f>
        <v>-130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-128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-129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-129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-129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-129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-128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-128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928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-123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1184</v>
      </c>
      <c r="G1685" s="26"/>
      <c r="H1685" s="26"/>
      <c r="I1685" s="23"/>
      <c r="J1685" s="29">
        <f ca="1">ROUNDDOWN(表3[[#This Row],[日期]]-TODAY(),1)</f>
        <v>-123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1290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-123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1184</v>
      </c>
      <c r="G1687" s="26"/>
      <c r="H1687" s="26"/>
      <c r="I1687" s="23"/>
      <c r="J1687" s="29">
        <f ca="1">ROUNDDOWN(表3[[#This Row],[日期]]-TODAY(),1)</f>
        <v>-123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1184</v>
      </c>
      <c r="G1688" s="26"/>
      <c r="H1688" s="26"/>
      <c r="I1688" s="23"/>
      <c r="J1688" s="29">
        <f ca="1">ROUNDDOWN(表3[[#This Row],[日期]]-TODAY(),1)</f>
        <v>-123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1184</v>
      </c>
      <c r="G1689" s="26"/>
      <c r="H1689" s="26"/>
      <c r="I1689" s="23"/>
      <c r="J1689" s="29">
        <f ca="1">ROUNDDOWN(表3[[#This Row],[日期]]-TODAY(),1)</f>
        <v>-123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1184</v>
      </c>
      <c r="G1690" s="26"/>
      <c r="H1690" s="26"/>
      <c r="I1690" s="23"/>
      <c r="J1690" s="29">
        <f ca="1">ROUNDDOWN(表3[[#This Row],[日期]]-TODAY(),1)</f>
        <v>-123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1184</v>
      </c>
      <c r="G1691" s="26"/>
      <c r="H1691" s="26"/>
      <c r="I1691" s="23"/>
      <c r="J1691" s="29">
        <f ca="1">ROUNDDOWN(表3[[#This Row],[日期]]-TODAY(),1)</f>
        <v>-123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929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-122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-122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-122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930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-122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-122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931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-122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759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-122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-122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-122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-122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-122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-122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-122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-122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932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-122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933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-122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1071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-122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-122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-122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1072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-121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-121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-121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-120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-120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934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-120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305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-119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1223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-119</v>
      </c>
    </row>
    <row r="1719" spans="1:10" hidden="1" x14ac:dyDescent="0.2">
      <c r="A1719" s="23" t="s">
        <v>1019</v>
      </c>
      <c r="B1719" s="25">
        <v>43658</v>
      </c>
      <c r="C1719" s="26">
        <v>1</v>
      </c>
      <c r="D1719" s="7" t="s">
        <v>583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-130</v>
      </c>
    </row>
    <row r="1720" spans="1:10" hidden="1" x14ac:dyDescent="0.2">
      <c r="A1720" s="23" t="s">
        <v>1019</v>
      </c>
      <c r="B1720" s="25">
        <v>43658</v>
      </c>
      <c r="C1720" s="26">
        <v>2</v>
      </c>
      <c r="D1720" s="7" t="s">
        <v>578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-129</v>
      </c>
    </row>
    <row r="1721" spans="1:10" hidden="1" x14ac:dyDescent="0.2">
      <c r="A1721" s="23" t="s">
        <v>1019</v>
      </c>
      <c r="B1721" s="25">
        <v>43658</v>
      </c>
      <c r="C1721" s="26">
        <v>3</v>
      </c>
      <c r="D1721" s="7" t="s">
        <v>580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-129</v>
      </c>
    </row>
    <row r="1722" spans="1:10" hidden="1" x14ac:dyDescent="0.2">
      <c r="A1722" s="23" t="s">
        <v>1019</v>
      </c>
      <c r="B1722" s="25">
        <v>43658</v>
      </c>
      <c r="C1722" s="26">
        <v>4</v>
      </c>
      <c r="D1722" s="7" t="s">
        <v>1065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-128</v>
      </c>
    </row>
    <row r="1723" spans="1:10" hidden="1" x14ac:dyDescent="0.2">
      <c r="A1723" s="23" t="s">
        <v>1019</v>
      </c>
      <c r="B1723" s="25">
        <v>43658</v>
      </c>
      <c r="C1723" s="26">
        <v>5</v>
      </c>
      <c r="D1723" s="7" t="s">
        <v>1118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-128</v>
      </c>
    </row>
    <row r="1724" spans="1:10" hidden="1" x14ac:dyDescent="0.2">
      <c r="A1724" s="23" t="s">
        <v>1019</v>
      </c>
      <c r="B1724" s="25">
        <v>43658</v>
      </c>
      <c r="C1724" s="26">
        <v>5.0999999999999996</v>
      </c>
      <c r="D1724" s="7" t="s">
        <v>1090</v>
      </c>
      <c r="E1724" s="27">
        <v>43654</v>
      </c>
      <c r="F1724" s="28" t="s">
        <v>287</v>
      </c>
      <c r="G1724" s="26"/>
      <c r="H1724" s="26"/>
      <c r="I1724" s="23"/>
      <c r="J1724" s="29">
        <f ca="1">ROUNDDOWN(表3[[#This Row],[日期]]-TODAY(),1)</f>
        <v>-123</v>
      </c>
    </row>
    <row r="1725" spans="1:10" hidden="1" x14ac:dyDescent="0.2">
      <c r="A1725" s="23" t="s">
        <v>1019</v>
      </c>
      <c r="B1725" s="25">
        <v>43658</v>
      </c>
      <c r="C1725" s="26">
        <v>6</v>
      </c>
      <c r="D1725" s="7" t="s">
        <v>332</v>
      </c>
      <c r="E1725" s="27">
        <v>43654</v>
      </c>
      <c r="F1725" s="28" t="s">
        <v>287</v>
      </c>
      <c r="G1725" s="26"/>
      <c r="H1725" s="26"/>
      <c r="I1725" s="23"/>
      <c r="J1725" s="29">
        <f ca="1">ROUNDDOWN(表3[[#This Row],[日期]]-TODAY(),1)</f>
        <v>-123</v>
      </c>
    </row>
    <row r="1726" spans="1:10" hidden="1" x14ac:dyDescent="0.2">
      <c r="A1726" s="23" t="s">
        <v>1019</v>
      </c>
      <c r="B1726" s="25">
        <v>43658</v>
      </c>
      <c r="C1726" s="26">
        <v>7</v>
      </c>
      <c r="D1726" s="7" t="s">
        <v>441</v>
      </c>
      <c r="E1726" s="27">
        <v>43654</v>
      </c>
      <c r="F1726" s="28" t="s">
        <v>287</v>
      </c>
      <c r="G1726" s="26"/>
      <c r="H1726" s="26"/>
      <c r="I1726" s="23"/>
      <c r="J1726" s="29">
        <f ca="1">ROUNDDOWN(表3[[#This Row],[日期]]-TODAY(),1)</f>
        <v>-123</v>
      </c>
    </row>
    <row r="1727" spans="1:10" hidden="1" x14ac:dyDescent="0.2">
      <c r="A1727" s="23" t="s">
        <v>1019</v>
      </c>
      <c r="B1727" s="25">
        <v>43658</v>
      </c>
      <c r="C1727" s="26">
        <v>8</v>
      </c>
      <c r="D1727" s="7" t="s">
        <v>572</v>
      </c>
      <c r="E1727" s="27">
        <v>43654</v>
      </c>
      <c r="F1727" s="28" t="s">
        <v>287</v>
      </c>
      <c r="G1727" s="26"/>
      <c r="H1727" s="26"/>
      <c r="I1727" s="23" t="s">
        <v>444</v>
      </c>
      <c r="J1727" s="29">
        <f ca="1">ROUNDDOWN(表3[[#This Row],[日期]]-TODAY(),1)</f>
        <v>-123</v>
      </c>
    </row>
    <row r="1728" spans="1:10" hidden="1" x14ac:dyDescent="0.2">
      <c r="A1728" s="23" t="s">
        <v>1019</v>
      </c>
      <c r="B1728" s="25">
        <v>43658</v>
      </c>
      <c r="C1728" s="26">
        <v>9</v>
      </c>
      <c r="D1728" s="7" t="s">
        <v>574</v>
      </c>
      <c r="E1728" s="27">
        <v>43654</v>
      </c>
      <c r="F1728" s="28" t="s">
        <v>287</v>
      </c>
      <c r="G1728" s="26"/>
      <c r="H1728" s="26"/>
      <c r="I1728" s="23"/>
      <c r="J1728" s="29">
        <f ca="1">ROUNDDOWN(表3[[#This Row],[日期]]-TODAY(),1)</f>
        <v>-123</v>
      </c>
    </row>
    <row r="1729" spans="1:10" hidden="1" x14ac:dyDescent="0.2">
      <c r="A1729" s="23" t="s">
        <v>1019</v>
      </c>
      <c r="B1729" s="25">
        <v>43658</v>
      </c>
      <c r="C1729" s="26">
        <v>10</v>
      </c>
      <c r="D1729" s="7" t="s">
        <v>1020</v>
      </c>
      <c r="E1729" s="27">
        <v>43654</v>
      </c>
      <c r="F1729" s="28" t="s">
        <v>287</v>
      </c>
      <c r="G1729" s="26"/>
      <c r="H1729" s="26"/>
      <c r="I1729" s="23"/>
      <c r="J1729" s="29">
        <f ca="1">ROUNDDOWN(表3[[#This Row],[日期]]-TODAY(),1)</f>
        <v>-123</v>
      </c>
    </row>
    <row r="1730" spans="1:10" hidden="1" x14ac:dyDescent="0.2">
      <c r="A1730" s="23" t="s">
        <v>1019</v>
      </c>
      <c r="B1730" s="25">
        <v>43658</v>
      </c>
      <c r="C1730" s="26">
        <v>11</v>
      </c>
      <c r="D1730" s="7" t="s">
        <v>585</v>
      </c>
      <c r="E1730" s="27">
        <v>43654</v>
      </c>
      <c r="F1730" s="28" t="s">
        <v>287</v>
      </c>
      <c r="G1730" s="26"/>
      <c r="H1730" s="26"/>
      <c r="I1730" s="23"/>
      <c r="J1730" s="29">
        <f ca="1">ROUNDDOWN(表3[[#This Row],[日期]]-TODAY(),1)</f>
        <v>-123</v>
      </c>
    </row>
    <row r="1731" spans="1:10" hidden="1" x14ac:dyDescent="0.2">
      <c r="A1731" s="23" t="s">
        <v>1019</v>
      </c>
      <c r="B1731" s="25">
        <v>43658</v>
      </c>
      <c r="C1731" s="26">
        <v>12</v>
      </c>
      <c r="D1731" s="7" t="s">
        <v>587</v>
      </c>
      <c r="E1731" s="27">
        <v>43654</v>
      </c>
      <c r="F1731" s="28" t="s">
        <v>287</v>
      </c>
      <c r="G1731" s="26"/>
      <c r="H1731" s="26"/>
      <c r="I1731" s="23"/>
      <c r="J1731" s="29">
        <f ca="1">ROUNDDOWN(表3[[#This Row],[日期]]-TODAY(),1)</f>
        <v>-123</v>
      </c>
    </row>
    <row r="1732" spans="1:10" hidden="1" x14ac:dyDescent="0.2">
      <c r="A1732" s="23" t="s">
        <v>1019</v>
      </c>
      <c r="B1732" s="25">
        <v>43658</v>
      </c>
      <c r="C1732" s="26">
        <v>13</v>
      </c>
      <c r="D1732" s="7" t="s">
        <v>589</v>
      </c>
      <c r="E1732" s="27">
        <v>43654</v>
      </c>
      <c r="F1732" s="28" t="s">
        <v>287</v>
      </c>
      <c r="G1732" s="26"/>
      <c r="H1732" s="26"/>
      <c r="I1732" s="23"/>
      <c r="J1732" s="29">
        <f ca="1">ROUNDDOWN(表3[[#This Row],[日期]]-TODAY(),1)</f>
        <v>-123</v>
      </c>
    </row>
    <row r="1733" spans="1:10" hidden="1" x14ac:dyDescent="0.2">
      <c r="A1733" s="23" t="s">
        <v>1019</v>
      </c>
      <c r="B1733" s="25">
        <v>43658</v>
      </c>
      <c r="C1733" s="26">
        <v>14</v>
      </c>
      <c r="D1733" s="7" t="s">
        <v>591</v>
      </c>
      <c r="E1733" s="27">
        <v>43654</v>
      </c>
      <c r="F1733" s="28" t="s">
        <v>287</v>
      </c>
      <c r="G1733" s="26"/>
      <c r="H1733" s="26"/>
      <c r="I1733" s="23"/>
      <c r="J1733" s="29">
        <f ca="1">ROUNDDOWN(表3[[#This Row],[日期]]-TODAY(),1)</f>
        <v>-123</v>
      </c>
    </row>
    <row r="1734" spans="1:10" hidden="1" x14ac:dyDescent="0.2">
      <c r="A1734" s="23" t="s">
        <v>1019</v>
      </c>
      <c r="B1734" s="25">
        <v>43658</v>
      </c>
      <c r="C1734" s="26">
        <v>15</v>
      </c>
      <c r="D1734" s="7" t="s">
        <v>593</v>
      </c>
      <c r="E1734" s="27">
        <v>43654</v>
      </c>
      <c r="F1734" s="28" t="s">
        <v>287</v>
      </c>
      <c r="G1734" s="26"/>
      <c r="H1734" s="26"/>
      <c r="I1734" s="23"/>
      <c r="J1734" s="29">
        <f ca="1">ROUNDDOWN(表3[[#This Row],[日期]]-TODAY(),1)</f>
        <v>-123</v>
      </c>
    </row>
    <row r="1735" spans="1:10" hidden="1" x14ac:dyDescent="0.2">
      <c r="A1735" s="23" t="s">
        <v>1019</v>
      </c>
      <c r="B1735" s="25">
        <v>43658</v>
      </c>
      <c r="C1735" s="26">
        <v>16</v>
      </c>
      <c r="D1735" s="7" t="s">
        <v>595</v>
      </c>
      <c r="E1735" s="27">
        <v>43654</v>
      </c>
      <c r="F1735" s="28" t="s">
        <v>287</v>
      </c>
      <c r="G1735" s="26"/>
      <c r="H1735" s="26"/>
      <c r="I1735" s="23"/>
      <c r="J1735" s="29">
        <f ca="1">ROUNDDOWN(表3[[#This Row],[日期]]-TODAY(),1)</f>
        <v>-123</v>
      </c>
    </row>
    <row r="1736" spans="1:10" hidden="1" x14ac:dyDescent="0.2">
      <c r="A1736" s="23" t="s">
        <v>1019</v>
      </c>
      <c r="B1736" s="25">
        <v>43658</v>
      </c>
      <c r="C1736" s="26">
        <v>17</v>
      </c>
      <c r="D1736" s="7" t="s">
        <v>597</v>
      </c>
      <c r="E1736" s="27">
        <v>43654</v>
      </c>
      <c r="F1736" s="28" t="s">
        <v>287</v>
      </c>
      <c r="G1736" s="26"/>
      <c r="H1736" s="26"/>
      <c r="I1736" s="23"/>
      <c r="J1736" s="29">
        <f ca="1">ROUNDDOWN(表3[[#This Row],[日期]]-TODAY(),1)</f>
        <v>-123</v>
      </c>
    </row>
    <row r="1737" spans="1:10" hidden="1" x14ac:dyDescent="0.2">
      <c r="A1737" s="23" t="s">
        <v>1019</v>
      </c>
      <c r="B1737" s="25">
        <v>43658</v>
      </c>
      <c r="C1737" s="26">
        <v>18</v>
      </c>
      <c r="D1737" s="7" t="s">
        <v>313</v>
      </c>
      <c r="E1737" s="27">
        <v>43654</v>
      </c>
      <c r="F1737" s="28" t="s">
        <v>287</v>
      </c>
      <c r="G1737" s="26"/>
      <c r="H1737" s="26"/>
      <c r="I1737" s="23"/>
      <c r="J1737" s="29">
        <f ca="1">ROUNDDOWN(表3[[#This Row],[日期]]-TODAY(),1)</f>
        <v>-123</v>
      </c>
    </row>
    <row r="1738" spans="1:10" hidden="1" x14ac:dyDescent="0.2">
      <c r="A1738" s="23" t="s">
        <v>1019</v>
      </c>
      <c r="B1738" s="25">
        <v>43658</v>
      </c>
      <c r="C1738" s="26">
        <v>19</v>
      </c>
      <c r="D1738" s="7" t="s">
        <v>338</v>
      </c>
      <c r="E1738" s="27">
        <v>43654</v>
      </c>
      <c r="F1738" s="28" t="s">
        <v>287</v>
      </c>
      <c r="G1738" s="26"/>
      <c r="H1738" s="26"/>
      <c r="I1738" s="23"/>
      <c r="J1738" s="29">
        <f ca="1">ROUNDDOWN(表3[[#This Row],[日期]]-TODAY(),1)</f>
        <v>-123</v>
      </c>
    </row>
    <row r="1739" spans="1:10" hidden="1" x14ac:dyDescent="0.2">
      <c r="A1739" s="23" t="s">
        <v>1019</v>
      </c>
      <c r="B1739" s="25">
        <v>43658</v>
      </c>
      <c r="C1739" s="26">
        <v>20</v>
      </c>
      <c r="D1739" s="7" t="s">
        <v>576</v>
      </c>
      <c r="E1739" s="27">
        <v>43654</v>
      </c>
      <c r="F1739" s="28" t="s">
        <v>287</v>
      </c>
      <c r="G1739" s="26"/>
      <c r="H1739" s="26"/>
      <c r="I1739" s="23"/>
      <c r="J1739" s="29">
        <f ca="1">ROUNDDOWN(表3[[#This Row],[日期]]-TODAY(),1)</f>
        <v>-123</v>
      </c>
    </row>
    <row r="1740" spans="1:10" hidden="1" x14ac:dyDescent="0.2">
      <c r="A1740" s="23" t="s">
        <v>1019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287</v>
      </c>
      <c r="G1740" s="26"/>
      <c r="H1740" s="26"/>
      <c r="I1740" s="23"/>
      <c r="J1740" s="29">
        <f ca="1">ROUNDDOWN(表3[[#This Row],[日期]]-TODAY(),1)</f>
        <v>-123</v>
      </c>
    </row>
    <row r="1741" spans="1:10" hidden="1" x14ac:dyDescent="0.2">
      <c r="A1741" s="23" t="s">
        <v>1019</v>
      </c>
      <c r="B1741" s="25">
        <v>43658</v>
      </c>
      <c r="C1741" s="26">
        <v>22</v>
      </c>
      <c r="D1741" s="7" t="s">
        <v>271</v>
      </c>
      <c r="E1741" s="27">
        <v>43654</v>
      </c>
      <c r="F1741" s="28" t="s">
        <v>287</v>
      </c>
      <c r="G1741" s="26"/>
      <c r="H1741" s="26"/>
      <c r="I1741" s="23"/>
      <c r="J1741" s="29">
        <f ca="1">ROUNDDOWN(表3[[#This Row],[日期]]-TODAY(),1)</f>
        <v>-123</v>
      </c>
    </row>
    <row r="1742" spans="1:10" hidden="1" x14ac:dyDescent="0.2">
      <c r="A1742" s="23" t="s">
        <v>1019</v>
      </c>
      <c r="B1742" s="25">
        <v>43658</v>
      </c>
      <c r="C1742" s="26">
        <v>23</v>
      </c>
      <c r="D1742" s="7" t="s">
        <v>273</v>
      </c>
      <c r="E1742" s="27">
        <v>43654</v>
      </c>
      <c r="F1742" s="28" t="s">
        <v>287</v>
      </c>
      <c r="G1742" s="26"/>
      <c r="H1742" s="26"/>
      <c r="I1742" s="23"/>
      <c r="J1742" s="29">
        <f ca="1">ROUNDDOWN(表3[[#This Row],[日期]]-TODAY(),1)</f>
        <v>-123</v>
      </c>
    </row>
    <row r="1743" spans="1:10" hidden="1" x14ac:dyDescent="0.2">
      <c r="A1743" s="23" t="s">
        <v>1019</v>
      </c>
      <c r="B1743" s="25">
        <v>43658</v>
      </c>
      <c r="C1743" s="26">
        <v>24</v>
      </c>
      <c r="D1743" s="7" t="s">
        <v>275</v>
      </c>
      <c r="E1743" s="27">
        <v>43654</v>
      </c>
      <c r="F1743" s="28" t="s">
        <v>287</v>
      </c>
      <c r="G1743" s="26"/>
      <c r="H1743" s="26"/>
      <c r="I1743" s="23"/>
      <c r="J1743" s="29">
        <f ca="1">ROUNDDOWN(表3[[#This Row],[日期]]-TODAY(),1)</f>
        <v>-123</v>
      </c>
    </row>
    <row r="1744" spans="1:10" hidden="1" x14ac:dyDescent="0.2">
      <c r="A1744" s="23" t="s">
        <v>1019</v>
      </c>
      <c r="B1744" s="25">
        <v>43658</v>
      </c>
      <c r="C1744" s="26">
        <v>25</v>
      </c>
      <c r="D1744" s="7" t="s">
        <v>857</v>
      </c>
      <c r="E1744" s="27">
        <v>43654</v>
      </c>
      <c r="F1744" s="28" t="s">
        <v>287</v>
      </c>
      <c r="G1744" s="26"/>
      <c r="H1744" s="26"/>
      <c r="I1744" s="23"/>
      <c r="J1744" s="29">
        <f ca="1">ROUNDDOWN(表3[[#This Row],[日期]]-TODAY(),1)</f>
        <v>-123</v>
      </c>
    </row>
    <row r="1745" spans="1:10" hidden="1" x14ac:dyDescent="0.2">
      <c r="A1745" s="23" t="s">
        <v>1019</v>
      </c>
      <c r="B1745" s="25">
        <v>43658</v>
      </c>
      <c r="C1745" s="26">
        <v>26</v>
      </c>
      <c r="D1745" s="7" t="s">
        <v>859</v>
      </c>
      <c r="E1745" s="27">
        <v>43654</v>
      </c>
      <c r="F1745" s="28" t="s">
        <v>287</v>
      </c>
      <c r="G1745" s="26"/>
      <c r="H1745" s="26"/>
      <c r="I1745" s="23"/>
      <c r="J1745" s="29">
        <f ca="1">ROUNDDOWN(表3[[#This Row],[日期]]-TODAY(),1)</f>
        <v>-123</v>
      </c>
    </row>
    <row r="1746" spans="1:10" hidden="1" x14ac:dyDescent="0.2">
      <c r="A1746" s="23" t="s">
        <v>1019</v>
      </c>
      <c r="B1746" s="25">
        <v>43658</v>
      </c>
      <c r="C1746" s="26">
        <v>27</v>
      </c>
      <c r="D1746" s="7" t="s">
        <v>600</v>
      </c>
      <c r="E1746" s="27">
        <v>43654</v>
      </c>
      <c r="F1746" s="28" t="s">
        <v>287</v>
      </c>
      <c r="G1746" s="26"/>
      <c r="H1746" s="26"/>
      <c r="I1746" s="23"/>
      <c r="J1746" s="29">
        <f ca="1">ROUNDDOWN(表3[[#This Row],[日期]]-TODAY(),1)</f>
        <v>-123</v>
      </c>
    </row>
    <row r="1747" spans="1:10" hidden="1" x14ac:dyDescent="0.2">
      <c r="A1747" s="23" t="s">
        <v>1019</v>
      </c>
      <c r="B1747" s="25">
        <v>43658</v>
      </c>
      <c r="C1747" s="26">
        <v>28</v>
      </c>
      <c r="D1747" s="7" t="s">
        <v>602</v>
      </c>
      <c r="E1747" s="27">
        <v>43654</v>
      </c>
      <c r="F1747" s="28" t="s">
        <v>287</v>
      </c>
      <c r="G1747" s="26"/>
      <c r="H1747" s="26"/>
      <c r="I1747" s="23"/>
      <c r="J1747" s="29">
        <f ca="1">ROUNDDOWN(表3[[#This Row],[日期]]-TODAY(),1)</f>
        <v>-123</v>
      </c>
    </row>
    <row r="1748" spans="1:10" hidden="1" x14ac:dyDescent="0.2">
      <c r="A1748" s="23" t="s">
        <v>1019</v>
      </c>
      <c r="B1748" s="25">
        <v>43658</v>
      </c>
      <c r="C1748" s="26">
        <v>29</v>
      </c>
      <c r="D1748" s="7" t="s">
        <v>305</v>
      </c>
      <c r="E1748" s="27">
        <v>43654</v>
      </c>
      <c r="F1748" s="28" t="s">
        <v>287</v>
      </c>
      <c r="G1748" s="26"/>
      <c r="H1748" s="26"/>
      <c r="I1748" s="23"/>
      <c r="J1748" s="29">
        <f ca="1">ROUNDDOWN(表3[[#This Row],[日期]]-TODAY(),1)</f>
        <v>-123</v>
      </c>
    </row>
    <row r="1749" spans="1:10" hidden="1" x14ac:dyDescent="0.2">
      <c r="A1749" s="23" t="s">
        <v>1019</v>
      </c>
      <c r="B1749" s="25">
        <v>43658</v>
      </c>
      <c r="C1749" s="26">
        <v>30</v>
      </c>
      <c r="D1749" s="7" t="s">
        <v>1021</v>
      </c>
      <c r="E1749" s="27">
        <v>43654</v>
      </c>
      <c r="F1749" s="28" t="s">
        <v>287</v>
      </c>
      <c r="G1749" s="26"/>
      <c r="H1749" s="26"/>
      <c r="I1749" s="23"/>
      <c r="J1749" s="29">
        <f ca="1">ROUNDDOWN(表3[[#This Row],[日期]]-TODAY(),1)</f>
        <v>-123</v>
      </c>
    </row>
    <row r="1750" spans="1:10" hidden="1" x14ac:dyDescent="0.2">
      <c r="A1750" s="23" t="s">
        <v>2831</v>
      </c>
      <c r="B1750" s="25">
        <v>43660</v>
      </c>
      <c r="C1750" s="26">
        <v>1</v>
      </c>
      <c r="D1750" s="7" t="s">
        <v>507</v>
      </c>
      <c r="E1750" s="27">
        <v>43655</v>
      </c>
      <c r="F1750" s="28" t="s">
        <v>1302</v>
      </c>
      <c r="G1750" s="26"/>
      <c r="H1750" s="26"/>
      <c r="I1750" s="23"/>
      <c r="J1750" s="29">
        <f ca="1">ROUNDDOWN(表3[[#This Row],[日期]]-TODAY(),1)</f>
        <v>-122</v>
      </c>
    </row>
    <row r="1751" spans="1:10" hidden="1" x14ac:dyDescent="0.2">
      <c r="A1751" s="23" t="s">
        <v>2831</v>
      </c>
      <c r="B1751" s="25">
        <v>43660</v>
      </c>
      <c r="C1751" s="26">
        <v>2</v>
      </c>
      <c r="D1751" s="7" t="s">
        <v>510</v>
      </c>
      <c r="E1751" s="27">
        <v>43655</v>
      </c>
      <c r="F1751" s="28" t="s">
        <v>1302</v>
      </c>
      <c r="G1751" s="26"/>
      <c r="H1751" s="26"/>
      <c r="I1751" s="23"/>
      <c r="J1751" s="29">
        <f ca="1">ROUNDDOWN(表3[[#This Row],[日期]]-TODAY(),1)</f>
        <v>-122</v>
      </c>
    </row>
    <row r="1752" spans="1:10" hidden="1" x14ac:dyDescent="0.2">
      <c r="A1752" s="23" t="s">
        <v>2831</v>
      </c>
      <c r="B1752" s="25">
        <v>43660</v>
      </c>
      <c r="C1752" s="26">
        <v>3</v>
      </c>
      <c r="D1752" s="7" t="s">
        <v>977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-122</v>
      </c>
    </row>
    <row r="1753" spans="1:10" hidden="1" x14ac:dyDescent="0.2">
      <c r="A1753" s="23" t="s">
        <v>2831</v>
      </c>
      <c r="B1753" s="25">
        <v>43660</v>
      </c>
      <c r="C1753" s="26">
        <v>4</v>
      </c>
      <c r="D1753" s="7" t="s">
        <v>514</v>
      </c>
      <c r="E1753" s="27">
        <v>43655</v>
      </c>
      <c r="F1753" s="28" t="s">
        <v>1302</v>
      </c>
      <c r="G1753" s="26"/>
      <c r="H1753" s="26"/>
      <c r="I1753" s="23"/>
      <c r="J1753" s="29">
        <f ca="1">ROUNDDOWN(表3[[#This Row],[日期]]-TODAY(),1)</f>
        <v>-122</v>
      </c>
    </row>
    <row r="1754" spans="1:10" hidden="1" x14ac:dyDescent="0.2">
      <c r="A1754" s="23" t="s">
        <v>2831</v>
      </c>
      <c r="B1754" s="25">
        <v>43660</v>
      </c>
      <c r="C1754" s="26">
        <v>5</v>
      </c>
      <c r="D1754" s="7" t="s">
        <v>517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-122</v>
      </c>
    </row>
    <row r="1755" spans="1:10" hidden="1" x14ac:dyDescent="0.2">
      <c r="A1755" s="23" t="s">
        <v>2831</v>
      </c>
      <c r="B1755" s="25">
        <v>43660</v>
      </c>
      <c r="C1755" s="26">
        <v>6</v>
      </c>
      <c r="D1755" s="7" t="s">
        <v>519</v>
      </c>
      <c r="E1755" s="27">
        <v>43658</v>
      </c>
      <c r="F1755" s="28" t="s">
        <v>242</v>
      </c>
      <c r="G1755" s="26"/>
      <c r="H1755" s="26"/>
      <c r="I1755" s="26" t="s">
        <v>529</v>
      </c>
      <c r="J1755" s="29">
        <f ca="1">ROUNDDOWN(表3[[#This Row],[日期]]-TODAY(),1)</f>
        <v>-119</v>
      </c>
    </row>
    <row r="1756" spans="1:10" hidden="1" x14ac:dyDescent="0.2">
      <c r="A1756" s="23" t="s">
        <v>2831</v>
      </c>
      <c r="B1756" s="25">
        <v>43660</v>
      </c>
      <c r="C1756" s="26">
        <v>7</v>
      </c>
      <c r="D1756" s="7" t="s">
        <v>978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-119</v>
      </c>
    </row>
    <row r="1757" spans="1:10" hidden="1" x14ac:dyDescent="0.2">
      <c r="A1757" s="23" t="s">
        <v>2831</v>
      </c>
      <c r="B1757" s="25">
        <v>43660</v>
      </c>
      <c r="C1757" s="26">
        <v>8</v>
      </c>
      <c r="D1757" s="7" t="s">
        <v>1297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-119</v>
      </c>
    </row>
    <row r="1758" spans="1:10" hidden="1" x14ac:dyDescent="0.2">
      <c r="A1758" s="23" t="s">
        <v>2831</v>
      </c>
      <c r="B1758" s="25">
        <v>43660</v>
      </c>
      <c r="C1758" s="26">
        <v>9</v>
      </c>
      <c r="D1758" s="7" t="s">
        <v>1298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-119</v>
      </c>
    </row>
    <row r="1759" spans="1:10" hidden="1" x14ac:dyDescent="0.2">
      <c r="A1759" s="23" t="s">
        <v>2831</v>
      </c>
      <c r="B1759" s="25">
        <v>43660</v>
      </c>
      <c r="C1759" s="26">
        <v>10</v>
      </c>
      <c r="D1759" s="7" t="s">
        <v>1299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-119</v>
      </c>
    </row>
    <row r="1760" spans="1:10" hidden="1" x14ac:dyDescent="0.2">
      <c r="A1760" s="23" t="s">
        <v>2831</v>
      </c>
      <c r="B1760" s="25">
        <v>43660</v>
      </c>
      <c r="C1760" s="26">
        <v>11</v>
      </c>
      <c r="D1760" s="7" t="s">
        <v>1300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-119</v>
      </c>
    </row>
    <row r="1761" spans="1:10" hidden="1" x14ac:dyDescent="0.2">
      <c r="A1761" s="23" t="s">
        <v>2831</v>
      </c>
      <c r="B1761" s="25">
        <v>43660</v>
      </c>
      <c r="C1761" s="26">
        <v>12</v>
      </c>
      <c r="D1761" s="7" t="s">
        <v>1301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-119</v>
      </c>
    </row>
    <row r="1762" spans="1:10" hidden="1" x14ac:dyDescent="0.2">
      <c r="A1762" s="23" t="s">
        <v>2831</v>
      </c>
      <c r="B1762" s="25">
        <v>43660</v>
      </c>
      <c r="C1762" s="26">
        <v>13</v>
      </c>
      <c r="D1762" s="7" t="s">
        <v>523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-119</v>
      </c>
    </row>
    <row r="1763" spans="1:10" hidden="1" x14ac:dyDescent="0.2">
      <c r="A1763" s="23" t="s">
        <v>2831</v>
      </c>
      <c r="B1763" s="25">
        <v>43660</v>
      </c>
      <c r="C1763" s="26">
        <v>14</v>
      </c>
      <c r="D1763" s="7" t="s">
        <v>305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-117</v>
      </c>
    </row>
    <row r="1764" spans="1:10" hidden="1" x14ac:dyDescent="0.2">
      <c r="A1764" s="4" t="s">
        <v>2831</v>
      </c>
      <c r="B1764" s="25">
        <v>43660</v>
      </c>
      <c r="C1764" s="12">
        <v>15</v>
      </c>
      <c r="D1764" s="38" t="s">
        <v>1572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-116</v>
      </c>
    </row>
    <row r="1765" spans="1:10" hidden="1" x14ac:dyDescent="0.2">
      <c r="A1765" s="4" t="s">
        <v>2831</v>
      </c>
      <c r="B1765" s="25">
        <v>43660</v>
      </c>
      <c r="C1765" s="12">
        <v>16</v>
      </c>
      <c r="D1765" s="38" t="s">
        <v>1570</v>
      </c>
      <c r="E1765" s="39">
        <v>43661</v>
      </c>
      <c r="F1765" s="40" t="s">
        <v>242</v>
      </c>
      <c r="G1765" s="12">
        <v>4</v>
      </c>
      <c r="H1765" s="12"/>
      <c r="I1765" s="4" t="s">
        <v>1528</v>
      </c>
      <c r="J1765" s="41">
        <f ca="1">ROUNDDOWN(表3[[#This Row],[日期]]-TODAY(),1)</f>
        <v>-116</v>
      </c>
    </row>
    <row r="1766" spans="1:10" hidden="1" x14ac:dyDescent="0.2">
      <c r="A1766" s="23" t="s">
        <v>1013</v>
      </c>
      <c r="B1766" s="25">
        <v>43661</v>
      </c>
      <c r="C1766" s="26">
        <v>1</v>
      </c>
      <c r="D1766" s="7" t="s">
        <v>1247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-127</v>
      </c>
    </row>
    <row r="1767" spans="1:10" hidden="1" x14ac:dyDescent="0.2">
      <c r="A1767" s="23" t="s">
        <v>985</v>
      </c>
      <c r="B1767" s="25">
        <v>43661</v>
      </c>
      <c r="C1767" s="26">
        <v>2</v>
      </c>
      <c r="D1767" s="7" t="s">
        <v>1037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-125</v>
      </c>
    </row>
    <row r="1768" spans="1:10" hidden="1" x14ac:dyDescent="0.2">
      <c r="A1768" s="23" t="s">
        <v>985</v>
      </c>
      <c r="B1768" s="25">
        <v>43661</v>
      </c>
      <c r="C1768" s="26">
        <v>3</v>
      </c>
      <c r="D1768" s="7" t="s">
        <v>1321</v>
      </c>
      <c r="E1768" s="27">
        <v>43656</v>
      </c>
      <c r="F1768" s="28" t="s">
        <v>242</v>
      </c>
      <c r="G1768" s="26"/>
      <c r="H1768" s="26"/>
      <c r="I1768" s="23" t="s">
        <v>1350</v>
      </c>
      <c r="J1768" s="29">
        <f ca="1">ROUNDDOWN(表3[[#This Row],[日期]]-TODAY(),1)</f>
        <v>-121</v>
      </c>
    </row>
    <row r="1769" spans="1:10" hidden="1" x14ac:dyDescent="0.2">
      <c r="A1769" s="23" t="s">
        <v>985</v>
      </c>
      <c r="B1769" s="25">
        <v>43661</v>
      </c>
      <c r="C1769" s="26">
        <v>4</v>
      </c>
      <c r="D1769" s="7" t="s">
        <v>1248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-122</v>
      </c>
    </row>
    <row r="1770" spans="1:10" hidden="1" x14ac:dyDescent="0.2">
      <c r="A1770" s="23" t="s">
        <v>985</v>
      </c>
      <c r="B1770" s="25">
        <v>43661</v>
      </c>
      <c r="C1770" s="26">
        <v>4</v>
      </c>
      <c r="D1770" s="7" t="s">
        <v>1348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-120</v>
      </c>
    </row>
    <row r="1771" spans="1:10" hidden="1" x14ac:dyDescent="0.2">
      <c r="A1771" s="23" t="s">
        <v>985</v>
      </c>
      <c r="B1771" s="25">
        <v>43661</v>
      </c>
      <c r="C1771" s="26">
        <v>5</v>
      </c>
      <c r="D1771" s="7" t="s">
        <v>736</v>
      </c>
      <c r="E1771" s="27">
        <v>43658</v>
      </c>
      <c r="F1771" s="28" t="s">
        <v>242</v>
      </c>
      <c r="G1771" s="26"/>
      <c r="H1771" s="26"/>
      <c r="I1771" s="23" t="s">
        <v>1346</v>
      </c>
      <c r="J1771" s="29">
        <f ca="1">ROUNDDOWN(表3[[#This Row],[日期]]-TODAY(),1)</f>
        <v>-119</v>
      </c>
    </row>
    <row r="1772" spans="1:10" hidden="1" x14ac:dyDescent="0.2">
      <c r="A1772" s="23" t="s">
        <v>985</v>
      </c>
      <c r="B1772" s="25">
        <v>43661</v>
      </c>
      <c r="C1772" s="26">
        <v>6</v>
      </c>
      <c r="D1772" s="7" t="s">
        <v>1414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-119</v>
      </c>
    </row>
    <row r="1773" spans="1:10" hidden="1" x14ac:dyDescent="0.2">
      <c r="A1773" s="23" t="s">
        <v>985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-119</v>
      </c>
    </row>
    <row r="1774" spans="1:10" hidden="1" x14ac:dyDescent="0.2">
      <c r="A1774" s="23" t="s">
        <v>985</v>
      </c>
      <c r="B1774" s="25">
        <v>43661</v>
      </c>
      <c r="C1774" s="26">
        <v>8</v>
      </c>
      <c r="D1774" s="7" t="s">
        <v>309</v>
      </c>
      <c r="E1774" s="27">
        <v>43658</v>
      </c>
      <c r="F1774" s="28" t="s">
        <v>1184</v>
      </c>
      <c r="G1774" s="26"/>
      <c r="H1774" s="26"/>
      <c r="I1774" s="23"/>
      <c r="J1774" s="29">
        <f ca="1">ROUNDDOWN(表3[[#This Row],[日期]]-TODAY(),1)</f>
        <v>-119</v>
      </c>
    </row>
    <row r="1775" spans="1:10" hidden="1" x14ac:dyDescent="0.2">
      <c r="A1775" s="23" t="s">
        <v>985</v>
      </c>
      <c r="B1775" s="25">
        <v>43661</v>
      </c>
      <c r="C1775" s="26">
        <v>9</v>
      </c>
      <c r="D1775" s="7" t="s">
        <v>1419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-119</v>
      </c>
    </row>
    <row r="1776" spans="1:10" hidden="1" x14ac:dyDescent="0.2">
      <c r="A1776" s="23" t="s">
        <v>985</v>
      </c>
      <c r="B1776" s="25">
        <v>43661</v>
      </c>
      <c r="C1776" s="26">
        <v>10</v>
      </c>
      <c r="D1776" s="7" t="s">
        <v>1249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-118</v>
      </c>
    </row>
    <row r="1777" spans="1:10" hidden="1" x14ac:dyDescent="0.2">
      <c r="A1777" s="23" t="s">
        <v>985</v>
      </c>
      <c r="B1777" s="25">
        <v>43661</v>
      </c>
      <c r="C1777" s="26">
        <v>11</v>
      </c>
      <c r="D1777" s="7" t="s">
        <v>1347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-118</v>
      </c>
    </row>
    <row r="1778" spans="1:10" hidden="1" x14ac:dyDescent="0.2">
      <c r="A1778" s="23" t="s">
        <v>985</v>
      </c>
      <c r="B1778" s="25">
        <v>43661</v>
      </c>
      <c r="C1778" s="26">
        <v>12</v>
      </c>
      <c r="D1778" s="7" t="s">
        <v>313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-118</v>
      </c>
    </row>
    <row r="1779" spans="1:10" hidden="1" x14ac:dyDescent="0.2">
      <c r="A1779" s="23" t="s">
        <v>985</v>
      </c>
      <c r="B1779" s="25">
        <v>43661</v>
      </c>
      <c r="C1779" s="26">
        <v>13</v>
      </c>
      <c r="D1779" s="7" t="s">
        <v>271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-118</v>
      </c>
    </row>
    <row r="1780" spans="1:10" hidden="1" x14ac:dyDescent="0.2">
      <c r="A1780" s="23" t="s">
        <v>985</v>
      </c>
      <c r="B1780" s="25">
        <v>43661</v>
      </c>
      <c r="C1780" s="26">
        <v>14</v>
      </c>
      <c r="D1780" s="7" t="s">
        <v>273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-116</v>
      </c>
    </row>
    <row r="1781" spans="1:10" hidden="1" x14ac:dyDescent="0.2">
      <c r="A1781" s="23" t="s">
        <v>985</v>
      </c>
      <c r="B1781" s="25">
        <v>43661</v>
      </c>
      <c r="C1781" s="26">
        <v>15</v>
      </c>
      <c r="D1781" s="7" t="s">
        <v>275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-115</v>
      </c>
    </row>
    <row r="1782" spans="1:10" hidden="1" x14ac:dyDescent="0.2">
      <c r="A1782" s="23" t="s">
        <v>985</v>
      </c>
      <c r="B1782" s="25">
        <v>43661</v>
      </c>
      <c r="C1782" s="26">
        <v>16</v>
      </c>
      <c r="D1782" s="7" t="s">
        <v>1650</v>
      </c>
      <c r="E1782" s="27">
        <v>43663</v>
      </c>
      <c r="F1782" s="28" t="s">
        <v>1642</v>
      </c>
      <c r="G1782" s="26"/>
      <c r="H1782" s="26"/>
      <c r="I1782" s="23"/>
      <c r="J1782" s="29">
        <f ca="1">ROUNDDOWN(表3[[#This Row],[日期]]-TODAY(),1)</f>
        <v>-114</v>
      </c>
    </row>
    <row r="1783" spans="1:10" hidden="1" x14ac:dyDescent="0.2">
      <c r="A1783" s="23" t="s">
        <v>985</v>
      </c>
      <c r="B1783" s="25">
        <v>43661</v>
      </c>
      <c r="C1783" s="26">
        <v>17</v>
      </c>
      <c r="D1783" s="7" t="s">
        <v>1651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-114</v>
      </c>
    </row>
    <row r="1784" spans="1:10" hidden="1" x14ac:dyDescent="0.2">
      <c r="A1784" s="23" t="s">
        <v>985</v>
      </c>
      <c r="B1784" s="25">
        <v>43661</v>
      </c>
      <c r="C1784" s="26">
        <v>17</v>
      </c>
      <c r="D1784" s="7" t="s">
        <v>1659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-106</v>
      </c>
    </row>
    <row r="1785" spans="1:10" hidden="1" x14ac:dyDescent="0.2">
      <c r="A1785" s="23" t="s">
        <v>985</v>
      </c>
      <c r="B1785" s="25">
        <v>43661</v>
      </c>
      <c r="C1785" s="26">
        <v>17</v>
      </c>
      <c r="D1785" s="7" t="s">
        <v>1651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-114</v>
      </c>
    </row>
    <row r="1786" spans="1:10" hidden="1" x14ac:dyDescent="0.2">
      <c r="A1786" s="23" t="s">
        <v>985</v>
      </c>
      <c r="B1786" s="25">
        <v>43661</v>
      </c>
      <c r="C1786" s="26">
        <v>18</v>
      </c>
      <c r="D1786" s="7" t="s">
        <v>305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-114</v>
      </c>
    </row>
    <row r="1787" spans="1:10" hidden="1" x14ac:dyDescent="0.2">
      <c r="A1787" s="23" t="s">
        <v>985</v>
      </c>
      <c r="B1787" s="25">
        <v>43661</v>
      </c>
      <c r="C1787" s="12">
        <v>19</v>
      </c>
      <c r="D1787" s="38" t="s">
        <v>1887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-102</v>
      </c>
    </row>
    <row r="1788" spans="1:10" hidden="1" x14ac:dyDescent="0.2">
      <c r="A1788" s="23" t="s">
        <v>985</v>
      </c>
      <c r="B1788" s="25">
        <v>43661</v>
      </c>
      <c r="C1788" s="12">
        <v>20</v>
      </c>
      <c r="D1788" s="38" t="s">
        <v>2124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-95</v>
      </c>
    </row>
    <row r="1789" spans="1:10" hidden="1" x14ac:dyDescent="0.2">
      <c r="A1789" s="23" t="s">
        <v>985</v>
      </c>
      <c r="B1789" s="25">
        <v>43661</v>
      </c>
      <c r="C1789" s="12">
        <v>21</v>
      </c>
      <c r="D1789" s="38" t="s">
        <v>2140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-95</v>
      </c>
    </row>
    <row r="1790" spans="1:10" hidden="1" x14ac:dyDescent="0.2">
      <c r="A1790" s="23" t="s">
        <v>985</v>
      </c>
      <c r="B1790" s="25">
        <v>43661</v>
      </c>
      <c r="C1790" s="12">
        <v>22</v>
      </c>
      <c r="D1790" s="38" t="s">
        <v>2125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-95</v>
      </c>
    </row>
    <row r="1791" spans="1:10" hidden="1" x14ac:dyDescent="0.2">
      <c r="A1791" s="23" t="s">
        <v>2847</v>
      </c>
      <c r="B1791" s="25">
        <v>43661</v>
      </c>
      <c r="C1791" s="26">
        <v>1</v>
      </c>
      <c r="D1791" s="7" t="s">
        <v>1476</v>
      </c>
      <c r="E1791" s="27">
        <v>43658</v>
      </c>
      <c r="F1791" s="28" t="s">
        <v>1517</v>
      </c>
      <c r="G1791" s="26"/>
      <c r="H1791" s="26"/>
      <c r="I1791" s="23" t="s">
        <v>222</v>
      </c>
      <c r="J1791" s="29">
        <f ca="1">ROUNDDOWN(表3[[#This Row],[日期]]-TODAY(),1)</f>
        <v>-119</v>
      </c>
    </row>
    <row r="1792" spans="1:10" hidden="1" x14ac:dyDescent="0.2">
      <c r="A1792" s="23" t="s">
        <v>2847</v>
      </c>
      <c r="B1792" s="25">
        <v>43661</v>
      </c>
      <c r="C1792" s="26">
        <v>2</v>
      </c>
      <c r="D1792" s="7" t="s">
        <v>745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-116</v>
      </c>
    </row>
    <row r="1793" spans="1:10" hidden="1" x14ac:dyDescent="0.2">
      <c r="A1793" s="23" t="s">
        <v>2847</v>
      </c>
      <c r="B1793" s="25">
        <v>43661</v>
      </c>
      <c r="C1793" s="26">
        <v>3</v>
      </c>
      <c r="D1793" s="7" t="s">
        <v>1475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-116</v>
      </c>
    </row>
    <row r="1794" spans="1:10" hidden="1" x14ac:dyDescent="0.2">
      <c r="A1794" s="23" t="s">
        <v>2847</v>
      </c>
      <c r="B1794" s="25">
        <v>43661</v>
      </c>
      <c r="C1794" s="26">
        <v>4</v>
      </c>
      <c r="D1794" s="7" t="s">
        <v>1477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-116</v>
      </c>
    </row>
    <row r="1795" spans="1:10" hidden="1" x14ac:dyDescent="0.2">
      <c r="A1795" s="23" t="s">
        <v>2847</v>
      </c>
      <c r="B1795" s="25">
        <v>43661</v>
      </c>
      <c r="C1795" s="26">
        <v>5</v>
      </c>
      <c r="D1795" s="7" t="s">
        <v>1478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-116</v>
      </c>
    </row>
    <row r="1796" spans="1:10" hidden="1" x14ac:dyDescent="0.2">
      <c r="A1796" s="23" t="s">
        <v>2847</v>
      </c>
      <c r="B1796" s="25">
        <v>43661</v>
      </c>
      <c r="C1796" s="26">
        <v>6</v>
      </c>
      <c r="D1796" s="7" t="s">
        <v>899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-116</v>
      </c>
    </row>
    <row r="1797" spans="1:10" hidden="1" x14ac:dyDescent="0.2">
      <c r="A1797" s="23" t="s">
        <v>2847</v>
      </c>
      <c r="B1797" s="25">
        <v>43661</v>
      </c>
      <c r="C1797" s="26">
        <v>7</v>
      </c>
      <c r="D1797" s="7" t="s">
        <v>1027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-116</v>
      </c>
    </row>
    <row r="1798" spans="1:10" hidden="1" x14ac:dyDescent="0.2">
      <c r="A1798" s="23" t="s">
        <v>2847</v>
      </c>
      <c r="B1798" s="25">
        <v>43661</v>
      </c>
      <c r="C1798" s="26">
        <v>8</v>
      </c>
      <c r="D1798" s="7" t="s">
        <v>738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-116</v>
      </c>
    </row>
    <row r="1799" spans="1:10" hidden="1" x14ac:dyDescent="0.2">
      <c r="A1799" s="4" t="s">
        <v>2847</v>
      </c>
      <c r="B1799" s="37">
        <v>43661</v>
      </c>
      <c r="C1799" s="12">
        <v>9</v>
      </c>
      <c r="D1799" s="38" t="s">
        <v>1606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-115</v>
      </c>
    </row>
    <row r="1800" spans="1:10" hidden="1" x14ac:dyDescent="0.2">
      <c r="A1800" s="4" t="s">
        <v>2847</v>
      </c>
      <c r="B1800" s="37">
        <v>43661</v>
      </c>
      <c r="C1800" s="12">
        <v>10</v>
      </c>
      <c r="D1800" s="38" t="s">
        <v>1619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-115</v>
      </c>
    </row>
    <row r="1801" spans="1:10" hidden="1" x14ac:dyDescent="0.2">
      <c r="A1801" s="23" t="s">
        <v>2847</v>
      </c>
      <c r="B1801" s="25">
        <v>43661</v>
      </c>
      <c r="C1801" s="26">
        <v>11</v>
      </c>
      <c r="D1801" s="7" t="s">
        <v>738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-114</v>
      </c>
    </row>
    <row r="1802" spans="1:10" hidden="1" x14ac:dyDescent="0.2">
      <c r="A1802" s="4" t="s">
        <v>2847</v>
      </c>
      <c r="B1802" s="37">
        <v>43661</v>
      </c>
      <c r="C1802" s="12">
        <v>12</v>
      </c>
      <c r="D1802" s="38" t="s">
        <v>1615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-114</v>
      </c>
    </row>
    <row r="1803" spans="1:10" hidden="1" x14ac:dyDescent="0.2">
      <c r="A1803" s="4" t="s">
        <v>2847</v>
      </c>
      <c r="B1803" s="37">
        <v>43661</v>
      </c>
      <c r="C1803" s="12">
        <v>13</v>
      </c>
      <c r="D1803" s="38" t="s">
        <v>1634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-114</v>
      </c>
    </row>
    <row r="1804" spans="1:10" hidden="1" x14ac:dyDescent="0.2">
      <c r="A1804" s="4" t="s">
        <v>2847</v>
      </c>
      <c r="B1804" s="37">
        <v>43661</v>
      </c>
      <c r="C1804" s="12">
        <v>14</v>
      </c>
      <c r="D1804" s="38" t="s">
        <v>1649</v>
      </c>
      <c r="E1804" s="39">
        <v>43663</v>
      </c>
      <c r="F1804" s="40" t="s">
        <v>1184</v>
      </c>
      <c r="G1804" s="12">
        <v>3</v>
      </c>
      <c r="H1804" s="12"/>
      <c r="J1804" s="41">
        <f ca="1">ROUNDDOWN(表3[[#This Row],[日期]]-TODAY(),1)</f>
        <v>-114</v>
      </c>
    </row>
    <row r="1805" spans="1:10" hidden="1" x14ac:dyDescent="0.2">
      <c r="A1805" s="4" t="s">
        <v>2847</v>
      </c>
      <c r="B1805" s="37">
        <v>43661</v>
      </c>
      <c r="C1805" s="12">
        <v>15</v>
      </c>
      <c r="D1805" s="38" t="s">
        <v>1652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-114</v>
      </c>
    </row>
    <row r="1806" spans="1:10" hidden="1" x14ac:dyDescent="0.2">
      <c r="A1806" s="4" t="s">
        <v>2847</v>
      </c>
      <c r="B1806" s="37">
        <v>43661</v>
      </c>
      <c r="C1806" s="12">
        <v>16</v>
      </c>
      <c r="D1806" s="38" t="s">
        <v>1671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-114</v>
      </c>
    </row>
    <row r="1807" spans="1:10" hidden="1" x14ac:dyDescent="0.2">
      <c r="A1807" s="23" t="s">
        <v>2847</v>
      </c>
      <c r="B1807" s="25">
        <v>43661</v>
      </c>
      <c r="C1807" s="26">
        <v>17</v>
      </c>
      <c r="D1807" s="7" t="s">
        <v>1025</v>
      </c>
      <c r="E1807" s="27">
        <v>43664</v>
      </c>
      <c r="F1807" s="28" t="s">
        <v>242</v>
      </c>
      <c r="G1807" s="26">
        <v>0</v>
      </c>
      <c r="H1807" s="26"/>
      <c r="I1807" s="23" t="s">
        <v>743</v>
      </c>
      <c r="J1807" s="29">
        <f ca="1">ROUNDDOWN(表3[[#This Row],[日期]]-TODAY(),1)</f>
        <v>-113</v>
      </c>
    </row>
    <row r="1808" spans="1:10" hidden="1" x14ac:dyDescent="0.2">
      <c r="A1808" s="23" t="s">
        <v>2847</v>
      </c>
      <c r="B1808" s="25">
        <v>43661</v>
      </c>
      <c r="C1808" s="26">
        <v>18</v>
      </c>
      <c r="D1808" s="7" t="s">
        <v>899</v>
      </c>
      <c r="E1808" s="27">
        <v>43664</v>
      </c>
      <c r="F1808" s="28" t="s">
        <v>242</v>
      </c>
      <c r="G1808" s="26">
        <v>4</v>
      </c>
      <c r="H1808" s="26"/>
      <c r="I1808" s="23" t="s">
        <v>743</v>
      </c>
      <c r="J1808" s="29">
        <f ca="1">ROUNDDOWN(表3[[#This Row],[日期]]-TODAY(),1)</f>
        <v>-113</v>
      </c>
    </row>
    <row r="1809" spans="1:10" hidden="1" x14ac:dyDescent="0.2">
      <c r="A1809" s="4" t="s">
        <v>2847</v>
      </c>
      <c r="B1809" s="37">
        <v>43661</v>
      </c>
      <c r="C1809" s="12">
        <v>19</v>
      </c>
      <c r="D1809" s="38" t="s">
        <v>1672</v>
      </c>
      <c r="E1809" s="39">
        <v>43664</v>
      </c>
      <c r="F1809" s="40" t="s">
        <v>1642</v>
      </c>
      <c r="G1809" s="12"/>
      <c r="H1809" s="12"/>
      <c r="J1809" s="41">
        <f ca="1">ROUNDDOWN(表3[[#This Row],[日期]]-TODAY(),1)</f>
        <v>-113</v>
      </c>
    </row>
    <row r="1810" spans="1:10" hidden="1" x14ac:dyDescent="0.2">
      <c r="A1810" s="23" t="s">
        <v>2847</v>
      </c>
      <c r="B1810" s="25">
        <v>43661</v>
      </c>
      <c r="C1810" s="26">
        <v>20</v>
      </c>
      <c r="D1810" s="7" t="s">
        <v>738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-112</v>
      </c>
    </row>
    <row r="1811" spans="1:10" hidden="1" x14ac:dyDescent="0.2">
      <c r="A1811" s="23" t="s">
        <v>2847</v>
      </c>
      <c r="B1811" s="25">
        <v>43661</v>
      </c>
      <c r="C1811" s="26">
        <v>21</v>
      </c>
      <c r="D1811" s="7" t="s">
        <v>1026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-112</v>
      </c>
    </row>
    <row r="1812" spans="1:10" hidden="1" x14ac:dyDescent="0.2">
      <c r="A1812" s="23" t="s">
        <v>2847</v>
      </c>
      <c r="B1812" s="25">
        <v>43661</v>
      </c>
      <c r="C1812" s="26">
        <v>22</v>
      </c>
      <c r="D1812" s="7" t="s">
        <v>900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-112</v>
      </c>
    </row>
    <row r="1813" spans="1:10" hidden="1" x14ac:dyDescent="0.2">
      <c r="A1813" s="4" t="s">
        <v>2847</v>
      </c>
      <c r="B1813" s="37">
        <v>43661</v>
      </c>
      <c r="C1813" s="12">
        <v>23</v>
      </c>
      <c r="D1813" s="38" t="s">
        <v>1636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-112</v>
      </c>
    </row>
    <row r="1814" spans="1:10" hidden="1" x14ac:dyDescent="0.2">
      <c r="A1814" s="23" t="s">
        <v>2847</v>
      </c>
      <c r="B1814" s="25">
        <v>43661</v>
      </c>
      <c r="C1814" s="26">
        <v>24</v>
      </c>
      <c r="D1814" s="7" t="s">
        <v>1031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-109</v>
      </c>
    </row>
    <row r="1815" spans="1:10" hidden="1" x14ac:dyDescent="0.2">
      <c r="A1815" s="23" t="s">
        <v>2847</v>
      </c>
      <c r="B1815" s="25">
        <v>43661</v>
      </c>
      <c r="C1815" s="26">
        <v>25</v>
      </c>
      <c r="D1815" s="7" t="s">
        <v>1356</v>
      </c>
      <c r="E1815" s="27">
        <v>43668</v>
      </c>
      <c r="F1815" s="28" t="s">
        <v>1184</v>
      </c>
      <c r="G1815" s="26">
        <v>5</v>
      </c>
      <c r="H1815" s="26"/>
      <c r="I1815" s="23"/>
      <c r="J1815" s="29">
        <f ca="1">ROUNDDOWN(表3[[#This Row],[日期]]-TODAY(),1)</f>
        <v>-109</v>
      </c>
    </row>
    <row r="1816" spans="1:10" hidden="1" x14ac:dyDescent="0.2">
      <c r="A1816" s="23" t="s">
        <v>1022</v>
      </c>
      <c r="B1816" s="25">
        <v>43661.041666666664</v>
      </c>
      <c r="C1816" s="26">
        <v>1</v>
      </c>
      <c r="D1816" s="7" t="s">
        <v>1134</v>
      </c>
      <c r="E1816" s="27">
        <v>43648</v>
      </c>
      <c r="F1816" s="28" t="s">
        <v>1132</v>
      </c>
      <c r="G1816" s="26"/>
      <c r="H1816" s="26"/>
      <c r="I1816" s="23"/>
      <c r="J1816" s="29">
        <f ca="1">ROUNDDOWN(表3[[#This Row],[日期]]-TODAY(),1)</f>
        <v>-129</v>
      </c>
    </row>
    <row r="1817" spans="1:10" hidden="1" x14ac:dyDescent="0.2">
      <c r="A1817" s="23" t="s">
        <v>1022</v>
      </c>
      <c r="B1817" s="25">
        <v>43661.041666666664</v>
      </c>
      <c r="C1817" s="26">
        <v>2</v>
      </c>
      <c r="D1817" s="7" t="s">
        <v>1251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-123</v>
      </c>
    </row>
    <row r="1818" spans="1:10" hidden="1" x14ac:dyDescent="0.2">
      <c r="A1818" s="23" t="s">
        <v>1022</v>
      </c>
      <c r="B1818" s="25">
        <v>43661.041666666664</v>
      </c>
      <c r="C1818" s="26">
        <v>3</v>
      </c>
      <c r="D1818" s="7" t="s">
        <v>1252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-123</v>
      </c>
    </row>
    <row r="1819" spans="1:10" hidden="1" x14ac:dyDescent="0.2">
      <c r="A1819" s="23" t="s">
        <v>1022</v>
      </c>
      <c r="B1819" s="25">
        <v>43661.041666666664</v>
      </c>
      <c r="C1819" s="26">
        <v>4</v>
      </c>
      <c r="D1819" s="7" t="s">
        <v>1321</v>
      </c>
      <c r="E1819" s="27">
        <v>43656</v>
      </c>
      <c r="F1819" s="28" t="s">
        <v>242</v>
      </c>
      <c r="G1819" s="26"/>
      <c r="H1819" s="26"/>
      <c r="I1819" s="23" t="s">
        <v>1349</v>
      </c>
      <c r="J1819" s="29">
        <f ca="1">ROUNDDOWN(表3[[#This Row],[日期]]-TODAY(),1)</f>
        <v>-121</v>
      </c>
    </row>
    <row r="1820" spans="1:10" hidden="1" x14ac:dyDescent="0.2">
      <c r="A1820" s="23" t="s">
        <v>985</v>
      </c>
      <c r="B1820" s="25">
        <v>43661.041666666664</v>
      </c>
      <c r="C1820" s="26">
        <v>5</v>
      </c>
      <c r="D1820" s="7" t="s">
        <v>1253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-122</v>
      </c>
    </row>
    <row r="1821" spans="1:10" hidden="1" x14ac:dyDescent="0.2">
      <c r="A1821" s="23" t="s">
        <v>1022</v>
      </c>
      <c r="B1821" s="25">
        <v>43661.041666666664</v>
      </c>
      <c r="C1821" s="26">
        <v>6</v>
      </c>
      <c r="D1821" s="7" t="s">
        <v>1369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-120</v>
      </c>
    </row>
    <row r="1822" spans="1:10" hidden="1" x14ac:dyDescent="0.2">
      <c r="A1822" s="23" t="s">
        <v>1022</v>
      </c>
      <c r="B1822" s="25">
        <v>43661.041666666664</v>
      </c>
      <c r="C1822" s="26">
        <v>7</v>
      </c>
      <c r="D1822" s="7" t="s">
        <v>867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-120</v>
      </c>
    </row>
    <row r="1823" spans="1:10" hidden="1" x14ac:dyDescent="0.2">
      <c r="A1823" s="23" t="s">
        <v>1022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-120</v>
      </c>
    </row>
    <row r="1824" spans="1:10" hidden="1" x14ac:dyDescent="0.2">
      <c r="A1824" s="23" t="s">
        <v>1022</v>
      </c>
      <c r="B1824" s="25">
        <v>43661.041666666664</v>
      </c>
      <c r="C1824" s="26">
        <v>9</v>
      </c>
      <c r="D1824" s="7" t="s">
        <v>309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-120</v>
      </c>
    </row>
    <row r="1825" spans="1:10" hidden="1" x14ac:dyDescent="0.2">
      <c r="A1825" s="23" t="s">
        <v>1022</v>
      </c>
      <c r="B1825" s="25">
        <v>43661.041666666664</v>
      </c>
      <c r="C1825" s="26">
        <v>10</v>
      </c>
      <c r="D1825" s="7" t="s">
        <v>1249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-118</v>
      </c>
    </row>
    <row r="1826" spans="1:10" hidden="1" x14ac:dyDescent="0.2">
      <c r="A1826" s="23" t="s">
        <v>1022</v>
      </c>
      <c r="B1826" s="25">
        <v>43661.041666666664</v>
      </c>
      <c r="C1826" s="26">
        <v>11</v>
      </c>
      <c r="D1826" s="7" t="s">
        <v>868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-118</v>
      </c>
    </row>
    <row r="1827" spans="1:10" hidden="1" x14ac:dyDescent="0.2">
      <c r="A1827" s="23" t="s">
        <v>1022</v>
      </c>
      <c r="B1827" s="25">
        <v>43661.041666666664</v>
      </c>
      <c r="C1827" s="26">
        <v>12</v>
      </c>
      <c r="D1827" s="7" t="s">
        <v>313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-118</v>
      </c>
    </row>
    <row r="1828" spans="1:10" hidden="1" x14ac:dyDescent="0.2">
      <c r="A1828" s="23" t="s">
        <v>1022</v>
      </c>
      <c r="B1828" s="25">
        <v>43661.041666666664</v>
      </c>
      <c r="C1828" s="26">
        <v>13</v>
      </c>
      <c r="D1828" s="7" t="s">
        <v>271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-118</v>
      </c>
    </row>
    <row r="1829" spans="1:10" hidden="1" x14ac:dyDescent="0.2">
      <c r="A1829" s="23" t="s">
        <v>1022</v>
      </c>
      <c r="B1829" s="25">
        <v>43661.041666666664</v>
      </c>
      <c r="C1829" s="26">
        <v>14</v>
      </c>
      <c r="D1829" s="7" t="s">
        <v>273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-116</v>
      </c>
    </row>
    <row r="1830" spans="1:10" hidden="1" x14ac:dyDescent="0.2">
      <c r="A1830" s="23" t="s">
        <v>1022</v>
      </c>
      <c r="B1830" s="25">
        <v>43661.041666666664</v>
      </c>
      <c r="C1830" s="26">
        <v>15</v>
      </c>
      <c r="D1830" s="7" t="s">
        <v>275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-115</v>
      </c>
    </row>
    <row r="1831" spans="1:10" hidden="1" x14ac:dyDescent="0.2">
      <c r="A1831" s="23" t="s">
        <v>1022</v>
      </c>
      <c r="B1831" s="25">
        <v>43661.041666666664</v>
      </c>
      <c r="C1831" s="26">
        <v>16</v>
      </c>
      <c r="D1831" s="7" t="s">
        <v>1659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-106</v>
      </c>
    </row>
    <row r="1832" spans="1:10" hidden="1" x14ac:dyDescent="0.2">
      <c r="A1832" s="23" t="s">
        <v>1022</v>
      </c>
      <c r="B1832" s="25">
        <v>43661.041666666664</v>
      </c>
      <c r="C1832" s="26">
        <v>17</v>
      </c>
      <c r="D1832" s="7" t="s">
        <v>305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-114</v>
      </c>
    </row>
    <row r="1833" spans="1:10" hidden="1" x14ac:dyDescent="0.2">
      <c r="A1833" s="23" t="s">
        <v>1022</v>
      </c>
      <c r="B1833" s="25">
        <v>43661.041666666664</v>
      </c>
      <c r="C1833" s="12">
        <v>18</v>
      </c>
      <c r="D1833" s="38" t="s">
        <v>1887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-102</v>
      </c>
    </row>
    <row r="1834" spans="1:10" hidden="1" x14ac:dyDescent="0.2">
      <c r="A1834" s="23" t="s">
        <v>1181</v>
      </c>
      <c r="B1834" s="25">
        <v>43663</v>
      </c>
      <c r="C1834" s="26">
        <v>1</v>
      </c>
      <c r="D1834" s="7" t="s">
        <v>364</v>
      </c>
      <c r="E1834" s="27">
        <v>43651</v>
      </c>
      <c r="F1834" s="28" t="s">
        <v>1182</v>
      </c>
      <c r="G1834" s="26"/>
      <c r="H1834" s="26"/>
      <c r="I1834" s="23"/>
      <c r="J1834" s="29">
        <f ca="1">ROUNDDOWN(表3[[#This Row],[日期]]-TODAY(),1)</f>
        <v>-126</v>
      </c>
    </row>
    <row r="1835" spans="1:10" hidden="1" x14ac:dyDescent="0.2">
      <c r="A1835" s="23" t="s">
        <v>1181</v>
      </c>
      <c r="B1835" s="25">
        <v>43663</v>
      </c>
      <c r="C1835" s="26">
        <v>2</v>
      </c>
      <c r="D1835" s="7" t="s">
        <v>863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-122</v>
      </c>
    </row>
    <row r="1836" spans="1:10" hidden="1" x14ac:dyDescent="0.2">
      <c r="A1836" s="23" t="s">
        <v>1181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-125</v>
      </c>
    </row>
    <row r="1837" spans="1:10" hidden="1" x14ac:dyDescent="0.2">
      <c r="A1837" s="23" t="s">
        <v>1181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-120</v>
      </c>
    </row>
    <row r="1838" spans="1:10" hidden="1" x14ac:dyDescent="0.2">
      <c r="A1838" s="23" t="s">
        <v>1181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-120</v>
      </c>
    </row>
    <row r="1839" spans="1:10" hidden="1" x14ac:dyDescent="0.2">
      <c r="A1839" s="23" t="s">
        <v>1181</v>
      </c>
      <c r="B1839" s="25">
        <v>43663</v>
      </c>
      <c r="C1839" s="26">
        <v>6</v>
      </c>
      <c r="D1839" s="7" t="s">
        <v>864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-120</v>
      </c>
    </row>
    <row r="1840" spans="1:10" hidden="1" x14ac:dyDescent="0.2">
      <c r="A1840" s="23" t="s">
        <v>1181</v>
      </c>
      <c r="B1840" s="25">
        <v>43663</v>
      </c>
      <c r="C1840" s="26">
        <v>7</v>
      </c>
      <c r="D1840" s="7" t="s">
        <v>1130</v>
      </c>
      <c r="E1840" s="27">
        <v>43658</v>
      </c>
      <c r="F1840" s="28" t="s">
        <v>242</v>
      </c>
      <c r="G1840" s="26"/>
      <c r="H1840" s="26"/>
      <c r="I1840" s="23" t="s">
        <v>1131</v>
      </c>
      <c r="J1840" s="29">
        <f ca="1">ROUNDDOWN(表3[[#This Row],[日期]]-TODAY(),1)</f>
        <v>-119</v>
      </c>
    </row>
    <row r="1841" spans="1:10" hidden="1" x14ac:dyDescent="0.2">
      <c r="A1841" s="23" t="s">
        <v>1181</v>
      </c>
      <c r="B1841" s="25">
        <v>43663</v>
      </c>
      <c r="C1841" s="26">
        <v>8</v>
      </c>
      <c r="D1841" s="7" t="s">
        <v>307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-119</v>
      </c>
    </row>
    <row r="1842" spans="1:10" hidden="1" x14ac:dyDescent="0.2">
      <c r="A1842" s="23" t="s">
        <v>1181</v>
      </c>
      <c r="B1842" s="25">
        <v>43663</v>
      </c>
      <c r="C1842" s="26">
        <v>9</v>
      </c>
      <c r="D1842" s="7" t="s">
        <v>865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-119</v>
      </c>
    </row>
    <row r="1843" spans="1:10" hidden="1" x14ac:dyDescent="0.2">
      <c r="A1843" s="23" t="s">
        <v>1181</v>
      </c>
      <c r="B1843" s="25">
        <v>43663</v>
      </c>
      <c r="C1843" s="26">
        <v>10</v>
      </c>
      <c r="D1843" s="7" t="s">
        <v>866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-119</v>
      </c>
    </row>
    <row r="1844" spans="1:10" hidden="1" x14ac:dyDescent="0.2">
      <c r="A1844" s="23" t="s">
        <v>1181</v>
      </c>
      <c r="B1844" s="25">
        <v>43663</v>
      </c>
      <c r="C1844" s="26">
        <v>11</v>
      </c>
      <c r="D1844" s="7" t="s">
        <v>309</v>
      </c>
      <c r="E1844" s="27">
        <v>43658</v>
      </c>
      <c r="F1844" s="28" t="s">
        <v>1184</v>
      </c>
      <c r="G1844" s="26"/>
      <c r="H1844" s="26"/>
      <c r="I1844" s="23" t="s">
        <v>310</v>
      </c>
      <c r="J1844" s="29">
        <f ca="1">ROUNDDOWN(表3[[#This Row],[日期]]-TODAY(),1)</f>
        <v>-119</v>
      </c>
    </row>
    <row r="1845" spans="1:10" hidden="1" x14ac:dyDescent="0.2">
      <c r="A1845" s="23" t="s">
        <v>1181</v>
      </c>
      <c r="B1845" s="25">
        <v>43663</v>
      </c>
      <c r="C1845" s="26">
        <v>12</v>
      </c>
      <c r="D1845" s="7" t="s">
        <v>867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-117</v>
      </c>
    </row>
    <row r="1846" spans="1:10" hidden="1" x14ac:dyDescent="0.2">
      <c r="A1846" s="23" t="s">
        <v>1181</v>
      </c>
      <c r="B1846" s="25">
        <v>43663</v>
      </c>
      <c r="C1846" s="26">
        <v>13</v>
      </c>
      <c r="D1846" s="7" t="s">
        <v>311</v>
      </c>
      <c r="E1846" s="27">
        <v>43660</v>
      </c>
      <c r="F1846" s="28" t="s">
        <v>242</v>
      </c>
      <c r="G1846" s="26">
        <v>4</v>
      </c>
      <c r="H1846" s="26"/>
      <c r="I1846" s="23" t="s">
        <v>310</v>
      </c>
      <c r="J1846" s="29">
        <f ca="1">ROUNDDOWN(表3[[#This Row],[日期]]-TODAY(),1)</f>
        <v>-117</v>
      </c>
    </row>
    <row r="1847" spans="1:10" hidden="1" x14ac:dyDescent="0.2">
      <c r="A1847" s="23" t="s">
        <v>1181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-116</v>
      </c>
    </row>
    <row r="1848" spans="1:10" hidden="1" x14ac:dyDescent="0.2">
      <c r="A1848" s="23" t="s">
        <v>1181</v>
      </c>
      <c r="B1848" s="25">
        <v>43663</v>
      </c>
      <c r="C1848" s="26">
        <v>15</v>
      </c>
      <c r="D1848" s="7" t="s">
        <v>868</v>
      </c>
      <c r="E1848" s="27">
        <v>43661</v>
      </c>
      <c r="F1848" s="28" t="s">
        <v>242</v>
      </c>
      <c r="G1848" s="26">
        <v>2</v>
      </c>
      <c r="H1848" s="26"/>
      <c r="I1848" s="23" t="s">
        <v>310</v>
      </c>
      <c r="J1848" s="29">
        <f ca="1">ROUNDDOWN(表3[[#This Row],[日期]]-TODAY(),1)</f>
        <v>-116</v>
      </c>
    </row>
    <row r="1849" spans="1:10" hidden="1" x14ac:dyDescent="0.2">
      <c r="A1849" s="23" t="s">
        <v>1181</v>
      </c>
      <c r="B1849" s="25">
        <v>43663</v>
      </c>
      <c r="C1849" s="26">
        <v>16</v>
      </c>
      <c r="D1849" s="7" t="s">
        <v>313</v>
      </c>
      <c r="E1849" s="27">
        <v>43661</v>
      </c>
      <c r="F1849" s="28" t="s">
        <v>242</v>
      </c>
      <c r="G1849" s="26">
        <v>3</v>
      </c>
      <c r="H1849" s="26"/>
      <c r="I1849" s="23" t="s">
        <v>310</v>
      </c>
      <c r="J1849" s="29">
        <f ca="1">ROUNDDOWN(表3[[#This Row],[日期]]-TODAY(),1)</f>
        <v>-116</v>
      </c>
    </row>
    <row r="1850" spans="1:10" hidden="1" x14ac:dyDescent="0.2">
      <c r="A1850" s="23" t="s">
        <v>1181</v>
      </c>
      <c r="B1850" s="25">
        <v>43663</v>
      </c>
      <c r="C1850" s="26">
        <v>17</v>
      </c>
      <c r="D1850" s="7" t="s">
        <v>271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-116</v>
      </c>
    </row>
    <row r="1851" spans="1:10" hidden="1" x14ac:dyDescent="0.2">
      <c r="A1851" s="23" t="s">
        <v>1181</v>
      </c>
      <c r="B1851" s="25">
        <v>43663</v>
      </c>
      <c r="C1851" s="26">
        <v>18</v>
      </c>
      <c r="D1851" s="7" t="s">
        <v>273</v>
      </c>
      <c r="E1851" s="27">
        <v>43662</v>
      </c>
      <c r="F1851" s="28" t="s">
        <v>1617</v>
      </c>
      <c r="G1851" s="26"/>
      <c r="H1851" s="26"/>
      <c r="I1851" s="23"/>
      <c r="J1851" s="29">
        <f ca="1">ROUNDDOWN(表3[[#This Row],[日期]]-TODAY(),1)</f>
        <v>-115</v>
      </c>
    </row>
    <row r="1852" spans="1:10" hidden="1" x14ac:dyDescent="0.2">
      <c r="A1852" s="23" t="s">
        <v>1181</v>
      </c>
      <c r="B1852" s="25">
        <v>43663</v>
      </c>
      <c r="C1852" s="26">
        <v>19</v>
      </c>
      <c r="D1852" s="7" t="s">
        <v>275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-115</v>
      </c>
    </row>
    <row r="1853" spans="1:10" hidden="1" x14ac:dyDescent="0.2">
      <c r="A1853" s="23" t="s">
        <v>1181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-114</v>
      </c>
    </row>
    <row r="1854" spans="1:10" hidden="1" x14ac:dyDescent="0.2">
      <c r="A1854" s="23" t="s">
        <v>1181</v>
      </c>
      <c r="B1854" s="25">
        <v>43663</v>
      </c>
      <c r="C1854" s="26">
        <v>21</v>
      </c>
      <c r="D1854" s="7" t="s">
        <v>1216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-114</v>
      </c>
    </row>
    <row r="1855" spans="1:10" hidden="1" x14ac:dyDescent="0.2">
      <c r="A1855" s="23" t="s">
        <v>1181</v>
      </c>
      <c r="B1855" s="25">
        <v>43663</v>
      </c>
      <c r="C1855" s="26">
        <v>22</v>
      </c>
      <c r="D1855" s="7" t="s">
        <v>305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-114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927</v>
      </c>
      <c r="E1856" s="27">
        <v>43651</v>
      </c>
      <c r="F1856" s="28" t="s">
        <v>1208</v>
      </c>
      <c r="G1856" s="26"/>
      <c r="H1856" s="26"/>
      <c r="I1856" s="23" t="s">
        <v>27</v>
      </c>
      <c r="J1856" s="29">
        <f ca="1">ROUNDDOWN(表3[[#This Row],[日期]]-TODAY(),1)</f>
        <v>-126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-123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1210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-125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-125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-122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1305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-122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1304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-122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1211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-122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928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-120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-120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1290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-120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1212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-120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-120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-120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1213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-120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-120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929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-119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-119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-119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930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-119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-119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931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-119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759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-119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-119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-119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-119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-119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-119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-119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-119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932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-119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933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-118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-119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1072</v>
      </c>
      <c r="E1889" s="27">
        <v>43660</v>
      </c>
      <c r="F1889" s="28" t="s">
        <v>242</v>
      </c>
      <c r="G1889" s="26">
        <v>1</v>
      </c>
      <c r="H1889" s="26"/>
      <c r="I1889" s="23" t="s">
        <v>1512</v>
      </c>
      <c r="J1889" s="29">
        <f ca="1">ROUNDDOWN(表3[[#This Row],[日期]]-TODAY(),1)</f>
        <v>-117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-118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1071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-117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1516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-116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1601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-114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-116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-116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-115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-114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1732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-112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305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-112</v>
      </c>
    </row>
    <row r="1900" spans="1:10" hidden="1" x14ac:dyDescent="0.2">
      <c r="A1900" s="4" t="s">
        <v>1620</v>
      </c>
      <c r="B1900" s="37">
        <v>43663</v>
      </c>
      <c r="C1900" s="12">
        <v>48</v>
      </c>
      <c r="D1900" s="38" t="s">
        <v>1621</v>
      </c>
      <c r="E1900" s="39">
        <v>43662</v>
      </c>
      <c r="F1900" s="40" t="s">
        <v>1622</v>
      </c>
      <c r="G1900" s="12"/>
      <c r="H1900" s="12"/>
      <c r="J1900" s="41">
        <f ca="1">ROUNDDOWN(表3[[#This Row],[日期]]-TODAY(),1)</f>
        <v>-115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1623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-112</v>
      </c>
    </row>
    <row r="1902" spans="1:10" hidden="1" x14ac:dyDescent="0.2">
      <c r="A1902" s="23" t="s">
        <v>1129</v>
      </c>
      <c r="B1902" s="25">
        <v>43663</v>
      </c>
      <c r="C1902" s="26">
        <v>1</v>
      </c>
      <c r="D1902" s="7" t="s">
        <v>364</v>
      </c>
      <c r="E1902" s="27">
        <v>43649</v>
      </c>
      <c r="F1902" s="28" t="s">
        <v>1132</v>
      </c>
      <c r="G1902" s="26"/>
      <c r="H1902" s="26"/>
      <c r="I1902" s="23"/>
      <c r="J1902" s="29">
        <f ca="1">ROUNDDOWN(表3[[#This Row],[日期]]-TODAY(),1)</f>
        <v>-128</v>
      </c>
    </row>
    <row r="1903" spans="1:10" hidden="1" x14ac:dyDescent="0.2">
      <c r="A1903" s="23" t="s">
        <v>1129</v>
      </c>
      <c r="B1903" s="25">
        <v>43663</v>
      </c>
      <c r="C1903" s="26">
        <v>2</v>
      </c>
      <c r="D1903" s="7" t="s">
        <v>863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-127</v>
      </c>
    </row>
    <row r="1904" spans="1:10" hidden="1" x14ac:dyDescent="0.2">
      <c r="A1904" s="23" t="s">
        <v>1129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-127</v>
      </c>
    </row>
    <row r="1905" spans="1:10" hidden="1" x14ac:dyDescent="0.2">
      <c r="A1905" s="23" t="s">
        <v>1129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-120</v>
      </c>
    </row>
    <row r="1906" spans="1:10" hidden="1" x14ac:dyDescent="0.2">
      <c r="A1906" s="23" t="s">
        <v>1129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-120</v>
      </c>
    </row>
    <row r="1907" spans="1:10" hidden="1" x14ac:dyDescent="0.2">
      <c r="A1907" s="23" t="s">
        <v>1129</v>
      </c>
      <c r="B1907" s="25">
        <v>43663</v>
      </c>
      <c r="C1907" s="26">
        <v>6</v>
      </c>
      <c r="D1907" s="7" t="s">
        <v>864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-120</v>
      </c>
    </row>
    <row r="1908" spans="1:10" hidden="1" x14ac:dyDescent="0.2">
      <c r="A1908" s="23" t="s">
        <v>1129</v>
      </c>
      <c r="B1908" s="25">
        <v>43663</v>
      </c>
      <c r="C1908" s="26">
        <v>7</v>
      </c>
      <c r="D1908" s="7" t="s">
        <v>1130</v>
      </c>
      <c r="E1908" s="27">
        <v>43657</v>
      </c>
      <c r="F1908" s="28" t="s">
        <v>1184</v>
      </c>
      <c r="G1908" s="26"/>
      <c r="H1908" s="26"/>
      <c r="I1908" s="23" t="s">
        <v>1131</v>
      </c>
      <c r="J1908" s="29">
        <f ca="1">ROUNDDOWN(表3[[#This Row],[日期]]-TODAY(),1)</f>
        <v>-120</v>
      </c>
    </row>
    <row r="1909" spans="1:10" hidden="1" x14ac:dyDescent="0.2">
      <c r="A1909" s="23" t="s">
        <v>1129</v>
      </c>
      <c r="B1909" s="25">
        <v>43663</v>
      </c>
      <c r="C1909" s="26">
        <v>8</v>
      </c>
      <c r="D1909" s="7" t="s">
        <v>307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-120</v>
      </c>
    </row>
    <row r="1910" spans="1:10" hidden="1" x14ac:dyDescent="0.2">
      <c r="A1910" s="23" t="s">
        <v>1129</v>
      </c>
      <c r="B1910" s="25">
        <v>43663</v>
      </c>
      <c r="C1910" s="26">
        <v>9</v>
      </c>
      <c r="D1910" s="7" t="s">
        <v>865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-120</v>
      </c>
    </row>
    <row r="1911" spans="1:10" hidden="1" x14ac:dyDescent="0.2">
      <c r="A1911" s="23" t="s">
        <v>1129</v>
      </c>
      <c r="B1911" s="25">
        <v>43663</v>
      </c>
      <c r="C1911" s="26">
        <v>10</v>
      </c>
      <c r="D1911" s="7" t="s">
        <v>866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-120</v>
      </c>
    </row>
    <row r="1912" spans="1:10" hidden="1" x14ac:dyDescent="0.2">
      <c r="A1912" s="23" t="s">
        <v>1129</v>
      </c>
      <c r="B1912" s="25">
        <v>43663</v>
      </c>
      <c r="C1912" s="26">
        <v>11</v>
      </c>
      <c r="D1912" s="7" t="s">
        <v>867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-119</v>
      </c>
    </row>
    <row r="1913" spans="1:10" hidden="1" x14ac:dyDescent="0.2">
      <c r="A1913" s="23" t="s">
        <v>1129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-119</v>
      </c>
    </row>
    <row r="1914" spans="1:10" hidden="1" x14ac:dyDescent="0.2">
      <c r="A1914" s="23" t="s">
        <v>1129</v>
      </c>
      <c r="B1914" s="25">
        <v>43663</v>
      </c>
      <c r="C1914" s="26">
        <v>13</v>
      </c>
      <c r="D1914" s="7" t="s">
        <v>868</v>
      </c>
      <c r="E1914" s="27">
        <v>43658</v>
      </c>
      <c r="F1914" s="28" t="s">
        <v>242</v>
      </c>
      <c r="G1914" s="26"/>
      <c r="H1914" s="26"/>
      <c r="I1914" s="23" t="s">
        <v>310</v>
      </c>
      <c r="J1914" s="29">
        <f ca="1">ROUNDDOWN(表3[[#This Row],[日期]]-TODAY(),1)</f>
        <v>-119</v>
      </c>
    </row>
    <row r="1915" spans="1:10" hidden="1" x14ac:dyDescent="0.2">
      <c r="A1915" s="23" t="s">
        <v>1129</v>
      </c>
      <c r="B1915" s="25">
        <v>43663</v>
      </c>
      <c r="C1915" s="26">
        <v>14</v>
      </c>
      <c r="D1915" s="7" t="s">
        <v>313</v>
      </c>
      <c r="E1915" s="27">
        <v>43658</v>
      </c>
      <c r="F1915" s="28" t="s">
        <v>242</v>
      </c>
      <c r="G1915" s="26"/>
      <c r="H1915" s="26"/>
      <c r="I1915" s="23" t="s">
        <v>310</v>
      </c>
      <c r="J1915" s="29">
        <f ca="1">ROUNDDOWN(表3[[#This Row],[日期]]-TODAY(),1)</f>
        <v>-119</v>
      </c>
    </row>
    <row r="1916" spans="1:10" hidden="1" x14ac:dyDescent="0.2">
      <c r="A1916" s="23" t="s">
        <v>1129</v>
      </c>
      <c r="B1916" s="25">
        <v>43663</v>
      </c>
      <c r="C1916" s="26">
        <v>15</v>
      </c>
      <c r="D1916" s="7" t="s">
        <v>309</v>
      </c>
      <c r="E1916" s="27">
        <v>43658</v>
      </c>
      <c r="F1916" s="28" t="s">
        <v>242</v>
      </c>
      <c r="G1916" s="26"/>
      <c r="H1916" s="26"/>
      <c r="I1916" s="23" t="s">
        <v>310</v>
      </c>
      <c r="J1916" s="29">
        <f ca="1">ROUNDDOWN(表3[[#This Row],[日期]]-TODAY(),1)</f>
        <v>-119</v>
      </c>
    </row>
    <row r="1917" spans="1:10" hidden="1" x14ac:dyDescent="0.2">
      <c r="A1917" s="23" t="s">
        <v>1129</v>
      </c>
      <c r="B1917" s="25">
        <v>43663</v>
      </c>
      <c r="C1917" s="26">
        <v>16</v>
      </c>
      <c r="D1917" s="7" t="s">
        <v>311</v>
      </c>
      <c r="E1917" s="27">
        <v>43658</v>
      </c>
      <c r="F1917" s="28" t="s">
        <v>242</v>
      </c>
      <c r="G1917" s="26"/>
      <c r="H1917" s="26"/>
      <c r="I1917" s="23" t="s">
        <v>310</v>
      </c>
      <c r="J1917" s="29">
        <f ca="1">ROUNDDOWN(表3[[#This Row],[日期]]-TODAY(),1)</f>
        <v>-119</v>
      </c>
    </row>
    <row r="1918" spans="1:10" hidden="1" x14ac:dyDescent="0.2">
      <c r="A1918" s="23" t="s">
        <v>1129</v>
      </c>
      <c r="B1918" s="25">
        <v>43663</v>
      </c>
      <c r="C1918" s="26">
        <v>17</v>
      </c>
      <c r="D1918" s="7" t="s">
        <v>271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-119</v>
      </c>
    </row>
    <row r="1919" spans="1:10" hidden="1" x14ac:dyDescent="0.2">
      <c r="A1919" s="23" t="s">
        <v>1129</v>
      </c>
      <c r="B1919" s="25">
        <v>43663</v>
      </c>
      <c r="C1919" s="26">
        <v>18</v>
      </c>
      <c r="D1919" s="7" t="s">
        <v>273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-116</v>
      </c>
    </row>
    <row r="1920" spans="1:10" hidden="1" x14ac:dyDescent="0.2">
      <c r="A1920" s="23" t="s">
        <v>1129</v>
      </c>
      <c r="B1920" s="25">
        <v>43663</v>
      </c>
      <c r="C1920" s="26">
        <v>19</v>
      </c>
      <c r="D1920" s="7" t="s">
        <v>275</v>
      </c>
      <c r="E1920" s="27">
        <v>43662</v>
      </c>
      <c r="F1920" s="28" t="s">
        <v>1617</v>
      </c>
      <c r="G1920" s="26"/>
      <c r="H1920" s="26"/>
      <c r="I1920" s="23"/>
      <c r="J1920" s="29">
        <f ca="1">ROUNDDOWN(表3[[#This Row],[日期]]-TODAY(),1)</f>
        <v>-115</v>
      </c>
    </row>
    <row r="1921" spans="1:10" hidden="1" x14ac:dyDescent="0.2">
      <c r="A1921" s="23" t="s">
        <v>1129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-114</v>
      </c>
    </row>
    <row r="1922" spans="1:10" hidden="1" x14ac:dyDescent="0.2">
      <c r="A1922" s="23" t="s">
        <v>1129</v>
      </c>
      <c r="B1922" s="25">
        <v>43663</v>
      </c>
      <c r="C1922" s="26">
        <v>21</v>
      </c>
      <c r="D1922" s="7" t="s">
        <v>305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-114</v>
      </c>
    </row>
    <row r="1923" spans="1:10" hidden="1" x14ac:dyDescent="0.2">
      <c r="A1923" s="4" t="s">
        <v>2831</v>
      </c>
      <c r="B1923" s="37">
        <v>43663</v>
      </c>
      <c r="C1923" s="12">
        <v>1</v>
      </c>
      <c r="D1923" s="38" t="s">
        <v>507</v>
      </c>
      <c r="E1923" s="39">
        <v>43657</v>
      </c>
      <c r="F1923" s="40" t="s">
        <v>1517</v>
      </c>
      <c r="G1923" s="12"/>
      <c r="H1923" s="12"/>
      <c r="J1923" s="41">
        <f ca="1">ROUNDDOWN(表3[[#This Row],[日期]]-TODAY(),1)</f>
        <v>-120</v>
      </c>
    </row>
    <row r="1924" spans="1:10" hidden="1" x14ac:dyDescent="0.2">
      <c r="A1924" s="4" t="s">
        <v>2831</v>
      </c>
      <c r="B1924" s="37">
        <v>43663</v>
      </c>
      <c r="C1924" s="12">
        <v>2</v>
      </c>
      <c r="D1924" s="38" t="s">
        <v>1518</v>
      </c>
      <c r="E1924" s="39">
        <v>43657</v>
      </c>
      <c r="F1924" s="40" t="s">
        <v>1517</v>
      </c>
      <c r="G1924" s="12"/>
      <c r="H1924" s="12"/>
      <c r="I1924" s="4" t="s">
        <v>1521</v>
      </c>
      <c r="J1924" s="41">
        <f ca="1">ROUNDDOWN(表3[[#This Row],[日期]]-TODAY(),1)</f>
        <v>-120</v>
      </c>
    </row>
    <row r="1925" spans="1:10" hidden="1" x14ac:dyDescent="0.2">
      <c r="A1925" s="4" t="s">
        <v>2831</v>
      </c>
      <c r="B1925" s="37">
        <v>43663</v>
      </c>
      <c r="C1925" s="12">
        <v>3</v>
      </c>
      <c r="D1925" s="38" t="s">
        <v>1525</v>
      </c>
      <c r="E1925" s="39">
        <v>43657</v>
      </c>
      <c r="F1925" s="40" t="s">
        <v>1517</v>
      </c>
      <c r="G1925" s="12"/>
      <c r="H1925" s="12"/>
      <c r="I1925" s="4" t="s">
        <v>1523</v>
      </c>
      <c r="J1925" s="41">
        <f ca="1">ROUNDDOWN(表3[[#This Row],[日期]]-TODAY(),1)</f>
        <v>-120</v>
      </c>
    </row>
    <row r="1926" spans="1:10" hidden="1" x14ac:dyDescent="0.2">
      <c r="A1926" s="4" t="s">
        <v>2831</v>
      </c>
      <c r="B1926" s="37">
        <v>43663</v>
      </c>
      <c r="C1926" s="12">
        <v>4</v>
      </c>
      <c r="D1926" s="38" t="s">
        <v>1526</v>
      </c>
      <c r="E1926" s="39">
        <v>43657</v>
      </c>
      <c r="F1926" s="40" t="s">
        <v>1517</v>
      </c>
      <c r="G1926" s="12"/>
      <c r="H1926" s="12"/>
      <c r="I1926" s="4" t="s">
        <v>1528</v>
      </c>
      <c r="J1926" s="41">
        <f ca="1">ROUNDDOWN(表3[[#This Row],[日期]]-TODAY(),1)</f>
        <v>-120</v>
      </c>
    </row>
    <row r="1927" spans="1:10" hidden="1" x14ac:dyDescent="0.2">
      <c r="A1927" s="4" t="s">
        <v>2831</v>
      </c>
      <c r="B1927" s="37">
        <v>43663</v>
      </c>
      <c r="C1927" s="12">
        <v>5</v>
      </c>
      <c r="D1927" s="38" t="s">
        <v>1530</v>
      </c>
      <c r="E1927" s="39">
        <v>43657</v>
      </c>
      <c r="F1927" s="40" t="s">
        <v>1517</v>
      </c>
      <c r="G1927" s="12"/>
      <c r="H1927" s="12"/>
      <c r="J1927" s="41">
        <f ca="1">ROUNDDOWN(表3[[#This Row],[日期]]-TODAY(),1)</f>
        <v>-120</v>
      </c>
    </row>
    <row r="1928" spans="1:10" hidden="1" x14ac:dyDescent="0.2">
      <c r="A1928" s="4" t="s">
        <v>2831</v>
      </c>
      <c r="B1928" s="37">
        <v>43663</v>
      </c>
      <c r="C1928" s="12">
        <v>6</v>
      </c>
      <c r="D1928" s="38" t="s">
        <v>1533</v>
      </c>
      <c r="E1928" s="39">
        <v>43657</v>
      </c>
      <c r="F1928" s="40" t="s">
        <v>1517</v>
      </c>
      <c r="G1928" s="12"/>
      <c r="H1928" s="12"/>
      <c r="J1928" s="41">
        <f ca="1">ROUNDDOWN(表3[[#This Row],[日期]]-TODAY(),1)</f>
        <v>-120</v>
      </c>
    </row>
    <row r="1929" spans="1:10" hidden="1" x14ac:dyDescent="0.2">
      <c r="A1929" s="4" t="s">
        <v>2831</v>
      </c>
      <c r="B1929" s="37">
        <v>43663</v>
      </c>
      <c r="C1929" s="12">
        <v>7</v>
      </c>
      <c r="D1929" s="38" t="s">
        <v>1535</v>
      </c>
      <c r="E1929" s="39">
        <v>43658</v>
      </c>
      <c r="F1929" s="40" t="s">
        <v>1517</v>
      </c>
      <c r="G1929" s="12"/>
      <c r="H1929" s="12"/>
      <c r="I1929" s="4" t="s">
        <v>1537</v>
      </c>
      <c r="J1929" s="41">
        <f ca="1">ROUNDDOWN(表3[[#This Row],[日期]]-TODAY(),1)</f>
        <v>-119</v>
      </c>
    </row>
    <row r="1930" spans="1:10" hidden="1" x14ac:dyDescent="0.2">
      <c r="A1930" s="4" t="s">
        <v>2831</v>
      </c>
      <c r="B1930" s="37">
        <v>43663</v>
      </c>
      <c r="C1930" s="12">
        <v>8</v>
      </c>
      <c r="D1930" s="38" t="s">
        <v>1531</v>
      </c>
      <c r="E1930" s="39">
        <v>43658</v>
      </c>
      <c r="F1930" s="40" t="s">
        <v>1517</v>
      </c>
      <c r="G1930" s="12"/>
      <c r="H1930" s="12"/>
      <c r="J1930" s="41">
        <f ca="1">ROUNDDOWN(表3[[#This Row],[日期]]-TODAY(),1)</f>
        <v>-119</v>
      </c>
    </row>
    <row r="1931" spans="1:10" hidden="1" x14ac:dyDescent="0.2">
      <c r="A1931" s="4" t="s">
        <v>2831</v>
      </c>
      <c r="B1931" s="37">
        <v>43663</v>
      </c>
      <c r="C1931" s="12">
        <v>9</v>
      </c>
      <c r="D1931" s="38" t="s">
        <v>1539</v>
      </c>
      <c r="E1931" s="39">
        <v>43658</v>
      </c>
      <c r="F1931" s="40" t="s">
        <v>1517</v>
      </c>
      <c r="G1931" s="12"/>
      <c r="H1931" s="12"/>
      <c r="J1931" s="41">
        <f ca="1">ROUNDDOWN(表3[[#This Row],[日期]]-TODAY(),1)</f>
        <v>-119</v>
      </c>
    </row>
    <row r="1932" spans="1:10" hidden="1" x14ac:dyDescent="0.2">
      <c r="A1932" s="4" t="s">
        <v>2831</v>
      </c>
      <c r="B1932" s="37">
        <v>43663</v>
      </c>
      <c r="C1932" s="12">
        <v>10</v>
      </c>
      <c r="D1932" s="38" t="s">
        <v>1541</v>
      </c>
      <c r="E1932" s="39">
        <v>43661</v>
      </c>
      <c r="F1932" s="40" t="s">
        <v>242</v>
      </c>
      <c r="G1932" s="12">
        <v>1</v>
      </c>
      <c r="H1932" s="12"/>
      <c r="I1932" s="4" t="s">
        <v>529</v>
      </c>
      <c r="J1932" s="41">
        <f ca="1">ROUNDDOWN(表3[[#This Row],[日期]]-TODAY(),1)</f>
        <v>-116</v>
      </c>
    </row>
    <row r="1933" spans="1:10" hidden="1" x14ac:dyDescent="0.2">
      <c r="A1933" s="4" t="s">
        <v>2831</v>
      </c>
      <c r="B1933" s="37">
        <v>43663</v>
      </c>
      <c r="C1933" s="12">
        <v>11</v>
      </c>
      <c r="D1933" s="38" t="s">
        <v>1543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-116</v>
      </c>
    </row>
    <row r="1934" spans="1:10" hidden="1" x14ac:dyDescent="0.2">
      <c r="A1934" s="4" t="s">
        <v>2831</v>
      </c>
      <c r="B1934" s="37">
        <v>43663</v>
      </c>
      <c r="C1934" s="12">
        <v>12</v>
      </c>
      <c r="D1934" s="38" t="s">
        <v>1545</v>
      </c>
      <c r="E1934" s="39">
        <v>43661</v>
      </c>
      <c r="F1934" s="40" t="s">
        <v>242</v>
      </c>
      <c r="G1934" s="12">
        <v>1</v>
      </c>
      <c r="H1934" s="12"/>
      <c r="I1934" s="4" t="s">
        <v>1547</v>
      </c>
      <c r="J1934" s="41">
        <f ca="1">ROUNDDOWN(表3[[#This Row],[日期]]-TODAY(),1)</f>
        <v>-116</v>
      </c>
    </row>
    <row r="1935" spans="1:10" hidden="1" x14ac:dyDescent="0.2">
      <c r="A1935" s="4" t="s">
        <v>2831</v>
      </c>
      <c r="B1935" s="37">
        <v>43663</v>
      </c>
      <c r="C1935" s="12">
        <v>13</v>
      </c>
      <c r="D1935" s="38" t="s">
        <v>1549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-116</v>
      </c>
    </row>
    <row r="1936" spans="1:10" hidden="1" x14ac:dyDescent="0.2">
      <c r="A1936" s="4" t="s">
        <v>2831</v>
      </c>
      <c r="B1936" s="37">
        <v>43663</v>
      </c>
      <c r="C1936" s="12">
        <v>14</v>
      </c>
      <c r="D1936" s="38" t="s">
        <v>1556</v>
      </c>
      <c r="E1936" s="39">
        <v>43661</v>
      </c>
      <c r="F1936" s="40" t="s">
        <v>242</v>
      </c>
      <c r="G1936" s="12">
        <v>1</v>
      </c>
      <c r="H1936" s="12"/>
      <c r="I1936" s="4" t="s">
        <v>1587</v>
      </c>
      <c r="J1936" s="41">
        <f ca="1">ROUNDDOWN(表3[[#This Row],[日期]]-TODAY(),1)</f>
        <v>-116</v>
      </c>
    </row>
    <row r="1937" spans="1:10" hidden="1" x14ac:dyDescent="0.2">
      <c r="A1937" s="4" t="s">
        <v>2831</v>
      </c>
      <c r="B1937" s="37">
        <v>43663</v>
      </c>
      <c r="C1937" s="12">
        <v>15</v>
      </c>
      <c r="D1937" s="38" t="s">
        <v>1298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-116</v>
      </c>
    </row>
    <row r="1938" spans="1:10" hidden="1" x14ac:dyDescent="0.2">
      <c r="A1938" s="4" t="s">
        <v>2831</v>
      </c>
      <c r="B1938" s="37">
        <v>43663</v>
      </c>
      <c r="C1938" s="12">
        <v>16</v>
      </c>
      <c r="D1938" s="38" t="s">
        <v>1552</v>
      </c>
      <c r="E1938" s="39">
        <v>43661</v>
      </c>
      <c r="F1938" s="40" t="s">
        <v>242</v>
      </c>
      <c r="G1938" s="12">
        <v>1</v>
      </c>
      <c r="H1938" s="12"/>
      <c r="I1938" s="4" t="s">
        <v>1554</v>
      </c>
      <c r="J1938" s="41">
        <f ca="1">ROUNDDOWN(表3[[#This Row],[日期]]-TODAY(),1)</f>
        <v>-116</v>
      </c>
    </row>
    <row r="1939" spans="1:10" hidden="1" x14ac:dyDescent="0.2">
      <c r="A1939" s="4" t="s">
        <v>2831</v>
      </c>
      <c r="B1939" s="37">
        <v>43663</v>
      </c>
      <c r="C1939" s="12">
        <v>17</v>
      </c>
      <c r="D1939" s="38" t="s">
        <v>1558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-116</v>
      </c>
    </row>
    <row r="1940" spans="1:10" hidden="1" x14ac:dyDescent="0.2">
      <c r="A1940" s="4" t="s">
        <v>2831</v>
      </c>
      <c r="B1940" s="37">
        <v>43663</v>
      </c>
      <c r="C1940" s="12">
        <v>18</v>
      </c>
      <c r="D1940" s="38" t="s">
        <v>1560</v>
      </c>
      <c r="E1940" s="39">
        <v>43661</v>
      </c>
      <c r="F1940" s="40" t="s">
        <v>1184</v>
      </c>
      <c r="G1940" s="12">
        <v>1</v>
      </c>
      <c r="H1940" s="12"/>
      <c r="J1940" s="41">
        <f ca="1">ROUNDDOWN(表3[[#This Row],[日期]]-TODAY(),1)</f>
        <v>-116</v>
      </c>
    </row>
    <row r="1941" spans="1:10" hidden="1" x14ac:dyDescent="0.2">
      <c r="A1941" s="4" t="s">
        <v>2831</v>
      </c>
      <c r="B1941" s="37">
        <v>43663</v>
      </c>
      <c r="C1941" s="12">
        <v>19</v>
      </c>
      <c r="D1941" s="38" t="s">
        <v>1562</v>
      </c>
      <c r="E1941" s="39">
        <v>43661</v>
      </c>
      <c r="F1941" s="40" t="s">
        <v>1184</v>
      </c>
      <c r="G1941" s="12">
        <v>1</v>
      </c>
      <c r="H1941" s="12"/>
      <c r="J1941" s="41">
        <f ca="1">ROUNDDOWN(表3[[#This Row],[日期]]-TODAY(),1)</f>
        <v>-116</v>
      </c>
    </row>
    <row r="1942" spans="1:10" hidden="1" x14ac:dyDescent="0.2">
      <c r="A1942" s="4" t="s">
        <v>2831</v>
      </c>
      <c r="B1942" s="37">
        <v>43663</v>
      </c>
      <c r="C1942" s="12">
        <v>20</v>
      </c>
      <c r="D1942" s="38" t="s">
        <v>1564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-116</v>
      </c>
    </row>
    <row r="1943" spans="1:10" hidden="1" x14ac:dyDescent="0.2">
      <c r="A1943" s="4" t="s">
        <v>2831</v>
      </c>
      <c r="B1943" s="37">
        <v>43663</v>
      </c>
      <c r="C1943" s="12">
        <v>21</v>
      </c>
      <c r="D1943" s="38" t="s">
        <v>1566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-116</v>
      </c>
    </row>
    <row r="1944" spans="1:10" hidden="1" x14ac:dyDescent="0.2">
      <c r="A1944" s="4" t="s">
        <v>2831</v>
      </c>
      <c r="B1944" s="37">
        <v>43663</v>
      </c>
      <c r="C1944" s="12">
        <v>22</v>
      </c>
      <c r="D1944" s="38" t="s">
        <v>1675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-116</v>
      </c>
    </row>
    <row r="1945" spans="1:10" hidden="1" x14ac:dyDescent="0.2">
      <c r="A1945" s="4" t="s">
        <v>2831</v>
      </c>
      <c r="B1945" s="37">
        <v>43663</v>
      </c>
      <c r="C1945" s="12">
        <v>23</v>
      </c>
      <c r="D1945" s="38" t="s">
        <v>1568</v>
      </c>
      <c r="E1945" s="39">
        <v>43661</v>
      </c>
      <c r="F1945" s="40" t="s">
        <v>242</v>
      </c>
      <c r="G1945" s="12">
        <v>1</v>
      </c>
      <c r="H1945" s="12"/>
      <c r="I1945" s="4" t="s">
        <v>1591</v>
      </c>
      <c r="J1945" s="41">
        <f ca="1">ROUNDDOWN(表3[[#This Row],[日期]]-TODAY(),1)</f>
        <v>-116</v>
      </c>
    </row>
    <row r="1946" spans="1:10" hidden="1" x14ac:dyDescent="0.2">
      <c r="A1946" s="4" t="s">
        <v>2831</v>
      </c>
      <c r="B1946" s="37">
        <v>43663</v>
      </c>
      <c r="C1946" s="12">
        <v>24</v>
      </c>
      <c r="D1946" s="38" t="s">
        <v>305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-113</v>
      </c>
    </row>
    <row r="1947" spans="1:10" hidden="1" x14ac:dyDescent="0.2">
      <c r="A1947" s="4" t="s">
        <v>2831</v>
      </c>
      <c r="B1947" s="37">
        <v>43663</v>
      </c>
      <c r="C1947" s="12">
        <v>25</v>
      </c>
      <c r="D1947" s="38" t="s">
        <v>1572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-113</v>
      </c>
    </row>
    <row r="1948" spans="1:10" hidden="1" x14ac:dyDescent="0.2">
      <c r="A1948" s="4" t="s">
        <v>2831</v>
      </c>
      <c r="B1948" s="37">
        <v>43663</v>
      </c>
      <c r="C1948" s="12">
        <v>26</v>
      </c>
      <c r="D1948" s="38" t="s">
        <v>1570</v>
      </c>
      <c r="E1948" s="39">
        <v>43664</v>
      </c>
      <c r="F1948" s="40" t="s">
        <v>242</v>
      </c>
      <c r="G1948" s="12">
        <v>4</v>
      </c>
      <c r="H1948" s="12"/>
      <c r="I1948" s="4" t="s">
        <v>1528</v>
      </c>
      <c r="J1948" s="41">
        <f ca="1">ROUNDDOWN(表3[[#This Row],[日期]]-TODAY(),1)</f>
        <v>-113</v>
      </c>
    </row>
    <row r="1949" spans="1:10" hidden="1" x14ac:dyDescent="0.2">
      <c r="A1949" s="23" t="s">
        <v>1385</v>
      </c>
      <c r="B1949" s="25">
        <v>43664</v>
      </c>
      <c r="C1949" s="26">
        <v>1</v>
      </c>
      <c r="D1949" s="7" t="s">
        <v>364</v>
      </c>
      <c r="E1949" s="27">
        <v>43657</v>
      </c>
      <c r="F1949" s="28" t="s">
        <v>1381</v>
      </c>
      <c r="G1949" s="26"/>
      <c r="H1949" s="26"/>
      <c r="I1949" s="23"/>
      <c r="J1949" s="29">
        <f ca="1">ROUNDDOWN(表3[[#This Row],[日期]]-TODAY(),1)</f>
        <v>-120</v>
      </c>
    </row>
    <row r="1950" spans="1:10" hidden="1" x14ac:dyDescent="0.2">
      <c r="A1950" s="23" t="s">
        <v>1385</v>
      </c>
      <c r="B1950" s="25">
        <v>43664</v>
      </c>
      <c r="C1950" s="26">
        <v>2</v>
      </c>
      <c r="D1950" s="7" t="s">
        <v>1388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-120</v>
      </c>
    </row>
    <row r="1951" spans="1:10" hidden="1" x14ac:dyDescent="0.2">
      <c r="A1951" s="23" t="s">
        <v>1385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-120</v>
      </c>
    </row>
    <row r="1952" spans="1:10" hidden="1" x14ac:dyDescent="0.2">
      <c r="A1952" s="23" t="s">
        <v>1385</v>
      </c>
      <c r="B1952" s="25">
        <v>43664</v>
      </c>
      <c r="C1952" s="26">
        <v>4</v>
      </c>
      <c r="D1952" s="7" t="s">
        <v>1447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-120</v>
      </c>
    </row>
    <row r="1953" spans="1:10" hidden="1" x14ac:dyDescent="0.2">
      <c r="A1953" s="23" t="s">
        <v>1385</v>
      </c>
      <c r="B1953" s="25">
        <v>43664</v>
      </c>
      <c r="C1953" s="26">
        <v>5</v>
      </c>
      <c r="D1953" s="7" t="s">
        <v>1413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-119</v>
      </c>
    </row>
    <row r="1954" spans="1:10" hidden="1" x14ac:dyDescent="0.2">
      <c r="A1954" s="23" t="s">
        <v>1385</v>
      </c>
      <c r="B1954" s="25">
        <v>43664</v>
      </c>
      <c r="C1954" s="26">
        <v>6</v>
      </c>
      <c r="D1954" s="7" t="s">
        <v>1457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-117</v>
      </c>
    </row>
    <row r="1955" spans="1:10" hidden="1" x14ac:dyDescent="0.2">
      <c r="A1955" s="23" t="s">
        <v>1385</v>
      </c>
      <c r="B1955" s="25">
        <v>43664</v>
      </c>
      <c r="C1955" s="26">
        <v>7</v>
      </c>
      <c r="D1955" s="7" t="s">
        <v>1432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-117</v>
      </c>
    </row>
    <row r="1956" spans="1:10" hidden="1" x14ac:dyDescent="0.2">
      <c r="A1956" s="23" t="s">
        <v>1385</v>
      </c>
      <c r="B1956" s="25">
        <v>43664</v>
      </c>
      <c r="C1956" s="26">
        <v>8</v>
      </c>
      <c r="D1956" s="7" t="s">
        <v>1436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-117</v>
      </c>
    </row>
    <row r="1957" spans="1:10" hidden="1" x14ac:dyDescent="0.2">
      <c r="A1957" s="23" t="s">
        <v>1385</v>
      </c>
      <c r="B1957" s="25">
        <v>43664</v>
      </c>
      <c r="C1957" s="26">
        <v>9</v>
      </c>
      <c r="D1957" s="7" t="s">
        <v>1437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-117</v>
      </c>
    </row>
    <row r="1958" spans="1:10" hidden="1" x14ac:dyDescent="0.2">
      <c r="A1958" s="23" t="s">
        <v>1385</v>
      </c>
      <c r="B1958" s="25">
        <v>43664</v>
      </c>
      <c r="C1958" s="26">
        <v>10</v>
      </c>
      <c r="D1958" s="7" t="s">
        <v>1442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-117</v>
      </c>
    </row>
    <row r="1959" spans="1:10" hidden="1" x14ac:dyDescent="0.2">
      <c r="A1959" s="23" t="s">
        <v>1385</v>
      </c>
      <c r="B1959" s="25">
        <v>43664</v>
      </c>
      <c r="C1959" s="26">
        <v>11</v>
      </c>
      <c r="D1959" s="7" t="s">
        <v>311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-116</v>
      </c>
    </row>
    <row r="1960" spans="1:10" hidden="1" x14ac:dyDescent="0.2">
      <c r="A1960" s="23" t="s">
        <v>1385</v>
      </c>
      <c r="B1960" s="25">
        <v>43664</v>
      </c>
      <c r="C1960" s="26">
        <v>12</v>
      </c>
      <c r="D1960" s="7" t="s">
        <v>1638</v>
      </c>
      <c r="E1960" s="27">
        <v>43663</v>
      </c>
      <c r="F1960" s="28" t="s">
        <v>242</v>
      </c>
      <c r="G1960" s="26">
        <v>3</v>
      </c>
      <c r="H1960" s="26"/>
      <c r="I1960" s="23" t="s">
        <v>1639</v>
      </c>
      <c r="J1960" s="29">
        <f ca="1">ROUNDDOWN(表3[[#This Row],[日期]]-TODAY(),1)</f>
        <v>-114</v>
      </c>
    </row>
    <row r="1961" spans="1:10" hidden="1" x14ac:dyDescent="0.2">
      <c r="A1961" s="23" t="s">
        <v>1385</v>
      </c>
      <c r="B1961" s="25">
        <v>43664</v>
      </c>
      <c r="C1961" s="26">
        <v>13</v>
      </c>
      <c r="D1961" s="7" t="s">
        <v>273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-113</v>
      </c>
    </row>
    <row r="1962" spans="1:10" hidden="1" x14ac:dyDescent="0.2">
      <c r="A1962" s="23" t="s">
        <v>1385</v>
      </c>
      <c r="B1962" s="25">
        <v>43664</v>
      </c>
      <c r="C1962" s="26">
        <v>14</v>
      </c>
      <c r="D1962" s="7" t="s">
        <v>275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-113</v>
      </c>
    </row>
    <row r="1963" spans="1:10" hidden="1" x14ac:dyDescent="0.2">
      <c r="A1963" s="23" t="s">
        <v>1385</v>
      </c>
      <c r="B1963" s="25">
        <v>43664</v>
      </c>
      <c r="C1963" s="26">
        <v>15</v>
      </c>
      <c r="D1963" s="7" t="s">
        <v>1510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-106</v>
      </c>
    </row>
    <row r="1964" spans="1:10" hidden="1" x14ac:dyDescent="0.2">
      <c r="A1964" s="23" t="s">
        <v>1385</v>
      </c>
      <c r="B1964" s="25">
        <v>43664</v>
      </c>
      <c r="C1964" s="26">
        <v>16</v>
      </c>
      <c r="D1964" s="7" t="s">
        <v>1387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-106</v>
      </c>
    </row>
    <row r="1965" spans="1:10" hidden="1" x14ac:dyDescent="0.2">
      <c r="A1965" s="23" t="s">
        <v>1385</v>
      </c>
      <c r="B1965" s="25">
        <v>43664</v>
      </c>
      <c r="C1965" s="26">
        <v>17</v>
      </c>
      <c r="D1965" s="7" t="s">
        <v>305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-112</v>
      </c>
    </row>
    <row r="1966" spans="1:10" hidden="1" x14ac:dyDescent="0.2">
      <c r="A1966" s="23" t="s">
        <v>1385</v>
      </c>
      <c r="B1966" s="25">
        <v>43664</v>
      </c>
      <c r="C1966" s="12">
        <v>18</v>
      </c>
      <c r="D1966" s="38" t="s">
        <v>1771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-107</v>
      </c>
    </row>
    <row r="1967" spans="1:10" hidden="1" x14ac:dyDescent="0.2">
      <c r="A1967" s="23" t="s">
        <v>1385</v>
      </c>
      <c r="B1967" s="25">
        <v>43664</v>
      </c>
      <c r="C1967" s="12">
        <v>19</v>
      </c>
      <c r="D1967" s="38" t="s">
        <v>1772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-107</v>
      </c>
    </row>
    <row r="1968" spans="1:10" hidden="1" x14ac:dyDescent="0.2">
      <c r="A1968" s="23" t="s">
        <v>1385</v>
      </c>
      <c r="B1968" s="25">
        <v>43664</v>
      </c>
      <c r="C1968" s="12">
        <v>20</v>
      </c>
      <c r="D1968" s="38" t="s">
        <v>1773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-108</v>
      </c>
    </row>
    <row r="1969" spans="1:10" hidden="1" x14ac:dyDescent="0.2">
      <c r="A1969" s="23" t="s">
        <v>1385</v>
      </c>
      <c r="B1969" s="25">
        <v>43664</v>
      </c>
      <c r="C1969" s="12">
        <v>21</v>
      </c>
      <c r="D1969" s="38" t="s">
        <v>1792</v>
      </c>
      <c r="E1969" s="39">
        <v>43670</v>
      </c>
      <c r="F1969" s="40" t="s">
        <v>1184</v>
      </c>
      <c r="G1969" s="12">
        <v>0</v>
      </c>
      <c r="H1969" s="12"/>
      <c r="J1969" s="41">
        <f ca="1">ROUNDDOWN(表3[[#This Row],[日期]]-TODAY(),1)</f>
        <v>-107</v>
      </c>
    </row>
    <row r="1970" spans="1:10" hidden="1" x14ac:dyDescent="0.2">
      <c r="A1970" s="23" t="s">
        <v>1385</v>
      </c>
      <c r="B1970" s="25">
        <v>43664</v>
      </c>
      <c r="C1970" s="12">
        <v>22</v>
      </c>
      <c r="D1970" s="38" t="s">
        <v>1799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-107</v>
      </c>
    </row>
    <row r="1971" spans="1:10" hidden="1" x14ac:dyDescent="0.2">
      <c r="A1971" s="23" t="s">
        <v>1385</v>
      </c>
      <c r="B1971" s="25">
        <v>43664</v>
      </c>
      <c r="C1971" s="12">
        <v>23</v>
      </c>
      <c r="D1971" s="38" t="s">
        <v>1800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-107</v>
      </c>
    </row>
    <row r="1972" spans="1:10" hidden="1" x14ac:dyDescent="0.2">
      <c r="A1972" s="23" t="s">
        <v>1385</v>
      </c>
      <c r="B1972" s="25">
        <v>43664</v>
      </c>
      <c r="C1972" s="12">
        <v>24</v>
      </c>
      <c r="D1972" s="38" t="s">
        <v>1813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-106</v>
      </c>
    </row>
    <row r="1973" spans="1:10" hidden="1" x14ac:dyDescent="0.2">
      <c r="A1973" s="23" t="s">
        <v>1385</v>
      </c>
      <c r="B1973" s="25">
        <v>43664</v>
      </c>
      <c r="C1973" s="12">
        <v>25</v>
      </c>
      <c r="D1973" s="38" t="s">
        <v>1889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-102</v>
      </c>
    </row>
    <row r="1974" spans="1:10" hidden="1" x14ac:dyDescent="0.2">
      <c r="A1974" s="23" t="s">
        <v>702</v>
      </c>
      <c r="B1974" s="25">
        <v>43664</v>
      </c>
      <c r="C1974" s="26">
        <v>1</v>
      </c>
      <c r="D1974" s="7" t="s">
        <v>706</v>
      </c>
      <c r="E1974" s="27">
        <v>43630</v>
      </c>
      <c r="F1974" s="28" t="s">
        <v>287</v>
      </c>
      <c r="G1974" s="26"/>
      <c r="H1974" s="26"/>
      <c r="I1974" s="23"/>
      <c r="J1974" s="29">
        <f ca="1">ROUNDDOWN(表3[[#This Row],[日期]]-TODAY(),1)</f>
        <v>-147</v>
      </c>
    </row>
    <row r="1975" spans="1:10" hidden="1" x14ac:dyDescent="0.2">
      <c r="A1975" s="23" t="s">
        <v>702</v>
      </c>
      <c r="B1975" s="25">
        <v>43664</v>
      </c>
      <c r="C1975" s="26">
        <v>2</v>
      </c>
      <c r="D1975" s="7" t="s">
        <v>707</v>
      </c>
      <c r="E1975" s="27">
        <v>43630</v>
      </c>
      <c r="F1975" s="28" t="s">
        <v>287</v>
      </c>
      <c r="G1975" s="26"/>
      <c r="H1975" s="26"/>
      <c r="I1975" s="23"/>
      <c r="J1975" s="29">
        <f ca="1">ROUNDDOWN(表3[[#This Row],[日期]]-TODAY(),1)</f>
        <v>-147</v>
      </c>
    </row>
    <row r="1976" spans="1:10" hidden="1" x14ac:dyDescent="0.2">
      <c r="A1976" s="23" t="s">
        <v>702</v>
      </c>
      <c r="B1976" s="25">
        <v>43664</v>
      </c>
      <c r="C1976" s="26">
        <v>3</v>
      </c>
      <c r="D1976" s="7" t="s">
        <v>708</v>
      </c>
      <c r="E1976" s="27">
        <v>43654</v>
      </c>
      <c r="F1976" s="28" t="s">
        <v>287</v>
      </c>
      <c r="G1976" s="26"/>
      <c r="H1976" s="26"/>
      <c r="I1976" s="23" t="s">
        <v>714</v>
      </c>
      <c r="J1976" s="29">
        <f ca="1">ROUNDDOWN(表3[[#This Row],[日期]]-TODAY(),1)</f>
        <v>-123</v>
      </c>
    </row>
    <row r="1977" spans="1:10" hidden="1" x14ac:dyDescent="0.2">
      <c r="A1977" s="23" t="s">
        <v>702</v>
      </c>
      <c r="B1977" s="25">
        <v>43664</v>
      </c>
      <c r="C1977" s="26">
        <v>4</v>
      </c>
      <c r="D1977" s="7" t="s">
        <v>709</v>
      </c>
      <c r="E1977" s="27">
        <v>43654</v>
      </c>
      <c r="F1977" s="28" t="s">
        <v>287</v>
      </c>
      <c r="G1977" s="26"/>
      <c r="H1977" s="26"/>
      <c r="I1977" s="23" t="s">
        <v>714</v>
      </c>
      <c r="J1977" s="29">
        <f ca="1">ROUNDDOWN(表3[[#This Row],[日期]]-TODAY(),1)</f>
        <v>-123</v>
      </c>
    </row>
    <row r="1978" spans="1:10" hidden="1" x14ac:dyDescent="0.2">
      <c r="A1978" s="23" t="s">
        <v>702</v>
      </c>
      <c r="B1978" s="25">
        <v>43664</v>
      </c>
      <c r="C1978" s="26">
        <v>5</v>
      </c>
      <c r="D1978" s="7" t="s">
        <v>710</v>
      </c>
      <c r="E1978" s="27">
        <v>43654</v>
      </c>
      <c r="F1978" s="28" t="s">
        <v>287</v>
      </c>
      <c r="G1978" s="26"/>
      <c r="H1978" s="26"/>
      <c r="I1978" s="23" t="s">
        <v>714</v>
      </c>
      <c r="J1978" s="29">
        <f ca="1">ROUNDDOWN(表3[[#This Row],[日期]]-TODAY(),1)</f>
        <v>-123</v>
      </c>
    </row>
    <row r="1979" spans="1:10" hidden="1" x14ac:dyDescent="0.2">
      <c r="A1979" s="23" t="s">
        <v>702</v>
      </c>
      <c r="B1979" s="25">
        <v>43664</v>
      </c>
      <c r="C1979" s="26">
        <v>6</v>
      </c>
      <c r="D1979" s="7" t="s">
        <v>711</v>
      </c>
      <c r="E1979" s="27">
        <v>43657</v>
      </c>
      <c r="F1979" s="28" t="s">
        <v>287</v>
      </c>
      <c r="G1979" s="26"/>
      <c r="H1979" s="26"/>
      <c r="I1979" s="23" t="s">
        <v>714</v>
      </c>
      <c r="J1979" s="29">
        <f ca="1">ROUNDDOWN(表3[[#This Row],[日期]]-TODAY(),1)</f>
        <v>-120</v>
      </c>
    </row>
    <row r="1980" spans="1:10" hidden="1" x14ac:dyDescent="0.2">
      <c r="A1980" s="23" t="s">
        <v>702</v>
      </c>
      <c r="B1980" s="25">
        <v>43664</v>
      </c>
      <c r="C1980" s="26">
        <v>7</v>
      </c>
      <c r="D1980" s="7" t="s">
        <v>712</v>
      </c>
      <c r="E1980" s="27">
        <v>43657</v>
      </c>
      <c r="F1980" s="28" t="s">
        <v>287</v>
      </c>
      <c r="G1980" s="26"/>
      <c r="H1980" s="26"/>
      <c r="I1980" s="23" t="s">
        <v>714</v>
      </c>
      <c r="J1980" s="29">
        <f ca="1">ROUNDDOWN(表3[[#This Row],[日期]]-TODAY(),1)</f>
        <v>-120</v>
      </c>
    </row>
    <row r="1981" spans="1:10" hidden="1" x14ac:dyDescent="0.2">
      <c r="A1981" s="23" t="s">
        <v>702</v>
      </c>
      <c r="B1981" s="25">
        <v>43664</v>
      </c>
      <c r="C1981" s="26">
        <v>8</v>
      </c>
      <c r="D1981" s="7" t="s">
        <v>703</v>
      </c>
      <c r="E1981" s="27">
        <v>43657</v>
      </c>
      <c r="F1981" s="28" t="s">
        <v>287</v>
      </c>
      <c r="G1981" s="26"/>
      <c r="H1981" s="26"/>
      <c r="I1981" s="23" t="s">
        <v>714</v>
      </c>
      <c r="J1981" s="29">
        <f ca="1">ROUNDDOWN(表3[[#This Row],[日期]]-TODAY(),1)</f>
        <v>-120</v>
      </c>
    </row>
    <row r="1982" spans="1:10" hidden="1" x14ac:dyDescent="0.2">
      <c r="A1982" s="23" t="s">
        <v>702</v>
      </c>
      <c r="B1982" s="25">
        <v>43664</v>
      </c>
      <c r="C1982" s="26">
        <v>9</v>
      </c>
      <c r="D1982" s="7" t="s">
        <v>704</v>
      </c>
      <c r="E1982" s="27">
        <v>43657</v>
      </c>
      <c r="F1982" s="28" t="s">
        <v>287</v>
      </c>
      <c r="G1982" s="26"/>
      <c r="H1982" s="26"/>
      <c r="I1982" s="23" t="s">
        <v>714</v>
      </c>
      <c r="J1982" s="29">
        <f ca="1">ROUNDDOWN(表3[[#This Row],[日期]]-TODAY(),1)</f>
        <v>-120</v>
      </c>
    </row>
    <row r="1983" spans="1:10" hidden="1" x14ac:dyDescent="0.2">
      <c r="A1983" s="23" t="s">
        <v>702</v>
      </c>
      <c r="B1983" s="25">
        <v>43664</v>
      </c>
      <c r="C1983" s="26">
        <v>10</v>
      </c>
      <c r="D1983" s="7" t="s">
        <v>705</v>
      </c>
      <c r="E1983" s="27">
        <v>43664</v>
      </c>
      <c r="F1983" s="28" t="s">
        <v>287</v>
      </c>
      <c r="G1983" s="26"/>
      <c r="H1983" s="26"/>
      <c r="I1983" s="23" t="s">
        <v>714</v>
      </c>
      <c r="J1983" s="29">
        <f ca="1">ROUNDDOWN(表3[[#This Row],[日期]]-TODAY(),1)</f>
        <v>-113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893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-126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-123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1137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-125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-125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-122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1261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-122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1306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-122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1149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-122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894</v>
      </c>
      <c r="E1992" s="27">
        <v>43661</v>
      </c>
      <c r="F1992" s="28" t="s">
        <v>287</v>
      </c>
      <c r="G1992" s="26">
        <v>1</v>
      </c>
      <c r="H1992" s="26"/>
      <c r="I1992" s="23" t="s">
        <v>33</v>
      </c>
      <c r="J1992" s="29">
        <f ca="1">ROUNDDOWN(表3[[#This Row],[日期]]-TODAY(),1)</f>
        <v>-116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287</v>
      </c>
      <c r="G1993" s="26">
        <v>2</v>
      </c>
      <c r="H1993" s="26"/>
      <c r="I1993" s="23"/>
      <c r="J1993" s="29">
        <f ca="1">ROUNDDOWN(表3[[#This Row],[日期]]-TODAY(),1)</f>
        <v>-116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1289</v>
      </c>
      <c r="E1994" s="27">
        <v>43661</v>
      </c>
      <c r="F1994" s="28" t="s">
        <v>287</v>
      </c>
      <c r="G1994" s="26">
        <v>2</v>
      </c>
      <c r="H1994" s="26"/>
      <c r="I1994" s="23"/>
      <c r="J1994" s="29">
        <f ca="1">ROUNDDOWN(表3[[#This Row],[日期]]-TODAY(),1)</f>
        <v>-116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1138</v>
      </c>
      <c r="E1995" s="27">
        <v>43661</v>
      </c>
      <c r="F1995" s="28" t="s">
        <v>287</v>
      </c>
      <c r="G1995" s="26">
        <v>2</v>
      </c>
      <c r="H1995" s="26"/>
      <c r="I1995" s="23"/>
      <c r="J1995" s="29">
        <f ca="1">ROUNDDOWN(表3[[#This Row],[日期]]-TODAY(),1)</f>
        <v>-116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287</v>
      </c>
      <c r="G1996" s="26">
        <v>2</v>
      </c>
      <c r="H1996" s="26"/>
      <c r="I1996" s="23"/>
      <c r="J1996" s="29">
        <f ca="1">ROUNDDOWN(表3[[#This Row],[日期]]-TODAY(),1)</f>
        <v>-116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287</v>
      </c>
      <c r="G1997" s="26">
        <v>2</v>
      </c>
      <c r="H1997" s="26"/>
      <c r="I1997" s="23"/>
      <c r="J1997" s="29">
        <f ca="1">ROUNDDOWN(表3[[#This Row],[日期]]-TODAY(),1)</f>
        <v>-116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1152</v>
      </c>
      <c r="E1998" s="27">
        <v>43661</v>
      </c>
      <c r="F1998" s="28" t="s">
        <v>287</v>
      </c>
      <c r="G1998" s="26">
        <v>2</v>
      </c>
      <c r="H1998" s="26"/>
      <c r="I1998" s="23"/>
      <c r="J1998" s="29">
        <f ca="1">ROUNDDOWN(表3[[#This Row],[日期]]-TODAY(),1)</f>
        <v>-116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287</v>
      </c>
      <c r="G1999" s="26">
        <v>2</v>
      </c>
      <c r="H1999" s="26"/>
      <c r="I1999" s="23"/>
      <c r="J1999" s="29">
        <f ca="1">ROUNDDOWN(表3[[#This Row],[日期]]-TODAY(),1)</f>
        <v>-116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895</v>
      </c>
      <c r="E2000" s="27">
        <v>43662</v>
      </c>
      <c r="F2000" s="28" t="s">
        <v>287</v>
      </c>
      <c r="G2000" s="26"/>
      <c r="H2000" s="26"/>
      <c r="I2000" s="23" t="s">
        <v>35</v>
      </c>
      <c r="J2000" s="29">
        <f ca="1">ROUNDDOWN(表3[[#This Row],[日期]]-TODAY(),1)</f>
        <v>-115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287</v>
      </c>
      <c r="G2001" s="26"/>
      <c r="H2001" s="26"/>
      <c r="I2001" s="23"/>
      <c r="J2001" s="29">
        <f ca="1">ROUNDDOWN(表3[[#This Row],[日期]]-TODAY(),1)</f>
        <v>-115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287</v>
      </c>
      <c r="G2002" s="26"/>
      <c r="H2002" s="26"/>
      <c r="I2002" s="23"/>
      <c r="J2002" s="29">
        <f ca="1">ROUNDDOWN(表3[[#This Row],[日期]]-TODAY(),1)</f>
        <v>-115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896</v>
      </c>
      <c r="E2003" s="27">
        <v>43662</v>
      </c>
      <c r="F2003" s="28" t="s">
        <v>287</v>
      </c>
      <c r="G2003" s="26"/>
      <c r="H2003" s="26"/>
      <c r="I2003" s="23" t="s">
        <v>41</v>
      </c>
      <c r="J2003" s="29">
        <f ca="1">ROUNDDOWN(表3[[#This Row],[日期]]-TODAY(),1)</f>
        <v>-115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287</v>
      </c>
      <c r="G2004" s="26"/>
      <c r="H2004" s="26"/>
      <c r="I2004" s="23" t="s">
        <v>155</v>
      </c>
      <c r="J2004" s="29">
        <f ca="1">ROUNDDOWN(表3[[#This Row],[日期]]-TODAY(),1)</f>
        <v>-115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903</v>
      </c>
      <c r="E2005" s="27">
        <v>43662</v>
      </c>
      <c r="F2005" s="28" t="s">
        <v>287</v>
      </c>
      <c r="G2005" s="26"/>
      <c r="H2005" s="26"/>
      <c r="I2005" s="23"/>
      <c r="J2005" s="29">
        <f ca="1">ROUNDDOWN(表3[[#This Row],[日期]]-TODAY(),1)</f>
        <v>-115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683</v>
      </c>
      <c r="E2006" s="27">
        <v>43662</v>
      </c>
      <c r="F2006" s="28" t="s">
        <v>287</v>
      </c>
      <c r="G2006" s="26"/>
      <c r="H2006" s="26"/>
      <c r="I2006" s="23"/>
      <c r="J2006" s="29">
        <f ca="1">ROUNDDOWN(表3[[#This Row],[日期]]-TODAY(),1)</f>
        <v>-115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287</v>
      </c>
      <c r="G2007" s="26"/>
      <c r="H2007" s="26"/>
      <c r="I2007" s="23"/>
      <c r="J2007" s="29">
        <f ca="1">ROUNDDOWN(表3[[#This Row],[日期]]-TODAY(),1)</f>
        <v>-115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287</v>
      </c>
      <c r="G2008" s="26"/>
      <c r="H2008" s="26"/>
      <c r="I2008" s="23"/>
      <c r="J2008" s="29">
        <f ca="1">ROUNDDOWN(表3[[#This Row],[日期]]-TODAY(),1)</f>
        <v>-115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287</v>
      </c>
      <c r="G2009" s="26"/>
      <c r="H2009" s="26"/>
      <c r="I2009" s="23"/>
      <c r="J2009" s="29">
        <f ca="1">ROUNDDOWN(表3[[#This Row],[日期]]-TODAY(),1)</f>
        <v>-115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287</v>
      </c>
      <c r="G2010" s="26"/>
      <c r="H2010" s="26"/>
      <c r="I2010" s="23" t="s">
        <v>41</v>
      </c>
      <c r="J2010" s="29">
        <f ca="1">ROUNDDOWN(表3[[#This Row],[日期]]-TODAY(),1)</f>
        <v>-115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287</v>
      </c>
      <c r="G2011" s="26"/>
      <c r="H2011" s="26"/>
      <c r="I2011" s="23"/>
      <c r="J2011" s="29">
        <f ca="1">ROUNDDOWN(表3[[#This Row],[日期]]-TODAY(),1)</f>
        <v>-115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287</v>
      </c>
      <c r="G2012" s="26"/>
      <c r="H2012" s="26"/>
      <c r="I2012" s="23" t="s">
        <v>62</v>
      </c>
      <c r="J2012" s="29">
        <f ca="1">ROUNDDOWN(表3[[#This Row],[日期]]-TODAY(),1)</f>
        <v>-115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287</v>
      </c>
      <c r="G2013" s="26"/>
      <c r="H2013" s="26"/>
      <c r="I2013" s="23"/>
      <c r="J2013" s="29">
        <f ca="1">ROUNDDOWN(表3[[#This Row],[日期]]-TODAY(),1)</f>
        <v>-115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897</v>
      </c>
      <c r="E2014" s="27">
        <v>43662</v>
      </c>
      <c r="F2014" s="28" t="s">
        <v>287</v>
      </c>
      <c r="G2014" s="26"/>
      <c r="H2014" s="26"/>
      <c r="I2014" s="23" t="s">
        <v>31</v>
      </c>
      <c r="J2014" s="29">
        <f ca="1">ROUNDDOWN(表3[[#This Row],[日期]]-TODAY(),1)</f>
        <v>-115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898</v>
      </c>
      <c r="E2015" s="27">
        <v>43662</v>
      </c>
      <c r="F2015" s="28" t="s">
        <v>287</v>
      </c>
      <c r="G2015" s="26"/>
      <c r="H2015" s="26"/>
      <c r="I2015" s="23" t="s">
        <v>41</v>
      </c>
      <c r="J2015" s="29">
        <f ca="1">ROUNDDOWN(表3[[#This Row],[日期]]-TODAY(),1)</f>
        <v>-115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941</v>
      </c>
      <c r="E2016" s="27">
        <v>43662</v>
      </c>
      <c r="F2016" s="28" t="s">
        <v>287</v>
      </c>
      <c r="G2016" s="26"/>
      <c r="H2016" s="26"/>
      <c r="I2016" s="23"/>
      <c r="J2016" s="29">
        <f ca="1">ROUNDDOWN(表3[[#This Row],[日期]]-TODAY(),1)</f>
        <v>-115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287</v>
      </c>
      <c r="G2017" s="26"/>
      <c r="H2017" s="26"/>
      <c r="I2017" s="23" t="s">
        <v>69</v>
      </c>
      <c r="J2017" s="29">
        <f ca="1">ROUNDDOWN(表3[[#This Row],[日期]]-TODAY(),1)</f>
        <v>-115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287</v>
      </c>
      <c r="G2018" s="26"/>
      <c r="H2018" s="26"/>
      <c r="I2018" s="23"/>
      <c r="J2018" s="29">
        <f ca="1">ROUNDDOWN(表3[[#This Row],[日期]]-TODAY(),1)</f>
        <v>-115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1023</v>
      </c>
      <c r="E2019" s="27">
        <v>43663</v>
      </c>
      <c r="F2019" s="28" t="s">
        <v>287</v>
      </c>
      <c r="G2019" s="26"/>
      <c r="H2019" s="26"/>
      <c r="I2019" s="23"/>
      <c r="J2019" s="29">
        <f ca="1">ROUNDDOWN(表3[[#This Row],[日期]]-TODAY(),1)</f>
        <v>-114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287</v>
      </c>
      <c r="G2020" s="26"/>
      <c r="H2020" s="26"/>
      <c r="I2020" s="23"/>
      <c r="J2020" s="29">
        <f ca="1">ROUNDDOWN(表3[[#This Row],[日期]]-TODAY(),1)</f>
        <v>-114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287</v>
      </c>
      <c r="G2021" s="26"/>
      <c r="H2021" s="26"/>
      <c r="I2021" s="23"/>
      <c r="J2021" s="29">
        <f ca="1">ROUNDDOWN(表3[[#This Row],[日期]]-TODAY(),1)</f>
        <v>-114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287</v>
      </c>
      <c r="G2022" s="26"/>
      <c r="H2022" s="26"/>
      <c r="I2022" s="23"/>
      <c r="J2022" s="29">
        <f ca="1">ROUNDDOWN(表3[[#This Row],[日期]]-TODAY(),1)</f>
        <v>-114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287</v>
      </c>
      <c r="G2023" s="26"/>
      <c r="H2023" s="26"/>
      <c r="I2023" s="23"/>
      <c r="J2023" s="29">
        <f ca="1">ROUNDDOWN(表3[[#This Row],[日期]]-TODAY(),1)</f>
        <v>-113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535</v>
      </c>
      <c r="E2024" s="27">
        <v>43664</v>
      </c>
      <c r="F2024" s="28" t="s">
        <v>287</v>
      </c>
      <c r="G2024" s="26"/>
      <c r="H2024" s="26"/>
      <c r="I2024" s="23"/>
      <c r="J2024" s="29">
        <f ca="1">ROUNDDOWN(表3[[#This Row],[日期]]-TODAY(),1)</f>
        <v>-113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287</v>
      </c>
      <c r="G2025" s="26"/>
      <c r="H2025" s="26"/>
      <c r="I2025" s="23"/>
      <c r="J2025" s="29">
        <f ca="1">ROUNDDOWN(表3[[#This Row],[日期]]-TODAY(),1)</f>
        <v>-112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1223</v>
      </c>
      <c r="E2026" s="27">
        <v>43665</v>
      </c>
      <c r="F2026" s="28" t="s">
        <v>287</v>
      </c>
      <c r="G2026" s="26"/>
      <c r="H2026" s="26"/>
      <c r="I2026" s="23" t="s">
        <v>127</v>
      </c>
      <c r="J2026" s="29">
        <f ca="1">ROUNDDOWN(表3[[#This Row],[日期]]-TODAY(),1)</f>
        <v>-112</v>
      </c>
    </row>
    <row r="2027" spans="1:10" hidden="1" x14ac:dyDescent="0.2">
      <c r="A2027" s="23" t="s">
        <v>1403</v>
      </c>
      <c r="B2027" s="25">
        <v>43666</v>
      </c>
      <c r="C2027" s="26">
        <v>1</v>
      </c>
      <c r="D2027" s="7" t="s">
        <v>1405</v>
      </c>
      <c r="E2027" s="27">
        <v>43657</v>
      </c>
      <c r="F2027" s="28" t="s">
        <v>1381</v>
      </c>
      <c r="G2027" s="26"/>
      <c r="H2027" s="26"/>
      <c r="I2027" s="23"/>
      <c r="J2027" s="29">
        <f ca="1">ROUNDDOWN(表3[[#This Row],[日期]]-TODAY(),1)</f>
        <v>-120</v>
      </c>
    </row>
    <row r="2028" spans="1:10" hidden="1" x14ac:dyDescent="0.2">
      <c r="A2028" s="23" t="s">
        <v>1403</v>
      </c>
      <c r="B2028" s="25">
        <v>43666</v>
      </c>
      <c r="C2028" s="26">
        <v>2</v>
      </c>
      <c r="D2028" s="7" t="s">
        <v>1449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-116</v>
      </c>
    </row>
    <row r="2029" spans="1:10" hidden="1" x14ac:dyDescent="0.2">
      <c r="A2029" s="23" t="s">
        <v>1403</v>
      </c>
      <c r="B2029" s="25">
        <v>43666</v>
      </c>
      <c r="C2029" s="26">
        <v>3</v>
      </c>
      <c r="D2029" s="7" t="s">
        <v>863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-116</v>
      </c>
    </row>
    <row r="2030" spans="1:10" hidden="1" x14ac:dyDescent="0.2">
      <c r="A2030" s="23" t="s">
        <v>1403</v>
      </c>
      <c r="B2030" s="25">
        <v>43666</v>
      </c>
      <c r="C2030" s="26">
        <v>4</v>
      </c>
      <c r="D2030" s="7" t="s">
        <v>1585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-116</v>
      </c>
    </row>
    <row r="2031" spans="1:10" hidden="1" x14ac:dyDescent="0.2">
      <c r="A2031" s="23" t="s">
        <v>1403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-116</v>
      </c>
    </row>
    <row r="2032" spans="1:10" hidden="1" x14ac:dyDescent="0.2">
      <c r="A2032" s="23" t="s">
        <v>1403</v>
      </c>
      <c r="B2032" s="25">
        <v>43666</v>
      </c>
      <c r="C2032" s="12">
        <v>6</v>
      </c>
      <c r="D2032" s="38" t="s">
        <v>1637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-115</v>
      </c>
    </row>
    <row r="2033" spans="1:10" hidden="1" x14ac:dyDescent="0.2">
      <c r="A2033" s="23" t="s">
        <v>1403</v>
      </c>
      <c r="B2033" s="25">
        <v>43666</v>
      </c>
      <c r="C2033" s="26">
        <v>7</v>
      </c>
      <c r="D2033" s="7" t="s">
        <v>1452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-114</v>
      </c>
    </row>
    <row r="2034" spans="1:10" hidden="1" x14ac:dyDescent="0.2">
      <c r="A2034" s="23" t="s">
        <v>1403</v>
      </c>
      <c r="B2034" s="25">
        <v>43666</v>
      </c>
      <c r="C2034" s="26">
        <v>8</v>
      </c>
      <c r="D2034" s="7" t="s">
        <v>1450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-114</v>
      </c>
    </row>
    <row r="2035" spans="1:10" hidden="1" x14ac:dyDescent="0.2">
      <c r="A2035" s="23" t="s">
        <v>1403</v>
      </c>
      <c r="B2035" s="25">
        <v>43666</v>
      </c>
      <c r="C2035" s="26">
        <v>9</v>
      </c>
      <c r="D2035" s="7" t="s">
        <v>1595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-114</v>
      </c>
    </row>
    <row r="2036" spans="1:10" hidden="1" x14ac:dyDescent="0.2">
      <c r="A2036" s="23" t="s">
        <v>1403</v>
      </c>
      <c r="B2036" s="25">
        <v>43666</v>
      </c>
      <c r="C2036" s="26">
        <v>10</v>
      </c>
      <c r="D2036" s="7" t="s">
        <v>1596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-115</v>
      </c>
    </row>
    <row r="2037" spans="1:10" hidden="1" x14ac:dyDescent="0.2">
      <c r="A2037" s="23" t="s">
        <v>1403</v>
      </c>
      <c r="B2037" s="25">
        <v>43666</v>
      </c>
      <c r="C2037" s="26">
        <v>11</v>
      </c>
      <c r="D2037" s="7" t="s">
        <v>1451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-114</v>
      </c>
    </row>
    <row r="2038" spans="1:10" hidden="1" x14ac:dyDescent="0.2">
      <c r="A2038" s="23" t="s">
        <v>1403</v>
      </c>
      <c r="B2038" s="25">
        <v>43666</v>
      </c>
      <c r="C2038" s="26">
        <v>12</v>
      </c>
      <c r="D2038" s="7" t="s">
        <v>1448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-114</v>
      </c>
    </row>
    <row r="2039" spans="1:10" hidden="1" x14ac:dyDescent="0.2">
      <c r="A2039" s="23" t="s">
        <v>1403</v>
      </c>
      <c r="B2039" s="25">
        <v>43666</v>
      </c>
      <c r="C2039" s="26">
        <v>13</v>
      </c>
      <c r="D2039" s="7" t="s">
        <v>867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-114</v>
      </c>
    </row>
    <row r="2040" spans="1:10" hidden="1" x14ac:dyDescent="0.2">
      <c r="A2040" s="23" t="s">
        <v>1403</v>
      </c>
      <c r="B2040" s="25">
        <v>43666</v>
      </c>
      <c r="C2040" s="26">
        <v>13.1</v>
      </c>
      <c r="D2040" s="7" t="s">
        <v>1674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-112</v>
      </c>
    </row>
    <row r="2041" spans="1:10" hidden="1" x14ac:dyDescent="0.2">
      <c r="A2041" s="23" t="s">
        <v>1403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-113</v>
      </c>
    </row>
    <row r="2042" spans="1:10" hidden="1" x14ac:dyDescent="0.2">
      <c r="A2042" s="23" t="s">
        <v>1403</v>
      </c>
      <c r="B2042" s="25">
        <v>43666</v>
      </c>
      <c r="C2042" s="26">
        <v>15</v>
      </c>
      <c r="D2042" s="7" t="s">
        <v>309</v>
      </c>
      <c r="E2042" s="27">
        <v>43663</v>
      </c>
      <c r="F2042" s="28" t="s">
        <v>242</v>
      </c>
      <c r="G2042" s="26">
        <v>3</v>
      </c>
      <c r="H2042" s="26"/>
      <c r="I2042" s="23" t="s">
        <v>310</v>
      </c>
      <c r="J2042" s="29">
        <f ca="1">ROUNDDOWN(表3[[#This Row],[日期]]-TODAY(),1)</f>
        <v>-114</v>
      </c>
    </row>
    <row r="2043" spans="1:10" hidden="1" x14ac:dyDescent="0.2">
      <c r="A2043" s="23" t="s">
        <v>1403</v>
      </c>
      <c r="B2043" s="25">
        <v>43666</v>
      </c>
      <c r="C2043" s="26">
        <v>16</v>
      </c>
      <c r="D2043" s="7" t="s">
        <v>868</v>
      </c>
      <c r="E2043" s="27">
        <v>43665</v>
      </c>
      <c r="F2043" s="28" t="s">
        <v>242</v>
      </c>
      <c r="G2043" s="26">
        <v>1</v>
      </c>
      <c r="H2043" s="26"/>
      <c r="I2043" s="23" t="s">
        <v>310</v>
      </c>
      <c r="J2043" s="29">
        <f ca="1">ROUNDDOWN(表3[[#This Row],[日期]]-TODAY(),1)</f>
        <v>-112</v>
      </c>
    </row>
    <row r="2044" spans="1:10" hidden="1" x14ac:dyDescent="0.2">
      <c r="A2044" s="23" t="s">
        <v>1403</v>
      </c>
      <c r="B2044" s="25">
        <v>43666</v>
      </c>
      <c r="C2044" s="26">
        <v>17</v>
      </c>
      <c r="D2044" s="7" t="s">
        <v>313</v>
      </c>
      <c r="E2044" s="27">
        <v>43665</v>
      </c>
      <c r="F2044" s="28" t="s">
        <v>242</v>
      </c>
      <c r="G2044" s="26">
        <v>4</v>
      </c>
      <c r="H2044" s="26"/>
      <c r="I2044" s="23" t="s">
        <v>310</v>
      </c>
      <c r="J2044" s="29">
        <f ca="1">ROUNDDOWN(表3[[#This Row],[日期]]-TODAY(),1)</f>
        <v>-112</v>
      </c>
    </row>
    <row r="2045" spans="1:10" hidden="1" x14ac:dyDescent="0.2">
      <c r="A2045" s="23" t="s">
        <v>1403</v>
      </c>
      <c r="B2045" s="25">
        <v>43666</v>
      </c>
      <c r="C2045" s="26">
        <v>18</v>
      </c>
      <c r="D2045" s="7" t="s">
        <v>311</v>
      </c>
      <c r="E2045" s="27">
        <v>43666</v>
      </c>
      <c r="F2045" s="28" t="s">
        <v>242</v>
      </c>
      <c r="G2045" s="26"/>
      <c r="H2045" s="26"/>
      <c r="I2045" s="23" t="s">
        <v>310</v>
      </c>
      <c r="J2045" s="29">
        <f ca="1">ROUNDDOWN(表3[[#This Row],[日期]]-TODAY(),1)</f>
        <v>-111</v>
      </c>
    </row>
    <row r="2046" spans="1:10" hidden="1" x14ac:dyDescent="0.2">
      <c r="A2046" s="23" t="s">
        <v>1403</v>
      </c>
      <c r="B2046" s="25">
        <v>43666</v>
      </c>
      <c r="C2046" s="26">
        <v>19</v>
      </c>
      <c r="D2046" s="7" t="s">
        <v>271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-111</v>
      </c>
    </row>
    <row r="2047" spans="1:10" hidden="1" x14ac:dyDescent="0.2">
      <c r="A2047" s="23" t="s">
        <v>1403</v>
      </c>
      <c r="B2047" s="25">
        <v>43666</v>
      </c>
      <c r="C2047" s="26">
        <v>20</v>
      </c>
      <c r="D2047" s="7" t="s">
        <v>273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-110</v>
      </c>
    </row>
    <row r="2048" spans="1:10" hidden="1" x14ac:dyDescent="0.2">
      <c r="A2048" s="23" t="s">
        <v>1403</v>
      </c>
      <c r="B2048" s="25">
        <v>43666</v>
      </c>
      <c r="C2048" s="26">
        <v>21</v>
      </c>
      <c r="D2048" s="7" t="s">
        <v>275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-110</v>
      </c>
    </row>
    <row r="2049" spans="1:10" hidden="1" x14ac:dyDescent="0.2">
      <c r="A2049" s="23" t="s">
        <v>1403</v>
      </c>
      <c r="B2049" s="25">
        <v>43666</v>
      </c>
      <c r="C2049" s="26">
        <v>22</v>
      </c>
      <c r="D2049" s="7" t="s">
        <v>2076</v>
      </c>
      <c r="E2049" s="27">
        <v>43678</v>
      </c>
      <c r="F2049" s="28" t="s">
        <v>2077</v>
      </c>
      <c r="G2049" s="26"/>
      <c r="H2049" s="26"/>
      <c r="I2049" s="23"/>
      <c r="J2049" s="29">
        <f ca="1">ROUNDDOWN(表3[[#This Row],[日期]]-TODAY(),1)</f>
        <v>-99</v>
      </c>
    </row>
    <row r="2050" spans="1:10" hidden="1" x14ac:dyDescent="0.2">
      <c r="A2050" s="23" t="s">
        <v>1403</v>
      </c>
      <c r="B2050" s="25">
        <v>43666</v>
      </c>
      <c r="C2050" s="26">
        <v>23</v>
      </c>
      <c r="D2050" s="7" t="s">
        <v>1387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-109</v>
      </c>
    </row>
    <row r="2051" spans="1:10" hidden="1" x14ac:dyDescent="0.2">
      <c r="A2051" s="23" t="s">
        <v>1403</v>
      </c>
      <c r="B2051" s="25">
        <v>43666</v>
      </c>
      <c r="C2051" s="26">
        <v>24</v>
      </c>
      <c r="D2051" s="7" t="s">
        <v>305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-108</v>
      </c>
    </row>
    <row r="2052" spans="1:10" hidden="1" x14ac:dyDescent="0.2">
      <c r="A2052" s="23" t="s">
        <v>1403</v>
      </c>
      <c r="B2052" s="25">
        <v>43666</v>
      </c>
      <c r="C2052" s="12">
        <v>25</v>
      </c>
      <c r="D2052" s="38" t="s">
        <v>1677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-109</v>
      </c>
    </row>
    <row r="2053" spans="1:10" hidden="1" x14ac:dyDescent="0.2">
      <c r="A2053" s="23" t="s">
        <v>1403</v>
      </c>
      <c r="B2053" s="25">
        <v>43666</v>
      </c>
      <c r="C2053" s="12">
        <v>26</v>
      </c>
      <c r="D2053" s="38" t="s">
        <v>1678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-109</v>
      </c>
    </row>
    <row r="2054" spans="1:10" hidden="1" x14ac:dyDescent="0.2">
      <c r="A2054" s="23" t="s">
        <v>1403</v>
      </c>
      <c r="B2054" s="25">
        <v>43666</v>
      </c>
      <c r="C2054" s="12">
        <v>27</v>
      </c>
      <c r="D2054" s="38" t="s">
        <v>1758</v>
      </c>
      <c r="E2054" s="39">
        <v>43668</v>
      </c>
      <c r="F2054" s="40" t="s">
        <v>1184</v>
      </c>
      <c r="G2054" s="12">
        <v>3</v>
      </c>
      <c r="H2054" s="12"/>
      <c r="J2054" s="41">
        <f ca="1">ROUNDDOWN(表3[[#This Row],[日期]]-TODAY(),1)</f>
        <v>-109</v>
      </c>
    </row>
    <row r="2055" spans="1:10" hidden="1" x14ac:dyDescent="0.2">
      <c r="A2055" s="23" t="s">
        <v>1403</v>
      </c>
      <c r="B2055" s="25">
        <v>43666</v>
      </c>
      <c r="C2055" s="12">
        <v>28</v>
      </c>
      <c r="D2055" s="38" t="s">
        <v>1712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-109</v>
      </c>
    </row>
    <row r="2056" spans="1:10" hidden="1" x14ac:dyDescent="0.2">
      <c r="A2056" s="23" t="s">
        <v>1403</v>
      </c>
      <c r="B2056" s="25">
        <v>43666</v>
      </c>
      <c r="C2056" s="12">
        <v>29</v>
      </c>
      <c r="D2056" s="38" t="s">
        <v>2160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-93</v>
      </c>
    </row>
    <row r="2057" spans="1:10" hidden="1" x14ac:dyDescent="0.2">
      <c r="A2057" s="23" t="s">
        <v>1403</v>
      </c>
      <c r="B2057" s="25">
        <v>43666</v>
      </c>
      <c r="C2057" s="12">
        <v>30</v>
      </c>
      <c r="D2057" s="38" t="s">
        <v>2191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-92</v>
      </c>
    </row>
    <row r="2058" spans="1:10" hidden="1" x14ac:dyDescent="0.2">
      <c r="A2058" s="23" t="s">
        <v>1403</v>
      </c>
      <c r="B2058" s="25">
        <v>43666</v>
      </c>
      <c r="C2058" s="12">
        <v>31</v>
      </c>
      <c r="D2058" s="38" t="s">
        <v>2181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-92</v>
      </c>
    </row>
    <row r="2059" spans="1:10" hidden="1" x14ac:dyDescent="0.2">
      <c r="A2059" s="23" t="s">
        <v>1403</v>
      </c>
      <c r="B2059" s="25">
        <v>43666</v>
      </c>
      <c r="C2059" s="12">
        <v>32</v>
      </c>
      <c r="D2059" s="38" t="s">
        <v>2180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-92</v>
      </c>
    </row>
    <row r="2060" spans="1:10" hidden="1" x14ac:dyDescent="0.2">
      <c r="A2060" s="23" t="s">
        <v>1403</v>
      </c>
      <c r="B2060" s="25">
        <v>43666</v>
      </c>
      <c r="C2060" s="12">
        <v>33</v>
      </c>
      <c r="D2060" s="38" t="s">
        <v>2213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-88</v>
      </c>
    </row>
    <row r="2061" spans="1:10" hidden="1" x14ac:dyDescent="0.2">
      <c r="A2061" s="4" t="s">
        <v>2831</v>
      </c>
      <c r="B2061" s="37">
        <v>43667</v>
      </c>
      <c r="C2061" s="12">
        <v>1</v>
      </c>
      <c r="D2061" s="38" t="s">
        <v>507</v>
      </c>
      <c r="E2061" s="39">
        <v>43662</v>
      </c>
      <c r="F2061" s="40" t="s">
        <v>1622</v>
      </c>
      <c r="G2061" s="12"/>
      <c r="H2061" s="12"/>
      <c r="J2061" s="41">
        <f ca="1">ROUNDDOWN(表3[[#This Row],[日期]]-TODAY(),1)</f>
        <v>-115</v>
      </c>
    </row>
    <row r="2062" spans="1:10" hidden="1" x14ac:dyDescent="0.2">
      <c r="A2062" s="4" t="s">
        <v>2831</v>
      </c>
      <c r="B2062" s="37">
        <v>43667</v>
      </c>
      <c r="C2062" s="12">
        <v>2</v>
      </c>
      <c r="D2062" s="38" t="s">
        <v>1518</v>
      </c>
      <c r="E2062" s="39">
        <v>43662</v>
      </c>
      <c r="F2062" s="40" t="s">
        <v>1622</v>
      </c>
      <c r="G2062" s="12"/>
      <c r="H2062" s="12"/>
      <c r="I2062" s="4" t="s">
        <v>1521</v>
      </c>
      <c r="J2062" s="41">
        <f ca="1">ROUNDDOWN(表3[[#This Row],[日期]]-TODAY(),1)</f>
        <v>-115</v>
      </c>
    </row>
    <row r="2063" spans="1:10" hidden="1" x14ac:dyDescent="0.2">
      <c r="A2063" s="4" t="s">
        <v>2831</v>
      </c>
      <c r="B2063" s="37">
        <v>43667</v>
      </c>
      <c r="C2063" s="12">
        <v>3</v>
      </c>
      <c r="D2063" s="38" t="s">
        <v>1525</v>
      </c>
      <c r="E2063" s="39">
        <v>43662</v>
      </c>
      <c r="F2063" s="40" t="s">
        <v>1622</v>
      </c>
      <c r="G2063" s="12"/>
      <c r="H2063" s="12"/>
      <c r="I2063" s="4" t="s">
        <v>1523</v>
      </c>
      <c r="J2063" s="41">
        <f ca="1">ROUNDDOWN(表3[[#This Row],[日期]]-TODAY(),1)</f>
        <v>-115</v>
      </c>
    </row>
    <row r="2064" spans="1:10" hidden="1" x14ac:dyDescent="0.2">
      <c r="A2064" s="4" t="s">
        <v>2831</v>
      </c>
      <c r="B2064" s="37">
        <v>43667</v>
      </c>
      <c r="C2064" s="12">
        <v>4</v>
      </c>
      <c r="D2064" s="38" t="s">
        <v>1526</v>
      </c>
      <c r="E2064" s="39">
        <v>43662</v>
      </c>
      <c r="F2064" s="40" t="s">
        <v>1622</v>
      </c>
      <c r="G2064" s="12"/>
      <c r="H2064" s="12"/>
      <c r="I2064" s="4" t="s">
        <v>1528</v>
      </c>
      <c r="J2064" s="41">
        <f ca="1">ROUNDDOWN(表3[[#This Row],[日期]]-TODAY(),1)</f>
        <v>-115</v>
      </c>
    </row>
    <row r="2065" spans="1:10" hidden="1" x14ac:dyDescent="0.2">
      <c r="A2065" s="4" t="s">
        <v>2831</v>
      </c>
      <c r="B2065" s="37">
        <v>43667</v>
      </c>
      <c r="C2065" s="12">
        <v>5</v>
      </c>
      <c r="D2065" s="38" t="s">
        <v>1530</v>
      </c>
      <c r="E2065" s="39">
        <v>43662</v>
      </c>
      <c r="F2065" s="40" t="s">
        <v>1622</v>
      </c>
      <c r="G2065" s="12"/>
      <c r="H2065" s="12"/>
      <c r="J2065" s="41">
        <f ca="1">ROUNDDOWN(表3[[#This Row],[日期]]-TODAY(),1)</f>
        <v>-115</v>
      </c>
    </row>
    <row r="2066" spans="1:10" hidden="1" x14ac:dyDescent="0.2">
      <c r="A2066" s="4" t="s">
        <v>2831</v>
      </c>
      <c r="B2066" s="37">
        <v>43667</v>
      </c>
      <c r="C2066" s="12">
        <v>6</v>
      </c>
      <c r="D2066" s="38" t="s">
        <v>1533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-115</v>
      </c>
    </row>
    <row r="2067" spans="1:10" hidden="1" x14ac:dyDescent="0.2">
      <c r="A2067" s="4" t="s">
        <v>2831</v>
      </c>
      <c r="B2067" s="37">
        <v>43667</v>
      </c>
      <c r="C2067" s="12">
        <v>7</v>
      </c>
      <c r="D2067" s="38" t="s">
        <v>1629</v>
      </c>
      <c r="E2067" s="39">
        <v>43662</v>
      </c>
      <c r="F2067" s="40" t="s">
        <v>1184</v>
      </c>
      <c r="G2067" s="12"/>
      <c r="H2067" s="12"/>
      <c r="I2067" s="4" t="s">
        <v>1537</v>
      </c>
      <c r="J2067" s="41">
        <f ca="1">ROUNDDOWN(表3[[#This Row],[日期]]-TODAY(),1)</f>
        <v>-115</v>
      </c>
    </row>
    <row r="2068" spans="1:10" hidden="1" x14ac:dyDescent="0.2">
      <c r="A2068" s="4" t="s">
        <v>2831</v>
      </c>
      <c r="B2068" s="37">
        <v>43667</v>
      </c>
      <c r="C2068" s="12">
        <v>8</v>
      </c>
      <c r="D2068" s="38" t="s">
        <v>1630</v>
      </c>
      <c r="E2068" s="39">
        <v>43662</v>
      </c>
      <c r="F2068" s="40" t="s">
        <v>1184</v>
      </c>
      <c r="G2068" s="12"/>
      <c r="H2068" s="12"/>
      <c r="J2068" s="41">
        <f ca="1">ROUNDDOWN(表3[[#This Row],[日期]]-TODAY(),1)</f>
        <v>-115</v>
      </c>
    </row>
    <row r="2069" spans="1:10" hidden="1" x14ac:dyDescent="0.2">
      <c r="A2069" s="4" t="s">
        <v>2831</v>
      </c>
      <c r="B2069" s="37">
        <v>43667</v>
      </c>
      <c r="C2069" s="12">
        <v>9</v>
      </c>
      <c r="D2069" s="38" t="s">
        <v>1539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-115</v>
      </c>
    </row>
    <row r="2070" spans="1:10" hidden="1" x14ac:dyDescent="0.2">
      <c r="A2070" s="4" t="s">
        <v>2831</v>
      </c>
      <c r="B2070" s="37">
        <v>43667</v>
      </c>
      <c r="C2070" s="12">
        <v>10</v>
      </c>
      <c r="D2070" s="38" t="s">
        <v>1541</v>
      </c>
      <c r="E2070" s="39">
        <v>43665</v>
      </c>
      <c r="F2070" s="40" t="s">
        <v>242</v>
      </c>
      <c r="G2070" s="12">
        <v>1</v>
      </c>
      <c r="H2070" s="12"/>
      <c r="I2070" s="4" t="s">
        <v>529</v>
      </c>
      <c r="J2070" s="41">
        <f ca="1">ROUNDDOWN(表3[[#This Row],[日期]]-TODAY(),1)</f>
        <v>-112</v>
      </c>
    </row>
    <row r="2071" spans="1:10" hidden="1" x14ac:dyDescent="0.2">
      <c r="A2071" s="4" t="s">
        <v>2831</v>
      </c>
      <c r="B2071" s="37">
        <v>43667</v>
      </c>
      <c r="C2071" s="12">
        <v>11</v>
      </c>
      <c r="D2071" s="38" t="s">
        <v>1543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-112</v>
      </c>
    </row>
    <row r="2072" spans="1:10" hidden="1" x14ac:dyDescent="0.2">
      <c r="A2072" s="4" t="s">
        <v>2831</v>
      </c>
      <c r="B2072" s="37">
        <v>43667</v>
      </c>
      <c r="C2072" s="12">
        <v>12</v>
      </c>
      <c r="D2072" s="38" t="s">
        <v>1545</v>
      </c>
      <c r="E2072" s="39">
        <v>43665</v>
      </c>
      <c r="F2072" s="40" t="s">
        <v>242</v>
      </c>
      <c r="G2072" s="12">
        <v>1</v>
      </c>
      <c r="H2072" s="12"/>
      <c r="I2072" s="4" t="s">
        <v>1547</v>
      </c>
      <c r="J2072" s="41">
        <f ca="1">ROUNDDOWN(表3[[#This Row],[日期]]-TODAY(),1)</f>
        <v>-112</v>
      </c>
    </row>
    <row r="2073" spans="1:10" hidden="1" x14ac:dyDescent="0.2">
      <c r="A2073" s="4" t="s">
        <v>2831</v>
      </c>
      <c r="B2073" s="37">
        <v>43667</v>
      </c>
      <c r="C2073" s="12">
        <v>13</v>
      </c>
      <c r="D2073" s="38" t="s">
        <v>1549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-112</v>
      </c>
    </row>
    <row r="2074" spans="1:10" hidden="1" x14ac:dyDescent="0.2">
      <c r="A2074" s="4" t="s">
        <v>2831</v>
      </c>
      <c r="B2074" s="37">
        <v>43667</v>
      </c>
      <c r="C2074" s="12">
        <v>14</v>
      </c>
      <c r="D2074" s="38" t="s">
        <v>1556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-112</v>
      </c>
    </row>
    <row r="2075" spans="1:10" hidden="1" x14ac:dyDescent="0.2">
      <c r="A2075" s="4" t="s">
        <v>2831</v>
      </c>
      <c r="B2075" s="37">
        <v>43667</v>
      </c>
      <c r="C2075" s="12">
        <v>15</v>
      </c>
      <c r="D2075" s="38" t="s">
        <v>1298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-112</v>
      </c>
    </row>
    <row r="2076" spans="1:10" hidden="1" x14ac:dyDescent="0.2">
      <c r="A2076" s="4" t="s">
        <v>2831</v>
      </c>
      <c r="B2076" s="37">
        <v>43667</v>
      </c>
      <c r="C2076" s="12">
        <v>16</v>
      </c>
      <c r="D2076" s="38" t="s">
        <v>1552</v>
      </c>
      <c r="E2076" s="39">
        <v>43665</v>
      </c>
      <c r="F2076" s="40" t="s">
        <v>242</v>
      </c>
      <c r="G2076" s="12">
        <v>1</v>
      </c>
      <c r="H2076" s="12"/>
      <c r="I2076" s="4" t="s">
        <v>1554</v>
      </c>
      <c r="J2076" s="41">
        <f ca="1">ROUNDDOWN(表3[[#This Row],[日期]]-TODAY(),1)</f>
        <v>-112</v>
      </c>
    </row>
    <row r="2077" spans="1:10" hidden="1" x14ac:dyDescent="0.2">
      <c r="A2077" s="4" t="s">
        <v>2831</v>
      </c>
      <c r="B2077" s="37">
        <v>43667</v>
      </c>
      <c r="C2077" s="12">
        <v>17</v>
      </c>
      <c r="D2077" s="38" t="s">
        <v>1558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-112</v>
      </c>
    </row>
    <row r="2078" spans="1:10" hidden="1" x14ac:dyDescent="0.2">
      <c r="A2078" s="4" t="s">
        <v>2831</v>
      </c>
      <c r="B2078" s="37">
        <v>43667</v>
      </c>
      <c r="C2078" s="12">
        <v>18</v>
      </c>
      <c r="D2078" s="38" t="s">
        <v>1560</v>
      </c>
      <c r="E2078" s="39">
        <v>43665</v>
      </c>
      <c r="F2078" s="40" t="s">
        <v>1184</v>
      </c>
      <c r="G2078" s="12">
        <v>1</v>
      </c>
      <c r="H2078" s="12"/>
      <c r="J2078" s="41">
        <f ca="1">ROUNDDOWN(表3[[#This Row],[日期]]-TODAY(),1)</f>
        <v>-112</v>
      </c>
    </row>
    <row r="2079" spans="1:10" hidden="1" x14ac:dyDescent="0.2">
      <c r="A2079" s="4" t="s">
        <v>2831</v>
      </c>
      <c r="B2079" s="37">
        <v>43667</v>
      </c>
      <c r="C2079" s="12">
        <v>19</v>
      </c>
      <c r="D2079" s="38" t="s">
        <v>1562</v>
      </c>
      <c r="E2079" s="39">
        <v>43665</v>
      </c>
      <c r="F2079" s="40" t="s">
        <v>1184</v>
      </c>
      <c r="G2079" s="12">
        <v>1</v>
      </c>
      <c r="H2079" s="12"/>
      <c r="J2079" s="41">
        <f ca="1">ROUNDDOWN(表3[[#This Row],[日期]]-TODAY(),1)</f>
        <v>-112</v>
      </c>
    </row>
    <row r="2080" spans="1:10" hidden="1" x14ac:dyDescent="0.2">
      <c r="A2080" s="4" t="s">
        <v>2831</v>
      </c>
      <c r="B2080" s="37">
        <v>43667</v>
      </c>
      <c r="C2080" s="12">
        <v>20</v>
      </c>
      <c r="D2080" s="38" t="s">
        <v>1564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-112</v>
      </c>
    </row>
    <row r="2081" spans="1:10" hidden="1" x14ac:dyDescent="0.2">
      <c r="A2081" s="4" t="s">
        <v>2831</v>
      </c>
      <c r="B2081" s="37">
        <v>43667</v>
      </c>
      <c r="C2081" s="12">
        <v>21</v>
      </c>
      <c r="D2081" s="38" t="s">
        <v>1566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-112</v>
      </c>
    </row>
    <row r="2082" spans="1:10" hidden="1" x14ac:dyDescent="0.2">
      <c r="A2082" s="4" t="s">
        <v>2831</v>
      </c>
      <c r="B2082" s="37">
        <v>43667</v>
      </c>
      <c r="C2082" s="12">
        <v>22</v>
      </c>
      <c r="D2082" s="38" t="s">
        <v>1675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-112</v>
      </c>
    </row>
    <row r="2083" spans="1:10" hidden="1" x14ac:dyDescent="0.2">
      <c r="A2083" s="4" t="s">
        <v>2831</v>
      </c>
      <c r="B2083" s="37">
        <v>43667</v>
      </c>
      <c r="C2083" s="12">
        <v>23</v>
      </c>
      <c r="D2083" s="38" t="s">
        <v>1568</v>
      </c>
      <c r="E2083" s="39">
        <v>43665</v>
      </c>
      <c r="F2083" s="40" t="s">
        <v>242</v>
      </c>
      <c r="G2083" s="12">
        <v>1</v>
      </c>
      <c r="H2083" s="12"/>
      <c r="I2083" s="4" t="s">
        <v>1528</v>
      </c>
      <c r="J2083" s="41">
        <f ca="1">ROUNDDOWN(表3[[#This Row],[日期]]-TODAY(),1)</f>
        <v>-112</v>
      </c>
    </row>
    <row r="2084" spans="1:10" hidden="1" x14ac:dyDescent="0.2">
      <c r="A2084" s="4" t="s">
        <v>2831</v>
      </c>
      <c r="B2084" s="37">
        <v>43667</v>
      </c>
      <c r="C2084" s="12">
        <v>24</v>
      </c>
      <c r="D2084" s="38" t="s">
        <v>305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-110</v>
      </c>
    </row>
    <row r="2085" spans="1:10" hidden="1" x14ac:dyDescent="0.2">
      <c r="A2085" s="4" t="s">
        <v>2831</v>
      </c>
      <c r="B2085" s="37">
        <v>43667</v>
      </c>
      <c r="C2085" s="12">
        <v>25</v>
      </c>
      <c r="D2085" s="38" t="s">
        <v>1572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-109</v>
      </c>
    </row>
    <row r="2086" spans="1:10" hidden="1" x14ac:dyDescent="0.2">
      <c r="A2086" s="4" t="s">
        <v>2831</v>
      </c>
      <c r="B2086" s="37">
        <v>43667</v>
      </c>
      <c r="C2086" s="12">
        <v>26</v>
      </c>
      <c r="D2086" s="38" t="s">
        <v>1570</v>
      </c>
      <c r="E2086" s="39">
        <v>43668</v>
      </c>
      <c r="F2086" s="40" t="s">
        <v>242</v>
      </c>
      <c r="G2086" s="12">
        <v>3</v>
      </c>
      <c r="H2086" s="12"/>
      <c r="I2086" s="4" t="s">
        <v>1528</v>
      </c>
      <c r="J2086" s="41">
        <f ca="1">ROUNDDOWN(表3[[#This Row],[日期]]-TODAY(),1)</f>
        <v>-109</v>
      </c>
    </row>
    <row r="2087" spans="1:10" hidden="1" x14ac:dyDescent="0.2">
      <c r="A2087" s="4" t="s">
        <v>2847</v>
      </c>
      <c r="B2087" s="37">
        <v>43668</v>
      </c>
      <c r="C2087" s="12">
        <v>1</v>
      </c>
      <c r="D2087" s="38" t="s">
        <v>745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-109</v>
      </c>
    </row>
    <row r="2088" spans="1:10" hidden="1" x14ac:dyDescent="0.2">
      <c r="A2088" s="4" t="s">
        <v>2847</v>
      </c>
      <c r="B2088" s="37">
        <v>43668</v>
      </c>
      <c r="C2088" s="12">
        <v>2</v>
      </c>
      <c r="D2088" s="38" t="s">
        <v>1475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-109</v>
      </c>
    </row>
    <row r="2089" spans="1:10" hidden="1" x14ac:dyDescent="0.2">
      <c r="A2089" s="4" t="s">
        <v>2847</v>
      </c>
      <c r="B2089" s="37">
        <v>43668</v>
      </c>
      <c r="C2089" s="12">
        <v>3</v>
      </c>
      <c r="D2089" s="38" t="s">
        <v>1477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-109</v>
      </c>
    </row>
    <row r="2090" spans="1:10" hidden="1" x14ac:dyDescent="0.2">
      <c r="A2090" s="4" t="s">
        <v>2847</v>
      </c>
      <c r="B2090" s="37">
        <v>43668</v>
      </c>
      <c r="C2090" s="12">
        <v>4</v>
      </c>
      <c r="D2090" s="38" t="s">
        <v>1478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-109</v>
      </c>
    </row>
    <row r="2091" spans="1:10" hidden="1" x14ac:dyDescent="0.2">
      <c r="A2091" s="4" t="s">
        <v>2847</v>
      </c>
      <c r="B2091" s="37">
        <v>43668</v>
      </c>
      <c r="C2091" s="12">
        <v>5</v>
      </c>
      <c r="D2091" s="38" t="s">
        <v>899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-109</v>
      </c>
    </row>
    <row r="2092" spans="1:10" hidden="1" x14ac:dyDescent="0.2">
      <c r="A2092" s="4" t="s">
        <v>2847</v>
      </c>
      <c r="B2092" s="37">
        <v>43668</v>
      </c>
      <c r="C2092" s="12">
        <v>6</v>
      </c>
      <c r="D2092" s="38" t="s">
        <v>1027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-109</v>
      </c>
    </row>
    <row r="2093" spans="1:10" hidden="1" x14ac:dyDescent="0.2">
      <c r="A2093" s="4" t="s">
        <v>2847</v>
      </c>
      <c r="B2093" s="37">
        <v>43668</v>
      </c>
      <c r="C2093" s="12">
        <v>7</v>
      </c>
      <c r="D2093" s="38" t="s">
        <v>738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-109</v>
      </c>
    </row>
    <row r="2094" spans="1:10" hidden="1" x14ac:dyDescent="0.2">
      <c r="A2094" s="23" t="s">
        <v>2847</v>
      </c>
      <c r="B2094" s="25">
        <v>43668</v>
      </c>
      <c r="C2094" s="26">
        <v>8</v>
      </c>
      <c r="D2094" s="7" t="s">
        <v>1241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-108</v>
      </c>
    </row>
    <row r="2095" spans="1:10" hidden="1" x14ac:dyDescent="0.2">
      <c r="A2095" s="23" t="s">
        <v>2847</v>
      </c>
      <c r="B2095" s="37">
        <v>43668</v>
      </c>
      <c r="C2095" s="12">
        <v>9</v>
      </c>
      <c r="D2095" s="38" t="s">
        <v>1762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-108</v>
      </c>
    </row>
    <row r="2096" spans="1:10" hidden="1" x14ac:dyDescent="0.2">
      <c r="A2096" s="23" t="s">
        <v>2847</v>
      </c>
      <c r="B2096" s="37">
        <v>43668</v>
      </c>
      <c r="C2096" s="12">
        <v>10</v>
      </c>
      <c r="D2096" s="38" t="s">
        <v>1774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-107</v>
      </c>
    </row>
    <row r="2097" spans="1:10" hidden="1" x14ac:dyDescent="0.2">
      <c r="A2097" s="4" t="s">
        <v>2847</v>
      </c>
      <c r="B2097" s="37">
        <v>43668</v>
      </c>
      <c r="C2097" s="12">
        <v>11</v>
      </c>
      <c r="D2097" t="s">
        <v>1775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-107</v>
      </c>
    </row>
    <row r="2098" spans="1:10" hidden="1" x14ac:dyDescent="0.2">
      <c r="A2098" s="4" t="s">
        <v>2847</v>
      </c>
      <c r="B2098" s="37">
        <v>43668</v>
      </c>
      <c r="C2098" s="12">
        <v>12</v>
      </c>
      <c r="D2098" s="38" t="s">
        <v>1776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-107</v>
      </c>
    </row>
    <row r="2099" spans="1:10" hidden="1" x14ac:dyDescent="0.2">
      <c r="A2099" s="4" t="s">
        <v>2847</v>
      </c>
      <c r="B2099" s="37">
        <v>43668</v>
      </c>
      <c r="C2099" s="12">
        <v>13</v>
      </c>
      <c r="D2099" s="38" t="s">
        <v>1801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-107</v>
      </c>
    </row>
    <row r="2100" spans="1:10" hidden="1" x14ac:dyDescent="0.2">
      <c r="A2100" s="4" t="s">
        <v>2847</v>
      </c>
      <c r="B2100" s="37">
        <v>43668</v>
      </c>
      <c r="C2100" s="12">
        <v>14</v>
      </c>
      <c r="D2100" s="38" t="s">
        <v>738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-106</v>
      </c>
    </row>
    <row r="2101" spans="1:10" hidden="1" x14ac:dyDescent="0.2">
      <c r="A2101" s="4" t="s">
        <v>2847</v>
      </c>
      <c r="B2101" s="37">
        <v>43668</v>
      </c>
      <c r="C2101" s="12">
        <v>15</v>
      </c>
      <c r="D2101" s="38" t="s">
        <v>1025</v>
      </c>
      <c r="E2101" s="39">
        <v>43671</v>
      </c>
      <c r="F2101" s="40" t="s">
        <v>242</v>
      </c>
      <c r="G2101" s="12">
        <v>0</v>
      </c>
      <c r="H2101" s="12"/>
      <c r="I2101" s="4" t="s">
        <v>743</v>
      </c>
      <c r="J2101" s="41">
        <f ca="1">ROUNDDOWN(表3[[#This Row],[日期]]-TODAY(),1)</f>
        <v>-106</v>
      </c>
    </row>
    <row r="2102" spans="1:10" hidden="1" x14ac:dyDescent="0.2">
      <c r="A2102" s="4" t="s">
        <v>2847</v>
      </c>
      <c r="B2102" s="37">
        <v>43668</v>
      </c>
      <c r="C2102" s="12">
        <v>16</v>
      </c>
      <c r="D2102" s="38" t="s">
        <v>899</v>
      </c>
      <c r="E2102" s="39">
        <v>43671</v>
      </c>
      <c r="F2102" s="40" t="s">
        <v>242</v>
      </c>
      <c r="G2102" s="12">
        <v>4</v>
      </c>
      <c r="H2102" s="12"/>
      <c r="I2102" s="4" t="s">
        <v>743</v>
      </c>
      <c r="J2102" s="41">
        <f ca="1">ROUNDDOWN(表3[[#This Row],[日期]]-TODAY(),1)</f>
        <v>-106</v>
      </c>
    </row>
    <row r="2103" spans="1:10" hidden="1" x14ac:dyDescent="0.2">
      <c r="A2103" s="4" t="s">
        <v>2847</v>
      </c>
      <c r="B2103" s="37">
        <v>43668</v>
      </c>
      <c r="C2103" s="12">
        <v>17</v>
      </c>
      <c r="D2103" s="38" t="s">
        <v>1811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-106</v>
      </c>
    </row>
    <row r="2104" spans="1:10" hidden="1" x14ac:dyDescent="0.2">
      <c r="A2104" s="4" t="s">
        <v>2847</v>
      </c>
      <c r="B2104" s="37">
        <v>43668</v>
      </c>
      <c r="C2104" s="12">
        <v>18</v>
      </c>
      <c r="D2104" s="38" t="s">
        <v>1833</v>
      </c>
      <c r="E2104" s="39">
        <v>43671</v>
      </c>
      <c r="F2104" s="40" t="s">
        <v>1834</v>
      </c>
      <c r="G2104" s="12"/>
      <c r="H2104" s="12"/>
      <c r="J2104" s="41">
        <f ca="1">ROUNDDOWN(表3[[#This Row],[日期]]-TODAY(),1)</f>
        <v>-106</v>
      </c>
    </row>
    <row r="2105" spans="1:10" hidden="1" x14ac:dyDescent="0.2">
      <c r="A2105" s="4" t="s">
        <v>2847</v>
      </c>
      <c r="B2105" s="37">
        <v>43668</v>
      </c>
      <c r="C2105" s="12">
        <v>19</v>
      </c>
      <c r="D2105" s="38" t="s">
        <v>1857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-106</v>
      </c>
    </row>
    <row r="2106" spans="1:10" hidden="1" x14ac:dyDescent="0.2">
      <c r="A2106" s="4" t="s">
        <v>2847</v>
      </c>
      <c r="B2106" s="37">
        <v>43668</v>
      </c>
      <c r="C2106" s="12">
        <v>20</v>
      </c>
      <c r="D2106" s="38" t="s">
        <v>1734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-105</v>
      </c>
    </row>
    <row r="2107" spans="1:10" hidden="1" x14ac:dyDescent="0.2">
      <c r="A2107" s="4" t="s">
        <v>2847</v>
      </c>
      <c r="B2107" s="37">
        <v>43668</v>
      </c>
      <c r="C2107" s="12">
        <v>21</v>
      </c>
      <c r="D2107" s="38" t="s">
        <v>1031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-102</v>
      </c>
    </row>
    <row r="2108" spans="1:10" hidden="1" x14ac:dyDescent="0.2">
      <c r="A2108" s="4" t="s">
        <v>2847</v>
      </c>
      <c r="B2108" s="37">
        <v>43668</v>
      </c>
      <c r="C2108" s="12">
        <v>22</v>
      </c>
      <c r="D2108" s="38" t="s">
        <v>738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-105</v>
      </c>
    </row>
    <row r="2109" spans="1:10" hidden="1" x14ac:dyDescent="0.2">
      <c r="A2109" s="4" t="s">
        <v>2847</v>
      </c>
      <c r="B2109" s="37">
        <v>43668</v>
      </c>
      <c r="C2109" s="12">
        <v>23</v>
      </c>
      <c r="D2109" s="38" t="s">
        <v>1026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-105</v>
      </c>
    </row>
    <row r="2110" spans="1:10" hidden="1" x14ac:dyDescent="0.2">
      <c r="A2110" s="4" t="s">
        <v>2847</v>
      </c>
      <c r="B2110" s="37">
        <v>43668</v>
      </c>
      <c r="C2110" s="12">
        <v>24</v>
      </c>
      <c r="D2110" s="38" t="s">
        <v>900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-104</v>
      </c>
    </row>
    <row r="2111" spans="1:10" hidden="1" x14ac:dyDescent="0.2">
      <c r="A2111" s="4" t="s">
        <v>2847</v>
      </c>
      <c r="B2111" s="37">
        <v>43668</v>
      </c>
      <c r="C2111" s="12">
        <v>25</v>
      </c>
      <c r="D2111" s="38" t="s">
        <v>1858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-105</v>
      </c>
    </row>
    <row r="2112" spans="1:10" hidden="1" x14ac:dyDescent="0.2">
      <c r="A2112" s="4" t="s">
        <v>2847</v>
      </c>
      <c r="B2112" s="37">
        <v>43668</v>
      </c>
      <c r="C2112" s="12">
        <v>26</v>
      </c>
      <c r="D2112" s="38" t="s">
        <v>1873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-105</v>
      </c>
    </row>
    <row r="2113" spans="1:10" hidden="1" x14ac:dyDescent="0.2">
      <c r="A2113" s="4" t="s">
        <v>2847</v>
      </c>
      <c r="B2113" s="37">
        <v>43668</v>
      </c>
      <c r="C2113" s="12">
        <v>27</v>
      </c>
      <c r="D2113" s="38" t="s">
        <v>1870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-105</v>
      </c>
    </row>
    <row r="2114" spans="1:10" hidden="1" x14ac:dyDescent="0.2">
      <c r="A2114" s="4" t="s">
        <v>2847</v>
      </c>
      <c r="B2114" s="37">
        <v>43668</v>
      </c>
      <c r="C2114" s="12">
        <v>28</v>
      </c>
      <c r="D2114" s="38" t="s">
        <v>1907</v>
      </c>
      <c r="E2114" s="39">
        <v>43673</v>
      </c>
      <c r="F2114" s="40" t="s">
        <v>1184</v>
      </c>
      <c r="G2114" s="12"/>
      <c r="H2114" s="12"/>
      <c r="J2114" s="41">
        <f ca="1">ROUNDDOWN(表3[[#This Row],[日期]]-TODAY(),1)</f>
        <v>-104</v>
      </c>
    </row>
    <row r="2115" spans="1:10" hidden="1" x14ac:dyDescent="0.2">
      <c r="A2115" s="4" t="s">
        <v>2847</v>
      </c>
      <c r="B2115" s="37">
        <v>43668</v>
      </c>
      <c r="C2115" s="12">
        <v>29</v>
      </c>
      <c r="D2115" s="38" t="s">
        <v>1876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-102</v>
      </c>
    </row>
    <row r="2116" spans="1:10" hidden="1" x14ac:dyDescent="0.2">
      <c r="A2116" s="4" t="s">
        <v>2847</v>
      </c>
      <c r="B2116" s="37">
        <v>43668</v>
      </c>
      <c r="C2116" s="12">
        <v>30</v>
      </c>
      <c r="D2116" s="38" t="s">
        <v>1884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-102</v>
      </c>
    </row>
    <row r="2117" spans="1:10" hidden="1" x14ac:dyDescent="0.2">
      <c r="A2117" s="4" t="s">
        <v>2847</v>
      </c>
      <c r="B2117" s="37">
        <v>43668</v>
      </c>
      <c r="C2117" s="12">
        <v>31</v>
      </c>
      <c r="D2117" s="38" t="s">
        <v>1886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-102</v>
      </c>
    </row>
    <row r="2118" spans="1:10" hidden="1" x14ac:dyDescent="0.2">
      <c r="A2118" s="4" t="s">
        <v>2847</v>
      </c>
      <c r="B2118" s="37">
        <v>43668</v>
      </c>
      <c r="C2118" s="12"/>
      <c r="D2118" s="38" t="s">
        <v>1905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-98</v>
      </c>
    </row>
    <row r="2119" spans="1:10" hidden="1" x14ac:dyDescent="0.2">
      <c r="A2119" s="4" t="s">
        <v>2847</v>
      </c>
      <c r="B2119" s="37">
        <v>43668</v>
      </c>
      <c r="C2119" s="12"/>
      <c r="D2119" s="38" t="s">
        <v>1893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-104</v>
      </c>
    </row>
    <row r="2120" spans="1:10" hidden="1" x14ac:dyDescent="0.2">
      <c r="A2120" s="4" t="s">
        <v>2847</v>
      </c>
      <c r="B2120" s="37">
        <v>43668</v>
      </c>
      <c r="C2120" s="12"/>
      <c r="D2120" s="38" t="s">
        <v>1894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-104</v>
      </c>
    </row>
    <row r="2121" spans="1:10" hidden="1" x14ac:dyDescent="0.2">
      <c r="A2121" s="4" t="s">
        <v>2847</v>
      </c>
      <c r="B2121" s="37">
        <v>43668</v>
      </c>
      <c r="C2121" s="12"/>
      <c r="D2121" s="38" t="s">
        <v>1895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-104</v>
      </c>
    </row>
    <row r="2122" spans="1:10" hidden="1" x14ac:dyDescent="0.2">
      <c r="A2122" s="4" t="s">
        <v>2847</v>
      </c>
      <c r="B2122" s="37">
        <v>43668</v>
      </c>
      <c r="C2122" s="12"/>
      <c r="D2122" s="38" t="s">
        <v>1906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-101</v>
      </c>
    </row>
    <row r="2123" spans="1:10" hidden="1" x14ac:dyDescent="0.2">
      <c r="A2123" s="23" t="s">
        <v>1459</v>
      </c>
      <c r="B2123" s="25">
        <v>43670</v>
      </c>
      <c r="C2123" s="26">
        <v>1</v>
      </c>
      <c r="D2123" s="7" t="s">
        <v>364</v>
      </c>
      <c r="E2123" s="27">
        <v>43658</v>
      </c>
      <c r="F2123" s="28" t="s">
        <v>1460</v>
      </c>
      <c r="G2123" s="26"/>
      <c r="H2123" s="26"/>
      <c r="I2123" s="23"/>
      <c r="J2123" s="29">
        <f ca="1">ROUNDDOWN(表3[[#This Row],[日期]]-TODAY(),1)</f>
        <v>-119</v>
      </c>
    </row>
    <row r="2124" spans="1:10" hidden="1" x14ac:dyDescent="0.2">
      <c r="A2124" s="23" t="s">
        <v>1459</v>
      </c>
      <c r="B2124" s="25">
        <v>43670</v>
      </c>
      <c r="C2124" s="26">
        <v>2</v>
      </c>
      <c r="D2124" s="7" t="s">
        <v>863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-113</v>
      </c>
    </row>
    <row r="2125" spans="1:10" hidden="1" x14ac:dyDescent="0.2">
      <c r="A2125" s="23" t="s">
        <v>1459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-113</v>
      </c>
    </row>
    <row r="2126" spans="1:10" hidden="1" x14ac:dyDescent="0.2">
      <c r="A2126" s="23" t="s">
        <v>1459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-113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1690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-113</v>
      </c>
    </row>
    <row r="2128" spans="1:10" hidden="1" x14ac:dyDescent="0.2">
      <c r="A2128" s="23" t="s">
        <v>1459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-113</v>
      </c>
    </row>
    <row r="2129" spans="1:10" hidden="1" x14ac:dyDescent="0.2">
      <c r="A2129" s="23" t="s">
        <v>1459</v>
      </c>
      <c r="B2129" s="25">
        <v>43670</v>
      </c>
      <c r="C2129" s="26">
        <v>6</v>
      </c>
      <c r="D2129" s="7" t="s">
        <v>864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-113</v>
      </c>
    </row>
    <row r="2130" spans="1:10" hidden="1" x14ac:dyDescent="0.2">
      <c r="A2130" s="23" t="s">
        <v>1459</v>
      </c>
      <c r="B2130" s="25">
        <v>43670</v>
      </c>
      <c r="C2130" s="26">
        <v>7</v>
      </c>
      <c r="D2130" s="7" t="s">
        <v>1130</v>
      </c>
      <c r="E2130" s="27">
        <v>43666</v>
      </c>
      <c r="F2130" s="28" t="s">
        <v>242</v>
      </c>
      <c r="G2130" s="26">
        <v>3</v>
      </c>
      <c r="H2130" s="26"/>
      <c r="I2130" s="23" t="s">
        <v>1131</v>
      </c>
      <c r="J2130" s="29">
        <f ca="1">ROUNDDOWN(表3[[#This Row],[日期]]-TODAY(),1)</f>
        <v>-111</v>
      </c>
    </row>
    <row r="2131" spans="1:10" hidden="1" x14ac:dyDescent="0.2">
      <c r="A2131" s="23" t="s">
        <v>1459</v>
      </c>
      <c r="B2131" s="25">
        <v>43670</v>
      </c>
      <c r="C2131" s="26">
        <v>8</v>
      </c>
      <c r="D2131" s="7" t="s">
        <v>309</v>
      </c>
      <c r="E2131" s="27">
        <v>43665</v>
      </c>
      <c r="F2131" s="28" t="s">
        <v>242</v>
      </c>
      <c r="G2131" s="26"/>
      <c r="H2131" s="26"/>
      <c r="I2131" s="23" t="s">
        <v>310</v>
      </c>
      <c r="J2131" s="29">
        <f ca="1">ROUNDDOWN(表3[[#This Row],[日期]]-TODAY(),1)</f>
        <v>-112</v>
      </c>
    </row>
    <row r="2132" spans="1:10" hidden="1" x14ac:dyDescent="0.2">
      <c r="A2132" s="23" t="s">
        <v>1459</v>
      </c>
      <c r="B2132" s="25">
        <v>43670</v>
      </c>
      <c r="C2132" s="26">
        <v>9</v>
      </c>
      <c r="D2132" s="7" t="s">
        <v>307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-109</v>
      </c>
    </row>
    <row r="2133" spans="1:10" hidden="1" x14ac:dyDescent="0.2">
      <c r="A2133" s="23" t="s">
        <v>1459</v>
      </c>
      <c r="B2133" s="25">
        <v>43670</v>
      </c>
      <c r="C2133" s="26">
        <v>10</v>
      </c>
      <c r="D2133" s="7" t="s">
        <v>865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-109</v>
      </c>
    </row>
    <row r="2134" spans="1:10" hidden="1" x14ac:dyDescent="0.2">
      <c r="A2134" s="23" t="s">
        <v>1459</v>
      </c>
      <c r="B2134" s="25">
        <v>43670</v>
      </c>
      <c r="C2134" s="26">
        <v>11</v>
      </c>
      <c r="D2134" s="7" t="s">
        <v>866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-109</v>
      </c>
    </row>
    <row r="2135" spans="1:10" hidden="1" x14ac:dyDescent="0.2">
      <c r="A2135" s="23" t="s">
        <v>1459</v>
      </c>
      <c r="B2135" s="25">
        <v>43670</v>
      </c>
      <c r="C2135" s="26">
        <v>12</v>
      </c>
      <c r="D2135" s="7" t="s">
        <v>867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-109</v>
      </c>
    </row>
    <row r="2136" spans="1:10" hidden="1" x14ac:dyDescent="0.2">
      <c r="A2136" s="23" t="s">
        <v>1459</v>
      </c>
      <c r="B2136" s="25">
        <v>43670</v>
      </c>
      <c r="C2136" s="26">
        <v>13</v>
      </c>
      <c r="D2136" s="7" t="s">
        <v>311</v>
      </c>
      <c r="E2136" s="27">
        <v>43668</v>
      </c>
      <c r="F2136" s="28" t="s">
        <v>242</v>
      </c>
      <c r="G2136" s="26">
        <v>1</v>
      </c>
      <c r="H2136" s="26"/>
      <c r="I2136" s="23" t="s">
        <v>310</v>
      </c>
      <c r="J2136" s="29">
        <f ca="1">ROUNDDOWN(表3[[#This Row],[日期]]-TODAY(),1)</f>
        <v>-109</v>
      </c>
    </row>
    <row r="2137" spans="1:10" hidden="1" x14ac:dyDescent="0.2">
      <c r="A2137" s="23" t="s">
        <v>1459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-109</v>
      </c>
    </row>
    <row r="2138" spans="1:10" hidden="1" x14ac:dyDescent="0.2">
      <c r="A2138" s="23" t="s">
        <v>1459</v>
      </c>
      <c r="B2138" s="25">
        <v>43670</v>
      </c>
      <c r="C2138" s="26">
        <v>15</v>
      </c>
      <c r="D2138" s="7" t="s">
        <v>868</v>
      </c>
      <c r="E2138" s="27">
        <v>43668</v>
      </c>
      <c r="F2138" s="28" t="s">
        <v>242</v>
      </c>
      <c r="G2138" s="26">
        <v>1</v>
      </c>
      <c r="H2138" s="26"/>
      <c r="I2138" s="23" t="s">
        <v>310</v>
      </c>
      <c r="J2138" s="29">
        <f ca="1">ROUNDDOWN(表3[[#This Row],[日期]]-TODAY(),1)</f>
        <v>-109</v>
      </c>
    </row>
    <row r="2139" spans="1:10" hidden="1" x14ac:dyDescent="0.2">
      <c r="A2139" s="23" t="s">
        <v>1459</v>
      </c>
      <c r="B2139" s="25">
        <v>43670</v>
      </c>
      <c r="C2139" s="26">
        <v>16</v>
      </c>
      <c r="D2139" s="7" t="s">
        <v>313</v>
      </c>
      <c r="E2139" s="27">
        <v>43668</v>
      </c>
      <c r="F2139" s="28" t="s">
        <v>242</v>
      </c>
      <c r="G2139" s="26">
        <v>2</v>
      </c>
      <c r="H2139" s="26"/>
      <c r="I2139" s="23" t="s">
        <v>310</v>
      </c>
      <c r="J2139" s="29">
        <f ca="1">ROUNDDOWN(表3[[#This Row],[日期]]-TODAY(),1)</f>
        <v>-109</v>
      </c>
    </row>
    <row r="2140" spans="1:10" hidden="1" x14ac:dyDescent="0.2">
      <c r="A2140" s="23" t="s">
        <v>1459</v>
      </c>
      <c r="B2140" s="25">
        <v>43670</v>
      </c>
      <c r="C2140" s="26">
        <v>17</v>
      </c>
      <c r="D2140" s="7" t="s">
        <v>271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-109</v>
      </c>
    </row>
    <row r="2141" spans="1:10" hidden="1" x14ac:dyDescent="0.2">
      <c r="A2141" s="23" t="s">
        <v>1459</v>
      </c>
      <c r="B2141" s="25">
        <v>43670</v>
      </c>
      <c r="C2141" s="26">
        <v>18</v>
      </c>
      <c r="D2141" s="7" t="s">
        <v>273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-107</v>
      </c>
    </row>
    <row r="2142" spans="1:10" hidden="1" x14ac:dyDescent="0.2">
      <c r="A2142" s="23" t="s">
        <v>1459</v>
      </c>
      <c r="B2142" s="25">
        <v>43670</v>
      </c>
      <c r="C2142" s="26">
        <v>19</v>
      </c>
      <c r="D2142" s="7" t="s">
        <v>275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-106</v>
      </c>
    </row>
    <row r="2143" spans="1:10" hidden="1" x14ac:dyDescent="0.2">
      <c r="A2143" s="23" t="s">
        <v>1459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-107</v>
      </c>
    </row>
    <row r="2144" spans="1:10" hidden="1" x14ac:dyDescent="0.2">
      <c r="A2144" s="23" t="s">
        <v>1459</v>
      </c>
      <c r="B2144" s="25">
        <v>43670</v>
      </c>
      <c r="C2144" s="26">
        <v>21</v>
      </c>
      <c r="D2144" s="7" t="s">
        <v>1387</v>
      </c>
      <c r="E2144" s="27">
        <v>43670</v>
      </c>
      <c r="F2144" s="28" t="s">
        <v>1184</v>
      </c>
      <c r="G2144" s="26">
        <v>3</v>
      </c>
      <c r="H2144" s="26"/>
      <c r="I2144" s="23"/>
      <c r="J2144" s="29">
        <f ca="1">ROUNDDOWN(表3[[#This Row],[日期]]-TODAY(),1)</f>
        <v>-107</v>
      </c>
    </row>
    <row r="2145" spans="1:10" hidden="1" x14ac:dyDescent="0.2">
      <c r="A2145" s="23" t="s">
        <v>1459</v>
      </c>
      <c r="B2145" s="25">
        <v>43670</v>
      </c>
      <c r="C2145" s="26">
        <v>22</v>
      </c>
      <c r="D2145" s="7" t="s">
        <v>305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-105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927</v>
      </c>
      <c r="E2146" s="39">
        <v>43661</v>
      </c>
      <c r="F2146" s="40" t="s">
        <v>1581</v>
      </c>
      <c r="G2146" s="12"/>
      <c r="H2146" s="12"/>
      <c r="I2146" s="4" t="s">
        <v>27</v>
      </c>
      <c r="J2146" s="41">
        <f ca="1">ROUNDDOWN(表3[[#This Row],[日期]]-TODAY(),1)</f>
        <v>-116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-116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1594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-115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1210</v>
      </c>
      <c r="E2149" s="39">
        <v>43661</v>
      </c>
      <c r="F2149" s="40" t="s">
        <v>1614</v>
      </c>
      <c r="G2149" s="12"/>
      <c r="H2149" s="12"/>
      <c r="J2149" s="41">
        <f ca="1">ROUNDDOWN(表3[[#This Row],[日期]]-TODAY(),1)</f>
        <v>-116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1614</v>
      </c>
      <c r="G2150" s="12"/>
      <c r="H2150" s="12"/>
      <c r="J2150" s="41">
        <f ca="1">ROUNDDOWN(表3[[#This Row],[日期]]-TODAY(),1)</f>
        <v>-116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1691</v>
      </c>
      <c r="E2151" s="39">
        <v>43661</v>
      </c>
      <c r="F2151" s="40" t="s">
        <v>1614</v>
      </c>
      <c r="G2151" s="12"/>
      <c r="H2151" s="12"/>
      <c r="J2151" s="41">
        <f ca="1">ROUNDDOWN(表3[[#This Row],[日期]]-TODAY(),1)</f>
        <v>-116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1576</v>
      </c>
      <c r="E2152" s="39">
        <v>43661</v>
      </c>
      <c r="F2152" s="40" t="s">
        <v>1614</v>
      </c>
      <c r="G2152" s="12"/>
      <c r="H2152" s="12"/>
      <c r="J2152" s="41">
        <f ca="1">ROUNDDOWN(表3[[#This Row],[日期]]-TODAY(),1)</f>
        <v>-116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1577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-114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-114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928</v>
      </c>
      <c r="E2155" s="39">
        <v>43663</v>
      </c>
      <c r="F2155" s="40" t="s">
        <v>1642</v>
      </c>
      <c r="G2155" s="12"/>
      <c r="H2155" s="12"/>
      <c r="I2155" s="4" t="s">
        <v>32</v>
      </c>
      <c r="J2155" s="41">
        <f ca="1">ROUNDDOWN(表3[[#This Row],[日期]]-TODAY(),1)</f>
        <v>-114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1648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-114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1578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-114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1597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-114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1692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-114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-114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1579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-114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-114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929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-113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-113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-113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930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-113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1693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-113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931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-113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759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-113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1641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-113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1640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-113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-113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-113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-113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-113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-113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932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-112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933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-112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-112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1697</v>
      </c>
      <c r="E2180" s="39">
        <v>43665</v>
      </c>
      <c r="F2180" s="40" t="s">
        <v>1728</v>
      </c>
      <c r="G2180" s="12">
        <v>4</v>
      </c>
      <c r="H2180" s="12"/>
      <c r="J2180" s="41">
        <f ca="1">ROUNDDOWN(表3[[#This Row],[日期]]-TODAY(),1)</f>
        <v>-112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1698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-110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-110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1071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-110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-110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-110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-108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-108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1793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-107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305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-106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1826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-106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1827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-106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1684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-109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1942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-101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2436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-74</v>
      </c>
    </row>
    <row r="2195" spans="1:10" hidden="1" x14ac:dyDescent="0.2">
      <c r="A2195" s="23" t="s">
        <v>1416</v>
      </c>
      <c r="B2195" s="25">
        <v>43670</v>
      </c>
      <c r="C2195" s="26">
        <v>1</v>
      </c>
      <c r="D2195" s="7" t="s">
        <v>364</v>
      </c>
      <c r="E2195" s="27">
        <v>43657</v>
      </c>
      <c r="F2195" s="28" t="s">
        <v>1381</v>
      </c>
      <c r="G2195" s="26"/>
      <c r="H2195" s="26"/>
      <c r="I2195" s="23"/>
      <c r="J2195" s="29">
        <f ca="1">ROUNDDOWN(表3[[#This Row],[日期]]-TODAY(),1)</f>
        <v>-120</v>
      </c>
    </row>
    <row r="2196" spans="1:10" hidden="1" x14ac:dyDescent="0.2">
      <c r="A2196" s="23" t="s">
        <v>1416</v>
      </c>
      <c r="B2196" s="25">
        <v>43670</v>
      </c>
      <c r="C2196" s="26">
        <v>2</v>
      </c>
      <c r="D2196" s="7" t="s">
        <v>863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-119</v>
      </c>
    </row>
    <row r="2197" spans="1:10" hidden="1" x14ac:dyDescent="0.2">
      <c r="A2197" s="23" t="s">
        <v>1416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-119</v>
      </c>
    </row>
    <row r="2198" spans="1:10" hidden="1" x14ac:dyDescent="0.2">
      <c r="A2198" s="23" t="s">
        <v>1416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-113</v>
      </c>
    </row>
    <row r="2199" spans="1:10" hidden="1" x14ac:dyDescent="0.2">
      <c r="A2199" s="23" t="s">
        <v>1416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-113</v>
      </c>
    </row>
    <row r="2200" spans="1:10" hidden="1" x14ac:dyDescent="0.2">
      <c r="A2200" s="23" t="s">
        <v>1416</v>
      </c>
      <c r="B2200" s="25">
        <v>43670</v>
      </c>
      <c r="C2200" s="26">
        <v>6</v>
      </c>
      <c r="D2200" s="7" t="s">
        <v>864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-113</v>
      </c>
    </row>
    <row r="2201" spans="1:10" hidden="1" x14ac:dyDescent="0.2">
      <c r="A2201" s="23" t="s">
        <v>1416</v>
      </c>
      <c r="B2201" s="25">
        <v>43670</v>
      </c>
      <c r="C2201" s="26">
        <v>7</v>
      </c>
      <c r="D2201" s="7" t="s">
        <v>1130</v>
      </c>
      <c r="E2201" s="27">
        <v>43664</v>
      </c>
      <c r="F2201" s="28" t="s">
        <v>1184</v>
      </c>
      <c r="G2201" s="26"/>
      <c r="H2201" s="26"/>
      <c r="I2201" s="23" t="s">
        <v>1131</v>
      </c>
      <c r="J2201" s="29">
        <f ca="1">ROUNDDOWN(表3[[#This Row],[日期]]-TODAY(),1)</f>
        <v>-113</v>
      </c>
    </row>
    <row r="2202" spans="1:10" hidden="1" x14ac:dyDescent="0.2">
      <c r="A2202" s="23" t="s">
        <v>1416</v>
      </c>
      <c r="B2202" s="25">
        <v>43670</v>
      </c>
      <c r="C2202" s="26">
        <v>8</v>
      </c>
      <c r="D2202" s="7" t="s">
        <v>307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-112</v>
      </c>
    </row>
    <row r="2203" spans="1:10" hidden="1" x14ac:dyDescent="0.2">
      <c r="A2203" s="23" t="s">
        <v>1416</v>
      </c>
      <c r="B2203" s="25">
        <v>43670</v>
      </c>
      <c r="C2203" s="26">
        <v>9</v>
      </c>
      <c r="D2203" s="7" t="s">
        <v>865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-112</v>
      </c>
    </row>
    <row r="2204" spans="1:10" hidden="1" x14ac:dyDescent="0.2">
      <c r="A2204" s="23" t="s">
        <v>1416</v>
      </c>
      <c r="B2204" s="25">
        <v>43670</v>
      </c>
      <c r="C2204" s="26">
        <v>10</v>
      </c>
      <c r="D2204" s="7" t="s">
        <v>866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-109</v>
      </c>
    </row>
    <row r="2205" spans="1:10" hidden="1" x14ac:dyDescent="0.2">
      <c r="A2205" s="23" t="s">
        <v>1416</v>
      </c>
      <c r="B2205" s="25">
        <v>43670</v>
      </c>
      <c r="C2205" s="26">
        <v>11</v>
      </c>
      <c r="D2205" s="7" t="s">
        <v>867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-112</v>
      </c>
    </row>
    <row r="2206" spans="1:10" hidden="1" x14ac:dyDescent="0.2">
      <c r="A2206" s="23" t="s">
        <v>1416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-112</v>
      </c>
    </row>
    <row r="2207" spans="1:10" hidden="1" x14ac:dyDescent="0.2">
      <c r="A2207" s="23" t="s">
        <v>1416</v>
      </c>
      <c r="B2207" s="25">
        <v>43670</v>
      </c>
      <c r="C2207" s="26">
        <v>13</v>
      </c>
      <c r="D2207" s="7" t="s">
        <v>868</v>
      </c>
      <c r="E2207" s="27">
        <v>43665</v>
      </c>
      <c r="F2207" s="28" t="s">
        <v>242</v>
      </c>
      <c r="G2207" s="26">
        <v>1</v>
      </c>
      <c r="H2207" s="26"/>
      <c r="I2207" s="23" t="s">
        <v>310</v>
      </c>
      <c r="J2207" s="29">
        <f ca="1">ROUNDDOWN(表3[[#This Row],[日期]]-TODAY(),1)</f>
        <v>-112</v>
      </c>
    </row>
    <row r="2208" spans="1:10" hidden="1" x14ac:dyDescent="0.2">
      <c r="A2208" s="23" t="s">
        <v>1416</v>
      </c>
      <c r="B2208" s="25">
        <v>43670</v>
      </c>
      <c r="C2208" s="26">
        <v>14</v>
      </c>
      <c r="D2208" s="7" t="s">
        <v>313</v>
      </c>
      <c r="E2208" s="27">
        <v>43665</v>
      </c>
      <c r="F2208" s="28" t="s">
        <v>242</v>
      </c>
      <c r="G2208" s="26">
        <v>4</v>
      </c>
      <c r="H2208" s="26"/>
      <c r="I2208" s="23" t="s">
        <v>310</v>
      </c>
      <c r="J2208" s="29">
        <f ca="1">ROUNDDOWN(表3[[#This Row],[日期]]-TODAY(),1)</f>
        <v>-112</v>
      </c>
    </row>
    <row r="2209" spans="1:10" hidden="1" x14ac:dyDescent="0.2">
      <c r="A2209" s="23" t="s">
        <v>1416</v>
      </c>
      <c r="B2209" s="25">
        <v>43670</v>
      </c>
      <c r="C2209" s="26">
        <v>15</v>
      </c>
      <c r="D2209" s="7" t="s">
        <v>309</v>
      </c>
      <c r="E2209" s="27">
        <v>43665</v>
      </c>
      <c r="F2209" s="28" t="s">
        <v>242</v>
      </c>
      <c r="G2209" s="26">
        <v>4</v>
      </c>
      <c r="H2209" s="26"/>
      <c r="I2209" s="23" t="s">
        <v>310</v>
      </c>
      <c r="J2209" s="29">
        <f ca="1">ROUNDDOWN(表3[[#This Row],[日期]]-TODAY(),1)</f>
        <v>-112</v>
      </c>
    </row>
    <row r="2210" spans="1:10" hidden="1" x14ac:dyDescent="0.2">
      <c r="A2210" s="23" t="s">
        <v>1416</v>
      </c>
      <c r="B2210" s="25">
        <v>43670</v>
      </c>
      <c r="C2210" s="26">
        <v>16</v>
      </c>
      <c r="D2210" s="7" t="s">
        <v>311</v>
      </c>
      <c r="E2210" s="27">
        <v>43666</v>
      </c>
      <c r="F2210" s="28" t="s">
        <v>242</v>
      </c>
      <c r="G2210" s="26"/>
      <c r="H2210" s="26"/>
      <c r="I2210" s="23" t="s">
        <v>310</v>
      </c>
      <c r="J2210" s="29">
        <f ca="1">ROUNDDOWN(表3[[#This Row],[日期]]-TODAY(),1)</f>
        <v>-111</v>
      </c>
    </row>
    <row r="2211" spans="1:10" hidden="1" x14ac:dyDescent="0.2">
      <c r="A2211" s="23" t="s">
        <v>1416</v>
      </c>
      <c r="B2211" s="25">
        <v>43670</v>
      </c>
      <c r="C2211" s="26">
        <v>17</v>
      </c>
      <c r="D2211" s="7" t="s">
        <v>271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-111</v>
      </c>
    </row>
    <row r="2212" spans="1:10" hidden="1" x14ac:dyDescent="0.2">
      <c r="A2212" s="23" t="s">
        <v>1416</v>
      </c>
      <c r="B2212" s="25">
        <v>43670</v>
      </c>
      <c r="C2212" s="26">
        <v>18</v>
      </c>
      <c r="D2212" s="7" t="s">
        <v>273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-110</v>
      </c>
    </row>
    <row r="2213" spans="1:10" hidden="1" x14ac:dyDescent="0.2">
      <c r="A2213" s="23" t="s">
        <v>1416</v>
      </c>
      <c r="B2213" s="25">
        <v>43670</v>
      </c>
      <c r="C2213" s="26">
        <v>19</v>
      </c>
      <c r="D2213" s="7" t="s">
        <v>275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-108</v>
      </c>
    </row>
    <row r="2214" spans="1:10" hidden="1" x14ac:dyDescent="0.2">
      <c r="A2214" s="23" t="s">
        <v>1416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-108</v>
      </c>
    </row>
    <row r="2215" spans="1:10" hidden="1" x14ac:dyDescent="0.2">
      <c r="A2215" s="23" t="s">
        <v>1416</v>
      </c>
      <c r="B2215" s="25">
        <v>43670</v>
      </c>
      <c r="C2215" s="26">
        <v>21</v>
      </c>
      <c r="D2215" s="7" t="s">
        <v>1387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-108</v>
      </c>
    </row>
    <row r="2216" spans="1:10" hidden="1" x14ac:dyDescent="0.2">
      <c r="A2216" s="23" t="s">
        <v>1416</v>
      </c>
      <c r="B2216" s="25">
        <v>43670</v>
      </c>
      <c r="C2216" s="26">
        <v>22</v>
      </c>
      <c r="D2216" s="7" t="s">
        <v>305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-107</v>
      </c>
    </row>
    <row r="2217" spans="1:10" hidden="1" x14ac:dyDescent="0.2">
      <c r="A2217" s="4" t="s">
        <v>2831</v>
      </c>
      <c r="B2217" s="37">
        <v>43670</v>
      </c>
      <c r="C2217" s="12">
        <v>1</v>
      </c>
      <c r="D2217" s="38" t="s">
        <v>507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-112</v>
      </c>
    </row>
    <row r="2218" spans="1:10" hidden="1" x14ac:dyDescent="0.2">
      <c r="A2218" s="4" t="s">
        <v>2831</v>
      </c>
      <c r="B2218" s="37">
        <v>43670</v>
      </c>
      <c r="C2218" s="12">
        <v>2</v>
      </c>
      <c r="D2218" s="38" t="s">
        <v>1518</v>
      </c>
      <c r="E2218" s="39">
        <v>43665</v>
      </c>
      <c r="F2218" s="40" t="s">
        <v>242</v>
      </c>
      <c r="G2218" s="12"/>
      <c r="H2218" s="12"/>
      <c r="I2218" s="4" t="s">
        <v>1521</v>
      </c>
      <c r="J2218" s="41">
        <f ca="1">ROUNDDOWN(表3[[#This Row],[日期]]-TODAY(),1)</f>
        <v>-112</v>
      </c>
    </row>
    <row r="2219" spans="1:10" hidden="1" x14ac:dyDescent="0.2">
      <c r="A2219" s="4" t="s">
        <v>2831</v>
      </c>
      <c r="B2219" s="37">
        <v>43670</v>
      </c>
      <c r="C2219" s="12">
        <v>3</v>
      </c>
      <c r="D2219" s="38" t="s">
        <v>1525</v>
      </c>
      <c r="E2219" s="39">
        <v>43665</v>
      </c>
      <c r="F2219" s="40" t="s">
        <v>242</v>
      </c>
      <c r="G2219" s="12"/>
      <c r="H2219" s="12"/>
      <c r="I2219" s="4" t="s">
        <v>1523</v>
      </c>
      <c r="J2219" s="41">
        <f ca="1">ROUNDDOWN(表3[[#This Row],[日期]]-TODAY(),1)</f>
        <v>-112</v>
      </c>
    </row>
    <row r="2220" spans="1:10" hidden="1" x14ac:dyDescent="0.2">
      <c r="A2220" s="4" t="s">
        <v>2831</v>
      </c>
      <c r="B2220" s="37">
        <v>43670</v>
      </c>
      <c r="C2220" s="12">
        <v>4</v>
      </c>
      <c r="D2220" s="38" t="s">
        <v>1526</v>
      </c>
      <c r="E2220" s="39">
        <v>43665</v>
      </c>
      <c r="F2220" s="40" t="s">
        <v>242</v>
      </c>
      <c r="G2220" s="12"/>
      <c r="H2220" s="12"/>
      <c r="I2220" s="4" t="s">
        <v>1528</v>
      </c>
      <c r="J2220" s="41">
        <f ca="1">ROUNDDOWN(表3[[#This Row],[日期]]-TODAY(),1)</f>
        <v>-112</v>
      </c>
    </row>
    <row r="2221" spans="1:10" hidden="1" x14ac:dyDescent="0.2">
      <c r="A2221" s="4" t="s">
        <v>2831</v>
      </c>
      <c r="B2221" s="37">
        <v>43670</v>
      </c>
      <c r="C2221" s="12">
        <v>5</v>
      </c>
      <c r="D2221" s="38" t="s">
        <v>1703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-112</v>
      </c>
    </row>
    <row r="2222" spans="1:10" hidden="1" x14ac:dyDescent="0.2">
      <c r="A2222" s="4" t="s">
        <v>2831</v>
      </c>
      <c r="B2222" s="37">
        <v>43670</v>
      </c>
      <c r="C2222" s="12">
        <v>6</v>
      </c>
      <c r="D2222" s="38" t="s">
        <v>1533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-112</v>
      </c>
    </row>
    <row r="2223" spans="1:10" hidden="1" x14ac:dyDescent="0.2">
      <c r="A2223" s="4" t="s">
        <v>2831</v>
      </c>
      <c r="B2223" s="37">
        <v>43670</v>
      </c>
      <c r="C2223" s="12">
        <v>7</v>
      </c>
      <c r="D2223" s="38" t="s">
        <v>1535</v>
      </c>
      <c r="E2223" s="39">
        <v>43665</v>
      </c>
      <c r="F2223" s="40" t="s">
        <v>1184</v>
      </c>
      <c r="G2223" s="12"/>
      <c r="H2223" s="12"/>
      <c r="I2223" s="4" t="s">
        <v>1537</v>
      </c>
      <c r="J2223" s="41">
        <f ca="1">ROUNDDOWN(表3[[#This Row],[日期]]-TODAY(),1)</f>
        <v>-112</v>
      </c>
    </row>
    <row r="2224" spans="1:10" hidden="1" x14ac:dyDescent="0.2">
      <c r="A2224" s="4" t="s">
        <v>2831</v>
      </c>
      <c r="B2224" s="37">
        <v>43670</v>
      </c>
      <c r="C2224" s="12">
        <v>8</v>
      </c>
      <c r="D2224" s="38" t="s">
        <v>1531</v>
      </c>
      <c r="E2224" s="39">
        <v>43665</v>
      </c>
      <c r="F2224" s="40" t="s">
        <v>1184</v>
      </c>
      <c r="G2224" s="12"/>
      <c r="H2224" s="12"/>
      <c r="J2224" s="41">
        <f ca="1">ROUNDDOWN(表3[[#This Row],[日期]]-TODAY(),1)</f>
        <v>-112</v>
      </c>
    </row>
    <row r="2225" spans="1:10" hidden="1" x14ac:dyDescent="0.2">
      <c r="A2225" s="4" t="s">
        <v>2831</v>
      </c>
      <c r="B2225" s="37">
        <v>43670</v>
      </c>
      <c r="C2225" s="12">
        <v>9</v>
      </c>
      <c r="D2225" s="38" t="s">
        <v>1539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-112</v>
      </c>
    </row>
    <row r="2226" spans="1:10" hidden="1" x14ac:dyDescent="0.2">
      <c r="A2226" s="4" t="s">
        <v>2831</v>
      </c>
      <c r="B2226" s="37">
        <v>43670</v>
      </c>
      <c r="C2226" s="12">
        <v>10</v>
      </c>
      <c r="D2226" s="38" t="s">
        <v>1541</v>
      </c>
      <c r="E2226" s="39">
        <v>43668</v>
      </c>
      <c r="F2226" s="40" t="s">
        <v>242</v>
      </c>
      <c r="G2226" s="12">
        <v>1</v>
      </c>
      <c r="H2226" s="12"/>
      <c r="I2226" s="4" t="s">
        <v>529</v>
      </c>
      <c r="J2226" s="41">
        <f ca="1">ROUNDDOWN(表3[[#This Row],[日期]]-TODAY(),1)</f>
        <v>-109</v>
      </c>
    </row>
    <row r="2227" spans="1:10" hidden="1" x14ac:dyDescent="0.2">
      <c r="A2227" s="4" t="s">
        <v>2831</v>
      </c>
      <c r="B2227" s="37">
        <v>43670</v>
      </c>
      <c r="C2227" s="12">
        <v>11</v>
      </c>
      <c r="D2227" s="38" t="s">
        <v>1543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-109</v>
      </c>
    </row>
    <row r="2228" spans="1:10" hidden="1" x14ac:dyDescent="0.2">
      <c r="A2228" s="4" t="s">
        <v>2831</v>
      </c>
      <c r="B2228" s="37">
        <v>43670</v>
      </c>
      <c r="C2228" s="12">
        <v>12</v>
      </c>
      <c r="D2228" s="38" t="s">
        <v>1545</v>
      </c>
      <c r="E2228" s="39">
        <v>43668</v>
      </c>
      <c r="F2228" s="40" t="s">
        <v>242</v>
      </c>
      <c r="G2228" s="12">
        <v>1</v>
      </c>
      <c r="H2228" s="12"/>
      <c r="I2228" s="4" t="s">
        <v>1547</v>
      </c>
      <c r="J2228" s="41">
        <f ca="1">ROUNDDOWN(表3[[#This Row],[日期]]-TODAY(),1)</f>
        <v>-109</v>
      </c>
    </row>
    <row r="2229" spans="1:10" hidden="1" x14ac:dyDescent="0.2">
      <c r="A2229" s="4" t="s">
        <v>2831</v>
      </c>
      <c r="B2229" s="37">
        <v>43670</v>
      </c>
      <c r="C2229" s="12">
        <v>13</v>
      </c>
      <c r="D2229" s="38" t="s">
        <v>1549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-109</v>
      </c>
    </row>
    <row r="2230" spans="1:10" hidden="1" x14ac:dyDescent="0.2">
      <c r="A2230" s="4" t="s">
        <v>2831</v>
      </c>
      <c r="B2230" s="37">
        <v>43670</v>
      </c>
      <c r="C2230" s="12">
        <v>14</v>
      </c>
      <c r="D2230" s="38" t="s">
        <v>1556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-109</v>
      </c>
    </row>
    <row r="2231" spans="1:10" hidden="1" x14ac:dyDescent="0.2">
      <c r="A2231" s="4" t="s">
        <v>2831</v>
      </c>
      <c r="B2231" s="37">
        <v>43670</v>
      </c>
      <c r="C2231" s="12">
        <v>15</v>
      </c>
      <c r="D2231" s="38" t="s">
        <v>1298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-109</v>
      </c>
    </row>
    <row r="2232" spans="1:10" hidden="1" x14ac:dyDescent="0.2">
      <c r="A2232" s="4" t="s">
        <v>2831</v>
      </c>
      <c r="B2232" s="37">
        <v>43670</v>
      </c>
      <c r="C2232" s="12">
        <v>16</v>
      </c>
      <c r="D2232" s="38" t="s">
        <v>1552</v>
      </c>
      <c r="E2232" s="39">
        <v>43668</v>
      </c>
      <c r="F2232" s="40" t="s">
        <v>242</v>
      </c>
      <c r="G2232" s="12">
        <v>1</v>
      </c>
      <c r="H2232" s="12"/>
      <c r="I2232" s="4" t="s">
        <v>1554</v>
      </c>
      <c r="J2232" s="41">
        <f ca="1">ROUNDDOWN(表3[[#This Row],[日期]]-TODAY(),1)</f>
        <v>-109</v>
      </c>
    </row>
    <row r="2233" spans="1:10" hidden="1" x14ac:dyDescent="0.2">
      <c r="A2233" s="4" t="s">
        <v>2831</v>
      </c>
      <c r="B2233" s="37">
        <v>43670</v>
      </c>
      <c r="C2233" s="12">
        <v>17</v>
      </c>
      <c r="D2233" s="38" t="s">
        <v>1558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-109</v>
      </c>
    </row>
    <row r="2234" spans="1:10" hidden="1" x14ac:dyDescent="0.2">
      <c r="A2234" s="4" t="s">
        <v>2831</v>
      </c>
      <c r="B2234" s="37">
        <v>43670</v>
      </c>
      <c r="C2234" s="12">
        <v>18</v>
      </c>
      <c r="D2234" s="38" t="s">
        <v>1560</v>
      </c>
      <c r="E2234" s="39">
        <v>43668</v>
      </c>
      <c r="F2234" s="40" t="s">
        <v>1184</v>
      </c>
      <c r="G2234" s="12">
        <v>1</v>
      </c>
      <c r="H2234" s="12"/>
      <c r="J2234" s="41">
        <f ca="1">ROUNDDOWN(表3[[#This Row],[日期]]-TODAY(),1)</f>
        <v>-109</v>
      </c>
    </row>
    <row r="2235" spans="1:10" hidden="1" x14ac:dyDescent="0.2">
      <c r="A2235" s="4" t="s">
        <v>2831</v>
      </c>
      <c r="B2235" s="37">
        <v>43670</v>
      </c>
      <c r="C2235" s="12">
        <v>19</v>
      </c>
      <c r="D2235" s="38" t="s">
        <v>1562</v>
      </c>
      <c r="E2235" s="39">
        <v>43668</v>
      </c>
      <c r="F2235" s="40" t="s">
        <v>1184</v>
      </c>
      <c r="G2235" s="12">
        <v>1</v>
      </c>
      <c r="H2235" s="12"/>
      <c r="J2235" s="41">
        <f ca="1">ROUNDDOWN(表3[[#This Row],[日期]]-TODAY(),1)</f>
        <v>-109</v>
      </c>
    </row>
    <row r="2236" spans="1:10" hidden="1" x14ac:dyDescent="0.2">
      <c r="A2236" s="4" t="s">
        <v>2831</v>
      </c>
      <c r="B2236" s="37">
        <v>43670</v>
      </c>
      <c r="C2236" s="12">
        <v>20</v>
      </c>
      <c r="D2236" s="38" t="s">
        <v>1564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-109</v>
      </c>
    </row>
    <row r="2237" spans="1:10" hidden="1" x14ac:dyDescent="0.2">
      <c r="A2237" s="4" t="s">
        <v>2831</v>
      </c>
      <c r="B2237" s="37">
        <v>43670</v>
      </c>
      <c r="C2237" s="12">
        <v>21</v>
      </c>
      <c r="D2237" s="38" t="s">
        <v>1566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-109</v>
      </c>
    </row>
    <row r="2238" spans="1:10" hidden="1" x14ac:dyDescent="0.2">
      <c r="A2238" s="4" t="s">
        <v>2831</v>
      </c>
      <c r="B2238" s="37">
        <v>43670</v>
      </c>
      <c r="C2238" s="12">
        <v>22</v>
      </c>
      <c r="D2238" s="38" t="s">
        <v>1704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-109</v>
      </c>
    </row>
    <row r="2239" spans="1:10" hidden="1" x14ac:dyDescent="0.2">
      <c r="A2239" s="4" t="s">
        <v>2831</v>
      </c>
      <c r="B2239" s="37">
        <v>43670</v>
      </c>
      <c r="C2239" s="12">
        <v>23</v>
      </c>
      <c r="D2239" s="38" t="s">
        <v>1568</v>
      </c>
      <c r="E2239" s="39">
        <v>43668</v>
      </c>
      <c r="F2239" s="40" t="s">
        <v>242</v>
      </c>
      <c r="G2239" s="12">
        <v>1</v>
      </c>
      <c r="H2239" s="12"/>
      <c r="I2239" s="4" t="s">
        <v>1528</v>
      </c>
      <c r="J2239" s="41">
        <f ca="1">ROUNDDOWN(表3[[#This Row],[日期]]-TODAY(),1)</f>
        <v>-109</v>
      </c>
    </row>
    <row r="2240" spans="1:10" hidden="1" x14ac:dyDescent="0.2">
      <c r="A2240" s="4" t="s">
        <v>2831</v>
      </c>
      <c r="B2240" s="37">
        <v>43670</v>
      </c>
      <c r="C2240" s="12">
        <v>24</v>
      </c>
      <c r="D2240" s="38" t="s">
        <v>305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-106</v>
      </c>
    </row>
    <row r="2241" spans="1:10" hidden="1" x14ac:dyDescent="0.2">
      <c r="A2241" s="4" t="s">
        <v>2831</v>
      </c>
      <c r="B2241" s="37">
        <v>43670</v>
      </c>
      <c r="C2241" s="12">
        <v>25</v>
      </c>
      <c r="D2241" s="38" t="s">
        <v>1572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-106</v>
      </c>
    </row>
    <row r="2242" spans="1:10" hidden="1" x14ac:dyDescent="0.2">
      <c r="A2242" s="4" t="s">
        <v>2831</v>
      </c>
      <c r="B2242" s="37">
        <v>43670</v>
      </c>
      <c r="C2242" s="12">
        <v>26</v>
      </c>
      <c r="D2242" s="38" t="s">
        <v>1570</v>
      </c>
      <c r="E2242" s="39">
        <v>43671</v>
      </c>
      <c r="F2242" s="40" t="s">
        <v>242</v>
      </c>
      <c r="G2242" s="12">
        <v>4</v>
      </c>
      <c r="H2242" s="12"/>
      <c r="I2242" s="4" t="s">
        <v>1528</v>
      </c>
      <c r="J2242" s="41">
        <f ca="1">ROUNDDOWN(表3[[#This Row],[日期]]-TODAY(),1)</f>
        <v>-106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-123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-123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-122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-122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1263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-122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1264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-122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1266</v>
      </c>
      <c r="E2249" s="27">
        <v>43661</v>
      </c>
      <c r="F2249" s="28" t="s">
        <v>242</v>
      </c>
      <c r="G2249" s="26">
        <v>3</v>
      </c>
      <c r="H2249" s="26"/>
      <c r="I2249" s="23" t="s">
        <v>1265</v>
      </c>
      <c r="J2249" s="29">
        <f ca="1">ROUNDDOWN(表3[[#This Row],[日期]]-TODAY(),1)</f>
        <v>-116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972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-116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973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-116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1268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-116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1269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-116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-114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-114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-114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974</v>
      </c>
      <c r="E2257" s="27">
        <v>43663</v>
      </c>
      <c r="F2257" s="28" t="s">
        <v>242</v>
      </c>
      <c r="G2257" s="26">
        <v>3</v>
      </c>
      <c r="H2257" s="26"/>
      <c r="I2257" s="23" t="s">
        <v>256</v>
      </c>
      <c r="J2257" s="29">
        <f ca="1">ROUNDDOWN(表3[[#This Row],[日期]]-TODAY(),1)</f>
        <v>-114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261</v>
      </c>
      <c r="E2258" s="27">
        <v>43664</v>
      </c>
      <c r="F2258" s="28" t="s">
        <v>242</v>
      </c>
      <c r="G2258" s="26">
        <v>0</v>
      </c>
      <c r="H2258" s="26"/>
      <c r="I2258" s="23" t="s">
        <v>259</v>
      </c>
      <c r="J2258" s="29">
        <f ca="1">ROUNDDOWN(表3[[#This Row],[日期]]-TODAY(),1)</f>
        <v>-113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263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-113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265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-113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279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-112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281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-112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283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-112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267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-113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269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-112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271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-112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273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-111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1892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-107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275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-100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277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-98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1812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-106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412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-98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1763</v>
      </c>
      <c r="E2273" s="39">
        <v>43670</v>
      </c>
      <c r="F2273" s="40" t="s">
        <v>1184</v>
      </c>
      <c r="G2273" s="12">
        <v>1</v>
      </c>
      <c r="H2273" s="12"/>
      <c r="J2273" s="41">
        <f ca="1">ROUNDDOWN(表3[[#This Row],[日期]]-TODAY(),1)</f>
        <v>-107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1780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-107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1802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-106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1828</v>
      </c>
      <c r="E2276" s="39">
        <v>43683</v>
      </c>
      <c r="F2276" s="40" t="s">
        <v>242</v>
      </c>
      <c r="G2276" s="12"/>
      <c r="H2276" s="12"/>
      <c r="I2276" s="4" t="s">
        <v>2159</v>
      </c>
      <c r="J2276" s="41">
        <f ca="1">ROUNDDOWN(表3[[#This Row],[日期]]-TODAY(),1)</f>
        <v>-94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1829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-106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1830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-105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1835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-106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1836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-106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1837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-105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1838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-105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1881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-86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281</v>
      </c>
      <c r="E2284" s="39">
        <v>43672</v>
      </c>
      <c r="F2284" s="40" t="s">
        <v>1891</v>
      </c>
      <c r="G2284" s="12"/>
      <c r="H2284" s="12"/>
      <c r="J2284" s="41">
        <f ca="1">ROUNDDOWN(表3[[#This Row],[日期]]-TODAY(),1)</f>
        <v>-105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2283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-73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283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-102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1930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-101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927</v>
      </c>
      <c r="E2288" s="39">
        <v>43661</v>
      </c>
      <c r="F2288" s="40" t="s">
        <v>1581</v>
      </c>
      <c r="G2288" s="12"/>
      <c r="H2288" s="12"/>
      <c r="I2288" s="4" t="s">
        <v>27</v>
      </c>
      <c r="J2288" s="41">
        <f ca="1">ROUNDDOWN(表3[[#This Row],[日期]]-TODAY(),1)</f>
        <v>-116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-116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1210</v>
      </c>
      <c r="E2290" s="39">
        <v>43661</v>
      </c>
      <c r="F2290" s="40" t="s">
        <v>1614</v>
      </c>
      <c r="G2290" s="12"/>
      <c r="H2290" s="12"/>
      <c r="J2290" s="41">
        <f ca="1">ROUNDDOWN(表3[[#This Row],[日期]]-TODAY(),1)</f>
        <v>-116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1614</v>
      </c>
      <c r="G2291" s="12"/>
      <c r="H2291" s="12"/>
      <c r="J2291" s="41">
        <f ca="1">ROUNDDOWN(表3[[#This Row],[日期]]-TODAY(),1)</f>
        <v>-116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1691</v>
      </c>
      <c r="E2292" s="39">
        <v>43661</v>
      </c>
      <c r="F2292" s="40" t="s">
        <v>1614</v>
      </c>
      <c r="G2292" s="12"/>
      <c r="H2292" s="12"/>
      <c r="J2292" s="41">
        <f ca="1">ROUNDDOWN(表3[[#This Row],[日期]]-TODAY(),1)</f>
        <v>-116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1576</v>
      </c>
      <c r="E2293" s="39">
        <v>43661</v>
      </c>
      <c r="F2293" s="40" t="s">
        <v>1614</v>
      </c>
      <c r="G2293" s="12"/>
      <c r="H2293" s="12"/>
      <c r="J2293" s="41">
        <f ca="1">ROUNDDOWN(表3[[#This Row],[日期]]-TODAY(),1)</f>
        <v>-116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1577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-114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-114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928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-109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1184</v>
      </c>
      <c r="G2297" s="12">
        <v>1</v>
      </c>
      <c r="H2297" s="12"/>
      <c r="J2297" s="41">
        <f ca="1">ROUNDDOWN(表3[[#This Row],[日期]]-TODAY(),1)</f>
        <v>-109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1578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-109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1212</v>
      </c>
      <c r="E2299" s="39">
        <v>43668</v>
      </c>
      <c r="F2299" s="40" t="s">
        <v>1184</v>
      </c>
      <c r="G2299" s="12">
        <v>1</v>
      </c>
      <c r="H2299" s="12"/>
      <c r="J2299" s="41">
        <f ca="1">ROUNDDOWN(表3[[#This Row],[日期]]-TODAY(),1)</f>
        <v>-109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1692</v>
      </c>
      <c r="E2300" s="39">
        <v>43668</v>
      </c>
      <c r="F2300" s="40" t="s">
        <v>1184</v>
      </c>
      <c r="G2300" s="12">
        <v>1</v>
      </c>
      <c r="H2300" s="12"/>
      <c r="J2300" s="41">
        <f ca="1">ROUNDDOWN(表3[[#This Row],[日期]]-TODAY(),1)</f>
        <v>-109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1184</v>
      </c>
      <c r="G2301" s="12">
        <v>1</v>
      </c>
      <c r="H2301" s="12"/>
      <c r="J2301" s="41">
        <f ca="1">ROUNDDOWN(表3[[#This Row],[日期]]-TODAY(),1)</f>
        <v>-109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1579</v>
      </c>
      <c r="E2302" s="39">
        <v>43668</v>
      </c>
      <c r="F2302" s="40" t="s">
        <v>1184</v>
      </c>
      <c r="G2302" s="12">
        <v>1</v>
      </c>
      <c r="H2302" s="12"/>
      <c r="J2302" s="41">
        <f ca="1">ROUNDDOWN(表3[[#This Row],[日期]]-TODAY(),1)</f>
        <v>-109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1184</v>
      </c>
      <c r="G2303" s="12">
        <v>1</v>
      </c>
      <c r="H2303" s="12"/>
      <c r="J2303" s="41">
        <f ca="1">ROUNDDOWN(表3[[#This Row],[日期]]-TODAY(),1)</f>
        <v>-109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929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-108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-108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-108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930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-108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1693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-108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931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-108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759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-108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1689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-108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-108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-108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-108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-108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-108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-108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932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-108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933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-108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1071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-108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-108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-108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1072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-107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-107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-107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-106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-105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1793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-107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305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-104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1826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-106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1827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-101</v>
      </c>
    </row>
    <row r="2332" spans="1:10" hidden="1" x14ac:dyDescent="0.2">
      <c r="A2332" s="4" t="s">
        <v>2831</v>
      </c>
      <c r="B2332" s="37">
        <v>43674</v>
      </c>
      <c r="C2332" s="12">
        <v>1</v>
      </c>
      <c r="D2332" s="38" t="s">
        <v>507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-108</v>
      </c>
    </row>
    <row r="2333" spans="1:10" hidden="1" x14ac:dyDescent="0.2">
      <c r="A2333" s="4" t="s">
        <v>2831</v>
      </c>
      <c r="B2333" s="37">
        <v>43674</v>
      </c>
      <c r="C2333" s="12">
        <v>2</v>
      </c>
      <c r="D2333" s="38" t="s">
        <v>1518</v>
      </c>
      <c r="E2333" s="39">
        <v>43669</v>
      </c>
      <c r="F2333" s="40" t="s">
        <v>242</v>
      </c>
      <c r="G2333" s="12"/>
      <c r="H2333" s="12"/>
      <c r="I2333" s="4" t="s">
        <v>1521</v>
      </c>
      <c r="J2333" s="41">
        <f ca="1">ROUNDDOWN(表3[[#This Row],[日期]]-TODAY(),1)</f>
        <v>-108</v>
      </c>
    </row>
    <row r="2334" spans="1:10" hidden="1" x14ac:dyDescent="0.2">
      <c r="A2334" s="4" t="s">
        <v>2831</v>
      </c>
      <c r="B2334" s="37">
        <v>43674</v>
      </c>
      <c r="C2334" s="12">
        <v>3</v>
      </c>
      <c r="D2334" s="38" t="s">
        <v>1779</v>
      </c>
      <c r="E2334" s="39">
        <v>43669</v>
      </c>
      <c r="F2334" s="40" t="s">
        <v>242</v>
      </c>
      <c r="G2334" s="12"/>
      <c r="H2334" s="12"/>
      <c r="I2334" s="4" t="s">
        <v>1523</v>
      </c>
      <c r="J2334" s="41">
        <f ca="1">ROUNDDOWN(表3[[#This Row],[日期]]-TODAY(),1)</f>
        <v>-108</v>
      </c>
    </row>
    <row r="2335" spans="1:10" hidden="1" x14ac:dyDescent="0.2">
      <c r="A2335" s="4" t="s">
        <v>2831</v>
      </c>
      <c r="B2335" s="37">
        <v>43674</v>
      </c>
      <c r="C2335" s="12">
        <v>4</v>
      </c>
      <c r="D2335" s="38" t="s">
        <v>1526</v>
      </c>
      <c r="E2335" s="39">
        <v>43669</v>
      </c>
      <c r="F2335" s="40" t="s">
        <v>242</v>
      </c>
      <c r="G2335" s="12"/>
      <c r="H2335" s="12"/>
      <c r="I2335" s="4" t="s">
        <v>1528</v>
      </c>
      <c r="J2335" s="41">
        <f ca="1">ROUNDDOWN(表3[[#This Row],[日期]]-TODAY(),1)</f>
        <v>-108</v>
      </c>
    </row>
    <row r="2336" spans="1:10" hidden="1" x14ac:dyDescent="0.2">
      <c r="A2336" s="4" t="s">
        <v>2831</v>
      </c>
      <c r="B2336" s="37">
        <v>43674</v>
      </c>
      <c r="C2336" s="12">
        <v>5</v>
      </c>
      <c r="D2336" s="38" t="s">
        <v>1703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-108</v>
      </c>
    </row>
    <row r="2337" spans="1:10" hidden="1" x14ac:dyDescent="0.2">
      <c r="A2337" s="4" t="s">
        <v>2831</v>
      </c>
      <c r="B2337" s="37">
        <v>43674</v>
      </c>
      <c r="C2337" s="12">
        <v>6</v>
      </c>
      <c r="D2337" s="38" t="s">
        <v>1533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-108</v>
      </c>
    </row>
    <row r="2338" spans="1:10" hidden="1" x14ac:dyDescent="0.2">
      <c r="A2338" s="4" t="s">
        <v>2831</v>
      </c>
      <c r="B2338" s="37">
        <v>43674</v>
      </c>
      <c r="C2338" s="12">
        <v>7</v>
      </c>
      <c r="D2338" s="38" t="s">
        <v>1535</v>
      </c>
      <c r="E2338" s="39">
        <v>43669</v>
      </c>
      <c r="F2338" s="40" t="s">
        <v>1184</v>
      </c>
      <c r="G2338" s="12"/>
      <c r="H2338" s="12"/>
      <c r="I2338" s="4" t="s">
        <v>1537</v>
      </c>
      <c r="J2338" s="41">
        <f ca="1">ROUNDDOWN(表3[[#This Row],[日期]]-TODAY(),1)</f>
        <v>-108</v>
      </c>
    </row>
    <row r="2339" spans="1:10" hidden="1" x14ac:dyDescent="0.2">
      <c r="A2339" s="4" t="s">
        <v>2831</v>
      </c>
      <c r="B2339" s="37">
        <v>43674</v>
      </c>
      <c r="C2339" s="12">
        <v>8</v>
      </c>
      <c r="D2339" s="38" t="s">
        <v>1531</v>
      </c>
      <c r="E2339" s="39">
        <v>43669</v>
      </c>
      <c r="F2339" s="40" t="s">
        <v>1184</v>
      </c>
      <c r="G2339" s="12"/>
      <c r="H2339" s="12"/>
      <c r="J2339" s="41">
        <f ca="1">ROUNDDOWN(表3[[#This Row],[日期]]-TODAY(),1)</f>
        <v>-108</v>
      </c>
    </row>
    <row r="2340" spans="1:10" hidden="1" x14ac:dyDescent="0.2">
      <c r="A2340" s="4" t="s">
        <v>2831</v>
      </c>
      <c r="B2340" s="37">
        <v>43674</v>
      </c>
      <c r="C2340" s="12">
        <v>9</v>
      </c>
      <c r="D2340" s="38" t="s">
        <v>1539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-107</v>
      </c>
    </row>
    <row r="2341" spans="1:10" hidden="1" x14ac:dyDescent="0.2">
      <c r="A2341" s="4" t="s">
        <v>2831</v>
      </c>
      <c r="B2341" s="37">
        <v>43674</v>
      </c>
      <c r="C2341" s="12">
        <v>10</v>
      </c>
      <c r="D2341" s="38" t="s">
        <v>1704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-107</v>
      </c>
    </row>
    <row r="2342" spans="1:10" hidden="1" x14ac:dyDescent="0.2">
      <c r="A2342" s="4" t="s">
        <v>2831</v>
      </c>
      <c r="B2342" s="37">
        <v>43674</v>
      </c>
      <c r="C2342" s="12">
        <v>11</v>
      </c>
      <c r="D2342" s="38" t="s">
        <v>1541</v>
      </c>
      <c r="E2342" s="39">
        <v>43672</v>
      </c>
      <c r="F2342" s="40" t="s">
        <v>242</v>
      </c>
      <c r="G2342" s="12">
        <v>1</v>
      </c>
      <c r="H2342" s="12"/>
      <c r="I2342" s="4" t="s">
        <v>529</v>
      </c>
      <c r="J2342" s="41">
        <f ca="1">ROUNDDOWN(表3[[#This Row],[日期]]-TODAY(),1)</f>
        <v>-105</v>
      </c>
    </row>
    <row r="2343" spans="1:10" hidden="1" x14ac:dyDescent="0.2">
      <c r="A2343" s="4" t="s">
        <v>2831</v>
      </c>
      <c r="B2343" s="37">
        <v>43674</v>
      </c>
      <c r="C2343" s="12">
        <v>12</v>
      </c>
      <c r="D2343" s="38" t="s">
        <v>1543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-105</v>
      </c>
    </row>
    <row r="2344" spans="1:10" hidden="1" x14ac:dyDescent="0.2">
      <c r="A2344" s="4" t="s">
        <v>2831</v>
      </c>
      <c r="B2344" s="37">
        <v>43674</v>
      </c>
      <c r="C2344" s="12">
        <v>13</v>
      </c>
      <c r="D2344" s="38" t="s">
        <v>1545</v>
      </c>
      <c r="E2344" s="39">
        <v>43672</v>
      </c>
      <c r="F2344" s="40" t="s">
        <v>242</v>
      </c>
      <c r="G2344" s="12">
        <v>1</v>
      </c>
      <c r="H2344" s="12"/>
      <c r="I2344" s="4" t="s">
        <v>1547</v>
      </c>
      <c r="J2344" s="41">
        <f ca="1">ROUNDDOWN(表3[[#This Row],[日期]]-TODAY(),1)</f>
        <v>-105</v>
      </c>
    </row>
    <row r="2345" spans="1:10" hidden="1" x14ac:dyDescent="0.2">
      <c r="A2345" s="4" t="s">
        <v>2831</v>
      </c>
      <c r="B2345" s="37">
        <v>43674</v>
      </c>
      <c r="C2345" s="12">
        <v>14</v>
      </c>
      <c r="D2345" s="38" t="s">
        <v>1549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-105</v>
      </c>
    </row>
    <row r="2346" spans="1:10" hidden="1" x14ac:dyDescent="0.2">
      <c r="A2346" s="4" t="s">
        <v>2831</v>
      </c>
      <c r="B2346" s="37">
        <v>43674</v>
      </c>
      <c r="C2346" s="12">
        <v>15</v>
      </c>
      <c r="D2346" s="38" t="s">
        <v>1556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-105</v>
      </c>
    </row>
    <row r="2347" spans="1:10" hidden="1" x14ac:dyDescent="0.2">
      <c r="A2347" s="4" t="s">
        <v>2831</v>
      </c>
      <c r="B2347" s="37">
        <v>43674</v>
      </c>
      <c r="C2347" s="12">
        <v>16</v>
      </c>
      <c r="D2347" s="38" t="s">
        <v>1298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-105</v>
      </c>
    </row>
    <row r="2348" spans="1:10" hidden="1" x14ac:dyDescent="0.2">
      <c r="A2348" s="4" t="s">
        <v>2831</v>
      </c>
      <c r="B2348" s="37">
        <v>43674</v>
      </c>
      <c r="C2348" s="12">
        <v>17</v>
      </c>
      <c r="D2348" s="38" t="s">
        <v>1552</v>
      </c>
      <c r="E2348" s="39">
        <v>43672</v>
      </c>
      <c r="F2348" s="40" t="s">
        <v>242</v>
      </c>
      <c r="G2348" s="12">
        <v>1</v>
      </c>
      <c r="H2348" s="12"/>
      <c r="I2348" s="4" t="s">
        <v>1554</v>
      </c>
      <c r="J2348" s="41">
        <f ca="1">ROUNDDOWN(表3[[#This Row],[日期]]-TODAY(),1)</f>
        <v>-105</v>
      </c>
    </row>
    <row r="2349" spans="1:10" hidden="1" x14ac:dyDescent="0.2">
      <c r="A2349" s="4" t="s">
        <v>2831</v>
      </c>
      <c r="B2349" s="37">
        <v>43674</v>
      </c>
      <c r="C2349" s="12">
        <v>18</v>
      </c>
      <c r="D2349" s="38" t="s">
        <v>1558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-105</v>
      </c>
    </row>
    <row r="2350" spans="1:10" hidden="1" x14ac:dyDescent="0.2">
      <c r="A2350" s="4" t="s">
        <v>2831</v>
      </c>
      <c r="B2350" s="37">
        <v>43674</v>
      </c>
      <c r="C2350" s="12">
        <v>19</v>
      </c>
      <c r="D2350" s="38" t="s">
        <v>1560</v>
      </c>
      <c r="E2350" s="39">
        <v>43672</v>
      </c>
      <c r="F2350" s="40" t="s">
        <v>1184</v>
      </c>
      <c r="G2350" s="12">
        <v>1</v>
      </c>
      <c r="H2350" s="12"/>
      <c r="J2350" s="41">
        <f ca="1">ROUNDDOWN(表3[[#This Row],[日期]]-TODAY(),1)</f>
        <v>-105</v>
      </c>
    </row>
    <row r="2351" spans="1:10" hidden="1" x14ac:dyDescent="0.2">
      <c r="A2351" s="4" t="s">
        <v>2831</v>
      </c>
      <c r="B2351" s="37">
        <v>43674</v>
      </c>
      <c r="C2351" s="12">
        <v>20</v>
      </c>
      <c r="D2351" s="38" t="s">
        <v>1562</v>
      </c>
      <c r="E2351" s="39">
        <v>43672</v>
      </c>
      <c r="F2351" s="40" t="s">
        <v>1184</v>
      </c>
      <c r="G2351" s="12">
        <v>1</v>
      </c>
      <c r="H2351" s="12"/>
      <c r="J2351" s="41">
        <f ca="1">ROUNDDOWN(表3[[#This Row],[日期]]-TODAY(),1)</f>
        <v>-105</v>
      </c>
    </row>
    <row r="2352" spans="1:10" hidden="1" x14ac:dyDescent="0.2">
      <c r="A2352" s="4" t="s">
        <v>2831</v>
      </c>
      <c r="B2352" s="37">
        <v>43674</v>
      </c>
      <c r="C2352" s="12">
        <v>21</v>
      </c>
      <c r="D2352" s="38" t="s">
        <v>1564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-105</v>
      </c>
    </row>
    <row r="2353" spans="1:10" hidden="1" x14ac:dyDescent="0.2">
      <c r="A2353" s="4" t="s">
        <v>2831</v>
      </c>
      <c r="B2353" s="37">
        <v>43674</v>
      </c>
      <c r="C2353" s="12">
        <v>22</v>
      </c>
      <c r="D2353" s="38" t="s">
        <v>1566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-105</v>
      </c>
    </row>
    <row r="2354" spans="1:10" hidden="1" x14ac:dyDescent="0.2">
      <c r="A2354" s="4" t="s">
        <v>2831</v>
      </c>
      <c r="B2354" s="37">
        <v>43674</v>
      </c>
      <c r="C2354" s="12">
        <v>23</v>
      </c>
      <c r="D2354" s="38" t="s">
        <v>1568</v>
      </c>
      <c r="E2354" s="39">
        <v>43672</v>
      </c>
      <c r="F2354" s="40" t="s">
        <v>242</v>
      </c>
      <c r="G2354" s="12">
        <v>1</v>
      </c>
      <c r="H2354" s="12"/>
      <c r="I2354" s="4" t="s">
        <v>1528</v>
      </c>
      <c r="J2354" s="41">
        <f ca="1">ROUNDDOWN(表3[[#This Row],[日期]]-TODAY(),1)</f>
        <v>-105</v>
      </c>
    </row>
    <row r="2355" spans="1:10" hidden="1" x14ac:dyDescent="0.2">
      <c r="A2355" s="4" t="s">
        <v>2831</v>
      </c>
      <c r="B2355" s="37">
        <v>43674</v>
      </c>
      <c r="C2355" s="12">
        <v>24</v>
      </c>
      <c r="D2355" s="38" t="s">
        <v>305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-102</v>
      </c>
    </row>
    <row r="2356" spans="1:10" hidden="1" x14ac:dyDescent="0.2">
      <c r="A2356" s="4" t="s">
        <v>2831</v>
      </c>
      <c r="B2356" s="37">
        <v>43674</v>
      </c>
      <c r="C2356" s="12">
        <v>25</v>
      </c>
      <c r="D2356" s="38" t="s">
        <v>1572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-102</v>
      </c>
    </row>
    <row r="2357" spans="1:10" hidden="1" x14ac:dyDescent="0.2">
      <c r="A2357" s="4" t="s">
        <v>2831</v>
      </c>
      <c r="B2357" s="37">
        <v>43674</v>
      </c>
      <c r="C2357" s="12">
        <v>26</v>
      </c>
      <c r="D2357" s="38" t="s">
        <v>1570</v>
      </c>
      <c r="E2357" s="39">
        <v>43675</v>
      </c>
      <c r="F2357" s="40" t="s">
        <v>242</v>
      </c>
      <c r="G2357" s="12">
        <v>4</v>
      </c>
      <c r="H2357" s="12"/>
      <c r="I2357" s="4" t="s">
        <v>1528</v>
      </c>
      <c r="J2357" s="41">
        <f ca="1">ROUNDDOWN(表3[[#This Row],[日期]]-TODAY(),1)</f>
        <v>-102</v>
      </c>
    </row>
    <row r="2358" spans="1:10" hidden="1" x14ac:dyDescent="0.2">
      <c r="A2358" s="4" t="s">
        <v>2847</v>
      </c>
      <c r="B2358" s="37">
        <v>43675</v>
      </c>
      <c r="C2358" s="12">
        <v>1</v>
      </c>
      <c r="D2358" s="38" t="s">
        <v>745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-102</v>
      </c>
    </row>
    <row r="2359" spans="1:10" hidden="1" x14ac:dyDescent="0.2">
      <c r="A2359" s="4" t="s">
        <v>2847</v>
      </c>
      <c r="B2359" s="37">
        <v>43675</v>
      </c>
      <c r="C2359" s="12">
        <v>2</v>
      </c>
      <c r="D2359" s="38" t="s">
        <v>1475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-102</v>
      </c>
    </row>
    <row r="2360" spans="1:10" hidden="1" x14ac:dyDescent="0.2">
      <c r="A2360" s="4" t="s">
        <v>2847</v>
      </c>
      <c r="B2360" s="37">
        <v>43675</v>
      </c>
      <c r="C2360" s="12">
        <v>3</v>
      </c>
      <c r="D2360" s="38" t="s">
        <v>1477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-102</v>
      </c>
    </row>
    <row r="2361" spans="1:10" hidden="1" x14ac:dyDescent="0.2">
      <c r="A2361" s="4" t="s">
        <v>2847</v>
      </c>
      <c r="B2361" s="37">
        <v>43675</v>
      </c>
      <c r="C2361" s="12">
        <v>4</v>
      </c>
      <c r="D2361" s="38" t="s">
        <v>1478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-102</v>
      </c>
    </row>
    <row r="2362" spans="1:10" hidden="1" x14ac:dyDescent="0.2">
      <c r="A2362" s="4" t="s">
        <v>2847</v>
      </c>
      <c r="B2362" s="37">
        <v>43675</v>
      </c>
      <c r="C2362" s="12">
        <v>5</v>
      </c>
      <c r="D2362" s="38" t="s">
        <v>899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-102</v>
      </c>
    </row>
    <row r="2363" spans="1:10" hidden="1" x14ac:dyDescent="0.2">
      <c r="A2363" s="4" t="s">
        <v>2847</v>
      </c>
      <c r="B2363" s="37">
        <v>43675</v>
      </c>
      <c r="C2363" s="12">
        <v>6</v>
      </c>
      <c r="D2363" s="38" t="s">
        <v>1896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-102</v>
      </c>
    </row>
    <row r="2364" spans="1:10" hidden="1" x14ac:dyDescent="0.2">
      <c r="A2364" s="4" t="s">
        <v>2847</v>
      </c>
      <c r="B2364" s="37">
        <v>43675</v>
      </c>
      <c r="C2364" s="12">
        <v>7</v>
      </c>
      <c r="D2364" s="38" t="s">
        <v>738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-102</v>
      </c>
    </row>
    <row r="2365" spans="1:10" hidden="1" x14ac:dyDescent="0.2">
      <c r="A2365" s="4" t="s">
        <v>2847</v>
      </c>
      <c r="B2365" s="37">
        <v>43675</v>
      </c>
      <c r="C2365" s="12">
        <v>8</v>
      </c>
      <c r="D2365" s="38" t="s">
        <v>738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-100</v>
      </c>
    </row>
    <row r="2366" spans="1:10" hidden="1" x14ac:dyDescent="0.2">
      <c r="A2366" s="4" t="s">
        <v>2847</v>
      </c>
      <c r="B2366" s="37">
        <v>43675</v>
      </c>
      <c r="C2366" s="12">
        <v>9</v>
      </c>
      <c r="D2366" s="38" t="s">
        <v>1025</v>
      </c>
      <c r="E2366" s="39">
        <v>43678</v>
      </c>
      <c r="F2366" s="40" t="s">
        <v>1184</v>
      </c>
      <c r="G2366" s="12"/>
      <c r="H2366" s="12"/>
      <c r="I2366" s="4" t="s">
        <v>743</v>
      </c>
      <c r="J2366" s="41">
        <f ca="1">ROUNDDOWN(表3[[#This Row],[日期]]-TODAY(),1)</f>
        <v>-99</v>
      </c>
    </row>
    <row r="2367" spans="1:10" hidden="1" x14ac:dyDescent="0.2">
      <c r="A2367" s="4" t="s">
        <v>2847</v>
      </c>
      <c r="B2367" s="37">
        <v>43675</v>
      </c>
      <c r="C2367" s="12">
        <v>10</v>
      </c>
      <c r="D2367" s="38" t="s">
        <v>899</v>
      </c>
      <c r="E2367" s="39">
        <v>43678</v>
      </c>
      <c r="F2367" s="40" t="s">
        <v>1184</v>
      </c>
      <c r="G2367" s="12">
        <v>4</v>
      </c>
      <c r="H2367" s="12"/>
      <c r="I2367" s="4" t="s">
        <v>743</v>
      </c>
      <c r="J2367" s="41">
        <f ca="1">ROUNDDOWN(表3[[#This Row],[日期]]-TODAY(),1)</f>
        <v>-99</v>
      </c>
    </row>
    <row r="2368" spans="1:10" hidden="1" x14ac:dyDescent="0.2">
      <c r="A2368" s="4" t="s">
        <v>2847</v>
      </c>
      <c r="B2368" s="37">
        <v>43675</v>
      </c>
      <c r="C2368" s="12">
        <v>11</v>
      </c>
      <c r="D2368" s="38" t="s">
        <v>1734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-98</v>
      </c>
    </row>
    <row r="2369" spans="1:10" hidden="1" x14ac:dyDescent="0.2">
      <c r="A2369" s="4" t="s">
        <v>2847</v>
      </c>
      <c r="B2369" s="37">
        <v>43675</v>
      </c>
      <c r="C2369" s="12">
        <v>12</v>
      </c>
      <c r="D2369" s="38" t="s">
        <v>1031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-95</v>
      </c>
    </row>
    <row r="2370" spans="1:10" hidden="1" x14ac:dyDescent="0.2">
      <c r="A2370" s="4" t="s">
        <v>2847</v>
      </c>
      <c r="B2370" s="37">
        <v>43675</v>
      </c>
      <c r="C2370" s="12">
        <v>13</v>
      </c>
      <c r="D2370" s="38" t="s">
        <v>738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-98</v>
      </c>
    </row>
    <row r="2371" spans="1:10" hidden="1" x14ac:dyDescent="0.2">
      <c r="A2371" s="4" t="s">
        <v>2847</v>
      </c>
      <c r="B2371" s="37">
        <v>43675</v>
      </c>
      <c r="C2371" s="12">
        <v>14</v>
      </c>
      <c r="D2371" s="38" t="s">
        <v>2112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-98</v>
      </c>
    </row>
    <row r="2372" spans="1:10" hidden="1" x14ac:dyDescent="0.2">
      <c r="A2372" s="4" t="s">
        <v>2847</v>
      </c>
      <c r="B2372" s="37">
        <v>43675</v>
      </c>
      <c r="C2372" s="12">
        <v>15</v>
      </c>
      <c r="D2372" s="38" t="s">
        <v>900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-98</v>
      </c>
    </row>
    <row r="2373" spans="1:10" hidden="1" x14ac:dyDescent="0.2">
      <c r="A2373" s="4" t="s">
        <v>2847</v>
      </c>
      <c r="B2373" s="37">
        <v>43675</v>
      </c>
      <c r="C2373" s="12"/>
      <c r="D2373" s="38" t="s">
        <v>1912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-102</v>
      </c>
    </row>
    <row r="2374" spans="1:10" hidden="1" x14ac:dyDescent="0.2">
      <c r="A2374" s="4" t="s">
        <v>2847</v>
      </c>
      <c r="B2374" s="37">
        <v>43675</v>
      </c>
      <c r="C2374" s="12"/>
      <c r="D2374" s="38" t="s">
        <v>1931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-102</v>
      </c>
    </row>
    <row r="2375" spans="1:10" hidden="1" x14ac:dyDescent="0.2">
      <c r="A2375" s="4" t="s">
        <v>2847</v>
      </c>
      <c r="B2375" s="37">
        <v>43675</v>
      </c>
      <c r="C2375" s="12"/>
      <c r="D2375" s="38" t="s">
        <v>1932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-101</v>
      </c>
    </row>
    <row r="2376" spans="1:10" hidden="1" x14ac:dyDescent="0.2">
      <c r="A2376" s="4" t="s">
        <v>2847</v>
      </c>
      <c r="B2376" s="37">
        <v>43675</v>
      </c>
      <c r="C2376" s="12"/>
      <c r="D2376" s="38" t="s">
        <v>1946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-101</v>
      </c>
    </row>
    <row r="2377" spans="1:10" hidden="1" x14ac:dyDescent="0.2">
      <c r="A2377" s="4" t="s">
        <v>2847</v>
      </c>
      <c r="B2377" s="37">
        <v>43675</v>
      </c>
      <c r="C2377" s="12"/>
      <c r="D2377" s="38" t="s">
        <v>1933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-101</v>
      </c>
    </row>
    <row r="2378" spans="1:10" hidden="1" x14ac:dyDescent="0.2">
      <c r="A2378" s="4" t="s">
        <v>2847</v>
      </c>
      <c r="B2378" s="37">
        <v>43675</v>
      </c>
      <c r="C2378" s="12"/>
      <c r="D2378" s="38" t="s">
        <v>1934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-101</v>
      </c>
    </row>
    <row r="2379" spans="1:10" hidden="1" x14ac:dyDescent="0.2">
      <c r="A2379" s="4" t="s">
        <v>2847</v>
      </c>
      <c r="B2379" s="37">
        <v>43675</v>
      </c>
      <c r="C2379" s="12"/>
      <c r="D2379" s="38" t="s">
        <v>1937</v>
      </c>
      <c r="E2379" s="39">
        <v>43676</v>
      </c>
      <c r="F2379" s="40" t="s">
        <v>242</v>
      </c>
      <c r="G2379" s="12">
        <v>3</v>
      </c>
      <c r="H2379" s="12"/>
      <c r="I2379" s="4" t="s">
        <v>1940</v>
      </c>
      <c r="J2379" s="41">
        <f ca="1">ROUNDDOWN(表3[[#This Row],[日期]]-TODAY(),1)</f>
        <v>-101</v>
      </c>
    </row>
    <row r="2380" spans="1:10" hidden="1" x14ac:dyDescent="0.2">
      <c r="A2380" s="4" t="s">
        <v>2847</v>
      </c>
      <c r="B2380" s="37">
        <v>43675</v>
      </c>
      <c r="C2380" s="12"/>
      <c r="D2380" s="38" t="s">
        <v>1939</v>
      </c>
      <c r="E2380" s="39">
        <v>43676</v>
      </c>
      <c r="F2380" s="40" t="s">
        <v>1184</v>
      </c>
      <c r="G2380" s="12">
        <v>3</v>
      </c>
      <c r="H2380" s="12"/>
      <c r="J2380" s="41">
        <f ca="1">ROUNDDOWN(表3[[#This Row],[日期]]-TODAY(),1)</f>
        <v>-101</v>
      </c>
    </row>
    <row r="2381" spans="1:10" hidden="1" x14ac:dyDescent="0.2">
      <c r="A2381" s="4" t="s">
        <v>2847</v>
      </c>
      <c r="B2381" s="37">
        <v>43675</v>
      </c>
      <c r="C2381" s="12"/>
      <c r="D2381" s="38" t="s">
        <v>1941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-101</v>
      </c>
    </row>
    <row r="2382" spans="1:10" hidden="1" x14ac:dyDescent="0.2">
      <c r="A2382" s="4" t="s">
        <v>2847</v>
      </c>
      <c r="B2382" s="37">
        <v>43675</v>
      </c>
      <c r="C2382" s="12"/>
      <c r="D2382" s="38" t="s">
        <v>1957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-100</v>
      </c>
    </row>
    <row r="2383" spans="1:10" hidden="1" x14ac:dyDescent="0.2">
      <c r="A2383" s="4" t="s">
        <v>2847</v>
      </c>
      <c r="B2383" s="37">
        <v>43675</v>
      </c>
      <c r="C2383" s="12"/>
      <c r="D2383" s="38" t="s">
        <v>1958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-100</v>
      </c>
    </row>
    <row r="2384" spans="1:10" hidden="1" x14ac:dyDescent="0.2">
      <c r="A2384" s="4" t="s">
        <v>2847</v>
      </c>
      <c r="B2384" s="37">
        <v>43675</v>
      </c>
      <c r="C2384" s="12"/>
      <c r="D2384" s="38" t="s">
        <v>1964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-100</v>
      </c>
    </row>
    <row r="2385" spans="1:10" hidden="1" x14ac:dyDescent="0.2">
      <c r="A2385" s="4" t="s">
        <v>2847</v>
      </c>
      <c r="B2385" s="37">
        <v>43675</v>
      </c>
      <c r="C2385" s="12"/>
      <c r="D2385" s="38" t="s">
        <v>1965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-100</v>
      </c>
    </row>
    <row r="2386" spans="1:10" hidden="1" x14ac:dyDescent="0.2">
      <c r="A2386" s="4" t="s">
        <v>2847</v>
      </c>
      <c r="B2386" s="37">
        <v>43675</v>
      </c>
      <c r="C2386" s="12"/>
      <c r="D2386" s="38" t="s">
        <v>2024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-95</v>
      </c>
    </row>
    <row r="2387" spans="1:10" hidden="1" x14ac:dyDescent="0.2">
      <c r="A2387" s="4" t="s">
        <v>2847</v>
      </c>
      <c r="B2387" s="37">
        <v>43675</v>
      </c>
      <c r="C2387" s="12"/>
      <c r="D2387" s="38" t="s">
        <v>2066</v>
      </c>
      <c r="E2387" s="39">
        <v>43704</v>
      </c>
      <c r="F2387" s="40" t="s">
        <v>1184</v>
      </c>
      <c r="G2387" s="12"/>
      <c r="H2387" s="12"/>
      <c r="J2387" s="41">
        <f ca="1">ROUNDDOWN(表3[[#This Row],[日期]]-TODAY(),1)</f>
        <v>-73</v>
      </c>
    </row>
    <row r="2388" spans="1:10" hidden="1" x14ac:dyDescent="0.2">
      <c r="A2388" s="4" t="s">
        <v>2847</v>
      </c>
      <c r="B2388" s="37">
        <v>43675</v>
      </c>
      <c r="C2388" s="12"/>
      <c r="D2388" s="38" t="s">
        <v>2070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-99</v>
      </c>
    </row>
    <row r="2389" spans="1:10" hidden="1" x14ac:dyDescent="0.2">
      <c r="A2389" s="4" t="s">
        <v>2847</v>
      </c>
      <c r="B2389" s="37">
        <v>43675</v>
      </c>
      <c r="C2389" s="12"/>
      <c r="D2389" s="38" t="s">
        <v>2088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-95</v>
      </c>
    </row>
    <row r="2390" spans="1:10" hidden="1" x14ac:dyDescent="0.2">
      <c r="A2390" s="4" t="s">
        <v>2847</v>
      </c>
      <c r="B2390" s="37">
        <v>43675</v>
      </c>
      <c r="C2390" s="12"/>
      <c r="D2390" s="38" t="s">
        <v>2102</v>
      </c>
      <c r="E2390" s="39">
        <v>43690</v>
      </c>
      <c r="F2390" s="40" t="s">
        <v>1184</v>
      </c>
      <c r="G2390" s="12"/>
      <c r="H2390" s="12"/>
      <c r="J2390" s="41">
        <f ca="1">ROUNDDOWN(表3[[#This Row],[日期]]-TODAY(),1)</f>
        <v>-87</v>
      </c>
    </row>
    <row r="2391" spans="1:10" hidden="1" x14ac:dyDescent="0.2">
      <c r="A2391" s="23" t="s">
        <v>1372</v>
      </c>
      <c r="B2391" s="25">
        <v>43676</v>
      </c>
      <c r="C2391" s="26">
        <v>1</v>
      </c>
      <c r="D2391" s="7" t="s">
        <v>1378</v>
      </c>
      <c r="E2391" s="27">
        <v>43655</v>
      </c>
      <c r="F2391" s="28" t="s">
        <v>1381</v>
      </c>
      <c r="G2391" s="26"/>
      <c r="H2391" s="26"/>
      <c r="I2391" s="23"/>
      <c r="J2391" s="29">
        <f ca="1">ROUNDDOWN(表3[[#This Row],[日期]]-TODAY(),1)</f>
        <v>-122</v>
      </c>
    </row>
    <row r="2392" spans="1:10" hidden="1" x14ac:dyDescent="0.2">
      <c r="A2392" s="23" t="s">
        <v>1372</v>
      </c>
      <c r="B2392" s="25">
        <v>43676</v>
      </c>
      <c r="C2392" s="26">
        <v>2</v>
      </c>
      <c r="D2392" s="7" t="s">
        <v>1380</v>
      </c>
      <c r="E2392" s="27">
        <v>43656</v>
      </c>
      <c r="F2392" s="28" t="s">
        <v>1381</v>
      </c>
      <c r="G2392" s="26"/>
      <c r="H2392" s="26"/>
      <c r="I2392" s="23"/>
      <c r="J2392" s="29">
        <f ca="1">ROUNDDOWN(表3[[#This Row],[日期]]-TODAY(),1)</f>
        <v>-121</v>
      </c>
    </row>
    <row r="2393" spans="1:10" hidden="1" x14ac:dyDescent="0.2">
      <c r="A2393" s="23" t="s">
        <v>1372</v>
      </c>
      <c r="B2393" s="25">
        <v>43676</v>
      </c>
      <c r="C2393" s="26">
        <v>3</v>
      </c>
      <c r="D2393" s="7" t="s">
        <v>1382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-120</v>
      </c>
    </row>
    <row r="2394" spans="1:10" hidden="1" x14ac:dyDescent="0.2">
      <c r="A2394" s="23" t="s">
        <v>1372</v>
      </c>
      <c r="B2394" s="25">
        <v>43676</v>
      </c>
      <c r="C2394" s="26">
        <v>4</v>
      </c>
      <c r="D2394" s="7" t="s">
        <v>1383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-120</v>
      </c>
    </row>
    <row r="2395" spans="1:10" hidden="1" x14ac:dyDescent="0.2">
      <c r="A2395" s="23" t="s">
        <v>1372</v>
      </c>
      <c r="B2395" s="25">
        <v>43676</v>
      </c>
      <c r="C2395" s="26">
        <v>5</v>
      </c>
      <c r="D2395" s="7" t="s">
        <v>1431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-120</v>
      </c>
    </row>
    <row r="2396" spans="1:10" hidden="1" x14ac:dyDescent="0.2">
      <c r="A2396" s="23" t="s">
        <v>1372</v>
      </c>
      <c r="B2396" s="25">
        <v>43676</v>
      </c>
      <c r="C2396" s="12">
        <v>6</v>
      </c>
      <c r="D2396" s="38" t="s">
        <v>1635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-114</v>
      </c>
    </row>
    <row r="2397" spans="1:10" hidden="1" x14ac:dyDescent="0.2">
      <c r="A2397" s="23" t="s">
        <v>1372</v>
      </c>
      <c r="B2397" s="25">
        <v>43676</v>
      </c>
      <c r="C2397" s="12">
        <v>7</v>
      </c>
      <c r="D2397" s="38" t="s">
        <v>1654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-109</v>
      </c>
    </row>
    <row r="2398" spans="1:10" hidden="1" x14ac:dyDescent="0.2">
      <c r="A2398" s="23" t="s">
        <v>1372</v>
      </c>
      <c r="B2398" s="25">
        <v>43676</v>
      </c>
      <c r="C2398" s="12">
        <v>8</v>
      </c>
      <c r="D2398" s="38" t="s">
        <v>1839</v>
      </c>
      <c r="E2398" s="39">
        <v>43671</v>
      </c>
      <c r="F2398" s="40" t="s">
        <v>1834</v>
      </c>
      <c r="G2398" s="12"/>
      <c r="H2398" s="12"/>
      <c r="J2398" s="41">
        <f ca="1">ROUNDDOWN(表3[[#This Row],[日期]]-TODAY(),1)</f>
        <v>-106</v>
      </c>
    </row>
    <row r="2399" spans="1:10" hidden="1" x14ac:dyDescent="0.2">
      <c r="A2399" s="23" t="s">
        <v>1372</v>
      </c>
      <c r="B2399" s="25">
        <v>43676</v>
      </c>
      <c r="C2399" s="12">
        <v>8</v>
      </c>
      <c r="D2399" s="38" t="s">
        <v>1656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-106</v>
      </c>
    </row>
    <row r="2400" spans="1:10" hidden="1" x14ac:dyDescent="0.2">
      <c r="A2400" s="23" t="s">
        <v>1372</v>
      </c>
      <c r="B2400" s="25">
        <v>43676</v>
      </c>
      <c r="C2400" s="12">
        <v>9</v>
      </c>
      <c r="D2400" s="38" t="s">
        <v>1831</v>
      </c>
      <c r="E2400" s="39">
        <v>43671</v>
      </c>
      <c r="F2400" s="40" t="s">
        <v>1834</v>
      </c>
      <c r="G2400" s="12">
        <v>1</v>
      </c>
      <c r="H2400" s="12"/>
      <c r="J2400" s="41">
        <f ca="1">ROUNDDOWN(表3[[#This Row],[日期]]-TODAY(),1)</f>
        <v>-106</v>
      </c>
    </row>
    <row r="2401" spans="1:10" hidden="1" x14ac:dyDescent="0.2">
      <c r="A2401" s="23" t="s">
        <v>1372</v>
      </c>
      <c r="B2401" s="25">
        <v>43676</v>
      </c>
      <c r="C2401" s="12">
        <v>10</v>
      </c>
      <c r="D2401" s="38" t="s">
        <v>1843</v>
      </c>
      <c r="E2401" s="39">
        <v>43671</v>
      </c>
      <c r="F2401" s="40" t="s">
        <v>1834</v>
      </c>
      <c r="G2401" s="12"/>
      <c r="H2401" s="12"/>
      <c r="J2401" s="41">
        <f ca="1">ROUNDDOWN(表3[[#This Row],[日期]]-TODAY(),1)</f>
        <v>-106</v>
      </c>
    </row>
    <row r="2402" spans="1:10" hidden="1" x14ac:dyDescent="0.2">
      <c r="A2402" s="23" t="s">
        <v>1372</v>
      </c>
      <c r="B2402" s="25">
        <v>43676</v>
      </c>
      <c r="C2402" s="12">
        <v>11</v>
      </c>
      <c r="D2402" s="38" t="s">
        <v>1842</v>
      </c>
      <c r="E2402" s="39">
        <v>43671</v>
      </c>
      <c r="F2402" s="40" t="s">
        <v>1834</v>
      </c>
      <c r="G2402" s="12">
        <v>1</v>
      </c>
      <c r="H2402" s="12"/>
      <c r="J2402" s="41">
        <f ca="1">ROUNDDOWN(表3[[#This Row],[日期]]-TODAY(),1)</f>
        <v>-106</v>
      </c>
    </row>
    <row r="2403" spans="1:10" hidden="1" x14ac:dyDescent="0.2">
      <c r="A2403" s="23" t="s">
        <v>1372</v>
      </c>
      <c r="B2403" s="25">
        <v>43676</v>
      </c>
      <c r="C2403" s="12">
        <v>12</v>
      </c>
      <c r="D2403" s="38" t="s">
        <v>1832</v>
      </c>
      <c r="E2403" s="39">
        <v>43671</v>
      </c>
      <c r="F2403" s="40" t="s">
        <v>1834</v>
      </c>
      <c r="G2403" s="12"/>
      <c r="H2403" s="12"/>
      <c r="J2403" s="41">
        <f ca="1">ROUNDDOWN(表3[[#This Row],[日期]]-TODAY(),1)</f>
        <v>-106</v>
      </c>
    </row>
    <row r="2404" spans="1:10" hidden="1" x14ac:dyDescent="0.2">
      <c r="A2404" s="23" t="s">
        <v>1372</v>
      </c>
      <c r="B2404" s="25">
        <v>43676</v>
      </c>
      <c r="C2404" s="12">
        <v>13</v>
      </c>
      <c r="D2404" s="38" t="s">
        <v>1840</v>
      </c>
      <c r="E2404" s="39">
        <v>43671</v>
      </c>
      <c r="F2404" s="40" t="s">
        <v>1834</v>
      </c>
      <c r="G2404" s="12"/>
      <c r="H2404" s="12"/>
      <c r="J2404" s="41">
        <f ca="1">ROUNDDOWN(表3[[#This Row],[日期]]-TODAY(),1)</f>
        <v>-106</v>
      </c>
    </row>
    <row r="2405" spans="1:10" hidden="1" x14ac:dyDescent="0.2">
      <c r="A2405" s="23" t="s">
        <v>1372</v>
      </c>
      <c r="B2405" s="25">
        <v>43676</v>
      </c>
      <c r="C2405" s="12">
        <v>14</v>
      </c>
      <c r="D2405" s="38" t="s">
        <v>1845</v>
      </c>
      <c r="E2405" s="39">
        <v>43671</v>
      </c>
      <c r="F2405" s="40" t="s">
        <v>1834</v>
      </c>
      <c r="G2405" s="12"/>
      <c r="H2405" s="12"/>
      <c r="J2405" s="41">
        <f ca="1">ROUNDDOWN(表3[[#This Row],[日期]]-TODAY(),1)</f>
        <v>-106</v>
      </c>
    </row>
    <row r="2406" spans="1:10" hidden="1" x14ac:dyDescent="0.2">
      <c r="A2406" s="23" t="s">
        <v>1372</v>
      </c>
      <c r="B2406" s="25">
        <v>43676</v>
      </c>
      <c r="C2406" s="12">
        <v>15</v>
      </c>
      <c r="D2406" s="38" t="s">
        <v>1841</v>
      </c>
      <c r="E2406" s="39">
        <v>43671</v>
      </c>
      <c r="F2406" s="40" t="s">
        <v>1834</v>
      </c>
      <c r="G2406" s="12"/>
      <c r="H2406" s="12"/>
      <c r="J2406" s="41">
        <f ca="1">ROUNDDOWN(表3[[#This Row],[日期]]-TODAY(),1)</f>
        <v>-106</v>
      </c>
    </row>
    <row r="2407" spans="1:10" hidden="1" x14ac:dyDescent="0.2">
      <c r="A2407" s="23" t="s">
        <v>1372</v>
      </c>
      <c r="B2407" s="25">
        <v>43676</v>
      </c>
      <c r="C2407" s="12">
        <v>16</v>
      </c>
      <c r="D2407" s="38" t="s">
        <v>1844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-101</v>
      </c>
    </row>
    <row r="2408" spans="1:10" hidden="1" x14ac:dyDescent="0.2">
      <c r="A2408" s="23" t="s">
        <v>1372</v>
      </c>
      <c r="B2408" s="25">
        <v>43676</v>
      </c>
      <c r="C2408" s="12">
        <v>17</v>
      </c>
      <c r="D2408" s="38" t="s">
        <v>1846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-101</v>
      </c>
    </row>
    <row r="2409" spans="1:10" hidden="1" x14ac:dyDescent="0.2">
      <c r="A2409" s="23" t="s">
        <v>1372</v>
      </c>
      <c r="B2409" s="25">
        <v>43676</v>
      </c>
      <c r="C2409" s="12">
        <v>18</v>
      </c>
      <c r="D2409" s="38" t="s">
        <v>1991</v>
      </c>
      <c r="E2409" s="39">
        <v>43679</v>
      </c>
      <c r="F2409" s="40" t="s">
        <v>242</v>
      </c>
      <c r="G2409" s="12"/>
      <c r="H2409" s="12"/>
      <c r="I2409" s="4" t="s">
        <v>1992</v>
      </c>
      <c r="J2409" s="41">
        <f ca="1">ROUNDDOWN(表3[[#This Row],[日期]]-TODAY(),1)</f>
        <v>-98</v>
      </c>
    </row>
    <row r="2410" spans="1:10" hidden="1" x14ac:dyDescent="0.2">
      <c r="A2410" s="23" t="s">
        <v>1372</v>
      </c>
      <c r="B2410" s="25">
        <v>43676</v>
      </c>
      <c r="C2410" s="12">
        <v>19</v>
      </c>
      <c r="D2410" s="38" t="s">
        <v>1847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-98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316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-112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656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-107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-107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-106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-106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688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-105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998</v>
      </c>
      <c r="E2417" s="39">
        <v>43673</v>
      </c>
      <c r="F2417" s="40" t="s">
        <v>242</v>
      </c>
      <c r="G2417" s="12">
        <v>3</v>
      </c>
      <c r="H2417" s="12"/>
      <c r="I2417" s="4" t="s">
        <v>999</v>
      </c>
      <c r="J2417" s="41">
        <f ca="1">ROUNDDOWN(表3[[#This Row],[日期]]-TODAY(),1)</f>
        <v>-104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1890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-102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690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-102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1794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-102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662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-102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291</v>
      </c>
      <c r="E2422" s="39">
        <v>43672</v>
      </c>
      <c r="F2422" s="40" t="s">
        <v>1184</v>
      </c>
      <c r="G2422" s="12"/>
      <c r="H2422" s="12"/>
      <c r="I2422" s="4" t="s">
        <v>294</v>
      </c>
      <c r="J2422" s="41">
        <f ca="1">ROUNDDOWN(表3[[#This Row],[日期]]-TODAY(),1)</f>
        <v>-105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736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-103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1911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-102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292</v>
      </c>
      <c r="E2425" s="39">
        <v>43675</v>
      </c>
      <c r="F2425" s="40" t="s">
        <v>242</v>
      </c>
      <c r="G2425" s="12">
        <v>1</v>
      </c>
      <c r="H2425" s="12"/>
      <c r="I2425" s="4" t="s">
        <v>294</v>
      </c>
      <c r="J2425" s="41">
        <f ca="1">ROUNDDOWN(表3[[#This Row],[日期]]-TODAY(),1)</f>
        <v>-102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-102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684</v>
      </c>
      <c r="E2427" s="39">
        <v>43675</v>
      </c>
      <c r="F2427" s="40" t="s">
        <v>242</v>
      </c>
      <c r="G2427" s="12">
        <v>1</v>
      </c>
      <c r="H2427" s="12"/>
      <c r="I2427" s="4" t="s">
        <v>294</v>
      </c>
      <c r="J2427" s="41">
        <f ca="1">ROUNDDOWN(表3[[#This Row],[日期]]-TODAY(),1)</f>
        <v>-102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293</v>
      </c>
      <c r="E2428" s="39">
        <v>43675</v>
      </c>
      <c r="F2428" s="40" t="s">
        <v>242</v>
      </c>
      <c r="G2428" s="12">
        <v>1</v>
      </c>
      <c r="H2428" s="12"/>
      <c r="I2428" s="4" t="s">
        <v>294</v>
      </c>
      <c r="J2428" s="41">
        <f ca="1">ROUNDDOWN(表3[[#This Row],[日期]]-TODAY(),1)</f>
        <v>-102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272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-102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274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-101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276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-100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-101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1215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-101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-100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1872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-105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927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-109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-109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1210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-108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-108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-107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1576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-107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1577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-107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-107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928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-106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1740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-106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1578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-106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1742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-106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1744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-106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1746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-106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1748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-106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1868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-105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1750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-106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1869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-105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929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-105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1752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-105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-105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930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-105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-105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931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-105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759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-105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1880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-105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-105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-105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-105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-105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-105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-105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932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-104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933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-103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-105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1072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-103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-103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1071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-103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-103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-103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1914</v>
      </c>
      <c r="E2476" s="39">
        <v>43675</v>
      </c>
      <c r="F2476" s="40" t="s">
        <v>1915</v>
      </c>
      <c r="G2476" s="12"/>
      <c r="H2476" s="12"/>
      <c r="J2476" s="41">
        <f ca="1">ROUNDDOWN(表3[[#This Row],[日期]]-TODAY(),1)</f>
        <v>-102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-101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-101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1793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-101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305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-99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1916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-99</v>
      </c>
    </row>
    <row r="2482" spans="1:10" hidden="1" x14ac:dyDescent="0.2">
      <c r="A2482" s="4" t="s">
        <v>1670</v>
      </c>
      <c r="B2482" s="37">
        <v>43677</v>
      </c>
      <c r="C2482" s="12">
        <v>1</v>
      </c>
      <c r="D2482" s="38" t="s">
        <v>364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-114</v>
      </c>
    </row>
    <row r="2483" spans="1:10" hidden="1" x14ac:dyDescent="0.2">
      <c r="A2483" s="4" t="s">
        <v>1670</v>
      </c>
      <c r="B2483" s="37">
        <v>43677</v>
      </c>
      <c r="C2483" s="12">
        <v>2</v>
      </c>
      <c r="D2483" s="38" t="s">
        <v>863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-113</v>
      </c>
    </row>
    <row r="2484" spans="1:10" hidden="1" x14ac:dyDescent="0.2">
      <c r="A2484" s="4" t="s">
        <v>1670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-112</v>
      </c>
    </row>
    <row r="2485" spans="1:10" hidden="1" x14ac:dyDescent="0.2">
      <c r="A2485" s="4" t="s">
        <v>1670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-106</v>
      </c>
    </row>
    <row r="2486" spans="1:10" hidden="1" x14ac:dyDescent="0.2">
      <c r="A2486" s="4" t="s">
        <v>1670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-106</v>
      </c>
    </row>
    <row r="2487" spans="1:10" hidden="1" x14ac:dyDescent="0.2">
      <c r="A2487" s="4" t="s">
        <v>1670</v>
      </c>
      <c r="B2487" s="37">
        <v>43677</v>
      </c>
      <c r="C2487" s="12">
        <v>6</v>
      </c>
      <c r="D2487" s="38" t="s">
        <v>864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-106</v>
      </c>
    </row>
    <row r="2488" spans="1:10" hidden="1" x14ac:dyDescent="0.2">
      <c r="A2488" s="4" t="s">
        <v>1670</v>
      </c>
      <c r="B2488" s="37">
        <v>43677</v>
      </c>
      <c r="C2488" s="12">
        <v>7</v>
      </c>
      <c r="D2488" s="38" t="s">
        <v>1130</v>
      </c>
      <c r="E2488" s="39">
        <v>43671</v>
      </c>
      <c r="F2488" s="40" t="s">
        <v>1184</v>
      </c>
      <c r="G2488" s="12">
        <v>3</v>
      </c>
      <c r="H2488" s="12"/>
      <c r="I2488" s="4" t="s">
        <v>1131</v>
      </c>
      <c r="J2488" s="41">
        <f ca="1">ROUNDDOWN(表3[[#This Row],[日期]]-TODAY(),1)</f>
        <v>-106</v>
      </c>
    </row>
    <row r="2489" spans="1:10" hidden="1" x14ac:dyDescent="0.2">
      <c r="A2489" s="4" t="s">
        <v>1670</v>
      </c>
      <c r="B2489" s="37">
        <v>43677</v>
      </c>
      <c r="C2489" s="12">
        <v>8</v>
      </c>
      <c r="D2489" s="38" t="s">
        <v>307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-106</v>
      </c>
    </row>
    <row r="2490" spans="1:10" hidden="1" x14ac:dyDescent="0.2">
      <c r="A2490" s="4" t="s">
        <v>1670</v>
      </c>
      <c r="B2490" s="37">
        <v>43677</v>
      </c>
      <c r="C2490" s="12">
        <v>9</v>
      </c>
      <c r="D2490" s="38" t="s">
        <v>865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-105</v>
      </c>
    </row>
    <row r="2491" spans="1:10" hidden="1" x14ac:dyDescent="0.2">
      <c r="A2491" s="4" t="s">
        <v>1670</v>
      </c>
      <c r="B2491" s="37">
        <v>43677</v>
      </c>
      <c r="C2491" s="12">
        <v>10</v>
      </c>
      <c r="D2491" s="38" t="s">
        <v>866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-104</v>
      </c>
    </row>
    <row r="2492" spans="1:10" hidden="1" x14ac:dyDescent="0.2">
      <c r="A2492" s="4" t="s">
        <v>1670</v>
      </c>
      <c r="B2492" s="37">
        <v>43677</v>
      </c>
      <c r="C2492" s="12">
        <v>11</v>
      </c>
      <c r="D2492" s="38" t="s">
        <v>867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-105</v>
      </c>
    </row>
    <row r="2493" spans="1:10" hidden="1" x14ac:dyDescent="0.2">
      <c r="A2493" s="4" t="s">
        <v>1670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-105</v>
      </c>
    </row>
    <row r="2494" spans="1:10" hidden="1" x14ac:dyDescent="0.2">
      <c r="A2494" s="4" t="s">
        <v>1670</v>
      </c>
      <c r="B2494" s="37">
        <v>43677</v>
      </c>
      <c r="C2494" s="12">
        <v>13</v>
      </c>
      <c r="D2494" s="38" t="s">
        <v>868</v>
      </c>
      <c r="E2494" s="39">
        <v>43672</v>
      </c>
      <c r="F2494" s="40" t="s">
        <v>242</v>
      </c>
      <c r="G2494" s="12">
        <v>2</v>
      </c>
      <c r="H2494" s="12"/>
      <c r="I2494" s="4" t="s">
        <v>310</v>
      </c>
      <c r="J2494" s="41">
        <f ca="1">ROUNDDOWN(表3[[#This Row],[日期]]-TODAY(),1)</f>
        <v>-105</v>
      </c>
    </row>
    <row r="2495" spans="1:10" hidden="1" x14ac:dyDescent="0.2">
      <c r="A2495" s="4" t="s">
        <v>1670</v>
      </c>
      <c r="B2495" s="37">
        <v>43677</v>
      </c>
      <c r="C2495" s="12">
        <v>14</v>
      </c>
      <c r="D2495" s="38" t="s">
        <v>313</v>
      </c>
      <c r="E2495" s="39">
        <v>43672</v>
      </c>
      <c r="F2495" s="40" t="s">
        <v>242</v>
      </c>
      <c r="G2495" s="12">
        <v>4</v>
      </c>
      <c r="H2495" s="12"/>
      <c r="I2495" s="4" t="s">
        <v>310</v>
      </c>
      <c r="J2495" s="41">
        <f ca="1">ROUNDDOWN(表3[[#This Row],[日期]]-TODAY(),1)</f>
        <v>-105</v>
      </c>
    </row>
    <row r="2496" spans="1:10" hidden="1" x14ac:dyDescent="0.2">
      <c r="A2496" s="4" t="s">
        <v>1670</v>
      </c>
      <c r="B2496" s="37">
        <v>43677</v>
      </c>
      <c r="C2496" s="12">
        <v>15</v>
      </c>
      <c r="D2496" s="38" t="s">
        <v>309</v>
      </c>
      <c r="E2496" s="39">
        <v>43672</v>
      </c>
      <c r="F2496" s="40" t="s">
        <v>242</v>
      </c>
      <c r="G2496" s="12">
        <v>4</v>
      </c>
      <c r="H2496" s="12"/>
      <c r="I2496" s="4" t="s">
        <v>310</v>
      </c>
      <c r="J2496" s="41">
        <f ca="1">ROUNDDOWN(表3[[#This Row],[日期]]-TODAY(),1)</f>
        <v>-105</v>
      </c>
    </row>
    <row r="2497" spans="1:10" hidden="1" x14ac:dyDescent="0.2">
      <c r="A2497" s="4" t="s">
        <v>1670</v>
      </c>
      <c r="B2497" s="37">
        <v>43677</v>
      </c>
      <c r="C2497" s="12">
        <v>16</v>
      </c>
      <c r="D2497" s="38" t="s">
        <v>311</v>
      </c>
      <c r="E2497" s="39">
        <v>43673</v>
      </c>
      <c r="F2497" s="40" t="s">
        <v>242</v>
      </c>
      <c r="G2497" s="12"/>
      <c r="H2497" s="12"/>
      <c r="I2497" s="4" t="s">
        <v>310</v>
      </c>
      <c r="J2497" s="41">
        <f ca="1">ROUNDDOWN(表3[[#This Row],[日期]]-TODAY(),1)</f>
        <v>-104</v>
      </c>
    </row>
    <row r="2498" spans="1:10" hidden="1" x14ac:dyDescent="0.2">
      <c r="A2498" s="4" t="s">
        <v>1670</v>
      </c>
      <c r="B2498" s="37">
        <v>43677</v>
      </c>
      <c r="C2498" s="12">
        <v>17</v>
      </c>
      <c r="D2498" s="38" t="s">
        <v>271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-104</v>
      </c>
    </row>
    <row r="2499" spans="1:10" hidden="1" x14ac:dyDescent="0.2">
      <c r="A2499" s="4" t="s">
        <v>1670</v>
      </c>
      <c r="B2499" s="37">
        <v>43677</v>
      </c>
      <c r="C2499" s="12">
        <v>18</v>
      </c>
      <c r="D2499" s="38" t="s">
        <v>273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-101</v>
      </c>
    </row>
    <row r="2500" spans="1:10" hidden="1" x14ac:dyDescent="0.2">
      <c r="A2500" s="4" t="s">
        <v>1670</v>
      </c>
      <c r="B2500" s="37">
        <v>43677</v>
      </c>
      <c r="C2500" s="12">
        <v>19</v>
      </c>
      <c r="D2500" s="38" t="s">
        <v>275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-100</v>
      </c>
    </row>
    <row r="2501" spans="1:10" hidden="1" x14ac:dyDescent="0.2">
      <c r="A2501" s="4" t="s">
        <v>1670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-101</v>
      </c>
    </row>
    <row r="2502" spans="1:10" hidden="1" x14ac:dyDescent="0.2">
      <c r="A2502" s="4" t="s">
        <v>1670</v>
      </c>
      <c r="B2502" s="37">
        <v>43677</v>
      </c>
      <c r="C2502" s="12">
        <v>21</v>
      </c>
      <c r="D2502" s="38" t="s">
        <v>1387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-101</v>
      </c>
    </row>
    <row r="2503" spans="1:10" hidden="1" x14ac:dyDescent="0.2">
      <c r="A2503" s="4" t="s">
        <v>1670</v>
      </c>
      <c r="B2503" s="37">
        <v>43677</v>
      </c>
      <c r="C2503" s="12">
        <v>22</v>
      </c>
      <c r="D2503" s="38" t="s">
        <v>305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-98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1871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-105</v>
      </c>
    </row>
    <row r="2505" spans="1:10" hidden="1" x14ac:dyDescent="0.2">
      <c r="A2505" s="4" t="s">
        <v>2831</v>
      </c>
      <c r="B2505" s="37">
        <v>43677</v>
      </c>
      <c r="C2505" s="12">
        <v>1</v>
      </c>
      <c r="D2505" s="38" t="s">
        <v>507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-105</v>
      </c>
    </row>
    <row r="2506" spans="1:10" hidden="1" x14ac:dyDescent="0.2">
      <c r="A2506" s="4" t="s">
        <v>2831</v>
      </c>
      <c r="B2506" s="37">
        <v>43677</v>
      </c>
      <c r="C2506" s="12">
        <v>2</v>
      </c>
      <c r="D2506" s="38" t="s">
        <v>1518</v>
      </c>
      <c r="E2506" s="39">
        <v>43672</v>
      </c>
      <c r="F2506" s="40" t="s">
        <v>242</v>
      </c>
      <c r="G2506" s="12"/>
      <c r="H2506" s="12"/>
      <c r="I2506" s="4" t="s">
        <v>1521</v>
      </c>
      <c r="J2506" s="41">
        <f ca="1">ROUNDDOWN(表3[[#This Row],[日期]]-TODAY(),1)</f>
        <v>-105</v>
      </c>
    </row>
    <row r="2507" spans="1:10" hidden="1" x14ac:dyDescent="0.2">
      <c r="A2507" s="4" t="s">
        <v>2831</v>
      </c>
      <c r="B2507" s="37">
        <v>43677</v>
      </c>
      <c r="C2507" s="12">
        <v>3</v>
      </c>
      <c r="D2507" s="38" t="s">
        <v>1779</v>
      </c>
      <c r="E2507" s="39">
        <v>43672</v>
      </c>
      <c r="F2507" s="40" t="s">
        <v>242</v>
      </c>
      <c r="G2507" s="12"/>
      <c r="H2507" s="12"/>
      <c r="I2507" s="4" t="s">
        <v>1523</v>
      </c>
      <c r="J2507" s="41">
        <f ca="1">ROUNDDOWN(表3[[#This Row],[日期]]-TODAY(),1)</f>
        <v>-105</v>
      </c>
    </row>
    <row r="2508" spans="1:10" hidden="1" x14ac:dyDescent="0.2">
      <c r="A2508" s="4" t="s">
        <v>2831</v>
      </c>
      <c r="B2508" s="37">
        <v>43677</v>
      </c>
      <c r="C2508" s="12">
        <v>4</v>
      </c>
      <c r="D2508" s="38" t="s">
        <v>1526</v>
      </c>
      <c r="E2508" s="39">
        <v>43672</v>
      </c>
      <c r="F2508" s="40" t="s">
        <v>242</v>
      </c>
      <c r="G2508" s="12"/>
      <c r="H2508" s="12"/>
      <c r="I2508" s="4" t="s">
        <v>1528</v>
      </c>
      <c r="J2508" s="41">
        <f ca="1">ROUNDDOWN(表3[[#This Row],[日期]]-TODAY(),1)</f>
        <v>-105</v>
      </c>
    </row>
    <row r="2509" spans="1:10" hidden="1" x14ac:dyDescent="0.2">
      <c r="A2509" s="4" t="s">
        <v>2831</v>
      </c>
      <c r="B2509" s="37">
        <v>43677</v>
      </c>
      <c r="C2509" s="12">
        <v>5</v>
      </c>
      <c r="D2509" s="38" t="s">
        <v>1703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-105</v>
      </c>
    </row>
    <row r="2510" spans="1:10" hidden="1" x14ac:dyDescent="0.2">
      <c r="A2510" s="4" t="s">
        <v>2831</v>
      </c>
      <c r="B2510" s="37">
        <v>43677</v>
      </c>
      <c r="C2510" s="12">
        <v>6</v>
      </c>
      <c r="D2510" s="38" t="s">
        <v>1533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-105</v>
      </c>
    </row>
    <row r="2511" spans="1:10" hidden="1" x14ac:dyDescent="0.2">
      <c r="A2511" s="4" t="s">
        <v>2831</v>
      </c>
      <c r="B2511" s="37">
        <v>43677</v>
      </c>
      <c r="C2511" s="12">
        <v>7</v>
      </c>
      <c r="D2511" s="38" t="s">
        <v>1535</v>
      </c>
      <c r="E2511" s="39">
        <v>43672</v>
      </c>
      <c r="F2511" s="40" t="s">
        <v>1184</v>
      </c>
      <c r="G2511" s="12">
        <v>3</v>
      </c>
      <c r="H2511" s="12"/>
      <c r="I2511" s="4" t="s">
        <v>1537</v>
      </c>
      <c r="J2511" s="41">
        <f ca="1">ROUNDDOWN(表3[[#This Row],[日期]]-TODAY(),1)</f>
        <v>-105</v>
      </c>
    </row>
    <row r="2512" spans="1:10" hidden="1" x14ac:dyDescent="0.2">
      <c r="A2512" s="4" t="s">
        <v>2831</v>
      </c>
      <c r="B2512" s="37">
        <v>43677</v>
      </c>
      <c r="C2512" s="12">
        <v>8</v>
      </c>
      <c r="D2512" s="38" t="s">
        <v>1531</v>
      </c>
      <c r="E2512" s="39">
        <v>43672</v>
      </c>
      <c r="F2512" s="40" t="s">
        <v>1184</v>
      </c>
      <c r="G2512" s="12">
        <v>3</v>
      </c>
      <c r="H2512" s="12"/>
      <c r="J2512" s="41">
        <f ca="1">ROUNDDOWN(表3[[#This Row],[日期]]-TODAY(),1)</f>
        <v>-105</v>
      </c>
    </row>
    <row r="2513" spans="1:10" hidden="1" x14ac:dyDescent="0.2">
      <c r="A2513" s="4" t="s">
        <v>2831</v>
      </c>
      <c r="B2513" s="37">
        <v>43677</v>
      </c>
      <c r="C2513" s="12">
        <v>9</v>
      </c>
      <c r="D2513" s="38" t="s">
        <v>1539</v>
      </c>
      <c r="E2513" s="39">
        <v>43673</v>
      </c>
      <c r="F2513" s="40" t="s">
        <v>1899</v>
      </c>
      <c r="G2513" s="12"/>
      <c r="H2513" s="12"/>
      <c r="J2513" s="41">
        <f ca="1">ROUNDDOWN(表3[[#This Row],[日期]]-TODAY(),1)</f>
        <v>-104</v>
      </c>
    </row>
    <row r="2514" spans="1:10" hidden="1" x14ac:dyDescent="0.2">
      <c r="A2514" s="4" t="s">
        <v>2831</v>
      </c>
      <c r="B2514" s="37">
        <v>43677</v>
      </c>
      <c r="C2514" s="12">
        <v>10</v>
      </c>
      <c r="D2514" s="38" t="s">
        <v>1704</v>
      </c>
      <c r="E2514" s="39">
        <v>43673</v>
      </c>
      <c r="F2514" s="40" t="s">
        <v>1899</v>
      </c>
      <c r="G2514" s="12"/>
      <c r="H2514" s="12"/>
      <c r="J2514" s="41">
        <f ca="1">ROUNDDOWN(表3[[#This Row],[日期]]-TODAY(),1)</f>
        <v>-104</v>
      </c>
    </row>
    <row r="2515" spans="1:10" hidden="1" x14ac:dyDescent="0.2">
      <c r="A2515" s="4" t="s">
        <v>2831</v>
      </c>
      <c r="B2515" s="37">
        <v>43677</v>
      </c>
      <c r="C2515" s="12">
        <v>11</v>
      </c>
      <c r="D2515" s="38" t="s">
        <v>1878</v>
      </c>
      <c r="E2515" s="39">
        <v>43673</v>
      </c>
      <c r="F2515" s="40" t="s">
        <v>1899</v>
      </c>
      <c r="G2515" s="12"/>
      <c r="H2515" s="12"/>
      <c r="J2515" s="41">
        <f ca="1">ROUNDDOWN(表3[[#This Row],[日期]]-TODAY(),1)</f>
        <v>-104</v>
      </c>
    </row>
    <row r="2516" spans="1:10" hidden="1" x14ac:dyDescent="0.2">
      <c r="A2516" s="4" t="s">
        <v>2831</v>
      </c>
      <c r="B2516" s="37">
        <v>43677</v>
      </c>
      <c r="C2516" s="12">
        <v>12</v>
      </c>
      <c r="D2516" s="38" t="s">
        <v>1904</v>
      </c>
      <c r="E2516" s="39">
        <v>43673</v>
      </c>
      <c r="F2516" s="40" t="s">
        <v>1899</v>
      </c>
      <c r="G2516" s="12"/>
      <c r="H2516" s="12"/>
      <c r="I2516" s="4" t="s">
        <v>529</v>
      </c>
      <c r="J2516" s="41">
        <f ca="1">ROUNDDOWN(表3[[#This Row],[日期]]-TODAY(),1)</f>
        <v>-104</v>
      </c>
    </row>
    <row r="2517" spans="1:10" hidden="1" x14ac:dyDescent="0.2">
      <c r="A2517" s="4" t="s">
        <v>2831</v>
      </c>
      <c r="B2517" s="37">
        <v>43677</v>
      </c>
      <c r="C2517" s="12">
        <v>13</v>
      </c>
      <c r="D2517" s="38" t="s">
        <v>1543</v>
      </c>
      <c r="E2517" s="39">
        <v>43673</v>
      </c>
      <c r="F2517" s="40" t="s">
        <v>1899</v>
      </c>
      <c r="G2517" s="12"/>
      <c r="H2517" s="12"/>
      <c r="J2517" s="41">
        <f ca="1">ROUNDDOWN(表3[[#This Row],[日期]]-TODAY(),1)</f>
        <v>-104</v>
      </c>
    </row>
    <row r="2518" spans="1:10" hidden="1" x14ac:dyDescent="0.2">
      <c r="A2518" s="4" t="s">
        <v>2831</v>
      </c>
      <c r="B2518" s="37">
        <v>43677</v>
      </c>
      <c r="C2518" s="12">
        <v>14</v>
      </c>
      <c r="D2518" s="38" t="s">
        <v>1545</v>
      </c>
      <c r="E2518" s="39">
        <v>43673</v>
      </c>
      <c r="F2518" s="40" t="s">
        <v>1899</v>
      </c>
      <c r="G2518" s="12"/>
      <c r="H2518" s="12"/>
      <c r="I2518" s="4" t="s">
        <v>1547</v>
      </c>
      <c r="J2518" s="41">
        <f ca="1">ROUNDDOWN(表3[[#This Row],[日期]]-TODAY(),1)</f>
        <v>-104</v>
      </c>
    </row>
    <row r="2519" spans="1:10" hidden="1" x14ac:dyDescent="0.2">
      <c r="A2519" s="4" t="s">
        <v>2831</v>
      </c>
      <c r="B2519" s="37">
        <v>43677</v>
      </c>
      <c r="C2519" s="12">
        <v>15</v>
      </c>
      <c r="D2519" s="38" t="s">
        <v>1549</v>
      </c>
      <c r="E2519" s="39">
        <v>43673</v>
      </c>
      <c r="F2519" s="40" t="s">
        <v>1899</v>
      </c>
      <c r="G2519" s="12"/>
      <c r="H2519" s="12"/>
      <c r="J2519" s="41">
        <f ca="1">ROUNDDOWN(表3[[#This Row],[日期]]-TODAY(),1)</f>
        <v>-104</v>
      </c>
    </row>
    <row r="2520" spans="1:10" hidden="1" x14ac:dyDescent="0.2">
      <c r="A2520" s="4" t="s">
        <v>2831</v>
      </c>
      <c r="B2520" s="37">
        <v>43677</v>
      </c>
      <c r="C2520" s="12">
        <v>16</v>
      </c>
      <c r="D2520" s="38" t="s">
        <v>1556</v>
      </c>
      <c r="E2520" s="39">
        <v>43673</v>
      </c>
      <c r="F2520" s="40" t="s">
        <v>1899</v>
      </c>
      <c r="G2520" s="12"/>
      <c r="H2520" s="12"/>
      <c r="J2520" s="41">
        <f ca="1">ROUNDDOWN(表3[[#This Row],[日期]]-TODAY(),1)</f>
        <v>-104</v>
      </c>
    </row>
    <row r="2521" spans="1:10" hidden="1" x14ac:dyDescent="0.2">
      <c r="A2521" s="4" t="s">
        <v>2831</v>
      </c>
      <c r="B2521" s="37">
        <v>43677</v>
      </c>
      <c r="C2521" s="12">
        <v>17</v>
      </c>
      <c r="D2521" s="38" t="s">
        <v>1298</v>
      </c>
      <c r="E2521" s="39">
        <v>43673</v>
      </c>
      <c r="F2521" s="40" t="s">
        <v>1899</v>
      </c>
      <c r="G2521" s="12"/>
      <c r="H2521" s="12"/>
      <c r="J2521" s="41">
        <f ca="1">ROUNDDOWN(表3[[#This Row],[日期]]-TODAY(),1)</f>
        <v>-104</v>
      </c>
    </row>
    <row r="2522" spans="1:10" hidden="1" x14ac:dyDescent="0.2">
      <c r="A2522" s="4" t="s">
        <v>2831</v>
      </c>
      <c r="B2522" s="37">
        <v>43677</v>
      </c>
      <c r="C2522" s="12">
        <v>18</v>
      </c>
      <c r="D2522" s="38" t="s">
        <v>1552</v>
      </c>
      <c r="E2522" s="39">
        <v>43673</v>
      </c>
      <c r="F2522" s="40" t="s">
        <v>1899</v>
      </c>
      <c r="G2522" s="12"/>
      <c r="H2522" s="12"/>
      <c r="I2522" s="4" t="s">
        <v>1554</v>
      </c>
      <c r="J2522" s="41">
        <f ca="1">ROUNDDOWN(表3[[#This Row],[日期]]-TODAY(),1)</f>
        <v>-104</v>
      </c>
    </row>
    <row r="2523" spans="1:10" hidden="1" x14ac:dyDescent="0.2">
      <c r="A2523" s="4" t="s">
        <v>2831</v>
      </c>
      <c r="B2523" s="37">
        <v>43677</v>
      </c>
      <c r="C2523" s="12">
        <v>19</v>
      </c>
      <c r="D2523" s="38" t="s">
        <v>1558</v>
      </c>
      <c r="E2523" s="39">
        <v>43673</v>
      </c>
      <c r="F2523" s="40" t="s">
        <v>1899</v>
      </c>
      <c r="G2523" s="12"/>
      <c r="H2523" s="12"/>
      <c r="J2523" s="41">
        <f ca="1">ROUNDDOWN(表3[[#This Row],[日期]]-TODAY(),1)</f>
        <v>-104</v>
      </c>
    </row>
    <row r="2524" spans="1:10" hidden="1" x14ac:dyDescent="0.2">
      <c r="A2524" s="4" t="s">
        <v>2831</v>
      </c>
      <c r="B2524" s="37">
        <v>43677</v>
      </c>
      <c r="C2524" s="12">
        <v>20</v>
      </c>
      <c r="D2524" s="38" t="s">
        <v>1560</v>
      </c>
      <c r="E2524" s="39">
        <v>43673</v>
      </c>
      <c r="F2524" s="40" t="s">
        <v>1899</v>
      </c>
      <c r="G2524" s="12"/>
      <c r="H2524" s="12"/>
      <c r="J2524" s="41">
        <f ca="1">ROUNDDOWN(表3[[#This Row],[日期]]-TODAY(),1)</f>
        <v>-104</v>
      </c>
    </row>
    <row r="2525" spans="1:10" hidden="1" x14ac:dyDescent="0.2">
      <c r="A2525" s="4" t="s">
        <v>2831</v>
      </c>
      <c r="B2525" s="37">
        <v>43677</v>
      </c>
      <c r="C2525" s="12">
        <v>21</v>
      </c>
      <c r="D2525" s="38" t="s">
        <v>1562</v>
      </c>
      <c r="E2525" s="39">
        <v>43673</v>
      </c>
      <c r="F2525" s="40" t="s">
        <v>1899</v>
      </c>
      <c r="G2525" s="12"/>
      <c r="H2525" s="12"/>
      <c r="J2525" s="41">
        <f ca="1">ROUNDDOWN(表3[[#This Row],[日期]]-TODAY(),1)</f>
        <v>-104</v>
      </c>
    </row>
    <row r="2526" spans="1:10" hidden="1" x14ac:dyDescent="0.2">
      <c r="A2526" s="4" t="s">
        <v>2831</v>
      </c>
      <c r="B2526" s="37">
        <v>43677</v>
      </c>
      <c r="C2526" s="12">
        <v>22</v>
      </c>
      <c r="D2526" s="38" t="s">
        <v>1564</v>
      </c>
      <c r="E2526" s="39">
        <v>43673</v>
      </c>
      <c r="F2526" s="40" t="s">
        <v>1899</v>
      </c>
      <c r="G2526" s="12"/>
      <c r="H2526" s="12"/>
      <c r="J2526" s="41">
        <f ca="1">ROUNDDOWN(表3[[#This Row],[日期]]-TODAY(),1)</f>
        <v>-104</v>
      </c>
    </row>
    <row r="2527" spans="1:10" hidden="1" x14ac:dyDescent="0.2">
      <c r="A2527" s="4" t="s">
        <v>2831</v>
      </c>
      <c r="B2527" s="37">
        <v>43677</v>
      </c>
      <c r="C2527" s="12">
        <v>23</v>
      </c>
      <c r="D2527" s="38" t="s">
        <v>1566</v>
      </c>
      <c r="E2527" s="39">
        <v>43673</v>
      </c>
      <c r="F2527" s="40" t="s">
        <v>1899</v>
      </c>
      <c r="G2527" s="12"/>
      <c r="H2527" s="12"/>
      <c r="J2527" s="41">
        <f ca="1">ROUNDDOWN(表3[[#This Row],[日期]]-TODAY(),1)</f>
        <v>-104</v>
      </c>
    </row>
    <row r="2528" spans="1:10" hidden="1" x14ac:dyDescent="0.2">
      <c r="A2528" s="4" t="s">
        <v>2831</v>
      </c>
      <c r="B2528" s="37">
        <v>43677</v>
      </c>
      <c r="C2528" s="12">
        <v>24</v>
      </c>
      <c r="D2528" s="38" t="s">
        <v>1568</v>
      </c>
      <c r="E2528" s="39">
        <v>43673</v>
      </c>
      <c r="F2528" s="40" t="s">
        <v>1899</v>
      </c>
      <c r="G2528" s="12"/>
      <c r="H2528" s="12"/>
      <c r="I2528" s="4" t="s">
        <v>1528</v>
      </c>
      <c r="J2528" s="41">
        <f ca="1">ROUNDDOWN(表3[[#This Row],[日期]]-TODAY(),1)</f>
        <v>-104</v>
      </c>
    </row>
    <row r="2529" spans="1:10" hidden="1" x14ac:dyDescent="0.2">
      <c r="A2529" s="4" t="s">
        <v>2831</v>
      </c>
      <c r="B2529" s="37">
        <v>43677</v>
      </c>
      <c r="C2529" s="12">
        <v>25</v>
      </c>
      <c r="D2529" s="38" t="s">
        <v>305</v>
      </c>
      <c r="E2529" s="39">
        <v>43673</v>
      </c>
      <c r="F2529" s="40" t="s">
        <v>1899</v>
      </c>
      <c r="G2529" s="12"/>
      <c r="H2529" s="12"/>
      <c r="J2529" s="41">
        <f ca="1">ROUNDDOWN(表3[[#This Row],[日期]]-TODAY(),1)</f>
        <v>-104</v>
      </c>
    </row>
    <row r="2530" spans="1:10" hidden="1" x14ac:dyDescent="0.2">
      <c r="A2530" s="4" t="s">
        <v>2831</v>
      </c>
      <c r="B2530" s="37">
        <v>43677</v>
      </c>
      <c r="C2530" s="12">
        <v>26</v>
      </c>
      <c r="D2530" s="38" t="s">
        <v>1572</v>
      </c>
      <c r="E2530" s="39">
        <v>43673</v>
      </c>
      <c r="F2530" s="40" t="s">
        <v>1899</v>
      </c>
      <c r="G2530" s="12"/>
      <c r="H2530" s="12"/>
      <c r="J2530" s="41">
        <f ca="1">ROUNDDOWN(表3[[#This Row],[日期]]-TODAY(),1)</f>
        <v>-104</v>
      </c>
    </row>
    <row r="2531" spans="1:10" hidden="1" x14ac:dyDescent="0.2">
      <c r="A2531" s="4" t="s">
        <v>2831</v>
      </c>
      <c r="B2531" s="37">
        <v>43677</v>
      </c>
      <c r="C2531" s="12">
        <v>27</v>
      </c>
      <c r="D2531" s="38" t="s">
        <v>1570</v>
      </c>
      <c r="E2531" s="39">
        <v>43673</v>
      </c>
      <c r="F2531" s="40" t="s">
        <v>1899</v>
      </c>
      <c r="G2531" s="12"/>
      <c r="H2531" s="12"/>
      <c r="I2531" s="4" t="s">
        <v>1528</v>
      </c>
      <c r="J2531" s="41">
        <f ca="1">ROUNDDOWN(表3[[#This Row],[日期]]-TODAY(),1)</f>
        <v>-104</v>
      </c>
    </row>
    <row r="2532" spans="1:10" hidden="1" x14ac:dyDescent="0.2">
      <c r="A2532" s="4" t="s">
        <v>2831</v>
      </c>
      <c r="B2532" s="37">
        <v>43677</v>
      </c>
      <c r="C2532" s="12">
        <v>28</v>
      </c>
      <c r="D2532" s="38" t="s">
        <v>1902</v>
      </c>
      <c r="E2532" s="39">
        <v>43672</v>
      </c>
      <c r="F2532" s="40" t="s">
        <v>1901</v>
      </c>
      <c r="G2532" s="12"/>
      <c r="H2532" s="12"/>
      <c r="J2532" s="41">
        <f ca="1">ROUNDDOWN(表3[[#This Row],[日期]]-TODAY(),1)</f>
        <v>-105</v>
      </c>
    </row>
    <row r="2533" spans="1:10" hidden="1" x14ac:dyDescent="0.2">
      <c r="A2533" s="4" t="s">
        <v>2831</v>
      </c>
      <c r="B2533" s="37">
        <v>43677</v>
      </c>
      <c r="C2533" s="12">
        <v>29</v>
      </c>
      <c r="D2533" s="38" t="s">
        <v>1900</v>
      </c>
      <c r="E2533" s="39">
        <v>43673</v>
      </c>
      <c r="F2533" s="40" t="s">
        <v>1901</v>
      </c>
      <c r="G2533" s="12"/>
      <c r="H2533" s="12"/>
      <c r="J2533" s="41">
        <f ca="1">ROUNDDOWN(表3[[#This Row],[日期]]-TODAY(),1)</f>
        <v>-104</v>
      </c>
    </row>
    <row r="2534" spans="1:10" hidden="1" x14ac:dyDescent="0.2">
      <c r="A2534" s="4" t="s">
        <v>2831</v>
      </c>
      <c r="B2534" s="37">
        <v>43677</v>
      </c>
      <c r="C2534" s="12">
        <v>30</v>
      </c>
      <c r="D2534" s="38" t="s">
        <v>1903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-102</v>
      </c>
    </row>
    <row r="2535" spans="1:10" hidden="1" x14ac:dyDescent="0.2">
      <c r="A2535" s="23" t="s">
        <v>1385</v>
      </c>
      <c r="B2535" s="25">
        <v>43678</v>
      </c>
      <c r="C2535" s="26">
        <v>1</v>
      </c>
      <c r="D2535" s="7" t="s">
        <v>1727</v>
      </c>
      <c r="E2535" s="39">
        <v>43665</v>
      </c>
      <c r="F2535" s="40" t="s">
        <v>1728</v>
      </c>
      <c r="G2535" s="12"/>
      <c r="H2535" s="12"/>
      <c r="J2535" s="41">
        <f ca="1">ROUNDDOWN(表3[[#This Row],[日期]]-TODAY(),1)</f>
        <v>-112</v>
      </c>
    </row>
    <row r="2536" spans="1:10" hidden="1" x14ac:dyDescent="0.2">
      <c r="A2536" s="23" t="s">
        <v>1385</v>
      </c>
      <c r="B2536" s="25">
        <v>43678</v>
      </c>
      <c r="C2536" s="26">
        <v>2</v>
      </c>
      <c r="D2536" s="7" t="s">
        <v>1388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-107</v>
      </c>
    </row>
    <row r="2537" spans="1:10" hidden="1" x14ac:dyDescent="0.2">
      <c r="A2537" s="23" t="s">
        <v>1385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-107</v>
      </c>
    </row>
    <row r="2538" spans="1:10" hidden="1" x14ac:dyDescent="0.2">
      <c r="A2538" s="23" t="s">
        <v>1385</v>
      </c>
      <c r="B2538" s="25">
        <v>43678</v>
      </c>
      <c r="C2538" s="26">
        <v>4</v>
      </c>
      <c r="D2538" s="7" t="s">
        <v>1452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-107</v>
      </c>
    </row>
    <row r="2539" spans="1:10" hidden="1" x14ac:dyDescent="0.2">
      <c r="A2539" s="23" t="s">
        <v>1385</v>
      </c>
      <c r="B2539" s="25">
        <v>43678</v>
      </c>
      <c r="C2539" s="26">
        <v>5</v>
      </c>
      <c r="D2539" s="7" t="s">
        <v>1432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-107</v>
      </c>
    </row>
    <row r="2540" spans="1:10" hidden="1" x14ac:dyDescent="0.2">
      <c r="A2540" s="23" t="s">
        <v>1385</v>
      </c>
      <c r="B2540" s="25">
        <v>43678</v>
      </c>
      <c r="C2540" s="12">
        <v>6</v>
      </c>
      <c r="D2540" s="38" t="s">
        <v>1897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-105</v>
      </c>
    </row>
    <row r="2541" spans="1:10" hidden="1" x14ac:dyDescent="0.2">
      <c r="A2541" s="23" t="s">
        <v>1385</v>
      </c>
      <c r="B2541" s="25">
        <v>43678</v>
      </c>
      <c r="C2541" s="26">
        <v>7</v>
      </c>
      <c r="D2541" s="7" t="s">
        <v>1436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-104</v>
      </c>
    </row>
    <row r="2542" spans="1:10" hidden="1" x14ac:dyDescent="0.2">
      <c r="A2542" s="23" t="s">
        <v>1385</v>
      </c>
      <c r="B2542" s="25">
        <v>43678</v>
      </c>
      <c r="C2542" s="26">
        <v>8</v>
      </c>
      <c r="D2542" s="7" t="s">
        <v>1883</v>
      </c>
      <c r="E2542" s="39">
        <v>43675</v>
      </c>
      <c r="F2542" s="40" t="s">
        <v>1184</v>
      </c>
      <c r="G2542" s="12">
        <v>3</v>
      </c>
      <c r="H2542" s="12"/>
      <c r="J2542" s="41">
        <f ca="1">ROUNDDOWN(表3[[#This Row],[日期]]-TODAY(),1)</f>
        <v>-102</v>
      </c>
    </row>
    <row r="2543" spans="1:10" hidden="1" x14ac:dyDescent="0.2">
      <c r="A2543" s="23" t="s">
        <v>1385</v>
      </c>
      <c r="B2543" s="25">
        <v>43678</v>
      </c>
      <c r="C2543" s="12">
        <v>9</v>
      </c>
      <c r="D2543" s="38" t="s">
        <v>2137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-101</v>
      </c>
    </row>
    <row r="2544" spans="1:10" hidden="1" x14ac:dyDescent="0.2">
      <c r="A2544" s="23" t="s">
        <v>1385</v>
      </c>
      <c r="B2544" s="25">
        <v>43678</v>
      </c>
      <c r="C2544" s="12">
        <v>10</v>
      </c>
      <c r="D2544" s="38" t="s">
        <v>1898</v>
      </c>
      <c r="E2544" s="39">
        <v>43675</v>
      </c>
      <c r="F2544" s="40" t="s">
        <v>1899</v>
      </c>
      <c r="G2544" s="12"/>
      <c r="H2544" s="12"/>
      <c r="J2544" s="41">
        <f ca="1">ROUNDDOWN(表3[[#This Row],[日期]]-TODAY(),1)</f>
        <v>-102</v>
      </c>
    </row>
    <row r="2545" spans="1:10" hidden="1" x14ac:dyDescent="0.2">
      <c r="A2545" s="23" t="s">
        <v>1385</v>
      </c>
      <c r="B2545" s="25">
        <v>43678</v>
      </c>
      <c r="C2545" s="26">
        <v>11</v>
      </c>
      <c r="D2545" s="7" t="s">
        <v>1437</v>
      </c>
      <c r="E2545" s="39">
        <v>43675</v>
      </c>
      <c r="F2545" s="40" t="s">
        <v>1899</v>
      </c>
      <c r="G2545" s="12"/>
      <c r="H2545" s="12"/>
      <c r="J2545" s="41">
        <f ca="1">ROUNDDOWN(表3[[#This Row],[日期]]-TODAY(),1)</f>
        <v>-102</v>
      </c>
    </row>
    <row r="2546" spans="1:10" hidden="1" x14ac:dyDescent="0.2">
      <c r="A2546" s="23" t="s">
        <v>1385</v>
      </c>
      <c r="B2546" s="25">
        <v>43678</v>
      </c>
      <c r="C2546" s="26">
        <v>12</v>
      </c>
      <c r="D2546" s="7" t="s">
        <v>1414</v>
      </c>
      <c r="E2546" s="39">
        <v>43675</v>
      </c>
      <c r="F2546" s="40" t="s">
        <v>1899</v>
      </c>
      <c r="G2546" s="12"/>
      <c r="H2546" s="12"/>
      <c r="J2546" s="41">
        <f ca="1">ROUNDDOWN(表3[[#This Row],[日期]]-TODAY(),1)</f>
        <v>-102</v>
      </c>
    </row>
    <row r="2547" spans="1:10" hidden="1" x14ac:dyDescent="0.2">
      <c r="A2547" s="23" t="s">
        <v>1385</v>
      </c>
      <c r="B2547" s="25">
        <v>43678</v>
      </c>
      <c r="C2547" s="26">
        <v>13</v>
      </c>
      <c r="D2547" s="7" t="s">
        <v>311</v>
      </c>
      <c r="E2547" s="39">
        <v>43675</v>
      </c>
      <c r="F2547" s="40" t="s">
        <v>1899</v>
      </c>
      <c r="G2547" s="12"/>
      <c r="H2547" s="12"/>
      <c r="J2547" s="41">
        <f ca="1">ROUNDDOWN(表3[[#This Row],[日期]]-TODAY(),1)</f>
        <v>-102</v>
      </c>
    </row>
    <row r="2548" spans="1:10" hidden="1" x14ac:dyDescent="0.2">
      <c r="A2548" s="23" t="s">
        <v>1385</v>
      </c>
      <c r="B2548" s="25">
        <v>43678</v>
      </c>
      <c r="C2548" s="26">
        <v>14</v>
      </c>
      <c r="D2548" s="7" t="s">
        <v>1638</v>
      </c>
      <c r="E2548" s="39">
        <v>43675</v>
      </c>
      <c r="F2548" s="40" t="s">
        <v>1899</v>
      </c>
      <c r="G2548" s="12"/>
      <c r="H2548" s="12"/>
      <c r="J2548" s="41">
        <f ca="1">ROUNDDOWN(表3[[#This Row],[日期]]-TODAY(),1)</f>
        <v>-102</v>
      </c>
    </row>
    <row r="2549" spans="1:10" hidden="1" x14ac:dyDescent="0.2">
      <c r="A2549" s="23" t="s">
        <v>1385</v>
      </c>
      <c r="B2549" s="25">
        <v>43678</v>
      </c>
      <c r="C2549" s="26">
        <v>15</v>
      </c>
      <c r="D2549" s="7" t="s">
        <v>273</v>
      </c>
      <c r="E2549" s="39">
        <v>43675</v>
      </c>
      <c r="F2549" s="40" t="s">
        <v>1899</v>
      </c>
      <c r="G2549" s="12"/>
      <c r="H2549" s="12"/>
      <c r="J2549" s="41">
        <f ca="1">ROUNDDOWN(表3[[#This Row],[日期]]-TODAY(),1)</f>
        <v>-102</v>
      </c>
    </row>
    <row r="2550" spans="1:10" hidden="1" x14ac:dyDescent="0.2">
      <c r="A2550" s="23" t="s">
        <v>1385</v>
      </c>
      <c r="B2550" s="25">
        <v>43678</v>
      </c>
      <c r="C2550" s="26">
        <v>16</v>
      </c>
      <c r="D2550" s="7" t="s">
        <v>275</v>
      </c>
      <c r="E2550" s="39">
        <v>43677</v>
      </c>
      <c r="F2550" s="40" t="s">
        <v>1899</v>
      </c>
      <c r="G2550" s="12"/>
      <c r="H2550" s="12"/>
      <c r="J2550" s="41">
        <f ca="1">ROUNDDOWN(表3[[#This Row],[日期]]-TODAY(),1)</f>
        <v>-100</v>
      </c>
    </row>
    <row r="2551" spans="1:10" hidden="1" x14ac:dyDescent="0.2">
      <c r="A2551" s="23" t="s">
        <v>1385</v>
      </c>
      <c r="B2551" s="25">
        <v>43678</v>
      </c>
      <c r="C2551" s="26">
        <v>17</v>
      </c>
      <c r="D2551" s="7" t="s">
        <v>1510</v>
      </c>
      <c r="E2551" s="39">
        <v>43677</v>
      </c>
      <c r="F2551" s="40" t="s">
        <v>1899</v>
      </c>
      <c r="G2551" s="12"/>
      <c r="H2551" s="12"/>
      <c r="J2551" s="41">
        <f ca="1">ROUNDDOWN(表3[[#This Row],[日期]]-TODAY(),1)</f>
        <v>-100</v>
      </c>
    </row>
    <row r="2552" spans="1:10" hidden="1" x14ac:dyDescent="0.2">
      <c r="A2552" s="23" t="s">
        <v>1385</v>
      </c>
      <c r="B2552" s="25">
        <v>43678</v>
      </c>
      <c r="C2552" s="26">
        <v>18</v>
      </c>
      <c r="D2552" s="7" t="s">
        <v>1387</v>
      </c>
      <c r="E2552" s="39">
        <v>43677</v>
      </c>
      <c r="F2552" s="40" t="s">
        <v>1899</v>
      </c>
      <c r="G2552" s="12"/>
      <c r="H2552" s="12"/>
      <c r="J2552" s="41">
        <f ca="1">ROUNDDOWN(表3[[#This Row],[日期]]-TODAY(),1)</f>
        <v>-100</v>
      </c>
    </row>
    <row r="2553" spans="1:10" hidden="1" x14ac:dyDescent="0.2">
      <c r="A2553" s="23" t="s">
        <v>1385</v>
      </c>
      <c r="B2553" s="25">
        <v>43678</v>
      </c>
      <c r="C2553" s="26">
        <v>19</v>
      </c>
      <c r="D2553" s="7" t="s">
        <v>305</v>
      </c>
      <c r="E2553" s="39">
        <v>43678</v>
      </c>
      <c r="F2553" s="40" t="s">
        <v>1899</v>
      </c>
      <c r="G2553" s="12"/>
      <c r="H2553" s="12"/>
      <c r="J2553" s="41">
        <f ca="1">ROUNDDOWN(表3[[#This Row],[日期]]-TODAY(),1)</f>
        <v>-99</v>
      </c>
    </row>
    <row r="2554" spans="1:10" hidden="1" x14ac:dyDescent="0.2">
      <c r="A2554" s="4" t="s">
        <v>2848</v>
      </c>
      <c r="B2554" s="37">
        <v>43678</v>
      </c>
      <c r="C2554" s="12">
        <v>1</v>
      </c>
      <c r="D2554" s="38" t="s">
        <v>1153</v>
      </c>
      <c r="E2554" s="39">
        <v>43679</v>
      </c>
      <c r="F2554" s="40" t="s">
        <v>242</v>
      </c>
      <c r="G2554" s="12">
        <v>1</v>
      </c>
      <c r="H2554" s="12"/>
      <c r="I2554" s="4" t="s">
        <v>1154</v>
      </c>
      <c r="J2554" s="41">
        <f ca="1">ROUNDDOWN(表3[[#This Row],[日期]]-TODAY(),1)</f>
        <v>-98</v>
      </c>
    </row>
    <row r="2555" spans="1:10" hidden="1" x14ac:dyDescent="0.2">
      <c r="A2555" s="4" t="s">
        <v>2848</v>
      </c>
      <c r="B2555" s="37">
        <v>43678</v>
      </c>
      <c r="C2555" s="12">
        <v>2</v>
      </c>
      <c r="D2555" s="38" t="s">
        <v>2207</v>
      </c>
      <c r="E2555" s="39">
        <v>43690</v>
      </c>
      <c r="F2555" s="40" t="s">
        <v>242</v>
      </c>
      <c r="G2555" s="12">
        <v>1</v>
      </c>
      <c r="H2555" s="12"/>
      <c r="I2555" s="4" t="s">
        <v>1154</v>
      </c>
      <c r="J2555" s="41">
        <f ca="1">ROUNDDOWN(表3[[#This Row],[日期]]-TODAY(),1)</f>
        <v>-87</v>
      </c>
    </row>
    <row r="2556" spans="1:10" hidden="1" x14ac:dyDescent="0.2">
      <c r="A2556" s="4" t="s">
        <v>2848</v>
      </c>
      <c r="B2556" s="37">
        <v>43678</v>
      </c>
      <c r="C2556" s="12">
        <v>2</v>
      </c>
      <c r="D2556" s="38" t="s">
        <v>2209</v>
      </c>
      <c r="E2556" s="39">
        <v>43686</v>
      </c>
      <c r="F2556" s="40" t="s">
        <v>242</v>
      </c>
      <c r="G2556" s="12">
        <v>3</v>
      </c>
      <c r="H2556" s="12"/>
      <c r="I2556" s="4" t="s">
        <v>1154</v>
      </c>
      <c r="J2556" s="41">
        <f ca="1">ROUNDDOWN(表3[[#This Row],[日期]]-TODAY(),1)</f>
        <v>-91</v>
      </c>
    </row>
    <row r="2557" spans="1:10" hidden="1" x14ac:dyDescent="0.2">
      <c r="A2557" s="4" t="s">
        <v>2848</v>
      </c>
      <c r="B2557" s="37">
        <v>43678</v>
      </c>
      <c r="C2557" s="12">
        <v>3</v>
      </c>
      <c r="D2557" s="38" t="s">
        <v>1974</v>
      </c>
      <c r="E2557" s="39">
        <v>43690</v>
      </c>
      <c r="F2557" s="40" t="s">
        <v>242</v>
      </c>
      <c r="G2557" s="12">
        <v>1</v>
      </c>
      <c r="H2557" s="12"/>
      <c r="I2557" s="4" t="s">
        <v>1154</v>
      </c>
      <c r="J2557" s="41">
        <f ca="1">ROUNDDOWN(表3[[#This Row],[日期]]-TODAY(),1)</f>
        <v>-87</v>
      </c>
    </row>
    <row r="2558" spans="1:10" hidden="1" x14ac:dyDescent="0.2">
      <c r="A2558" s="4" t="s">
        <v>2848</v>
      </c>
      <c r="B2558" s="37">
        <v>43678</v>
      </c>
      <c r="C2558" s="12">
        <v>4</v>
      </c>
      <c r="D2558" s="38" t="s">
        <v>1975</v>
      </c>
      <c r="E2558" s="39">
        <v>43690</v>
      </c>
      <c r="F2558" s="40" t="s">
        <v>242</v>
      </c>
      <c r="G2558" s="12">
        <v>1</v>
      </c>
      <c r="H2558" s="12"/>
      <c r="I2558" s="4" t="s">
        <v>1154</v>
      </c>
      <c r="J2558" s="41">
        <f ca="1">ROUNDDOWN(表3[[#This Row],[日期]]-TODAY(),1)</f>
        <v>-87</v>
      </c>
    </row>
    <row r="2559" spans="1:10" hidden="1" x14ac:dyDescent="0.2">
      <c r="A2559" s="4" t="s">
        <v>2848</v>
      </c>
      <c r="B2559" s="37">
        <v>43678</v>
      </c>
      <c r="C2559" s="12">
        <v>5</v>
      </c>
      <c r="D2559" s="38" t="s">
        <v>1976</v>
      </c>
      <c r="E2559" s="39">
        <v>43690</v>
      </c>
      <c r="F2559" s="40" t="s">
        <v>242</v>
      </c>
      <c r="G2559" s="12">
        <v>1</v>
      </c>
      <c r="H2559" s="12"/>
      <c r="I2559" s="4" t="s">
        <v>1154</v>
      </c>
      <c r="J2559" s="41">
        <f ca="1">ROUNDDOWN(表3[[#This Row],[日期]]-TODAY(),1)</f>
        <v>-87</v>
      </c>
    </row>
    <row r="2560" spans="1:10" hidden="1" x14ac:dyDescent="0.2">
      <c r="A2560" s="4" t="s">
        <v>2848</v>
      </c>
      <c r="B2560" s="37">
        <v>43678</v>
      </c>
      <c r="C2560" s="12">
        <v>5.0999999999999996</v>
      </c>
      <c r="D2560" s="38" t="s">
        <v>2271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-86</v>
      </c>
    </row>
    <row r="2561" spans="1:10" hidden="1" x14ac:dyDescent="0.2">
      <c r="A2561" s="4" t="s">
        <v>2848</v>
      </c>
      <c r="B2561" s="37">
        <v>43678</v>
      </c>
      <c r="C2561" s="12">
        <v>6</v>
      </c>
      <c r="D2561" s="38" t="s">
        <v>1977</v>
      </c>
      <c r="E2561" s="39">
        <v>43682</v>
      </c>
      <c r="F2561" s="40" t="s">
        <v>242</v>
      </c>
      <c r="G2561" s="12">
        <v>3</v>
      </c>
      <c r="H2561" s="12"/>
      <c r="I2561" s="4" t="s">
        <v>1978</v>
      </c>
      <c r="J2561" s="41">
        <f ca="1">ROUNDDOWN(表3[[#This Row],[日期]]-TODAY(),1)</f>
        <v>-95</v>
      </c>
    </row>
    <row r="2562" spans="1:10" hidden="1" x14ac:dyDescent="0.2">
      <c r="A2562" s="4" t="s">
        <v>2848</v>
      </c>
      <c r="B2562" s="37">
        <v>43678</v>
      </c>
      <c r="C2562" s="12">
        <v>7</v>
      </c>
      <c r="D2562" s="38" t="s">
        <v>1979</v>
      </c>
      <c r="E2562" s="39">
        <v>43700</v>
      </c>
      <c r="F2562" s="40" t="s">
        <v>1184</v>
      </c>
      <c r="G2562" s="12">
        <v>4</v>
      </c>
      <c r="H2562" s="12"/>
      <c r="I2562" s="4" t="s">
        <v>1967</v>
      </c>
      <c r="J2562" s="41">
        <f ca="1">ROUNDDOWN(表3[[#This Row],[日期]]-TODAY(),1)</f>
        <v>-77</v>
      </c>
    </row>
    <row r="2563" spans="1:10" hidden="1" x14ac:dyDescent="0.2">
      <c r="A2563" s="4" t="s">
        <v>2848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1184</v>
      </c>
      <c r="G2563" s="12"/>
      <c r="H2563" s="12"/>
      <c r="I2563" s="4" t="s">
        <v>1973</v>
      </c>
      <c r="J2563" s="41">
        <f ca="1">ROUNDDOWN(表3[[#This Row],[日期]]-TODAY(),1)</f>
        <v>-74</v>
      </c>
    </row>
    <row r="2564" spans="1:10" hidden="1" x14ac:dyDescent="0.2">
      <c r="A2564" s="4" t="s">
        <v>2848</v>
      </c>
      <c r="B2564" s="37">
        <v>43678</v>
      </c>
      <c r="C2564" s="12">
        <v>9</v>
      </c>
      <c r="D2564" s="38" t="s">
        <v>1156</v>
      </c>
      <c r="E2564" s="39">
        <v>43704</v>
      </c>
      <c r="F2564" s="40" t="s">
        <v>242</v>
      </c>
      <c r="G2564" s="12"/>
      <c r="H2564" s="12"/>
      <c r="I2564" s="4" t="s">
        <v>1972</v>
      </c>
      <c r="J2564" s="41">
        <f ca="1">ROUNDDOWN(表3[[#This Row],[日期]]-TODAY(),1)</f>
        <v>-73</v>
      </c>
    </row>
    <row r="2565" spans="1:10" hidden="1" x14ac:dyDescent="0.2">
      <c r="A2565" s="4" t="s">
        <v>2848</v>
      </c>
      <c r="B2565" s="37">
        <v>43678</v>
      </c>
      <c r="C2565" s="12">
        <v>10</v>
      </c>
      <c r="D2565" s="38" t="s">
        <v>1980</v>
      </c>
      <c r="E2565" s="39">
        <v>43704</v>
      </c>
      <c r="F2565" s="40" t="s">
        <v>242</v>
      </c>
      <c r="G2565" s="12">
        <v>3</v>
      </c>
      <c r="H2565" s="12"/>
      <c r="I2565" s="4" t="s">
        <v>1968</v>
      </c>
      <c r="J2565" s="41">
        <f ca="1">ROUNDDOWN(表3[[#This Row],[日期]]-TODAY(),1)</f>
        <v>-73</v>
      </c>
    </row>
    <row r="2566" spans="1:10" hidden="1" x14ac:dyDescent="0.2">
      <c r="A2566" s="4" t="s">
        <v>2848</v>
      </c>
      <c r="B2566" s="37">
        <v>43678</v>
      </c>
      <c r="C2566" s="12">
        <v>10</v>
      </c>
      <c r="D2566" s="38" t="s">
        <v>1157</v>
      </c>
      <c r="E2566" s="39">
        <v>43707</v>
      </c>
      <c r="F2566" s="40" t="s">
        <v>242</v>
      </c>
      <c r="G2566" s="12">
        <v>4</v>
      </c>
      <c r="H2566" s="12"/>
      <c r="I2566" s="4" t="s">
        <v>1970</v>
      </c>
      <c r="J2566" s="41">
        <f ca="1">ROUNDDOWN(表3[[#This Row],[日期]]-TODAY(),1)</f>
        <v>-70</v>
      </c>
    </row>
    <row r="2567" spans="1:10" hidden="1" x14ac:dyDescent="0.2">
      <c r="A2567" s="4" t="s">
        <v>2848</v>
      </c>
      <c r="B2567" s="37">
        <v>43678</v>
      </c>
      <c r="C2567" s="12">
        <v>11</v>
      </c>
      <c r="D2567" s="38" t="s">
        <v>2460</v>
      </c>
      <c r="E2567" s="39">
        <v>43705</v>
      </c>
      <c r="F2567" s="40" t="s">
        <v>242</v>
      </c>
      <c r="G2567" s="12">
        <v>1</v>
      </c>
      <c r="H2567" s="12"/>
      <c r="I2567" s="4" t="s">
        <v>1968</v>
      </c>
      <c r="J2567" s="41">
        <f ca="1">ROUNDDOWN(表3[[#This Row],[日期]]-TODAY(),1)</f>
        <v>-72</v>
      </c>
    </row>
    <row r="2568" spans="1:10" hidden="1" x14ac:dyDescent="0.2">
      <c r="A2568" s="4" t="s">
        <v>2848</v>
      </c>
      <c r="B2568" s="37">
        <v>43678</v>
      </c>
      <c r="C2568" s="12">
        <v>12</v>
      </c>
      <c r="D2568" s="38" t="s">
        <v>2461</v>
      </c>
      <c r="E2568" s="39">
        <v>43705</v>
      </c>
      <c r="F2568" s="40" t="s">
        <v>242</v>
      </c>
      <c r="G2568" s="12">
        <v>1</v>
      </c>
      <c r="H2568" s="12"/>
      <c r="I2568" s="4" t="s">
        <v>1968</v>
      </c>
      <c r="J2568" s="41">
        <f ca="1">ROUNDDOWN(表3[[#This Row],[日期]]-TODAY(),1)</f>
        <v>-72</v>
      </c>
    </row>
    <row r="2569" spans="1:10" hidden="1" x14ac:dyDescent="0.2">
      <c r="A2569" s="4" t="s">
        <v>2848</v>
      </c>
      <c r="B2569" s="37">
        <v>43678</v>
      </c>
      <c r="C2569" s="12">
        <v>13</v>
      </c>
      <c r="D2569" s="38" t="s">
        <v>2470</v>
      </c>
      <c r="E2569" s="39">
        <v>43705</v>
      </c>
      <c r="F2569" s="40" t="s">
        <v>242</v>
      </c>
      <c r="G2569" s="12">
        <v>1</v>
      </c>
      <c r="H2569" s="12"/>
      <c r="I2569" s="4" t="s">
        <v>1968</v>
      </c>
      <c r="J2569" s="41">
        <f ca="1">ROUNDDOWN(表3[[#This Row],[日期]]-TODAY(),1)</f>
        <v>-72</v>
      </c>
    </row>
    <row r="2570" spans="1:10" hidden="1" x14ac:dyDescent="0.2">
      <c r="A2570" s="4" t="s">
        <v>2848</v>
      </c>
      <c r="B2570" s="37">
        <v>43678</v>
      </c>
      <c r="C2570" s="12">
        <v>13.1</v>
      </c>
      <c r="D2570" s="38" t="s">
        <v>2471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-70</v>
      </c>
    </row>
    <row r="2571" spans="1:10" hidden="1" x14ac:dyDescent="0.2">
      <c r="A2571" s="4" t="s">
        <v>2848</v>
      </c>
      <c r="B2571" s="37">
        <v>43678</v>
      </c>
      <c r="C2571" s="12">
        <v>14</v>
      </c>
      <c r="D2571" s="38" t="s">
        <v>1981</v>
      </c>
      <c r="E2571" s="39">
        <v>43703</v>
      </c>
      <c r="F2571" s="40" t="s">
        <v>2437</v>
      </c>
      <c r="G2571" s="12"/>
      <c r="H2571" s="12"/>
      <c r="I2571" s="4" t="s">
        <v>1968</v>
      </c>
      <c r="J2571" s="41">
        <f ca="1">ROUNDDOWN(表3[[#This Row],[日期]]-TODAY(),1)</f>
        <v>-74</v>
      </c>
    </row>
    <row r="2572" spans="1:10" hidden="1" x14ac:dyDescent="0.2">
      <c r="A2572" s="4" t="s">
        <v>2848</v>
      </c>
      <c r="B2572" s="37">
        <v>43678</v>
      </c>
      <c r="C2572" s="12">
        <v>15</v>
      </c>
      <c r="D2572" s="38" t="s">
        <v>1982</v>
      </c>
      <c r="E2572" s="39">
        <v>43703</v>
      </c>
      <c r="F2572" s="40" t="s">
        <v>2437</v>
      </c>
      <c r="G2572" s="12"/>
      <c r="H2572" s="12"/>
      <c r="I2572" s="4" t="s">
        <v>1968</v>
      </c>
      <c r="J2572" s="41">
        <f ca="1">ROUNDDOWN(表3[[#This Row],[日期]]-TODAY(),1)</f>
        <v>-74</v>
      </c>
    </row>
    <row r="2573" spans="1:10" hidden="1" x14ac:dyDescent="0.2">
      <c r="A2573" s="4" t="s">
        <v>2848</v>
      </c>
      <c r="B2573" s="37">
        <v>43678</v>
      </c>
      <c r="C2573" s="12">
        <v>16</v>
      </c>
      <c r="D2573" s="38" t="s">
        <v>1983</v>
      </c>
      <c r="E2573" s="39">
        <v>43703</v>
      </c>
      <c r="F2573" s="40" t="s">
        <v>2437</v>
      </c>
      <c r="G2573" s="12"/>
      <c r="H2573" s="12"/>
      <c r="I2573" s="4" t="s">
        <v>1968</v>
      </c>
      <c r="J2573" s="41">
        <f ca="1">ROUNDDOWN(表3[[#This Row],[日期]]-TODAY(),1)</f>
        <v>-74</v>
      </c>
    </row>
    <row r="2574" spans="1:10" hidden="1" x14ac:dyDescent="0.2">
      <c r="A2574" s="4" t="s">
        <v>2848</v>
      </c>
      <c r="B2574" s="37">
        <v>43678</v>
      </c>
      <c r="C2574" s="12">
        <v>17</v>
      </c>
      <c r="D2574" s="38" t="s">
        <v>1984</v>
      </c>
      <c r="E2574" s="39">
        <v>43703</v>
      </c>
      <c r="F2574" s="40" t="s">
        <v>2437</v>
      </c>
      <c r="G2574" s="12"/>
      <c r="H2574" s="12"/>
      <c r="I2574" s="4" t="s">
        <v>1968</v>
      </c>
      <c r="J2574" s="41">
        <f ca="1">ROUNDDOWN(表3[[#This Row],[日期]]-TODAY(),1)</f>
        <v>-74</v>
      </c>
    </row>
    <row r="2575" spans="1:10" hidden="1" x14ac:dyDescent="0.2">
      <c r="A2575" s="4" t="s">
        <v>2848</v>
      </c>
      <c r="B2575" s="37">
        <v>43678</v>
      </c>
      <c r="C2575" s="12">
        <v>18</v>
      </c>
      <c r="D2575" s="38" t="s">
        <v>1985</v>
      </c>
      <c r="E2575" s="39">
        <v>43703</v>
      </c>
      <c r="F2575" s="40" t="s">
        <v>2437</v>
      </c>
      <c r="G2575" s="12"/>
      <c r="H2575" s="12"/>
      <c r="I2575" s="4" t="s">
        <v>1968</v>
      </c>
      <c r="J2575" s="41">
        <f ca="1">ROUNDDOWN(表3[[#This Row],[日期]]-TODAY(),1)</f>
        <v>-74</v>
      </c>
    </row>
    <row r="2576" spans="1:10" hidden="1" x14ac:dyDescent="0.2">
      <c r="A2576" s="4" t="s">
        <v>2848</v>
      </c>
      <c r="B2576" s="37">
        <v>43678</v>
      </c>
      <c r="C2576" s="12">
        <v>19</v>
      </c>
      <c r="D2576" s="38" t="s">
        <v>1986</v>
      </c>
      <c r="E2576" s="39">
        <v>43703</v>
      </c>
      <c r="F2576" s="40" t="s">
        <v>2437</v>
      </c>
      <c r="G2576" s="12"/>
      <c r="H2576" s="12"/>
      <c r="I2576" s="4" t="s">
        <v>1968</v>
      </c>
      <c r="J2576" s="41">
        <f ca="1">ROUNDDOWN(表3[[#This Row],[日期]]-TODAY(),1)</f>
        <v>-74</v>
      </c>
    </row>
    <row r="2577" spans="1:10" hidden="1" x14ac:dyDescent="0.2">
      <c r="A2577" s="4" t="s">
        <v>2848</v>
      </c>
      <c r="B2577" s="37">
        <v>43678</v>
      </c>
      <c r="C2577" s="12">
        <v>20</v>
      </c>
      <c r="D2577" s="38" t="s">
        <v>1987</v>
      </c>
      <c r="E2577" s="39">
        <v>43703</v>
      </c>
      <c r="F2577" s="40" t="s">
        <v>2437</v>
      </c>
      <c r="G2577" s="12"/>
      <c r="H2577" s="12"/>
      <c r="I2577" s="4" t="s">
        <v>1968</v>
      </c>
      <c r="J2577" s="41">
        <f ca="1">ROUNDDOWN(表3[[#This Row],[日期]]-TODAY(),1)</f>
        <v>-74</v>
      </c>
    </row>
    <row r="2578" spans="1:10" hidden="1" x14ac:dyDescent="0.2">
      <c r="A2578" s="4" t="s">
        <v>2848</v>
      </c>
      <c r="B2578" s="37">
        <v>43678</v>
      </c>
      <c r="C2578" s="12">
        <v>21</v>
      </c>
      <c r="D2578" s="38" t="s">
        <v>1988</v>
      </c>
      <c r="E2578" s="39">
        <v>43703</v>
      </c>
      <c r="F2578" s="40" t="s">
        <v>2437</v>
      </c>
      <c r="G2578" s="12"/>
      <c r="H2578" s="12"/>
      <c r="I2578" s="4" t="s">
        <v>1968</v>
      </c>
      <c r="J2578" s="41">
        <f ca="1">ROUNDDOWN(表3[[#This Row],[日期]]-TODAY(),1)</f>
        <v>-74</v>
      </c>
    </row>
    <row r="2579" spans="1:10" hidden="1" x14ac:dyDescent="0.2">
      <c r="A2579" s="4" t="s">
        <v>2848</v>
      </c>
      <c r="B2579" s="37">
        <v>43678</v>
      </c>
      <c r="C2579" s="12">
        <v>22</v>
      </c>
      <c r="D2579" s="38" t="s">
        <v>2075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-88</v>
      </c>
    </row>
    <row r="2580" spans="1:10" hidden="1" x14ac:dyDescent="0.2">
      <c r="A2580" s="4" t="s">
        <v>2848</v>
      </c>
      <c r="B2580" s="37">
        <v>43678</v>
      </c>
      <c r="C2580" s="12">
        <v>23</v>
      </c>
      <c r="D2580" s="38" t="s">
        <v>2116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-85</v>
      </c>
    </row>
    <row r="2581" spans="1:10" hidden="1" x14ac:dyDescent="0.2">
      <c r="A2581" s="4" t="s">
        <v>2848</v>
      </c>
      <c r="B2581" s="37">
        <v>43678</v>
      </c>
      <c r="C2581" s="12">
        <v>24</v>
      </c>
      <c r="D2581" s="38" t="s">
        <v>2220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-67</v>
      </c>
    </row>
    <row r="2582" spans="1:10" hidden="1" x14ac:dyDescent="0.2">
      <c r="A2582" s="4" t="s">
        <v>2848</v>
      </c>
      <c r="B2582" s="37">
        <v>43678</v>
      </c>
      <c r="C2582" s="12"/>
      <c r="D2582" s="38" t="s">
        <v>2481</v>
      </c>
      <c r="E2582" s="39">
        <v>43705</v>
      </c>
      <c r="F2582" s="40" t="s">
        <v>2480</v>
      </c>
      <c r="G2582" s="12"/>
      <c r="H2582" s="12"/>
      <c r="J2582" s="41">
        <f ca="1">ROUNDDOWN(表3[[#This Row],[日期]]-TODAY(),1)</f>
        <v>-72</v>
      </c>
    </row>
    <row r="2583" spans="1:10" hidden="1" x14ac:dyDescent="0.2">
      <c r="A2583" s="4" t="s">
        <v>2848</v>
      </c>
      <c r="B2583" s="37">
        <v>43678</v>
      </c>
      <c r="C2583" s="12"/>
      <c r="D2583" s="38" t="s">
        <v>2482</v>
      </c>
      <c r="E2583" s="39">
        <v>43706</v>
      </c>
      <c r="F2583" s="40" t="s">
        <v>2480</v>
      </c>
      <c r="G2583" s="12"/>
      <c r="H2583" s="12"/>
      <c r="J2583" s="41">
        <f ca="1">ROUNDDOWN(表3[[#This Row],[日期]]-TODAY(),1)</f>
        <v>-71</v>
      </c>
    </row>
    <row r="2584" spans="1:10" hidden="1" x14ac:dyDescent="0.2">
      <c r="A2584" s="4" t="s">
        <v>2848</v>
      </c>
      <c r="B2584" s="37">
        <v>43678</v>
      </c>
      <c r="C2584" s="12"/>
      <c r="D2584" s="38" t="s">
        <v>2483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-71</v>
      </c>
    </row>
    <row r="2585" spans="1:10" hidden="1" x14ac:dyDescent="0.2">
      <c r="A2585" s="4" t="s">
        <v>2847</v>
      </c>
      <c r="B2585" s="37">
        <v>43678</v>
      </c>
      <c r="C2585" s="12"/>
      <c r="D2585" s="38" t="s">
        <v>2237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-88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927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-109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1767</v>
      </c>
      <c r="G2587" s="12"/>
      <c r="H2587" s="12"/>
      <c r="J2587" s="41">
        <f ca="1">ROUNDDOWN(表3[[#This Row],[日期]]-TODAY(),1)</f>
        <v>-108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1210</v>
      </c>
      <c r="E2588" s="39">
        <v>43669</v>
      </c>
      <c r="F2588" s="40" t="s">
        <v>1767</v>
      </c>
      <c r="G2588" s="12"/>
      <c r="H2588" s="12"/>
      <c r="J2588" s="41">
        <f ca="1">ROUNDDOWN(表3[[#This Row],[日期]]-TODAY(),1)</f>
        <v>-108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1767</v>
      </c>
      <c r="G2589" s="12"/>
      <c r="H2589" s="12"/>
      <c r="J2589" s="41">
        <f ca="1">ROUNDDOWN(表3[[#This Row],[日期]]-TODAY(),1)</f>
        <v>-108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1767</v>
      </c>
      <c r="G2590" s="12"/>
      <c r="H2590" s="12"/>
      <c r="J2590" s="41">
        <f ca="1">ROUNDDOWN(表3[[#This Row],[日期]]-TODAY(),1)</f>
        <v>-108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1576</v>
      </c>
      <c r="E2591" s="39">
        <v>43669</v>
      </c>
      <c r="F2591" s="40" t="s">
        <v>1767</v>
      </c>
      <c r="G2591" s="12"/>
      <c r="H2591" s="12"/>
      <c r="J2591" s="41">
        <f ca="1">ROUNDDOWN(表3[[#This Row],[日期]]-TODAY(),1)</f>
        <v>-108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1577</v>
      </c>
      <c r="E2592" s="39">
        <v>43669</v>
      </c>
      <c r="F2592" s="40" t="s">
        <v>1767</v>
      </c>
      <c r="G2592" s="12"/>
      <c r="H2592" s="12"/>
      <c r="I2592" s="4" t="s">
        <v>30</v>
      </c>
      <c r="J2592" s="41">
        <f ca="1">ROUNDDOWN(表3[[#This Row],[日期]]-TODAY(),1)</f>
        <v>-108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1767</v>
      </c>
      <c r="G2593" s="12"/>
      <c r="H2593" s="12"/>
      <c r="J2593" s="41">
        <f ca="1">ROUNDDOWN(表3[[#This Row],[日期]]-TODAY(),1)</f>
        <v>-108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928</v>
      </c>
      <c r="E2594" s="39">
        <v>43669</v>
      </c>
      <c r="F2594" s="40" t="s">
        <v>1767</v>
      </c>
      <c r="G2594" s="12"/>
      <c r="H2594" s="12"/>
      <c r="I2594" s="4" t="s">
        <v>32</v>
      </c>
      <c r="J2594" s="41">
        <f ca="1">ROUNDDOWN(表3[[#This Row],[日期]]-TODAY(),1)</f>
        <v>-108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1740</v>
      </c>
      <c r="E2595" s="39">
        <v>43669</v>
      </c>
      <c r="F2595" s="40" t="s">
        <v>1767</v>
      </c>
      <c r="G2595" s="12"/>
      <c r="H2595" s="12"/>
      <c r="J2595" s="41">
        <f ca="1">ROUNDDOWN(表3[[#This Row],[日期]]-TODAY(),1)</f>
        <v>-108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1578</v>
      </c>
      <c r="E2596" s="39">
        <v>43669</v>
      </c>
      <c r="F2596" s="40" t="s">
        <v>1767</v>
      </c>
      <c r="G2596" s="12"/>
      <c r="H2596" s="12"/>
      <c r="J2596" s="41">
        <f ca="1">ROUNDDOWN(表3[[#This Row],[日期]]-TODAY(),1)</f>
        <v>-108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1742</v>
      </c>
      <c r="E2597" s="39">
        <v>43669</v>
      </c>
      <c r="F2597" s="40" t="s">
        <v>1767</v>
      </c>
      <c r="G2597" s="12"/>
      <c r="H2597" s="12"/>
      <c r="J2597" s="41">
        <f ca="1">ROUNDDOWN(表3[[#This Row],[日期]]-TODAY(),1)</f>
        <v>-108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1744</v>
      </c>
      <c r="E2598" s="39">
        <v>43669</v>
      </c>
      <c r="F2598" s="40" t="s">
        <v>1767</v>
      </c>
      <c r="G2598" s="12"/>
      <c r="H2598" s="12"/>
      <c r="J2598" s="41">
        <f ca="1">ROUNDDOWN(表3[[#This Row],[日期]]-TODAY(),1)</f>
        <v>-108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1746</v>
      </c>
      <c r="E2599" s="39">
        <v>43669</v>
      </c>
      <c r="F2599" s="40" t="s">
        <v>1767</v>
      </c>
      <c r="G2599" s="12"/>
      <c r="H2599" s="12"/>
      <c r="J2599" s="41">
        <f ca="1">ROUNDDOWN(表3[[#This Row],[日期]]-TODAY(),1)</f>
        <v>-108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1748</v>
      </c>
      <c r="E2600" s="39">
        <v>43669</v>
      </c>
      <c r="F2600" s="40" t="s">
        <v>1767</v>
      </c>
      <c r="G2600" s="12"/>
      <c r="H2600" s="12"/>
      <c r="J2600" s="41">
        <f ca="1">ROUNDDOWN(表3[[#This Row],[日期]]-TODAY(),1)</f>
        <v>-108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1750</v>
      </c>
      <c r="E2601" s="39">
        <v>43669</v>
      </c>
      <c r="F2601" s="40" t="s">
        <v>1767</v>
      </c>
      <c r="G2601" s="12"/>
      <c r="H2601" s="12"/>
      <c r="J2601" s="41">
        <f ca="1">ROUNDDOWN(表3[[#This Row],[日期]]-TODAY(),1)</f>
        <v>-108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929</v>
      </c>
      <c r="E2602" s="39">
        <v>43669</v>
      </c>
      <c r="F2602" s="40" t="s">
        <v>1767</v>
      </c>
      <c r="G2602" s="12"/>
      <c r="H2602" s="12"/>
      <c r="I2602" s="4" t="s">
        <v>34</v>
      </c>
      <c r="J2602" s="41">
        <f ca="1">ROUNDDOWN(表3[[#This Row],[日期]]-TODAY(),1)</f>
        <v>-108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1752</v>
      </c>
      <c r="E2603" s="39">
        <v>43669</v>
      </c>
      <c r="F2603" s="40" t="s">
        <v>1767</v>
      </c>
      <c r="G2603" s="12"/>
      <c r="H2603" s="12"/>
      <c r="J2603" s="41">
        <f ca="1">ROUNDDOWN(表3[[#This Row],[日期]]-TODAY(),1)</f>
        <v>-108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1767</v>
      </c>
      <c r="G2604" s="12"/>
      <c r="H2604" s="12"/>
      <c r="J2604" s="41">
        <f ca="1">ROUNDDOWN(表3[[#This Row],[日期]]-TODAY(),1)</f>
        <v>-108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930</v>
      </c>
      <c r="E2605" s="39">
        <v>43669</v>
      </c>
      <c r="F2605" s="40" t="s">
        <v>1767</v>
      </c>
      <c r="G2605" s="12"/>
      <c r="H2605" s="12"/>
      <c r="I2605" s="4" t="s">
        <v>40</v>
      </c>
      <c r="J2605" s="41">
        <f ca="1">ROUNDDOWN(表3[[#This Row],[日期]]-TODAY(),1)</f>
        <v>-108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1767</v>
      </c>
      <c r="G2606" s="12"/>
      <c r="H2606" s="12"/>
      <c r="I2606" s="4" t="s">
        <v>192</v>
      </c>
      <c r="J2606" s="41">
        <f ca="1">ROUNDDOWN(表3[[#This Row],[日期]]-TODAY(),1)</f>
        <v>-108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931</v>
      </c>
      <c r="E2607" s="39">
        <v>43669</v>
      </c>
      <c r="F2607" s="40" t="s">
        <v>1767</v>
      </c>
      <c r="G2607" s="12"/>
      <c r="H2607" s="12"/>
      <c r="J2607" s="41">
        <f ca="1">ROUNDDOWN(表3[[#This Row],[日期]]-TODAY(),1)</f>
        <v>-108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759</v>
      </c>
      <c r="E2608" s="39">
        <v>43669</v>
      </c>
      <c r="F2608" s="40" t="s">
        <v>1767</v>
      </c>
      <c r="G2608" s="12"/>
      <c r="H2608" s="12"/>
      <c r="J2608" s="41">
        <f ca="1">ROUNDDOWN(表3[[#This Row],[日期]]-TODAY(),1)</f>
        <v>-108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1754</v>
      </c>
      <c r="E2609" s="39">
        <v>43669</v>
      </c>
      <c r="F2609" s="40" t="s">
        <v>1767</v>
      </c>
      <c r="G2609" s="12"/>
      <c r="H2609" s="12"/>
      <c r="J2609" s="41">
        <f ca="1">ROUNDDOWN(表3[[#This Row],[日期]]-TODAY(),1)</f>
        <v>-108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1767</v>
      </c>
      <c r="G2610" s="12"/>
      <c r="H2610" s="12"/>
      <c r="J2610" s="41">
        <f ca="1">ROUNDDOWN(表3[[#This Row],[日期]]-TODAY(),1)</f>
        <v>-108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1767</v>
      </c>
      <c r="G2611" s="12"/>
      <c r="H2611" s="12"/>
      <c r="J2611" s="41">
        <f ca="1">ROUNDDOWN(表3[[#This Row],[日期]]-TODAY(),1)</f>
        <v>-108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1767</v>
      </c>
      <c r="G2612" s="12"/>
      <c r="H2612" s="12"/>
      <c r="I2612" s="4" t="s">
        <v>40</v>
      </c>
      <c r="J2612" s="41">
        <f ca="1">ROUNDDOWN(表3[[#This Row],[日期]]-TODAY(),1)</f>
        <v>-108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1767</v>
      </c>
      <c r="G2613" s="12"/>
      <c r="H2613" s="12"/>
      <c r="J2613" s="41">
        <f ca="1">ROUNDDOWN(表3[[#This Row],[日期]]-TODAY(),1)</f>
        <v>-108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1767</v>
      </c>
      <c r="G2614" s="12"/>
      <c r="H2614" s="12"/>
      <c r="I2614" s="4" t="s">
        <v>61</v>
      </c>
      <c r="J2614" s="41">
        <f ca="1">ROUNDDOWN(表3[[#This Row],[日期]]-TODAY(),1)</f>
        <v>-108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1767</v>
      </c>
      <c r="G2615" s="12"/>
      <c r="H2615" s="12"/>
      <c r="J2615" s="41">
        <f ca="1">ROUNDDOWN(表3[[#This Row],[日期]]-TODAY(),1)</f>
        <v>-108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932</v>
      </c>
      <c r="E2616" s="39">
        <v>43669</v>
      </c>
      <c r="F2616" s="40" t="s">
        <v>1767</v>
      </c>
      <c r="G2616" s="12"/>
      <c r="H2616" s="12"/>
      <c r="I2616" s="4" t="s">
        <v>30</v>
      </c>
      <c r="J2616" s="41">
        <f ca="1">ROUNDDOWN(表3[[#This Row],[日期]]-TODAY(),1)</f>
        <v>-108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933</v>
      </c>
      <c r="E2617" s="39">
        <v>43669</v>
      </c>
      <c r="F2617" s="40" t="s">
        <v>1767</v>
      </c>
      <c r="G2617" s="12"/>
      <c r="H2617" s="12"/>
      <c r="I2617" s="4" t="s">
        <v>40</v>
      </c>
      <c r="J2617" s="41">
        <f ca="1">ROUNDDOWN(表3[[#This Row],[日期]]-TODAY(),1)</f>
        <v>-108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1071</v>
      </c>
      <c r="E2618" s="39">
        <v>43669</v>
      </c>
      <c r="F2618" s="40" t="s">
        <v>1767</v>
      </c>
      <c r="G2618" s="12"/>
      <c r="H2618" s="12"/>
      <c r="J2618" s="41">
        <f ca="1">ROUNDDOWN(表3[[#This Row],[日期]]-TODAY(),1)</f>
        <v>-108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1767</v>
      </c>
      <c r="G2619" s="12"/>
      <c r="H2619" s="12"/>
      <c r="I2619" s="4" t="s">
        <v>68</v>
      </c>
      <c r="J2619" s="41">
        <f ca="1">ROUNDDOWN(表3[[#This Row],[日期]]-TODAY(),1)</f>
        <v>-108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1767</v>
      </c>
      <c r="G2620" s="12"/>
      <c r="H2620" s="12"/>
      <c r="J2620" s="41">
        <f ca="1">ROUNDDOWN(表3[[#This Row],[日期]]-TODAY(),1)</f>
        <v>-108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1072</v>
      </c>
      <c r="E2621" s="39">
        <v>43669</v>
      </c>
      <c r="F2621" s="40" t="s">
        <v>1767</v>
      </c>
      <c r="G2621" s="12"/>
      <c r="H2621" s="12"/>
      <c r="J2621" s="41">
        <f ca="1">ROUNDDOWN(表3[[#This Row],[日期]]-TODAY(),1)</f>
        <v>-108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1767</v>
      </c>
      <c r="G2622" s="12"/>
      <c r="H2622" s="12"/>
      <c r="J2622" s="41">
        <f ca="1">ROUNDDOWN(表3[[#This Row],[日期]]-TODAY(),1)</f>
        <v>-108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1767</v>
      </c>
      <c r="G2623" s="12"/>
      <c r="H2623" s="12"/>
      <c r="J2623" s="41">
        <f ca="1">ROUNDDOWN(表3[[#This Row],[日期]]-TODAY(),1)</f>
        <v>-108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1767</v>
      </c>
      <c r="G2624" s="12"/>
      <c r="H2624" s="12"/>
      <c r="J2624" s="41">
        <f ca="1">ROUNDDOWN(表3[[#This Row],[日期]]-TODAY(),1)</f>
        <v>-108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1767</v>
      </c>
      <c r="G2625" s="12"/>
      <c r="H2625" s="12"/>
      <c r="J2625" s="41">
        <f ca="1">ROUNDDOWN(表3[[#This Row],[日期]]-TODAY(),1)</f>
        <v>-108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934</v>
      </c>
      <c r="E2626" s="39">
        <v>43669</v>
      </c>
      <c r="F2626" s="40" t="s">
        <v>1767</v>
      </c>
      <c r="G2626" s="12"/>
      <c r="H2626" s="12"/>
      <c r="J2626" s="41">
        <f ca="1">ROUNDDOWN(表3[[#This Row],[日期]]-TODAY(),1)</f>
        <v>-108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305</v>
      </c>
      <c r="E2627" s="39">
        <v>43669</v>
      </c>
      <c r="F2627" s="40" t="s">
        <v>1767</v>
      </c>
      <c r="G2627" s="12"/>
      <c r="H2627" s="12"/>
      <c r="J2627" s="41">
        <f ca="1">ROUNDDOWN(表3[[#This Row],[日期]]-TODAY(),1)</f>
        <v>-108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1580</v>
      </c>
      <c r="E2628" s="39">
        <v>43669</v>
      </c>
      <c r="F2628" s="40" t="s">
        <v>1767</v>
      </c>
      <c r="G2628" s="12"/>
      <c r="H2628" s="12"/>
      <c r="I2628" s="4" t="s">
        <v>126</v>
      </c>
      <c r="J2628" s="41">
        <f ca="1">ROUNDDOWN(表3[[#This Row],[日期]]-TODAY(),1)</f>
        <v>-108</v>
      </c>
    </row>
    <row r="2629" spans="1:10" hidden="1" x14ac:dyDescent="0.2">
      <c r="A2629" s="23" t="s">
        <v>1372</v>
      </c>
      <c r="B2629" s="25">
        <v>43681</v>
      </c>
      <c r="C2629" s="26">
        <v>1</v>
      </c>
      <c r="D2629" s="7" t="s">
        <v>1378</v>
      </c>
      <c r="E2629" s="27">
        <v>43655</v>
      </c>
      <c r="F2629" s="28" t="s">
        <v>1381</v>
      </c>
      <c r="G2629" s="26"/>
      <c r="H2629" s="26"/>
      <c r="I2629" s="23"/>
      <c r="J2629" s="29">
        <f ca="1">ROUNDDOWN(表3[[#This Row],[日期]]-TODAY(),1)</f>
        <v>-122</v>
      </c>
    </row>
    <row r="2630" spans="1:10" hidden="1" x14ac:dyDescent="0.2">
      <c r="A2630" s="23" t="s">
        <v>1372</v>
      </c>
      <c r="B2630" s="25">
        <v>43681</v>
      </c>
      <c r="C2630" s="26">
        <v>2</v>
      </c>
      <c r="D2630" s="7" t="s">
        <v>1380</v>
      </c>
      <c r="E2630" s="27">
        <v>43657</v>
      </c>
      <c r="F2630" s="28" t="s">
        <v>1381</v>
      </c>
      <c r="G2630" s="26"/>
      <c r="H2630" s="26"/>
      <c r="I2630" s="23"/>
      <c r="J2630" s="29">
        <f ca="1">ROUNDDOWN(表3[[#This Row],[日期]]-TODAY(),1)</f>
        <v>-120</v>
      </c>
    </row>
    <row r="2631" spans="1:10" hidden="1" x14ac:dyDescent="0.2">
      <c r="A2631" s="23" t="s">
        <v>1372</v>
      </c>
      <c r="B2631" s="25">
        <v>43681</v>
      </c>
      <c r="C2631" s="26">
        <v>3</v>
      </c>
      <c r="D2631" s="7" t="s">
        <v>1382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-120</v>
      </c>
    </row>
    <row r="2632" spans="1:10" hidden="1" x14ac:dyDescent="0.2">
      <c r="A2632" s="23" t="s">
        <v>1372</v>
      </c>
      <c r="B2632" s="25">
        <v>43681</v>
      </c>
      <c r="C2632" s="26">
        <v>4</v>
      </c>
      <c r="D2632" s="7" t="s">
        <v>1383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-120</v>
      </c>
    </row>
    <row r="2633" spans="1:10" hidden="1" x14ac:dyDescent="0.2">
      <c r="A2633" s="4" t="s">
        <v>1371</v>
      </c>
      <c r="B2633" s="25">
        <v>43681</v>
      </c>
      <c r="C2633" s="12">
        <v>5</v>
      </c>
      <c r="D2633" s="38" t="s">
        <v>1653</v>
      </c>
      <c r="E2633" s="39">
        <v>43678</v>
      </c>
      <c r="F2633" s="40" t="s">
        <v>2023</v>
      </c>
      <c r="G2633" s="12"/>
      <c r="H2633" s="12"/>
      <c r="J2633" s="41">
        <f ca="1">ROUNDDOWN(表3[[#This Row],[日期]]-TODAY(),1)</f>
        <v>-99</v>
      </c>
    </row>
    <row r="2634" spans="1:10" hidden="1" x14ac:dyDescent="0.2">
      <c r="A2634" s="4" t="s">
        <v>1371</v>
      </c>
      <c r="B2634" s="37">
        <v>43681</v>
      </c>
      <c r="C2634" s="12">
        <v>5</v>
      </c>
      <c r="D2634" s="38" t="s">
        <v>1653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-100</v>
      </c>
    </row>
    <row r="2635" spans="1:10" hidden="1" x14ac:dyDescent="0.2">
      <c r="A2635" s="4" t="s">
        <v>1371</v>
      </c>
      <c r="B2635" s="25">
        <v>43681</v>
      </c>
      <c r="C2635" s="12">
        <v>6</v>
      </c>
      <c r="D2635" s="38" t="s">
        <v>1655</v>
      </c>
      <c r="E2635" s="39">
        <v>43678</v>
      </c>
      <c r="F2635" s="40" t="s">
        <v>2023</v>
      </c>
      <c r="G2635" s="12"/>
      <c r="H2635" s="12"/>
      <c r="J2635" s="41">
        <f ca="1">ROUNDDOWN(表3[[#This Row],[日期]]-TODAY(),1)</f>
        <v>-99</v>
      </c>
    </row>
    <row r="2636" spans="1:10" hidden="1" x14ac:dyDescent="0.2">
      <c r="A2636" s="4" t="s">
        <v>1371</v>
      </c>
      <c r="B2636" s="37">
        <v>43681</v>
      </c>
      <c r="C2636" s="12">
        <v>6</v>
      </c>
      <c r="D2636" s="38" t="s">
        <v>2011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-100</v>
      </c>
    </row>
    <row r="2637" spans="1:10" hidden="1" x14ac:dyDescent="0.2">
      <c r="A2637" s="4" t="s">
        <v>1371</v>
      </c>
      <c r="B2637" s="37">
        <v>43681</v>
      </c>
      <c r="C2637" s="12">
        <v>6.1</v>
      </c>
      <c r="D2637" s="38" t="s">
        <v>2092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-95</v>
      </c>
    </row>
    <row r="2638" spans="1:10" hidden="1" x14ac:dyDescent="0.2">
      <c r="A2638" s="4" t="s">
        <v>1371</v>
      </c>
      <c r="B2638" s="25">
        <v>43681</v>
      </c>
      <c r="C2638" s="12">
        <v>7</v>
      </c>
      <c r="D2638" s="38" t="s">
        <v>1498</v>
      </c>
      <c r="E2638" s="39">
        <v>43678</v>
      </c>
      <c r="F2638" s="40" t="s">
        <v>2023</v>
      </c>
      <c r="G2638" s="12"/>
      <c r="H2638" s="12"/>
      <c r="J2638" s="41">
        <f ca="1">ROUNDDOWN(表3[[#This Row],[日期]]-TODAY(),1)</f>
        <v>-99</v>
      </c>
    </row>
    <row r="2639" spans="1:10" hidden="1" x14ac:dyDescent="0.2">
      <c r="A2639" s="4" t="s">
        <v>1371</v>
      </c>
      <c r="B2639" s="37">
        <v>43681</v>
      </c>
      <c r="C2639" s="12">
        <v>7</v>
      </c>
      <c r="D2639" s="38" t="s">
        <v>1655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-99</v>
      </c>
    </row>
    <row r="2640" spans="1:10" hidden="1" x14ac:dyDescent="0.2">
      <c r="A2640" s="4" t="s">
        <v>1371</v>
      </c>
      <c r="B2640" s="25">
        <v>43681</v>
      </c>
      <c r="C2640" s="12">
        <v>8</v>
      </c>
      <c r="D2640" s="38" t="s">
        <v>1657</v>
      </c>
      <c r="E2640" s="39">
        <v>43678</v>
      </c>
      <c r="F2640" s="40" t="s">
        <v>2023</v>
      </c>
      <c r="G2640" s="12"/>
      <c r="H2640" s="12"/>
      <c r="J2640" s="41">
        <f ca="1">ROUNDDOWN(表3[[#This Row],[日期]]-TODAY(),1)</f>
        <v>-99</v>
      </c>
    </row>
    <row r="2641" spans="1:10" hidden="1" x14ac:dyDescent="0.2">
      <c r="A2641" s="4" t="s">
        <v>1371</v>
      </c>
      <c r="B2641" s="37">
        <v>43681</v>
      </c>
      <c r="C2641" s="12">
        <v>8</v>
      </c>
      <c r="D2641" s="38" t="s">
        <v>2012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-99</v>
      </c>
    </row>
    <row r="2642" spans="1:10" hidden="1" x14ac:dyDescent="0.2">
      <c r="A2642" s="23" t="s">
        <v>1372</v>
      </c>
      <c r="B2642" s="25">
        <v>43681</v>
      </c>
      <c r="C2642" s="26">
        <v>9</v>
      </c>
      <c r="D2642" s="7" t="s">
        <v>1809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-107</v>
      </c>
    </row>
    <row r="2643" spans="1:10" hidden="1" x14ac:dyDescent="0.2">
      <c r="A2643" s="4" t="s">
        <v>1371</v>
      </c>
      <c r="B2643" s="37">
        <v>43681</v>
      </c>
      <c r="C2643" s="12">
        <v>9</v>
      </c>
      <c r="D2643" s="38" t="s">
        <v>2013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-99</v>
      </c>
    </row>
    <row r="2644" spans="1:10" hidden="1" x14ac:dyDescent="0.2">
      <c r="A2644" s="23" t="s">
        <v>1372</v>
      </c>
      <c r="B2644" s="25">
        <v>43681</v>
      </c>
      <c r="C2644" s="12">
        <v>10</v>
      </c>
      <c r="D2644" s="38" t="s">
        <v>1810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-107</v>
      </c>
    </row>
    <row r="2645" spans="1:10" hidden="1" x14ac:dyDescent="0.2">
      <c r="A2645" s="4" t="s">
        <v>1371</v>
      </c>
      <c r="B2645" s="37">
        <v>43681</v>
      </c>
      <c r="C2645" s="12">
        <v>10</v>
      </c>
      <c r="D2645" s="38" t="s">
        <v>2014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-99</v>
      </c>
    </row>
    <row r="2646" spans="1:10" hidden="1" x14ac:dyDescent="0.2">
      <c r="A2646" s="4" t="s">
        <v>1371</v>
      </c>
      <c r="B2646" s="37">
        <v>43681</v>
      </c>
      <c r="C2646" s="12">
        <v>11</v>
      </c>
      <c r="D2646" s="38" t="s">
        <v>2015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-99</v>
      </c>
    </row>
    <row r="2647" spans="1:10" hidden="1" x14ac:dyDescent="0.2">
      <c r="A2647" s="4" t="s">
        <v>1371</v>
      </c>
      <c r="B2647" s="37">
        <v>43681</v>
      </c>
      <c r="C2647" s="12">
        <v>12</v>
      </c>
      <c r="D2647" s="38" t="s">
        <v>2016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-99</v>
      </c>
    </row>
    <row r="2648" spans="1:10" hidden="1" x14ac:dyDescent="0.2">
      <c r="A2648" s="4" t="s">
        <v>1371</v>
      </c>
      <c r="B2648" s="37">
        <v>43681</v>
      </c>
      <c r="C2648" s="12">
        <v>13</v>
      </c>
      <c r="D2648" s="38" t="s">
        <v>2091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-99</v>
      </c>
    </row>
    <row r="2649" spans="1:10" hidden="1" x14ac:dyDescent="0.2">
      <c r="A2649" s="4" t="s">
        <v>1371</v>
      </c>
      <c r="B2649" s="37">
        <v>43681</v>
      </c>
      <c r="C2649" s="12">
        <v>14</v>
      </c>
      <c r="D2649" s="38" t="s">
        <v>2018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-99</v>
      </c>
    </row>
    <row r="2650" spans="1:10" hidden="1" x14ac:dyDescent="0.2">
      <c r="A2650" s="4" t="s">
        <v>1371</v>
      </c>
      <c r="B2650" s="37">
        <v>43681</v>
      </c>
      <c r="C2650" s="12">
        <v>15</v>
      </c>
      <c r="D2650" s="38" t="s">
        <v>269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-98</v>
      </c>
    </row>
    <row r="2651" spans="1:10" hidden="1" x14ac:dyDescent="0.2">
      <c r="A2651" s="4" t="s">
        <v>1371</v>
      </c>
      <c r="B2651" s="37">
        <v>43681</v>
      </c>
      <c r="C2651" s="12">
        <v>16</v>
      </c>
      <c r="D2651" s="38" t="s">
        <v>271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-98</v>
      </c>
    </row>
    <row r="2652" spans="1:10" hidden="1" x14ac:dyDescent="0.2">
      <c r="A2652" s="4" t="s">
        <v>1371</v>
      </c>
      <c r="B2652" s="37">
        <v>43681</v>
      </c>
      <c r="C2652" s="12">
        <v>17</v>
      </c>
      <c r="D2652" s="38" t="s">
        <v>273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-96</v>
      </c>
    </row>
    <row r="2653" spans="1:10" hidden="1" x14ac:dyDescent="0.2">
      <c r="A2653" s="4" t="s">
        <v>1371</v>
      </c>
      <c r="B2653" s="37">
        <v>43681</v>
      </c>
      <c r="C2653" s="12">
        <v>18</v>
      </c>
      <c r="D2653" s="38" t="s">
        <v>275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-95</v>
      </c>
    </row>
    <row r="2654" spans="1:10" hidden="1" x14ac:dyDescent="0.2">
      <c r="A2654" s="4" t="s">
        <v>1371</v>
      </c>
      <c r="B2654" s="37">
        <v>43681</v>
      </c>
      <c r="C2654" s="12">
        <v>19</v>
      </c>
      <c r="D2654" s="38" t="s">
        <v>305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-94</v>
      </c>
    </row>
    <row r="2655" spans="1:10" hidden="1" x14ac:dyDescent="0.2">
      <c r="A2655" s="4" t="s">
        <v>1371</v>
      </c>
      <c r="B2655" s="37">
        <v>43681</v>
      </c>
      <c r="C2655" s="12">
        <v>20</v>
      </c>
      <c r="D2655" s="38" t="s">
        <v>2019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-94</v>
      </c>
    </row>
    <row r="2656" spans="1:10" hidden="1" x14ac:dyDescent="0.2">
      <c r="A2656" s="4" t="s">
        <v>1371</v>
      </c>
      <c r="B2656" s="37">
        <v>43681</v>
      </c>
      <c r="C2656" s="12">
        <v>21</v>
      </c>
      <c r="D2656" s="38" t="s">
        <v>1990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-87</v>
      </c>
    </row>
    <row r="2657" spans="1:10" hidden="1" x14ac:dyDescent="0.2">
      <c r="A2657" s="4" t="s">
        <v>1371</v>
      </c>
      <c r="B2657" s="37">
        <v>43681</v>
      </c>
      <c r="C2657" s="12">
        <v>22</v>
      </c>
      <c r="D2657" s="38" t="s">
        <v>2090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-87</v>
      </c>
    </row>
    <row r="2658" spans="1:10" hidden="1" x14ac:dyDescent="0.2">
      <c r="A2658" s="4" t="s">
        <v>2831</v>
      </c>
      <c r="B2658" s="37">
        <v>43681</v>
      </c>
      <c r="C2658" s="12">
        <v>1</v>
      </c>
      <c r="D2658" s="38" t="s">
        <v>507</v>
      </c>
      <c r="E2658" s="39">
        <v>43675</v>
      </c>
      <c r="F2658" s="40" t="s">
        <v>1915</v>
      </c>
      <c r="G2658" s="12"/>
      <c r="H2658" s="12"/>
      <c r="J2658" s="41">
        <f ca="1">ROUNDDOWN(表3[[#This Row],[日期]]-TODAY(),1)</f>
        <v>-102</v>
      </c>
    </row>
    <row r="2659" spans="1:10" hidden="1" x14ac:dyDescent="0.2">
      <c r="A2659" s="4" t="s">
        <v>2831</v>
      </c>
      <c r="B2659" s="37">
        <v>43681</v>
      </c>
      <c r="C2659" s="12">
        <v>2</v>
      </c>
      <c r="D2659" s="38" t="s">
        <v>1518</v>
      </c>
      <c r="E2659" s="39">
        <v>43675</v>
      </c>
      <c r="F2659" s="40" t="s">
        <v>1915</v>
      </c>
      <c r="G2659" s="12"/>
      <c r="H2659" s="12"/>
      <c r="I2659" s="4" t="s">
        <v>1521</v>
      </c>
      <c r="J2659" s="41">
        <f ca="1">ROUNDDOWN(表3[[#This Row],[日期]]-TODAY(),1)</f>
        <v>-102</v>
      </c>
    </row>
    <row r="2660" spans="1:10" hidden="1" x14ac:dyDescent="0.2">
      <c r="A2660" s="4" t="s">
        <v>2831</v>
      </c>
      <c r="B2660" s="37">
        <v>43681</v>
      </c>
      <c r="C2660" s="12">
        <v>3</v>
      </c>
      <c r="D2660" s="38" t="s">
        <v>1779</v>
      </c>
      <c r="E2660" s="39">
        <v>43675</v>
      </c>
      <c r="F2660" s="40" t="s">
        <v>1915</v>
      </c>
      <c r="G2660" s="12"/>
      <c r="H2660" s="12"/>
      <c r="I2660" s="4" t="s">
        <v>1523</v>
      </c>
      <c r="J2660" s="41">
        <f ca="1">ROUNDDOWN(表3[[#This Row],[日期]]-TODAY(),1)</f>
        <v>-102</v>
      </c>
    </row>
    <row r="2661" spans="1:10" hidden="1" x14ac:dyDescent="0.2">
      <c r="A2661" s="4" t="s">
        <v>2831</v>
      </c>
      <c r="B2661" s="37">
        <v>43681</v>
      </c>
      <c r="C2661" s="12">
        <v>4</v>
      </c>
      <c r="D2661" s="38" t="s">
        <v>1526</v>
      </c>
      <c r="E2661" s="39">
        <v>43675</v>
      </c>
      <c r="F2661" s="40" t="s">
        <v>1915</v>
      </c>
      <c r="G2661" s="12"/>
      <c r="H2661" s="12"/>
      <c r="I2661" s="4" t="s">
        <v>1528</v>
      </c>
      <c r="J2661" s="41">
        <f ca="1">ROUNDDOWN(表3[[#This Row],[日期]]-TODAY(),1)</f>
        <v>-102</v>
      </c>
    </row>
    <row r="2662" spans="1:10" hidden="1" x14ac:dyDescent="0.2">
      <c r="A2662" s="4" t="s">
        <v>2831</v>
      </c>
      <c r="B2662" s="37">
        <v>43681</v>
      </c>
      <c r="C2662" s="12">
        <v>5</v>
      </c>
      <c r="D2662" s="38" t="s">
        <v>1703</v>
      </c>
      <c r="E2662" s="39">
        <v>43675</v>
      </c>
      <c r="F2662" s="40" t="s">
        <v>1915</v>
      </c>
      <c r="G2662" s="12"/>
      <c r="H2662" s="12"/>
      <c r="J2662" s="41">
        <f ca="1">ROUNDDOWN(表3[[#This Row],[日期]]-TODAY(),1)</f>
        <v>-102</v>
      </c>
    </row>
    <row r="2663" spans="1:10" hidden="1" x14ac:dyDescent="0.2">
      <c r="A2663" s="4" t="s">
        <v>2831</v>
      </c>
      <c r="B2663" s="37">
        <v>43681</v>
      </c>
      <c r="C2663" s="12">
        <v>6</v>
      </c>
      <c r="D2663" s="38" t="s">
        <v>1533</v>
      </c>
      <c r="E2663" s="39">
        <v>43675</v>
      </c>
      <c r="F2663" s="40" t="s">
        <v>1915</v>
      </c>
      <c r="G2663" s="12"/>
      <c r="H2663" s="12"/>
      <c r="J2663" s="41">
        <f ca="1">ROUNDDOWN(表3[[#This Row],[日期]]-TODAY(),1)</f>
        <v>-102</v>
      </c>
    </row>
    <row r="2664" spans="1:10" hidden="1" x14ac:dyDescent="0.2">
      <c r="A2664" s="4" t="s">
        <v>2831</v>
      </c>
      <c r="B2664" s="37">
        <v>43681</v>
      </c>
      <c r="C2664" s="12">
        <v>7</v>
      </c>
      <c r="D2664" s="38" t="s">
        <v>1535</v>
      </c>
      <c r="E2664" s="39">
        <v>43676</v>
      </c>
      <c r="F2664" s="40" t="s">
        <v>1184</v>
      </c>
      <c r="G2664" s="12"/>
      <c r="H2664" s="12"/>
      <c r="I2664" s="4" t="s">
        <v>1537</v>
      </c>
      <c r="J2664" s="41">
        <f ca="1">ROUNDDOWN(表3[[#This Row],[日期]]-TODAY(),1)</f>
        <v>-101</v>
      </c>
    </row>
    <row r="2665" spans="1:10" hidden="1" x14ac:dyDescent="0.2">
      <c r="A2665" s="4" t="s">
        <v>2831</v>
      </c>
      <c r="B2665" s="37">
        <v>43681</v>
      </c>
      <c r="C2665" s="12">
        <v>8</v>
      </c>
      <c r="D2665" s="38" t="s">
        <v>1531</v>
      </c>
      <c r="E2665" s="39">
        <v>43676</v>
      </c>
      <c r="F2665" s="40" t="s">
        <v>1184</v>
      </c>
      <c r="G2665" s="12"/>
      <c r="H2665" s="12"/>
      <c r="J2665" s="41">
        <f ca="1">ROUNDDOWN(表3[[#This Row],[日期]]-TODAY(),1)</f>
        <v>-101</v>
      </c>
    </row>
    <row r="2666" spans="1:10" hidden="1" x14ac:dyDescent="0.2">
      <c r="A2666" s="4" t="s">
        <v>2831</v>
      </c>
      <c r="B2666" s="37">
        <v>43681</v>
      </c>
      <c r="C2666" s="12">
        <v>9</v>
      </c>
      <c r="D2666" s="38" t="s">
        <v>1539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-101</v>
      </c>
    </row>
    <row r="2667" spans="1:10" hidden="1" x14ac:dyDescent="0.2">
      <c r="A2667" s="4" t="s">
        <v>2831</v>
      </c>
      <c r="B2667" s="37">
        <v>43681</v>
      </c>
      <c r="C2667" s="12">
        <v>10</v>
      </c>
      <c r="D2667" s="38" t="s">
        <v>1704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-101</v>
      </c>
    </row>
    <row r="2668" spans="1:10" hidden="1" x14ac:dyDescent="0.2">
      <c r="A2668" s="4" t="s">
        <v>2831</v>
      </c>
      <c r="B2668" s="37">
        <v>43681</v>
      </c>
      <c r="C2668" s="12">
        <v>10.1</v>
      </c>
      <c r="D2668" s="38" t="s">
        <v>2001</v>
      </c>
      <c r="E2668" s="39">
        <v>43677</v>
      </c>
      <c r="F2668" s="40" t="s">
        <v>2002</v>
      </c>
      <c r="G2668" s="12"/>
      <c r="H2668" s="12"/>
      <c r="J2668" s="41">
        <f ca="1">ROUNDDOWN(表3[[#This Row],[日期]]-TODAY(),1)</f>
        <v>-100</v>
      </c>
    </row>
    <row r="2669" spans="1:10" hidden="1" x14ac:dyDescent="0.2">
      <c r="A2669" s="4" t="s">
        <v>2831</v>
      </c>
      <c r="B2669" s="37">
        <v>43681</v>
      </c>
      <c r="C2669" s="12">
        <v>10.199999999999999</v>
      </c>
      <c r="D2669" s="38" t="s">
        <v>2003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-100</v>
      </c>
    </row>
    <row r="2670" spans="1:10" hidden="1" x14ac:dyDescent="0.2">
      <c r="A2670" s="4" t="s">
        <v>2831</v>
      </c>
      <c r="B2670" s="37">
        <v>43681</v>
      </c>
      <c r="C2670" s="12">
        <v>11</v>
      </c>
      <c r="D2670" s="38" t="s">
        <v>1878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-99</v>
      </c>
    </row>
    <row r="2671" spans="1:10" hidden="1" x14ac:dyDescent="0.2">
      <c r="A2671" s="4" t="s">
        <v>2831</v>
      </c>
      <c r="B2671" s="37">
        <v>43681</v>
      </c>
      <c r="C2671" s="12">
        <v>12</v>
      </c>
      <c r="D2671" s="38" t="s">
        <v>1541</v>
      </c>
      <c r="E2671" s="39">
        <v>43679</v>
      </c>
      <c r="F2671" s="40" t="s">
        <v>242</v>
      </c>
      <c r="G2671" s="12">
        <v>1</v>
      </c>
      <c r="H2671" s="12"/>
      <c r="I2671" s="4" t="s">
        <v>529</v>
      </c>
      <c r="J2671" s="41">
        <f ca="1">ROUNDDOWN(表3[[#This Row],[日期]]-TODAY(),1)</f>
        <v>-98</v>
      </c>
    </row>
    <row r="2672" spans="1:10" hidden="1" x14ac:dyDescent="0.2">
      <c r="A2672" s="4" t="s">
        <v>2831</v>
      </c>
      <c r="B2672" s="37">
        <v>43681</v>
      </c>
      <c r="C2672" s="12">
        <v>13</v>
      </c>
      <c r="D2672" s="38" t="s">
        <v>1543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-98</v>
      </c>
    </row>
    <row r="2673" spans="1:10" hidden="1" x14ac:dyDescent="0.2">
      <c r="A2673" s="4" t="s">
        <v>2831</v>
      </c>
      <c r="B2673" s="37">
        <v>43681</v>
      </c>
      <c r="C2673" s="12">
        <v>14</v>
      </c>
      <c r="D2673" s="38" t="s">
        <v>1545</v>
      </c>
      <c r="E2673" s="39">
        <v>43679</v>
      </c>
      <c r="F2673" s="40" t="s">
        <v>242</v>
      </c>
      <c r="G2673" s="12">
        <v>1</v>
      </c>
      <c r="H2673" s="12"/>
      <c r="I2673" s="4" t="s">
        <v>1547</v>
      </c>
      <c r="J2673" s="41">
        <f ca="1">ROUNDDOWN(表3[[#This Row],[日期]]-TODAY(),1)</f>
        <v>-98</v>
      </c>
    </row>
    <row r="2674" spans="1:10" hidden="1" x14ac:dyDescent="0.2">
      <c r="A2674" s="4" t="s">
        <v>2831</v>
      </c>
      <c r="B2674" s="37">
        <v>43681</v>
      </c>
      <c r="C2674" s="12">
        <v>15</v>
      </c>
      <c r="D2674" s="38" t="s">
        <v>1549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-98</v>
      </c>
    </row>
    <row r="2675" spans="1:10" hidden="1" x14ac:dyDescent="0.2">
      <c r="A2675" s="4" t="s">
        <v>2831</v>
      </c>
      <c r="B2675" s="37">
        <v>43681</v>
      </c>
      <c r="C2675" s="12">
        <v>16</v>
      </c>
      <c r="D2675" s="38" t="s">
        <v>1556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-98</v>
      </c>
    </row>
    <row r="2676" spans="1:10" hidden="1" x14ac:dyDescent="0.2">
      <c r="A2676" s="4" t="s">
        <v>2831</v>
      </c>
      <c r="B2676" s="37">
        <v>43681</v>
      </c>
      <c r="C2676" s="12">
        <v>17</v>
      </c>
      <c r="D2676" s="38" t="s">
        <v>1298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-98</v>
      </c>
    </row>
    <row r="2677" spans="1:10" hidden="1" x14ac:dyDescent="0.2">
      <c r="A2677" s="4" t="s">
        <v>2831</v>
      </c>
      <c r="B2677" s="37">
        <v>43681</v>
      </c>
      <c r="C2677" s="12">
        <v>18</v>
      </c>
      <c r="D2677" s="38" t="s">
        <v>1552</v>
      </c>
      <c r="E2677" s="39">
        <v>43679</v>
      </c>
      <c r="F2677" s="40" t="s">
        <v>242</v>
      </c>
      <c r="G2677" s="12">
        <v>1</v>
      </c>
      <c r="H2677" s="12"/>
      <c r="I2677" s="4" t="s">
        <v>1554</v>
      </c>
      <c r="J2677" s="41">
        <f ca="1">ROUNDDOWN(表3[[#This Row],[日期]]-TODAY(),1)</f>
        <v>-98</v>
      </c>
    </row>
    <row r="2678" spans="1:10" hidden="1" x14ac:dyDescent="0.2">
      <c r="A2678" s="4" t="s">
        <v>2831</v>
      </c>
      <c r="B2678" s="37">
        <v>43681</v>
      </c>
      <c r="C2678" s="12">
        <v>19</v>
      </c>
      <c r="D2678" s="38" t="s">
        <v>1558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-98</v>
      </c>
    </row>
    <row r="2679" spans="1:10" hidden="1" x14ac:dyDescent="0.2">
      <c r="A2679" s="4" t="s">
        <v>2831</v>
      </c>
      <c r="B2679" s="37">
        <v>43681</v>
      </c>
      <c r="C2679" s="12">
        <v>20</v>
      </c>
      <c r="D2679" s="38" t="s">
        <v>1560</v>
      </c>
      <c r="E2679" s="39">
        <v>43679</v>
      </c>
      <c r="F2679" s="40" t="s">
        <v>1184</v>
      </c>
      <c r="G2679" s="12">
        <v>1</v>
      </c>
      <c r="H2679" s="12"/>
      <c r="J2679" s="41">
        <f ca="1">ROUNDDOWN(表3[[#This Row],[日期]]-TODAY(),1)</f>
        <v>-98</v>
      </c>
    </row>
    <row r="2680" spans="1:10" hidden="1" x14ac:dyDescent="0.2">
      <c r="A2680" s="4" t="s">
        <v>2831</v>
      </c>
      <c r="B2680" s="37">
        <v>43681</v>
      </c>
      <c r="C2680" s="12">
        <v>21</v>
      </c>
      <c r="D2680" s="38" t="s">
        <v>1562</v>
      </c>
      <c r="E2680" s="39">
        <v>43679</v>
      </c>
      <c r="F2680" s="40" t="s">
        <v>1184</v>
      </c>
      <c r="G2680" s="12">
        <v>1</v>
      </c>
      <c r="H2680" s="12"/>
      <c r="J2680" s="41">
        <f ca="1">ROUNDDOWN(表3[[#This Row],[日期]]-TODAY(),1)</f>
        <v>-98</v>
      </c>
    </row>
    <row r="2681" spans="1:10" hidden="1" x14ac:dyDescent="0.2">
      <c r="A2681" s="4" t="s">
        <v>2831</v>
      </c>
      <c r="B2681" s="37">
        <v>43681</v>
      </c>
      <c r="C2681" s="12">
        <v>22</v>
      </c>
      <c r="D2681" s="38" t="s">
        <v>1564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-98</v>
      </c>
    </row>
    <row r="2682" spans="1:10" hidden="1" x14ac:dyDescent="0.2">
      <c r="A2682" s="4" t="s">
        <v>2831</v>
      </c>
      <c r="B2682" s="37">
        <v>43681</v>
      </c>
      <c r="C2682" s="12">
        <v>23</v>
      </c>
      <c r="D2682" s="38" t="s">
        <v>1566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-98</v>
      </c>
    </row>
    <row r="2683" spans="1:10" hidden="1" x14ac:dyDescent="0.2">
      <c r="A2683" s="4" t="s">
        <v>2831</v>
      </c>
      <c r="B2683" s="37">
        <v>43681</v>
      </c>
      <c r="C2683" s="12">
        <v>24</v>
      </c>
      <c r="D2683" s="38" t="s">
        <v>2109</v>
      </c>
      <c r="E2683" s="39">
        <v>43679</v>
      </c>
      <c r="F2683" s="40" t="s">
        <v>242</v>
      </c>
      <c r="G2683" s="12">
        <v>1</v>
      </c>
      <c r="H2683" s="12"/>
      <c r="I2683" s="4" t="s">
        <v>1528</v>
      </c>
      <c r="J2683" s="41">
        <f ca="1">ROUNDDOWN(表3[[#This Row],[日期]]-TODAY(),1)</f>
        <v>-98</v>
      </c>
    </row>
    <row r="2684" spans="1:10" hidden="1" x14ac:dyDescent="0.2">
      <c r="A2684" s="4" t="s">
        <v>2831</v>
      </c>
      <c r="B2684" s="37">
        <v>43681</v>
      </c>
      <c r="C2684" s="12">
        <v>24.1</v>
      </c>
      <c r="D2684" s="38" t="s">
        <v>2108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-95</v>
      </c>
    </row>
    <row r="2685" spans="1:10" hidden="1" x14ac:dyDescent="0.2">
      <c r="A2685" s="4" t="s">
        <v>2831</v>
      </c>
      <c r="B2685" s="37">
        <v>43681</v>
      </c>
      <c r="C2685" s="12">
        <v>25</v>
      </c>
      <c r="D2685" s="38" t="s">
        <v>305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-95</v>
      </c>
    </row>
    <row r="2686" spans="1:10" hidden="1" x14ac:dyDescent="0.2">
      <c r="A2686" s="4" t="s">
        <v>2831</v>
      </c>
      <c r="B2686" s="37">
        <v>43681</v>
      </c>
      <c r="C2686" s="12">
        <v>26</v>
      </c>
      <c r="D2686" s="38" t="s">
        <v>1572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-95</v>
      </c>
    </row>
    <row r="2687" spans="1:10" hidden="1" x14ac:dyDescent="0.2">
      <c r="A2687" s="4" t="s">
        <v>2831</v>
      </c>
      <c r="B2687" s="37">
        <v>43681</v>
      </c>
      <c r="C2687" s="12">
        <v>27</v>
      </c>
      <c r="D2687" s="38" t="s">
        <v>1570</v>
      </c>
      <c r="E2687" s="39">
        <v>43682</v>
      </c>
      <c r="F2687" s="40" t="s">
        <v>242</v>
      </c>
      <c r="G2687" s="12">
        <v>4</v>
      </c>
      <c r="H2687" s="12"/>
      <c r="I2687" s="4" t="s">
        <v>1528</v>
      </c>
      <c r="J2687" s="41">
        <f ca="1">ROUNDDOWN(表3[[#This Row],[日期]]-TODAY(),1)</f>
        <v>-95</v>
      </c>
    </row>
    <row r="2688" spans="1:10" hidden="1" x14ac:dyDescent="0.2">
      <c r="A2688" s="4" t="s">
        <v>2847</v>
      </c>
      <c r="B2688" s="37">
        <v>43682</v>
      </c>
      <c r="C2688" s="12">
        <v>1</v>
      </c>
      <c r="D2688" s="38" t="s">
        <v>2141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-95</v>
      </c>
    </row>
    <row r="2689" spans="1:10" hidden="1" x14ac:dyDescent="0.2">
      <c r="A2689" s="4" t="s">
        <v>2847</v>
      </c>
      <c r="B2689" s="37">
        <v>43682</v>
      </c>
      <c r="C2689" s="12">
        <v>2</v>
      </c>
      <c r="D2689" s="38" t="s">
        <v>1475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-95</v>
      </c>
    </row>
    <row r="2690" spans="1:10" hidden="1" x14ac:dyDescent="0.2">
      <c r="A2690" s="4" t="s">
        <v>2847</v>
      </c>
      <c r="B2690" s="37">
        <v>43682</v>
      </c>
      <c r="C2690" s="12">
        <v>3</v>
      </c>
      <c r="D2690" s="38" t="s">
        <v>1477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-95</v>
      </c>
    </row>
    <row r="2691" spans="1:10" hidden="1" x14ac:dyDescent="0.2">
      <c r="A2691" s="4" t="s">
        <v>2847</v>
      </c>
      <c r="B2691" s="37">
        <v>43682</v>
      </c>
      <c r="C2691" s="12">
        <v>4</v>
      </c>
      <c r="D2691" s="38" t="s">
        <v>1478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-95</v>
      </c>
    </row>
    <row r="2692" spans="1:10" hidden="1" x14ac:dyDescent="0.2">
      <c r="A2692" s="4" t="s">
        <v>2847</v>
      </c>
      <c r="B2692" s="37">
        <v>43682</v>
      </c>
      <c r="C2692" s="12">
        <v>5</v>
      </c>
      <c r="D2692" s="38" t="s">
        <v>899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-95</v>
      </c>
    </row>
    <row r="2693" spans="1:10" hidden="1" x14ac:dyDescent="0.2">
      <c r="A2693" s="4" t="s">
        <v>2847</v>
      </c>
      <c r="B2693" s="37">
        <v>43682</v>
      </c>
      <c r="C2693" s="12">
        <v>6</v>
      </c>
      <c r="D2693" s="38" t="s">
        <v>1896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-95</v>
      </c>
    </row>
    <row r="2694" spans="1:10" hidden="1" x14ac:dyDescent="0.2">
      <c r="A2694" s="4" t="s">
        <v>2847</v>
      </c>
      <c r="B2694" s="37">
        <v>43682</v>
      </c>
      <c r="C2694" s="12">
        <v>7</v>
      </c>
      <c r="D2694" s="38" t="s">
        <v>738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-95</v>
      </c>
    </row>
    <row r="2695" spans="1:10" hidden="1" x14ac:dyDescent="0.2">
      <c r="A2695" s="4" t="s">
        <v>2847</v>
      </c>
      <c r="B2695" s="37">
        <v>43682</v>
      </c>
      <c r="C2695" s="12">
        <v>8</v>
      </c>
      <c r="D2695" s="38" t="s">
        <v>738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-93</v>
      </c>
    </row>
    <row r="2696" spans="1:10" hidden="1" x14ac:dyDescent="0.2">
      <c r="A2696" s="4" t="s">
        <v>2847</v>
      </c>
      <c r="B2696" s="37">
        <v>43682</v>
      </c>
      <c r="C2696" s="12">
        <v>9</v>
      </c>
      <c r="D2696" s="38" t="s">
        <v>1025</v>
      </c>
      <c r="E2696" s="39">
        <v>43685</v>
      </c>
      <c r="F2696" s="40" t="s">
        <v>242</v>
      </c>
      <c r="G2696" s="12">
        <v>1</v>
      </c>
      <c r="H2696" s="12"/>
      <c r="I2696" s="4" t="s">
        <v>743</v>
      </c>
      <c r="J2696" s="41">
        <f ca="1">ROUNDDOWN(表3[[#This Row],[日期]]-TODAY(),1)</f>
        <v>-92</v>
      </c>
    </row>
    <row r="2697" spans="1:10" hidden="1" x14ac:dyDescent="0.2">
      <c r="A2697" s="4" t="s">
        <v>2847</v>
      </c>
      <c r="B2697" s="37">
        <v>43682</v>
      </c>
      <c r="C2697" s="12">
        <v>10</v>
      </c>
      <c r="D2697" s="38" t="s">
        <v>899</v>
      </c>
      <c r="E2697" s="39">
        <v>43685</v>
      </c>
      <c r="F2697" s="40" t="s">
        <v>242</v>
      </c>
      <c r="G2697" s="12">
        <v>4</v>
      </c>
      <c r="H2697" s="12"/>
      <c r="I2697" s="4" t="s">
        <v>743</v>
      </c>
      <c r="J2697" s="41">
        <f ca="1">ROUNDDOWN(表3[[#This Row],[日期]]-TODAY(),1)</f>
        <v>-92</v>
      </c>
    </row>
    <row r="2698" spans="1:10" hidden="1" x14ac:dyDescent="0.2">
      <c r="A2698" s="4" t="s">
        <v>2847</v>
      </c>
      <c r="B2698" s="37">
        <v>43682</v>
      </c>
      <c r="C2698" s="12">
        <v>11</v>
      </c>
      <c r="D2698" s="38" t="s">
        <v>1734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-91</v>
      </c>
    </row>
    <row r="2699" spans="1:10" hidden="1" x14ac:dyDescent="0.2">
      <c r="A2699" s="4" t="s">
        <v>2847</v>
      </c>
      <c r="B2699" s="37">
        <v>43682</v>
      </c>
      <c r="C2699" s="12">
        <v>12</v>
      </c>
      <c r="D2699" s="38" t="s">
        <v>1031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-88</v>
      </c>
    </row>
    <row r="2700" spans="1:10" hidden="1" x14ac:dyDescent="0.2">
      <c r="A2700" s="4" t="s">
        <v>2847</v>
      </c>
      <c r="B2700" s="37">
        <v>43682</v>
      </c>
      <c r="C2700" s="12">
        <v>13</v>
      </c>
      <c r="D2700" s="38" t="s">
        <v>738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-91</v>
      </c>
    </row>
    <row r="2701" spans="1:10" hidden="1" x14ac:dyDescent="0.2">
      <c r="A2701" s="4" t="s">
        <v>2847</v>
      </c>
      <c r="B2701" s="37">
        <v>43682</v>
      </c>
      <c r="C2701" s="12">
        <v>14</v>
      </c>
      <c r="D2701" s="38" t="s">
        <v>2103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-91</v>
      </c>
    </row>
    <row r="2702" spans="1:10" hidden="1" x14ac:dyDescent="0.2">
      <c r="A2702" s="4" t="s">
        <v>2847</v>
      </c>
      <c r="B2702" s="37">
        <v>43682</v>
      </c>
      <c r="C2702" s="12">
        <v>15</v>
      </c>
      <c r="D2702" s="38" t="s">
        <v>900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-91</v>
      </c>
    </row>
    <row r="2703" spans="1:10" hidden="1" x14ac:dyDescent="0.2">
      <c r="A2703" s="4" t="s">
        <v>2847</v>
      </c>
      <c r="B2703" s="37">
        <v>43682</v>
      </c>
      <c r="C2703" s="12">
        <v>16</v>
      </c>
      <c r="D2703" s="38" t="s">
        <v>2232</v>
      </c>
      <c r="E2703" s="39">
        <v>43696</v>
      </c>
      <c r="F2703" s="40" t="s">
        <v>1184</v>
      </c>
      <c r="G2703" s="12"/>
      <c r="H2703" s="12"/>
      <c r="I2703" s="4" t="s">
        <v>220</v>
      </c>
      <c r="J2703" s="41">
        <f ca="1">ROUNDDOWN(表3[[#This Row],[日期]]-TODAY(),1)</f>
        <v>-81</v>
      </c>
    </row>
    <row r="2704" spans="1:10" hidden="1" x14ac:dyDescent="0.2">
      <c r="A2704" s="4" t="s">
        <v>1713</v>
      </c>
      <c r="B2704" s="37">
        <v>43683</v>
      </c>
      <c r="C2704" s="12">
        <v>0</v>
      </c>
      <c r="D2704" s="38" t="s">
        <v>1706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-112</v>
      </c>
    </row>
    <row r="2705" spans="1:10" hidden="1" x14ac:dyDescent="0.2">
      <c r="A2705" s="4" t="s">
        <v>1022</v>
      </c>
      <c r="B2705" s="37">
        <v>43683</v>
      </c>
      <c r="C2705" s="12">
        <v>1</v>
      </c>
      <c r="D2705" s="38" t="s">
        <v>1718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-112</v>
      </c>
    </row>
    <row r="2706" spans="1:10" hidden="1" x14ac:dyDescent="0.2">
      <c r="A2706" s="4" t="s">
        <v>1022</v>
      </c>
      <c r="B2706" s="37">
        <v>43683</v>
      </c>
      <c r="C2706" s="12">
        <v>2</v>
      </c>
      <c r="D2706" s="38" t="s">
        <v>1036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-112</v>
      </c>
    </row>
    <row r="2707" spans="1:10" hidden="1" x14ac:dyDescent="0.2">
      <c r="A2707" s="4" t="s">
        <v>1022</v>
      </c>
      <c r="B2707" s="37">
        <v>43683</v>
      </c>
      <c r="C2707" s="12">
        <v>2.1</v>
      </c>
      <c r="D2707" s="38" t="s">
        <v>2008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-99</v>
      </c>
    </row>
    <row r="2708" spans="1:10" hidden="1" x14ac:dyDescent="0.2">
      <c r="A2708" s="4" t="s">
        <v>1022</v>
      </c>
      <c r="B2708" s="37">
        <v>43683</v>
      </c>
      <c r="C2708" s="12">
        <v>2.2000000000000002</v>
      </c>
      <c r="D2708" s="38" t="s">
        <v>2081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-99</v>
      </c>
    </row>
    <row r="2709" spans="1:10" hidden="1" x14ac:dyDescent="0.2">
      <c r="A2709" s="4" t="s">
        <v>1022</v>
      </c>
      <c r="B2709" s="37">
        <v>43683</v>
      </c>
      <c r="C2709" s="12">
        <v>3</v>
      </c>
      <c r="D2709" s="38" t="s">
        <v>2085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-99</v>
      </c>
    </row>
    <row r="2710" spans="1:10" hidden="1" x14ac:dyDescent="0.2">
      <c r="A2710" s="4" t="s">
        <v>1022</v>
      </c>
      <c r="B2710" s="37">
        <v>43683</v>
      </c>
      <c r="C2710" s="12">
        <v>3.1</v>
      </c>
      <c r="D2710" s="38" t="s">
        <v>2087</v>
      </c>
      <c r="E2710" s="39">
        <v>43680</v>
      </c>
      <c r="F2710" s="40" t="s">
        <v>2126</v>
      </c>
      <c r="G2710" s="12">
        <v>2</v>
      </c>
      <c r="H2710" s="12"/>
      <c r="J2710" s="41">
        <f ca="1">ROUNDDOWN(表3[[#This Row],[日期]]-TODAY(),1)</f>
        <v>-97</v>
      </c>
    </row>
    <row r="2711" spans="1:10" hidden="1" x14ac:dyDescent="0.2">
      <c r="A2711" s="4" t="s">
        <v>1022</v>
      </c>
      <c r="B2711" s="37">
        <v>43683</v>
      </c>
      <c r="C2711" s="12">
        <v>4</v>
      </c>
      <c r="D2711" s="38" t="s">
        <v>2086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-98</v>
      </c>
    </row>
    <row r="2712" spans="1:10" hidden="1" x14ac:dyDescent="0.2">
      <c r="A2712" s="4" t="s">
        <v>1022</v>
      </c>
      <c r="B2712" s="37">
        <v>43683</v>
      </c>
      <c r="C2712" s="12">
        <v>5</v>
      </c>
      <c r="D2712" s="38" t="s">
        <v>1722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-98</v>
      </c>
    </row>
    <row r="2713" spans="1:10" hidden="1" x14ac:dyDescent="0.2">
      <c r="A2713" s="4" t="s">
        <v>1022</v>
      </c>
      <c r="B2713" s="37">
        <v>43683</v>
      </c>
      <c r="C2713" s="12">
        <v>6</v>
      </c>
      <c r="D2713" s="38" t="s">
        <v>1723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-98</v>
      </c>
    </row>
    <row r="2714" spans="1:10" hidden="1" x14ac:dyDescent="0.2">
      <c r="A2714" s="4" t="s">
        <v>1022</v>
      </c>
      <c r="B2714" s="37">
        <v>43683</v>
      </c>
      <c r="C2714" s="12">
        <v>7</v>
      </c>
      <c r="D2714" s="38" t="s">
        <v>1719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-98</v>
      </c>
    </row>
    <row r="2715" spans="1:10" hidden="1" x14ac:dyDescent="0.2">
      <c r="A2715" s="4" t="s">
        <v>1022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-98</v>
      </c>
    </row>
    <row r="2716" spans="1:10" hidden="1" x14ac:dyDescent="0.2">
      <c r="A2716" s="4" t="s">
        <v>1022</v>
      </c>
      <c r="B2716" s="37">
        <v>43683</v>
      </c>
      <c r="C2716" s="12">
        <v>9</v>
      </c>
      <c r="D2716" s="38" t="s">
        <v>309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-98</v>
      </c>
    </row>
    <row r="2717" spans="1:10" hidden="1" x14ac:dyDescent="0.2">
      <c r="A2717" s="4" t="s">
        <v>1022</v>
      </c>
      <c r="B2717" s="37">
        <v>43683</v>
      </c>
      <c r="C2717" s="12">
        <v>10</v>
      </c>
      <c r="D2717" s="38" t="s">
        <v>1724</v>
      </c>
      <c r="E2717" s="39">
        <v>43679</v>
      </c>
      <c r="F2717" s="40" t="s">
        <v>1184</v>
      </c>
      <c r="G2717" s="12"/>
      <c r="H2717" s="12"/>
      <c r="J2717" s="41">
        <f ca="1">ROUNDDOWN(表3[[#This Row],[日期]]-TODAY(),1)</f>
        <v>-98</v>
      </c>
    </row>
    <row r="2718" spans="1:10" hidden="1" x14ac:dyDescent="0.2">
      <c r="A2718" s="4" t="s">
        <v>1022</v>
      </c>
      <c r="B2718" s="37">
        <v>43683</v>
      </c>
      <c r="C2718" s="12">
        <v>11</v>
      </c>
      <c r="D2718" s="38" t="s">
        <v>2105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-96</v>
      </c>
    </row>
    <row r="2719" spans="1:10" hidden="1" x14ac:dyDescent="0.2">
      <c r="A2719" s="4" t="s">
        <v>1022</v>
      </c>
      <c r="B2719" s="37">
        <v>43683</v>
      </c>
      <c r="C2719" s="12">
        <v>11.1</v>
      </c>
      <c r="D2719" s="38" t="s">
        <v>2106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-96</v>
      </c>
    </row>
    <row r="2720" spans="1:10" hidden="1" x14ac:dyDescent="0.2">
      <c r="A2720" s="4" t="s">
        <v>1022</v>
      </c>
      <c r="B2720" s="37">
        <v>43683</v>
      </c>
      <c r="C2720" s="12">
        <v>11.2</v>
      </c>
      <c r="D2720" s="38" t="s">
        <v>2143</v>
      </c>
      <c r="E2720" s="39">
        <v>43681</v>
      </c>
      <c r="F2720" s="40" t="s">
        <v>2144</v>
      </c>
      <c r="G2720" s="12"/>
      <c r="H2720" s="12"/>
      <c r="J2720" s="41">
        <f ca="1">ROUNDDOWN(表3[[#This Row],[日期]]-TODAY(),1)</f>
        <v>-96</v>
      </c>
    </row>
    <row r="2721" spans="1:10" hidden="1" x14ac:dyDescent="0.2">
      <c r="A2721" s="4" t="s">
        <v>1022</v>
      </c>
      <c r="B2721" s="37">
        <v>43683</v>
      </c>
      <c r="C2721" s="12">
        <v>12</v>
      </c>
      <c r="D2721" s="38" t="s">
        <v>312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-96</v>
      </c>
    </row>
    <row r="2722" spans="1:10" hidden="1" x14ac:dyDescent="0.2">
      <c r="A2722" s="4" t="s">
        <v>1022</v>
      </c>
      <c r="B2722" s="37">
        <v>43683</v>
      </c>
      <c r="C2722" s="12">
        <v>12.1</v>
      </c>
      <c r="D2722" s="38" t="s">
        <v>2127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-95</v>
      </c>
    </row>
    <row r="2723" spans="1:10" hidden="1" x14ac:dyDescent="0.2">
      <c r="A2723" s="4" t="s">
        <v>1022</v>
      </c>
      <c r="B2723" s="37">
        <v>43683</v>
      </c>
      <c r="C2723" s="12">
        <v>13</v>
      </c>
      <c r="D2723" s="38" t="s">
        <v>313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-96</v>
      </c>
    </row>
    <row r="2724" spans="1:10" hidden="1" x14ac:dyDescent="0.2">
      <c r="A2724" s="4" t="s">
        <v>1022</v>
      </c>
      <c r="B2724" s="37">
        <v>43683</v>
      </c>
      <c r="C2724" s="12">
        <v>14</v>
      </c>
      <c r="D2724" s="38" t="s">
        <v>271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-96</v>
      </c>
    </row>
    <row r="2725" spans="1:10" hidden="1" x14ac:dyDescent="0.2">
      <c r="A2725" s="4" t="s">
        <v>1022</v>
      </c>
      <c r="B2725" s="37">
        <v>43683</v>
      </c>
      <c r="C2725" s="12">
        <v>15</v>
      </c>
      <c r="D2725" s="38" t="s">
        <v>273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-94</v>
      </c>
    </row>
    <row r="2726" spans="1:10" hidden="1" x14ac:dyDescent="0.2">
      <c r="A2726" s="4" t="s">
        <v>1022</v>
      </c>
      <c r="B2726" s="37">
        <v>43683</v>
      </c>
      <c r="C2726" s="12">
        <v>16</v>
      </c>
      <c r="D2726" s="38" t="s">
        <v>275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-94</v>
      </c>
    </row>
    <row r="2727" spans="1:10" hidden="1" x14ac:dyDescent="0.2">
      <c r="A2727" s="4" t="s">
        <v>1022</v>
      </c>
      <c r="B2727" s="37">
        <v>43683</v>
      </c>
      <c r="C2727" s="12">
        <v>17</v>
      </c>
      <c r="D2727" s="38" t="s">
        <v>1725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-93</v>
      </c>
    </row>
    <row r="2728" spans="1:10" hidden="1" x14ac:dyDescent="0.2">
      <c r="A2728" s="4" t="s">
        <v>1022</v>
      </c>
      <c r="B2728" s="37">
        <v>43683</v>
      </c>
      <c r="C2728" s="12">
        <v>18</v>
      </c>
      <c r="D2728" s="38" t="s">
        <v>305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-93</v>
      </c>
    </row>
    <row r="2729" spans="1:10" hidden="1" x14ac:dyDescent="0.2">
      <c r="A2729" s="4" t="s">
        <v>985</v>
      </c>
      <c r="B2729" s="37">
        <v>43683</v>
      </c>
      <c r="C2729" s="12">
        <v>19</v>
      </c>
      <c r="D2729" s="38" t="s">
        <v>2118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-98</v>
      </c>
    </row>
    <row r="2730" spans="1:10" hidden="1" x14ac:dyDescent="0.2">
      <c r="A2730" s="4" t="s">
        <v>985</v>
      </c>
      <c r="B2730" s="37">
        <v>43683</v>
      </c>
      <c r="C2730" s="12">
        <v>20</v>
      </c>
      <c r="D2730" s="38" t="s">
        <v>3202</v>
      </c>
      <c r="E2730" s="39">
        <v>43750</v>
      </c>
      <c r="F2730" s="40" t="s">
        <v>242</v>
      </c>
      <c r="G2730" s="12"/>
      <c r="H2730" s="12"/>
      <c r="I2730" s="4" t="s">
        <v>2243</v>
      </c>
      <c r="J2730" s="41">
        <f ca="1">ROUNDDOWN(表3[[#This Row],[日期]]-TODAY(),1)</f>
        <v>-27</v>
      </c>
    </row>
    <row r="2731" spans="1:10" hidden="1" x14ac:dyDescent="0.2">
      <c r="A2731" s="4" t="s">
        <v>985</v>
      </c>
      <c r="B2731" s="37">
        <v>43683</v>
      </c>
      <c r="C2731" s="12">
        <v>21</v>
      </c>
      <c r="D2731" s="38" t="s">
        <v>2161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-88</v>
      </c>
    </row>
    <row r="2732" spans="1:10" hidden="1" x14ac:dyDescent="0.2">
      <c r="A2732" s="4" t="s">
        <v>985</v>
      </c>
      <c r="B2732" s="37">
        <v>43683</v>
      </c>
      <c r="C2732" s="12">
        <v>22</v>
      </c>
      <c r="D2732" s="38" t="s">
        <v>2244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-87</v>
      </c>
    </row>
    <row r="2733" spans="1:10" hidden="1" x14ac:dyDescent="0.2">
      <c r="A2733" s="4" t="s">
        <v>985</v>
      </c>
      <c r="B2733" s="37">
        <v>43683</v>
      </c>
      <c r="C2733" s="12">
        <v>23</v>
      </c>
      <c r="D2733" s="38" t="s">
        <v>2292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-81</v>
      </c>
    </row>
    <row r="2734" spans="1:10" hidden="1" x14ac:dyDescent="0.2">
      <c r="A2734" s="4" t="s">
        <v>1882</v>
      </c>
      <c r="B2734" s="37">
        <v>43684</v>
      </c>
      <c r="C2734" s="12">
        <v>1</v>
      </c>
      <c r="D2734" s="38" t="s">
        <v>364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-105</v>
      </c>
    </row>
    <row r="2735" spans="1:10" hidden="1" x14ac:dyDescent="0.2">
      <c r="A2735" s="4" t="s">
        <v>1882</v>
      </c>
      <c r="B2735" s="37">
        <v>43684</v>
      </c>
      <c r="C2735" s="12">
        <v>2</v>
      </c>
      <c r="D2735" s="38" t="s">
        <v>863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-100</v>
      </c>
    </row>
    <row r="2736" spans="1:10" hidden="1" x14ac:dyDescent="0.2">
      <c r="A2736" s="4" t="s">
        <v>1882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-99</v>
      </c>
    </row>
    <row r="2737" spans="1:10" hidden="1" x14ac:dyDescent="0.2">
      <c r="A2737" s="4" t="s">
        <v>1882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-99</v>
      </c>
    </row>
    <row r="2738" spans="1:10" hidden="1" x14ac:dyDescent="0.2">
      <c r="A2738" s="4" t="s">
        <v>1882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-99</v>
      </c>
    </row>
    <row r="2739" spans="1:10" hidden="1" x14ac:dyDescent="0.2">
      <c r="A2739" s="4" t="s">
        <v>1882</v>
      </c>
      <c r="B2739" s="37">
        <v>43684</v>
      </c>
      <c r="C2739" s="12">
        <v>6</v>
      </c>
      <c r="D2739" s="38" t="s">
        <v>864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-99</v>
      </c>
    </row>
    <row r="2740" spans="1:10" hidden="1" x14ac:dyDescent="0.2">
      <c r="A2740" s="4" t="s">
        <v>1882</v>
      </c>
      <c r="B2740" s="37">
        <v>43684</v>
      </c>
      <c r="C2740" s="12">
        <v>7</v>
      </c>
      <c r="D2740" s="38" t="s">
        <v>307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-98</v>
      </c>
    </row>
    <row r="2741" spans="1:10" hidden="1" x14ac:dyDescent="0.2">
      <c r="A2741" s="4" t="s">
        <v>1882</v>
      </c>
      <c r="B2741" s="37">
        <v>43684</v>
      </c>
      <c r="C2741" s="12">
        <v>8</v>
      </c>
      <c r="D2741" s="38" t="s">
        <v>309</v>
      </c>
      <c r="E2741" s="39">
        <v>43679</v>
      </c>
      <c r="F2741" s="40" t="s">
        <v>1184</v>
      </c>
      <c r="G2741" s="12"/>
      <c r="H2741" s="12"/>
      <c r="I2741" s="4" t="s">
        <v>310</v>
      </c>
      <c r="J2741" s="41">
        <f ca="1">ROUNDDOWN(表3[[#This Row],[日期]]-TODAY(),1)</f>
        <v>-98</v>
      </c>
    </row>
    <row r="2742" spans="1:10" hidden="1" x14ac:dyDescent="0.2">
      <c r="A2742" s="4" t="s">
        <v>1882</v>
      </c>
      <c r="B2742" s="37">
        <v>43684</v>
      </c>
      <c r="C2742" s="12">
        <v>8</v>
      </c>
      <c r="D2742" s="38" t="s">
        <v>865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-98</v>
      </c>
    </row>
    <row r="2743" spans="1:10" hidden="1" x14ac:dyDescent="0.2">
      <c r="A2743" s="4" t="s">
        <v>1882</v>
      </c>
      <c r="B2743" s="37">
        <v>43684</v>
      </c>
      <c r="C2743" s="12">
        <v>9</v>
      </c>
      <c r="D2743" s="38" t="s">
        <v>1852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-98</v>
      </c>
    </row>
    <row r="2744" spans="1:10" hidden="1" x14ac:dyDescent="0.2">
      <c r="A2744" s="4" t="s">
        <v>1882</v>
      </c>
      <c r="B2744" s="37">
        <v>43684</v>
      </c>
      <c r="C2744" s="12">
        <v>10</v>
      </c>
      <c r="D2744" s="38" t="s">
        <v>866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-98</v>
      </c>
    </row>
    <row r="2745" spans="1:10" hidden="1" x14ac:dyDescent="0.2">
      <c r="A2745" s="4" t="s">
        <v>1882</v>
      </c>
      <c r="B2745" s="37">
        <v>43684</v>
      </c>
      <c r="C2745" s="12">
        <v>11</v>
      </c>
      <c r="D2745" s="38" t="s">
        <v>1851</v>
      </c>
      <c r="E2745" s="39">
        <v>43680</v>
      </c>
      <c r="F2745" s="40" t="s">
        <v>242</v>
      </c>
      <c r="G2745" s="12"/>
      <c r="H2745" s="12"/>
      <c r="I2745" s="4" t="s">
        <v>1131</v>
      </c>
      <c r="J2745" s="41">
        <f ca="1">ROUNDDOWN(表3[[#This Row],[日期]]-TODAY(),1)</f>
        <v>-97</v>
      </c>
    </row>
    <row r="2746" spans="1:10" hidden="1" x14ac:dyDescent="0.2">
      <c r="A2746" s="4" t="s">
        <v>1882</v>
      </c>
      <c r="B2746" s="37">
        <v>43684</v>
      </c>
      <c r="C2746" s="12">
        <v>12</v>
      </c>
      <c r="D2746" s="38" t="s">
        <v>867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-96</v>
      </c>
    </row>
    <row r="2747" spans="1:10" hidden="1" x14ac:dyDescent="0.2">
      <c r="A2747" s="4" t="s">
        <v>1882</v>
      </c>
      <c r="B2747" s="37">
        <v>43684</v>
      </c>
      <c r="C2747" s="12">
        <v>13</v>
      </c>
      <c r="D2747" s="38" t="s">
        <v>311</v>
      </c>
      <c r="E2747" s="39">
        <v>43682</v>
      </c>
      <c r="F2747" s="40" t="s">
        <v>242</v>
      </c>
      <c r="G2747" s="12"/>
      <c r="H2747" s="12"/>
      <c r="I2747" s="4" t="s">
        <v>310</v>
      </c>
      <c r="J2747" s="41">
        <f ca="1">ROUNDDOWN(表3[[#This Row],[日期]]-TODAY(),1)</f>
        <v>-95</v>
      </c>
    </row>
    <row r="2748" spans="1:10" hidden="1" x14ac:dyDescent="0.2">
      <c r="A2748" s="4" t="s">
        <v>1882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-95</v>
      </c>
    </row>
    <row r="2749" spans="1:10" hidden="1" x14ac:dyDescent="0.2">
      <c r="A2749" s="4" t="s">
        <v>1882</v>
      </c>
      <c r="B2749" s="37">
        <v>43684</v>
      </c>
      <c r="C2749" s="12">
        <v>15</v>
      </c>
      <c r="D2749" s="38" t="s">
        <v>868</v>
      </c>
      <c r="E2749" s="39">
        <v>43682</v>
      </c>
      <c r="F2749" s="40" t="s">
        <v>242</v>
      </c>
      <c r="G2749" s="12">
        <v>2</v>
      </c>
      <c r="H2749" s="12"/>
      <c r="I2749" s="4" t="s">
        <v>310</v>
      </c>
      <c r="J2749" s="41">
        <f ca="1">ROUNDDOWN(表3[[#This Row],[日期]]-TODAY(),1)</f>
        <v>-95</v>
      </c>
    </row>
    <row r="2750" spans="1:10" hidden="1" x14ac:dyDescent="0.2">
      <c r="A2750" s="4" t="s">
        <v>1882</v>
      </c>
      <c r="B2750" s="37">
        <v>43684</v>
      </c>
      <c r="C2750" s="12">
        <v>16</v>
      </c>
      <c r="D2750" s="38" t="s">
        <v>313</v>
      </c>
      <c r="E2750" s="39">
        <v>43682</v>
      </c>
      <c r="F2750" s="40" t="s">
        <v>242</v>
      </c>
      <c r="G2750" s="12">
        <v>4</v>
      </c>
      <c r="H2750" s="12"/>
      <c r="I2750" s="4" t="s">
        <v>310</v>
      </c>
      <c r="J2750" s="41">
        <f ca="1">ROUNDDOWN(表3[[#This Row],[日期]]-TODAY(),1)</f>
        <v>-95</v>
      </c>
    </row>
    <row r="2751" spans="1:10" hidden="1" x14ac:dyDescent="0.2">
      <c r="A2751" s="4" t="s">
        <v>1882</v>
      </c>
      <c r="B2751" s="37">
        <v>43684</v>
      </c>
      <c r="C2751" s="12">
        <v>17</v>
      </c>
      <c r="D2751" s="38" t="s">
        <v>271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-95</v>
      </c>
    </row>
    <row r="2752" spans="1:10" hidden="1" x14ac:dyDescent="0.2">
      <c r="A2752" s="4" t="s">
        <v>1882</v>
      </c>
      <c r="B2752" s="37">
        <v>43684</v>
      </c>
      <c r="C2752" s="12">
        <v>18</v>
      </c>
      <c r="D2752" s="38" t="s">
        <v>273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-94</v>
      </c>
    </row>
    <row r="2753" spans="1:10" hidden="1" x14ac:dyDescent="0.2">
      <c r="A2753" s="4" t="s">
        <v>1882</v>
      </c>
      <c r="B2753" s="37">
        <v>43684</v>
      </c>
      <c r="C2753" s="12">
        <v>19</v>
      </c>
      <c r="D2753" s="38" t="s">
        <v>275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-93</v>
      </c>
    </row>
    <row r="2754" spans="1:10" hidden="1" x14ac:dyDescent="0.2">
      <c r="A2754" s="4" t="s">
        <v>1882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-93</v>
      </c>
    </row>
    <row r="2755" spans="1:10" hidden="1" x14ac:dyDescent="0.2">
      <c r="A2755" s="4" t="s">
        <v>1882</v>
      </c>
      <c r="B2755" s="37">
        <v>43684</v>
      </c>
      <c r="C2755" s="12">
        <v>21</v>
      </c>
      <c r="D2755" s="38" t="s">
        <v>1387</v>
      </c>
      <c r="E2755" s="39">
        <v>43683</v>
      </c>
      <c r="F2755" s="40" t="s">
        <v>1184</v>
      </c>
      <c r="G2755" s="12"/>
      <c r="H2755" s="12"/>
      <c r="J2755" s="41">
        <f ca="1">ROUNDDOWN(表3[[#This Row],[日期]]-TODAY(),1)</f>
        <v>-94</v>
      </c>
    </row>
    <row r="2756" spans="1:10" hidden="1" x14ac:dyDescent="0.2">
      <c r="A2756" s="4" t="s">
        <v>1882</v>
      </c>
      <c r="B2756" s="37">
        <v>43684</v>
      </c>
      <c r="C2756" s="12">
        <v>22</v>
      </c>
      <c r="D2756" s="38" t="s">
        <v>305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-92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927</v>
      </c>
      <c r="E2757" s="39">
        <v>43675</v>
      </c>
      <c r="F2757" s="40" t="s">
        <v>1915</v>
      </c>
      <c r="G2757" s="12"/>
      <c r="H2757" s="12"/>
      <c r="I2757" s="4" t="s">
        <v>27</v>
      </c>
      <c r="J2757" s="41">
        <f ca="1">ROUNDDOWN(表3[[#This Row],[日期]]-TODAY(),1)</f>
        <v>-102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1915</v>
      </c>
      <c r="G2758" s="12"/>
      <c r="H2758" s="12"/>
      <c r="J2758" s="41">
        <f ca="1">ROUNDDOWN(表3[[#This Row],[日期]]-TODAY(),1)</f>
        <v>-102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1210</v>
      </c>
      <c r="E2759" s="39">
        <v>43675</v>
      </c>
      <c r="F2759" s="40" t="s">
        <v>1915</v>
      </c>
      <c r="G2759" s="12"/>
      <c r="H2759" s="12"/>
      <c r="J2759" s="41">
        <f ca="1">ROUNDDOWN(表3[[#This Row],[日期]]-TODAY(),1)</f>
        <v>-102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1915</v>
      </c>
      <c r="G2760" s="12"/>
      <c r="H2760" s="12"/>
      <c r="J2760" s="41">
        <f ca="1">ROUNDDOWN(表3[[#This Row],[日期]]-TODAY(),1)</f>
        <v>-102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-102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1576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-102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1577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-101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-101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928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-99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1740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-99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1578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-99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1742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-99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1744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-99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1746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-99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1748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-99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1750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-99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2074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-99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929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-98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1752</v>
      </c>
      <c r="E2775" s="39">
        <v>43679</v>
      </c>
      <c r="F2775" s="40" t="s">
        <v>1184</v>
      </c>
      <c r="G2775" s="12">
        <v>1</v>
      </c>
      <c r="H2775" s="12"/>
      <c r="J2775" s="41">
        <f ca="1">ROUNDDOWN(表3[[#This Row],[日期]]-TODAY(),1)</f>
        <v>-98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-98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930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-98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-98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931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-98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759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-98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1919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-98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-98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-98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-98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-98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-98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-98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1184</v>
      </c>
      <c r="G2788" s="12"/>
      <c r="H2788" s="12"/>
      <c r="J2788" s="41">
        <f ca="1">ROUNDDOWN(表3[[#This Row],[日期]]-TODAY(),1)</f>
        <v>-98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932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-97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933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-97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1072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-97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-97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1071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-97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-97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-97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-94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-94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934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-93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305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-92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1580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-92</v>
      </c>
    </row>
    <row r="2801" spans="1:10" hidden="1" x14ac:dyDescent="0.2">
      <c r="A2801" s="4" t="s">
        <v>1853</v>
      </c>
      <c r="B2801" s="37">
        <v>43684</v>
      </c>
      <c r="C2801" s="12">
        <v>1</v>
      </c>
      <c r="D2801" s="38" t="s">
        <v>364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-106</v>
      </c>
    </row>
    <row r="2802" spans="1:10" hidden="1" x14ac:dyDescent="0.2">
      <c r="A2802" s="4" t="s">
        <v>1853</v>
      </c>
      <c r="B2802" s="37">
        <v>43684</v>
      </c>
      <c r="C2802" s="12">
        <v>2</v>
      </c>
      <c r="D2802" s="38" t="s">
        <v>863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-100</v>
      </c>
    </row>
    <row r="2803" spans="1:10" hidden="1" x14ac:dyDescent="0.2">
      <c r="A2803" s="4" t="s">
        <v>1853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-100</v>
      </c>
    </row>
    <row r="2804" spans="1:10" hidden="1" x14ac:dyDescent="0.2">
      <c r="A2804" s="4" t="s">
        <v>1853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-99</v>
      </c>
    </row>
    <row r="2805" spans="1:10" hidden="1" x14ac:dyDescent="0.2">
      <c r="A2805" s="4" t="s">
        <v>1853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-99</v>
      </c>
    </row>
    <row r="2806" spans="1:10" hidden="1" x14ac:dyDescent="0.2">
      <c r="A2806" s="4" t="s">
        <v>1853</v>
      </c>
      <c r="B2806" s="37">
        <v>43684</v>
      </c>
      <c r="C2806" s="12">
        <v>6</v>
      </c>
      <c r="D2806" s="38" t="s">
        <v>864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-99</v>
      </c>
    </row>
    <row r="2807" spans="1:10" hidden="1" x14ac:dyDescent="0.2">
      <c r="A2807" s="4" t="s">
        <v>1853</v>
      </c>
      <c r="B2807" s="37">
        <v>43684</v>
      </c>
      <c r="C2807" s="12">
        <v>7</v>
      </c>
      <c r="D2807" s="38" t="s">
        <v>1851</v>
      </c>
      <c r="E2807" s="39">
        <v>43678</v>
      </c>
      <c r="F2807" s="40" t="s">
        <v>1184</v>
      </c>
      <c r="G2807" s="12"/>
      <c r="H2807" s="12"/>
      <c r="I2807" s="4" t="s">
        <v>1131</v>
      </c>
      <c r="J2807" s="41">
        <f ca="1">ROUNDDOWN(表3[[#This Row],[日期]]-TODAY(),1)</f>
        <v>-99</v>
      </c>
    </row>
    <row r="2808" spans="1:10" hidden="1" x14ac:dyDescent="0.2">
      <c r="A2808" s="4" t="s">
        <v>1853</v>
      </c>
      <c r="B2808" s="37">
        <v>43684</v>
      </c>
      <c r="C2808" s="12">
        <v>8</v>
      </c>
      <c r="D2808" s="38" t="s">
        <v>307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-99</v>
      </c>
    </row>
    <row r="2809" spans="1:10" hidden="1" x14ac:dyDescent="0.2">
      <c r="A2809" s="4" t="s">
        <v>1853</v>
      </c>
      <c r="B2809" s="37">
        <v>43684</v>
      </c>
      <c r="C2809" s="12">
        <v>9</v>
      </c>
      <c r="D2809" s="38" t="s">
        <v>865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-99</v>
      </c>
    </row>
    <row r="2810" spans="1:10" hidden="1" x14ac:dyDescent="0.2">
      <c r="A2810" s="4" t="s">
        <v>1853</v>
      </c>
      <c r="B2810" s="37">
        <v>43684</v>
      </c>
      <c r="C2810" s="12">
        <v>10</v>
      </c>
      <c r="D2810" s="38" t="s">
        <v>1852</v>
      </c>
      <c r="E2810" s="39">
        <v>43678</v>
      </c>
      <c r="F2810" s="40" t="s">
        <v>1184</v>
      </c>
      <c r="G2810" s="12"/>
      <c r="H2810" s="12"/>
      <c r="J2810" s="41">
        <f ca="1">ROUNDDOWN(表3[[#This Row],[日期]]-TODAY(),1)</f>
        <v>-99</v>
      </c>
    </row>
    <row r="2811" spans="1:10" hidden="1" x14ac:dyDescent="0.2">
      <c r="A2811" s="4" t="s">
        <v>1853</v>
      </c>
      <c r="B2811" s="37">
        <v>43684</v>
      </c>
      <c r="C2811" s="12">
        <v>11</v>
      </c>
      <c r="D2811" s="38" t="s">
        <v>866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-99</v>
      </c>
    </row>
    <row r="2812" spans="1:10" hidden="1" x14ac:dyDescent="0.2">
      <c r="A2812" s="4" t="s">
        <v>1853</v>
      </c>
      <c r="B2812" s="37">
        <v>43684</v>
      </c>
      <c r="C2812" s="12">
        <v>12</v>
      </c>
      <c r="D2812" s="38" t="s">
        <v>867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-98</v>
      </c>
    </row>
    <row r="2813" spans="1:10" hidden="1" x14ac:dyDescent="0.2">
      <c r="A2813" s="4" t="s">
        <v>1853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-98</v>
      </c>
    </row>
    <row r="2814" spans="1:10" hidden="1" x14ac:dyDescent="0.2">
      <c r="A2814" s="4" t="s">
        <v>1853</v>
      </c>
      <c r="B2814" s="37">
        <v>43684</v>
      </c>
      <c r="C2814" s="12">
        <v>14</v>
      </c>
      <c r="D2814" s="38" t="s">
        <v>868</v>
      </c>
      <c r="E2814" s="39">
        <v>43679</v>
      </c>
      <c r="F2814" s="40" t="s">
        <v>242</v>
      </c>
      <c r="G2814" s="12">
        <v>2</v>
      </c>
      <c r="H2814" s="12"/>
      <c r="I2814" s="4" t="s">
        <v>310</v>
      </c>
      <c r="J2814" s="41">
        <f ca="1">ROUNDDOWN(表3[[#This Row],[日期]]-TODAY(),1)</f>
        <v>-98</v>
      </c>
    </row>
    <row r="2815" spans="1:10" hidden="1" x14ac:dyDescent="0.2">
      <c r="A2815" s="4" t="s">
        <v>1853</v>
      </c>
      <c r="B2815" s="37">
        <v>43684</v>
      </c>
      <c r="C2815" s="12">
        <v>15</v>
      </c>
      <c r="D2815" s="38" t="s">
        <v>313</v>
      </c>
      <c r="E2815" s="39">
        <v>43679</v>
      </c>
      <c r="F2815" s="40" t="s">
        <v>242</v>
      </c>
      <c r="G2815" s="12">
        <v>3</v>
      </c>
      <c r="H2815" s="12"/>
      <c r="I2815" s="4" t="s">
        <v>310</v>
      </c>
      <c r="J2815" s="41">
        <f ca="1">ROUNDDOWN(表3[[#This Row],[日期]]-TODAY(),1)</f>
        <v>-98</v>
      </c>
    </row>
    <row r="2816" spans="1:10" hidden="1" x14ac:dyDescent="0.2">
      <c r="A2816" s="4" t="s">
        <v>1853</v>
      </c>
      <c r="B2816" s="37">
        <v>43684</v>
      </c>
      <c r="C2816" s="12">
        <v>16</v>
      </c>
      <c r="D2816" s="38" t="s">
        <v>309</v>
      </c>
      <c r="E2816" s="39">
        <v>43679</v>
      </c>
      <c r="F2816" s="40" t="s">
        <v>242</v>
      </c>
      <c r="G2816" s="12">
        <v>4</v>
      </c>
      <c r="H2816" s="12"/>
      <c r="I2816" s="4" t="s">
        <v>310</v>
      </c>
      <c r="J2816" s="41">
        <f ca="1">ROUNDDOWN(表3[[#This Row],[日期]]-TODAY(),1)</f>
        <v>-98</v>
      </c>
    </row>
    <row r="2817" spans="1:10" hidden="1" x14ac:dyDescent="0.2">
      <c r="A2817" s="4" t="s">
        <v>1853</v>
      </c>
      <c r="B2817" s="37">
        <v>43684</v>
      </c>
      <c r="C2817" s="12">
        <v>17</v>
      </c>
      <c r="D2817" s="38" t="s">
        <v>311</v>
      </c>
      <c r="E2817" s="39">
        <v>43680</v>
      </c>
      <c r="F2817" s="40" t="s">
        <v>242</v>
      </c>
      <c r="G2817" s="12"/>
      <c r="H2817" s="12"/>
      <c r="I2817" s="4" t="s">
        <v>310</v>
      </c>
      <c r="J2817" s="41">
        <f ca="1">ROUNDDOWN(表3[[#This Row],[日期]]-TODAY(),1)</f>
        <v>-97</v>
      </c>
    </row>
    <row r="2818" spans="1:10" hidden="1" x14ac:dyDescent="0.2">
      <c r="A2818" s="4" t="s">
        <v>1853</v>
      </c>
      <c r="B2818" s="37">
        <v>43684</v>
      </c>
      <c r="C2818" s="12">
        <v>18</v>
      </c>
      <c r="D2818" s="38" t="s">
        <v>271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-97</v>
      </c>
    </row>
    <row r="2819" spans="1:10" hidden="1" x14ac:dyDescent="0.2">
      <c r="A2819" s="4" t="s">
        <v>1853</v>
      </c>
      <c r="B2819" s="37">
        <v>43684</v>
      </c>
      <c r="C2819" s="12">
        <v>19</v>
      </c>
      <c r="D2819" s="38" t="s">
        <v>273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-95</v>
      </c>
    </row>
    <row r="2820" spans="1:10" hidden="1" x14ac:dyDescent="0.2">
      <c r="A2820" s="4" t="s">
        <v>1853</v>
      </c>
      <c r="B2820" s="37">
        <v>43684</v>
      </c>
      <c r="C2820" s="12">
        <v>20</v>
      </c>
      <c r="D2820" s="38" t="s">
        <v>275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-92</v>
      </c>
    </row>
    <row r="2821" spans="1:10" hidden="1" x14ac:dyDescent="0.2">
      <c r="A2821" s="4" t="s">
        <v>1853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-91</v>
      </c>
    </row>
    <row r="2822" spans="1:10" hidden="1" x14ac:dyDescent="0.2">
      <c r="A2822" s="4" t="s">
        <v>1853</v>
      </c>
      <c r="B2822" s="37">
        <v>43684</v>
      </c>
      <c r="C2822" s="12">
        <v>22</v>
      </c>
      <c r="D2822" s="38" t="s">
        <v>1387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-92</v>
      </c>
    </row>
    <row r="2823" spans="1:10" hidden="1" x14ac:dyDescent="0.2">
      <c r="A2823" s="4" t="s">
        <v>1853</v>
      </c>
      <c r="B2823" s="37">
        <v>43684</v>
      </c>
      <c r="C2823" s="12">
        <v>23</v>
      </c>
      <c r="D2823" s="38" t="s">
        <v>305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-87</v>
      </c>
    </row>
    <row r="2824" spans="1:10" hidden="1" x14ac:dyDescent="0.2">
      <c r="A2824" s="4" t="s">
        <v>2831</v>
      </c>
      <c r="B2824" s="37">
        <v>43684</v>
      </c>
      <c r="C2824" s="12">
        <v>1</v>
      </c>
      <c r="D2824" s="38" t="s">
        <v>507</v>
      </c>
      <c r="E2824" s="39">
        <v>43675</v>
      </c>
      <c r="F2824" s="40" t="s">
        <v>1915</v>
      </c>
      <c r="G2824" s="12"/>
      <c r="H2824" s="12"/>
      <c r="J2824" s="41">
        <f ca="1">ROUNDDOWN(表3[[#This Row],[日期]]-TODAY(),1)</f>
        <v>-102</v>
      </c>
    </row>
    <row r="2825" spans="1:10" hidden="1" x14ac:dyDescent="0.2">
      <c r="A2825" s="4" t="s">
        <v>2831</v>
      </c>
      <c r="B2825" s="37">
        <v>43684</v>
      </c>
      <c r="C2825" s="12">
        <v>2</v>
      </c>
      <c r="D2825" s="38" t="s">
        <v>1518</v>
      </c>
      <c r="E2825" s="39">
        <v>43675</v>
      </c>
      <c r="F2825" s="40" t="s">
        <v>1915</v>
      </c>
      <c r="G2825" s="12"/>
      <c r="H2825" s="12"/>
      <c r="I2825" s="4" t="s">
        <v>1521</v>
      </c>
      <c r="J2825" s="41">
        <f ca="1">ROUNDDOWN(表3[[#This Row],[日期]]-TODAY(),1)</f>
        <v>-102</v>
      </c>
    </row>
    <row r="2826" spans="1:10" hidden="1" x14ac:dyDescent="0.2">
      <c r="A2826" s="4" t="s">
        <v>2831</v>
      </c>
      <c r="B2826" s="37">
        <v>43684</v>
      </c>
      <c r="C2826" s="12">
        <v>3</v>
      </c>
      <c r="D2826" s="38" t="s">
        <v>1779</v>
      </c>
      <c r="E2826" s="39">
        <v>43675</v>
      </c>
      <c r="F2826" s="40" t="s">
        <v>1915</v>
      </c>
      <c r="G2826" s="12"/>
      <c r="H2826" s="12"/>
      <c r="I2826" s="4" t="s">
        <v>1523</v>
      </c>
      <c r="J2826" s="41">
        <f ca="1">ROUNDDOWN(表3[[#This Row],[日期]]-TODAY(),1)</f>
        <v>-102</v>
      </c>
    </row>
    <row r="2827" spans="1:10" hidden="1" x14ac:dyDescent="0.2">
      <c r="A2827" s="4" t="s">
        <v>2831</v>
      </c>
      <c r="B2827" s="37">
        <v>43684</v>
      </c>
      <c r="C2827" s="12">
        <v>4</v>
      </c>
      <c r="D2827" s="38" t="s">
        <v>1526</v>
      </c>
      <c r="E2827" s="39">
        <v>43675</v>
      </c>
      <c r="F2827" s="40" t="s">
        <v>1915</v>
      </c>
      <c r="G2827" s="12"/>
      <c r="H2827" s="12"/>
      <c r="I2827" s="4" t="s">
        <v>1528</v>
      </c>
      <c r="J2827" s="41">
        <f ca="1">ROUNDDOWN(表3[[#This Row],[日期]]-TODAY(),1)</f>
        <v>-102</v>
      </c>
    </row>
    <row r="2828" spans="1:10" hidden="1" x14ac:dyDescent="0.2">
      <c r="A2828" s="4" t="s">
        <v>2831</v>
      </c>
      <c r="B2828" s="37">
        <v>43684</v>
      </c>
      <c r="C2828" s="12">
        <v>5</v>
      </c>
      <c r="D2828" s="38" t="s">
        <v>1703</v>
      </c>
      <c r="E2828" s="39">
        <v>43675</v>
      </c>
      <c r="F2828" s="40" t="s">
        <v>1915</v>
      </c>
      <c r="G2828" s="12"/>
      <c r="H2828" s="12"/>
      <c r="J2828" s="41">
        <f ca="1">ROUNDDOWN(表3[[#This Row],[日期]]-TODAY(),1)</f>
        <v>-102</v>
      </c>
    </row>
    <row r="2829" spans="1:10" hidden="1" x14ac:dyDescent="0.2">
      <c r="A2829" s="4" t="s">
        <v>2831</v>
      </c>
      <c r="B2829" s="37">
        <v>43684</v>
      </c>
      <c r="C2829" s="12">
        <v>5.0999999999999996</v>
      </c>
      <c r="D2829" s="38" t="s">
        <v>1704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-101</v>
      </c>
    </row>
    <row r="2830" spans="1:10" hidden="1" x14ac:dyDescent="0.2">
      <c r="A2830" s="4" t="s">
        <v>2831</v>
      </c>
      <c r="B2830" s="37">
        <v>43684</v>
      </c>
      <c r="C2830" s="12">
        <v>5.2</v>
      </c>
      <c r="D2830" s="38" t="s">
        <v>1928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-101</v>
      </c>
    </row>
    <row r="2831" spans="1:10" hidden="1" x14ac:dyDescent="0.2">
      <c r="A2831" s="4" t="s">
        <v>2831</v>
      </c>
      <c r="B2831" s="37">
        <v>43684</v>
      </c>
      <c r="C2831" s="12">
        <v>6</v>
      </c>
      <c r="D2831" s="38" t="s">
        <v>1533</v>
      </c>
      <c r="E2831" s="39">
        <v>43676</v>
      </c>
      <c r="F2831" s="40" t="s">
        <v>1184</v>
      </c>
      <c r="G2831" s="12"/>
      <c r="H2831" s="12"/>
      <c r="J2831" s="41">
        <f ca="1">ROUNDDOWN(表3[[#This Row],[日期]]-TODAY(),1)</f>
        <v>-101</v>
      </c>
    </row>
    <row r="2832" spans="1:10" hidden="1" x14ac:dyDescent="0.2">
      <c r="A2832" s="4" t="s">
        <v>2831</v>
      </c>
      <c r="B2832" s="37">
        <v>43684</v>
      </c>
      <c r="C2832" s="12">
        <v>7</v>
      </c>
      <c r="D2832" s="38" t="s">
        <v>1535</v>
      </c>
      <c r="E2832" s="39">
        <v>43676</v>
      </c>
      <c r="F2832" s="40" t="s">
        <v>1184</v>
      </c>
      <c r="G2832" s="12"/>
      <c r="H2832" s="12"/>
      <c r="I2832" s="4" t="s">
        <v>1537</v>
      </c>
      <c r="J2832" s="41">
        <f ca="1">ROUNDDOWN(表3[[#This Row],[日期]]-TODAY(),1)</f>
        <v>-101</v>
      </c>
    </row>
    <row r="2833" spans="1:10" hidden="1" x14ac:dyDescent="0.2">
      <c r="A2833" s="4" t="s">
        <v>2831</v>
      </c>
      <c r="B2833" s="37">
        <v>43684</v>
      </c>
      <c r="C2833" s="12">
        <v>8</v>
      </c>
      <c r="D2833" s="38" t="s">
        <v>1531</v>
      </c>
      <c r="E2833" s="39">
        <v>43676</v>
      </c>
      <c r="F2833" s="40" t="s">
        <v>1184</v>
      </c>
      <c r="G2833" s="12"/>
      <c r="H2833" s="12"/>
      <c r="J2833" s="41">
        <f ca="1">ROUNDDOWN(表3[[#This Row],[日期]]-TODAY(),1)</f>
        <v>-101</v>
      </c>
    </row>
    <row r="2834" spans="1:10" hidden="1" x14ac:dyDescent="0.2">
      <c r="A2834" s="4" t="s">
        <v>2831</v>
      </c>
      <c r="B2834" s="37">
        <v>43684</v>
      </c>
      <c r="C2834" s="12">
        <v>9</v>
      </c>
      <c r="D2834" s="38" t="s">
        <v>1539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-101</v>
      </c>
    </row>
    <row r="2835" spans="1:10" hidden="1" x14ac:dyDescent="0.2">
      <c r="A2835" s="4" t="s">
        <v>2831</v>
      </c>
      <c r="B2835" s="37">
        <v>43684</v>
      </c>
      <c r="C2835" s="12">
        <v>11</v>
      </c>
      <c r="D2835" s="38" t="s">
        <v>1878</v>
      </c>
      <c r="E2835" s="39">
        <v>43679</v>
      </c>
      <c r="F2835" s="40" t="s">
        <v>1184</v>
      </c>
      <c r="G2835" s="12"/>
      <c r="H2835" s="12"/>
      <c r="J2835" s="41">
        <f ca="1">ROUNDDOWN(表3[[#This Row],[日期]]-TODAY(),1)</f>
        <v>-98</v>
      </c>
    </row>
    <row r="2836" spans="1:10" hidden="1" x14ac:dyDescent="0.2">
      <c r="A2836" s="4" t="s">
        <v>2831</v>
      </c>
      <c r="B2836" s="37">
        <v>43684</v>
      </c>
      <c r="C2836" s="12">
        <v>12</v>
      </c>
      <c r="D2836" s="38" t="s">
        <v>1541</v>
      </c>
      <c r="E2836" s="39">
        <v>43682</v>
      </c>
      <c r="F2836" s="40" t="s">
        <v>242</v>
      </c>
      <c r="G2836" s="12">
        <v>3</v>
      </c>
      <c r="H2836" s="12"/>
      <c r="I2836" s="4" t="s">
        <v>529</v>
      </c>
      <c r="J2836" s="41">
        <f ca="1">ROUNDDOWN(表3[[#This Row],[日期]]-TODAY(),1)</f>
        <v>-95</v>
      </c>
    </row>
    <row r="2837" spans="1:10" hidden="1" x14ac:dyDescent="0.2">
      <c r="A2837" s="4" t="s">
        <v>2831</v>
      </c>
      <c r="B2837" s="37">
        <v>43684</v>
      </c>
      <c r="C2837" s="12">
        <v>13</v>
      </c>
      <c r="D2837" s="38" t="s">
        <v>1543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-95</v>
      </c>
    </row>
    <row r="2838" spans="1:10" hidden="1" x14ac:dyDescent="0.2">
      <c r="A2838" s="4" t="s">
        <v>2831</v>
      </c>
      <c r="B2838" s="37">
        <v>43684</v>
      </c>
      <c r="C2838" s="12">
        <v>14</v>
      </c>
      <c r="D2838" s="38" t="s">
        <v>1545</v>
      </c>
      <c r="E2838" s="39">
        <v>43682</v>
      </c>
      <c r="F2838" s="40" t="s">
        <v>242</v>
      </c>
      <c r="G2838" s="12">
        <v>3</v>
      </c>
      <c r="H2838" s="12"/>
      <c r="I2838" s="4" t="s">
        <v>1547</v>
      </c>
      <c r="J2838" s="41">
        <f ca="1">ROUNDDOWN(表3[[#This Row],[日期]]-TODAY(),1)</f>
        <v>-95</v>
      </c>
    </row>
    <row r="2839" spans="1:10" hidden="1" x14ac:dyDescent="0.2">
      <c r="A2839" s="4" t="s">
        <v>2831</v>
      </c>
      <c r="B2839" s="37">
        <v>43684</v>
      </c>
      <c r="C2839" s="12">
        <v>15</v>
      </c>
      <c r="D2839" s="38" t="s">
        <v>1549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-95</v>
      </c>
    </row>
    <row r="2840" spans="1:10" hidden="1" x14ac:dyDescent="0.2">
      <c r="A2840" s="4" t="s">
        <v>2831</v>
      </c>
      <c r="B2840" s="37">
        <v>43684</v>
      </c>
      <c r="C2840" s="12">
        <v>16</v>
      </c>
      <c r="D2840" s="38" t="s">
        <v>1556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-95</v>
      </c>
    </row>
    <row r="2841" spans="1:10" hidden="1" x14ac:dyDescent="0.2">
      <c r="A2841" s="4" t="s">
        <v>2831</v>
      </c>
      <c r="B2841" s="37">
        <v>43684</v>
      </c>
      <c r="C2841" s="12">
        <v>17</v>
      </c>
      <c r="D2841" s="38" t="s">
        <v>1298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-95</v>
      </c>
    </row>
    <row r="2842" spans="1:10" hidden="1" x14ac:dyDescent="0.2">
      <c r="A2842" s="4" t="s">
        <v>2831</v>
      </c>
      <c r="B2842" s="37">
        <v>43684</v>
      </c>
      <c r="C2842" s="12">
        <v>18</v>
      </c>
      <c r="D2842" s="38" t="s">
        <v>1552</v>
      </c>
      <c r="E2842" s="39">
        <v>43682</v>
      </c>
      <c r="F2842" s="40" t="s">
        <v>242</v>
      </c>
      <c r="G2842" s="12">
        <v>3</v>
      </c>
      <c r="H2842" s="12"/>
      <c r="I2842" s="4" t="s">
        <v>1554</v>
      </c>
      <c r="J2842" s="41">
        <f ca="1">ROUNDDOWN(表3[[#This Row],[日期]]-TODAY(),1)</f>
        <v>-95</v>
      </c>
    </row>
    <row r="2843" spans="1:10" hidden="1" x14ac:dyDescent="0.2">
      <c r="A2843" s="4" t="s">
        <v>2831</v>
      </c>
      <c r="B2843" s="37">
        <v>43684</v>
      </c>
      <c r="C2843" s="12">
        <v>19</v>
      </c>
      <c r="D2843" s="38" t="s">
        <v>1558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-95</v>
      </c>
    </row>
    <row r="2844" spans="1:10" hidden="1" x14ac:dyDescent="0.2">
      <c r="A2844" s="4" t="s">
        <v>2831</v>
      </c>
      <c r="B2844" s="37">
        <v>43684</v>
      </c>
      <c r="C2844" s="12">
        <v>20</v>
      </c>
      <c r="D2844" s="38" t="s">
        <v>1560</v>
      </c>
      <c r="E2844" s="39">
        <v>43682</v>
      </c>
      <c r="F2844" s="40" t="s">
        <v>1184</v>
      </c>
      <c r="G2844" s="12">
        <v>3</v>
      </c>
      <c r="H2844" s="12"/>
      <c r="J2844" s="41">
        <f ca="1">ROUNDDOWN(表3[[#This Row],[日期]]-TODAY(),1)</f>
        <v>-95</v>
      </c>
    </row>
    <row r="2845" spans="1:10" hidden="1" x14ac:dyDescent="0.2">
      <c r="A2845" s="4" t="s">
        <v>2831</v>
      </c>
      <c r="B2845" s="37">
        <v>43684</v>
      </c>
      <c r="C2845" s="12">
        <v>21</v>
      </c>
      <c r="D2845" s="38" t="s">
        <v>1562</v>
      </c>
      <c r="E2845" s="39">
        <v>43682</v>
      </c>
      <c r="F2845" s="40" t="s">
        <v>1184</v>
      </c>
      <c r="G2845" s="12">
        <v>3</v>
      </c>
      <c r="H2845" s="12"/>
      <c r="J2845" s="41">
        <f ca="1">ROUNDDOWN(表3[[#This Row],[日期]]-TODAY(),1)</f>
        <v>-95</v>
      </c>
    </row>
    <row r="2846" spans="1:10" hidden="1" x14ac:dyDescent="0.2">
      <c r="A2846" s="4" t="s">
        <v>2831</v>
      </c>
      <c r="B2846" s="37">
        <v>43684</v>
      </c>
      <c r="C2846" s="12">
        <v>22</v>
      </c>
      <c r="D2846" s="38" t="s">
        <v>1564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-95</v>
      </c>
    </row>
    <row r="2847" spans="1:10" hidden="1" x14ac:dyDescent="0.2">
      <c r="A2847" s="4" t="s">
        <v>2831</v>
      </c>
      <c r="B2847" s="37">
        <v>43684</v>
      </c>
      <c r="C2847" s="12">
        <v>23</v>
      </c>
      <c r="D2847" s="38" t="s">
        <v>1566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-95</v>
      </c>
    </row>
    <row r="2848" spans="1:10" hidden="1" x14ac:dyDescent="0.2">
      <c r="A2848" s="4" t="s">
        <v>2831</v>
      </c>
      <c r="B2848" s="37">
        <v>43684</v>
      </c>
      <c r="C2848" s="12">
        <v>24</v>
      </c>
      <c r="D2848" s="38" t="s">
        <v>1954</v>
      </c>
      <c r="E2848" s="39">
        <v>43682</v>
      </c>
      <c r="F2848" s="40" t="s">
        <v>242</v>
      </c>
      <c r="G2848" s="12">
        <v>3</v>
      </c>
      <c r="H2848" s="12"/>
      <c r="I2848" s="4" t="s">
        <v>1528</v>
      </c>
      <c r="J2848" s="41">
        <f ca="1">ROUNDDOWN(表3[[#This Row],[日期]]-TODAY(),1)</f>
        <v>-95</v>
      </c>
    </row>
    <row r="2849" spans="1:10" hidden="1" x14ac:dyDescent="0.2">
      <c r="A2849" s="4" t="s">
        <v>2831</v>
      </c>
      <c r="B2849" s="37">
        <v>43684</v>
      </c>
      <c r="C2849" s="12">
        <v>25</v>
      </c>
      <c r="D2849" s="38" t="s">
        <v>305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-92</v>
      </c>
    </row>
    <row r="2850" spans="1:10" hidden="1" x14ac:dyDescent="0.2">
      <c r="A2850" s="4" t="s">
        <v>2831</v>
      </c>
      <c r="B2850" s="37">
        <v>43684</v>
      </c>
      <c r="C2850" s="12">
        <v>26</v>
      </c>
      <c r="D2850" s="38" t="s">
        <v>1572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-92</v>
      </c>
    </row>
    <row r="2851" spans="1:10" hidden="1" x14ac:dyDescent="0.2">
      <c r="A2851" s="4" t="s">
        <v>2831</v>
      </c>
      <c r="B2851" s="37">
        <v>43684</v>
      </c>
      <c r="C2851" s="12">
        <v>27</v>
      </c>
      <c r="D2851" s="38" t="s">
        <v>1570</v>
      </c>
      <c r="E2851" s="39">
        <v>43685</v>
      </c>
      <c r="F2851" s="40" t="s">
        <v>242</v>
      </c>
      <c r="G2851" s="12">
        <v>4</v>
      </c>
      <c r="H2851" s="12"/>
      <c r="I2851" s="4" t="s">
        <v>1528</v>
      </c>
      <c r="J2851" s="41">
        <f ca="1">ROUNDDOWN(表3[[#This Row],[日期]]-TODAY(),1)</f>
        <v>-92</v>
      </c>
    </row>
    <row r="2852" spans="1:10" hidden="1" x14ac:dyDescent="0.2">
      <c r="A2852" s="23" t="s">
        <v>1385</v>
      </c>
      <c r="B2852" s="25">
        <v>43685</v>
      </c>
      <c r="C2852" s="12">
        <v>1</v>
      </c>
      <c r="D2852" s="38" t="s">
        <v>1989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-100</v>
      </c>
    </row>
    <row r="2853" spans="1:10" hidden="1" x14ac:dyDescent="0.2">
      <c r="A2853" s="23" t="s">
        <v>1385</v>
      </c>
      <c r="B2853" s="37">
        <v>43685</v>
      </c>
      <c r="C2853" s="12">
        <v>2</v>
      </c>
      <c r="D2853" s="38" t="s">
        <v>1947</v>
      </c>
      <c r="E2853" s="39">
        <v>43672</v>
      </c>
      <c r="F2853" s="40" t="s">
        <v>1948</v>
      </c>
      <c r="G2853" s="12"/>
      <c r="H2853" s="12"/>
      <c r="J2853" s="41">
        <f ca="1">ROUNDDOWN(表3[[#This Row],[日期]]-TODAY(),1)</f>
        <v>-105</v>
      </c>
    </row>
    <row r="2854" spans="1:10" hidden="1" x14ac:dyDescent="0.2">
      <c r="A2854" s="23" t="s">
        <v>1385</v>
      </c>
      <c r="B2854" s="37">
        <v>43685</v>
      </c>
      <c r="C2854" s="12">
        <v>3</v>
      </c>
      <c r="D2854" s="38" t="s">
        <v>1951</v>
      </c>
      <c r="E2854" s="39">
        <v>43676</v>
      </c>
      <c r="F2854" s="40" t="s">
        <v>1948</v>
      </c>
      <c r="G2854" s="12"/>
      <c r="H2854" s="12"/>
      <c r="J2854" s="41">
        <f ca="1">ROUNDDOWN(表3[[#This Row],[日期]]-TODAY(),1)</f>
        <v>-101</v>
      </c>
    </row>
    <row r="2855" spans="1:10" hidden="1" x14ac:dyDescent="0.2">
      <c r="A2855" s="23" t="s">
        <v>1385</v>
      </c>
      <c r="B2855" s="37">
        <v>43685</v>
      </c>
      <c r="C2855" s="12">
        <v>4</v>
      </c>
      <c r="D2855" s="38" t="s">
        <v>1960</v>
      </c>
      <c r="E2855" s="39">
        <v>43676</v>
      </c>
      <c r="F2855" s="40" t="s">
        <v>1948</v>
      </c>
      <c r="G2855" s="12"/>
      <c r="H2855" s="12"/>
      <c r="J2855" s="41">
        <f ca="1">ROUNDDOWN(表3[[#This Row],[日期]]-TODAY(),1)</f>
        <v>-101</v>
      </c>
    </row>
    <row r="2856" spans="1:10" hidden="1" x14ac:dyDescent="0.2">
      <c r="A2856" s="23" t="s">
        <v>1385</v>
      </c>
      <c r="B2856" s="37">
        <v>43685</v>
      </c>
      <c r="C2856" s="12">
        <v>4</v>
      </c>
      <c r="D2856" s="38" t="s">
        <v>1953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-99</v>
      </c>
    </row>
    <row r="2857" spans="1:10" hidden="1" x14ac:dyDescent="0.2">
      <c r="A2857" s="23" t="s">
        <v>1385</v>
      </c>
      <c r="B2857" s="37">
        <v>43685</v>
      </c>
      <c r="C2857" s="12">
        <v>5</v>
      </c>
      <c r="D2857" s="38" t="s">
        <v>1950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-99</v>
      </c>
    </row>
    <row r="2858" spans="1:10" hidden="1" x14ac:dyDescent="0.2">
      <c r="A2858" s="23" t="s">
        <v>1385</v>
      </c>
      <c r="B2858" s="37">
        <v>43685</v>
      </c>
      <c r="C2858" s="12">
        <v>6</v>
      </c>
      <c r="D2858" s="38" t="s">
        <v>1959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-99</v>
      </c>
    </row>
    <row r="2859" spans="1:10" hidden="1" x14ac:dyDescent="0.2">
      <c r="A2859" s="23" t="s">
        <v>1385</v>
      </c>
      <c r="B2859" s="37">
        <v>43685</v>
      </c>
      <c r="C2859" s="12">
        <v>6.1</v>
      </c>
      <c r="D2859" s="38" t="s">
        <v>2009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-99</v>
      </c>
    </row>
    <row r="2860" spans="1:10" hidden="1" x14ac:dyDescent="0.2">
      <c r="A2860" s="23" t="s">
        <v>1385</v>
      </c>
      <c r="B2860" s="37">
        <v>43685</v>
      </c>
      <c r="C2860" s="12">
        <v>7</v>
      </c>
      <c r="D2860" s="38" t="s">
        <v>1952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-99</v>
      </c>
    </row>
    <row r="2861" spans="1:10" hidden="1" x14ac:dyDescent="0.2">
      <c r="A2861" s="23" t="s">
        <v>1385</v>
      </c>
      <c r="B2861" s="37">
        <v>43685</v>
      </c>
      <c r="C2861" s="12">
        <v>7.1</v>
      </c>
      <c r="D2861" s="38" t="s">
        <v>2115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-96</v>
      </c>
    </row>
    <row r="2862" spans="1:10" hidden="1" x14ac:dyDescent="0.2">
      <c r="A2862" s="23" t="s">
        <v>1385</v>
      </c>
      <c r="B2862" s="37">
        <v>43685</v>
      </c>
      <c r="C2862" s="12">
        <v>8</v>
      </c>
      <c r="D2862" s="38" t="s">
        <v>1949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-95</v>
      </c>
    </row>
    <row r="2863" spans="1:10" hidden="1" x14ac:dyDescent="0.2">
      <c r="A2863" s="23" t="s">
        <v>1385</v>
      </c>
      <c r="B2863" s="37">
        <v>43685</v>
      </c>
      <c r="C2863" s="12">
        <v>9</v>
      </c>
      <c r="D2863" s="38" t="s">
        <v>1719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-95</v>
      </c>
    </row>
    <row r="2864" spans="1:10" hidden="1" x14ac:dyDescent="0.2">
      <c r="A2864" s="23" t="s">
        <v>1385</v>
      </c>
      <c r="B2864" s="37">
        <v>43685</v>
      </c>
      <c r="C2864" s="12">
        <v>10</v>
      </c>
      <c r="D2864" s="38" t="s">
        <v>311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-95</v>
      </c>
    </row>
    <row r="2865" spans="1:10" hidden="1" x14ac:dyDescent="0.2">
      <c r="A2865" s="23" t="s">
        <v>1385</v>
      </c>
      <c r="B2865" s="37">
        <v>43685</v>
      </c>
      <c r="C2865" s="12">
        <v>10</v>
      </c>
      <c r="D2865" s="38" t="s">
        <v>2142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-95</v>
      </c>
    </row>
    <row r="2866" spans="1:10" hidden="1" x14ac:dyDescent="0.2">
      <c r="A2866" s="23" t="s">
        <v>1385</v>
      </c>
      <c r="B2866" s="37">
        <v>43685</v>
      </c>
      <c r="C2866" s="12">
        <v>11</v>
      </c>
      <c r="D2866" s="38" t="s">
        <v>1961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-95</v>
      </c>
    </row>
    <row r="2867" spans="1:10" hidden="1" x14ac:dyDescent="0.2">
      <c r="A2867" s="23" t="s">
        <v>1385</v>
      </c>
      <c r="B2867" s="37">
        <v>43685</v>
      </c>
      <c r="C2867" s="12">
        <v>12</v>
      </c>
      <c r="D2867" s="38" t="s">
        <v>1962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-94</v>
      </c>
    </row>
    <row r="2868" spans="1:10" hidden="1" x14ac:dyDescent="0.2">
      <c r="A2868" s="23" t="s">
        <v>1385</v>
      </c>
      <c r="B2868" s="37">
        <v>43685</v>
      </c>
      <c r="C2868" s="12">
        <v>13</v>
      </c>
      <c r="D2868" s="38" t="s">
        <v>1963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-94</v>
      </c>
    </row>
    <row r="2869" spans="1:10" hidden="1" x14ac:dyDescent="0.2">
      <c r="A2869" s="23" t="s">
        <v>1385</v>
      </c>
      <c r="B2869" s="37">
        <v>43685</v>
      </c>
      <c r="C2869" s="12">
        <v>14</v>
      </c>
      <c r="D2869" s="38" t="s">
        <v>2139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-94</v>
      </c>
    </row>
    <row r="2870" spans="1:10" hidden="1" x14ac:dyDescent="0.2">
      <c r="A2870" s="23" t="s">
        <v>1385</v>
      </c>
      <c r="B2870" s="37">
        <v>43685</v>
      </c>
      <c r="C2870" s="12">
        <v>15</v>
      </c>
      <c r="D2870" s="38" t="s">
        <v>273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-93</v>
      </c>
    </row>
    <row r="2871" spans="1:10" hidden="1" x14ac:dyDescent="0.2">
      <c r="A2871" s="23" t="s">
        <v>1385</v>
      </c>
      <c r="B2871" s="37">
        <v>43685</v>
      </c>
      <c r="C2871" s="12">
        <v>16</v>
      </c>
      <c r="D2871" s="38" t="s">
        <v>275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-93</v>
      </c>
    </row>
    <row r="2872" spans="1:10" hidden="1" x14ac:dyDescent="0.2">
      <c r="A2872" s="23" t="s">
        <v>1385</v>
      </c>
      <c r="B2872" s="37">
        <v>43685</v>
      </c>
      <c r="C2872" s="12">
        <v>17</v>
      </c>
      <c r="D2872" s="38" t="s">
        <v>2285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-86</v>
      </c>
    </row>
    <row r="2873" spans="1:10" hidden="1" x14ac:dyDescent="0.2">
      <c r="A2873" s="23" t="s">
        <v>1385</v>
      </c>
      <c r="B2873" s="37">
        <v>43685</v>
      </c>
      <c r="C2873" s="12">
        <v>18</v>
      </c>
      <c r="D2873" s="38" t="s">
        <v>1387</v>
      </c>
      <c r="E2873" s="39">
        <v>43691</v>
      </c>
      <c r="F2873" s="40" t="s">
        <v>1184</v>
      </c>
      <c r="G2873" s="12">
        <v>1</v>
      </c>
      <c r="H2873" s="12"/>
      <c r="J2873" s="41">
        <f ca="1">ROUNDDOWN(表3[[#This Row],[日期]]-TODAY(),1)</f>
        <v>-86</v>
      </c>
    </row>
    <row r="2874" spans="1:10" hidden="1" x14ac:dyDescent="0.2">
      <c r="A2874" s="23" t="s">
        <v>1385</v>
      </c>
      <c r="B2874" s="37">
        <v>43685</v>
      </c>
      <c r="C2874" s="12">
        <v>19</v>
      </c>
      <c r="D2874" s="38" t="s">
        <v>305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-92</v>
      </c>
    </row>
    <row r="2875" spans="1:10" hidden="1" x14ac:dyDescent="0.2">
      <c r="A2875" s="23" t="s">
        <v>1385</v>
      </c>
      <c r="B2875" s="37">
        <v>43685</v>
      </c>
      <c r="C2875" s="12">
        <v>20</v>
      </c>
      <c r="D2875" s="38" t="s">
        <v>2275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-86</v>
      </c>
    </row>
    <row r="2876" spans="1:10" hidden="1" x14ac:dyDescent="0.2">
      <c r="A2876" s="23" t="s">
        <v>1385</v>
      </c>
      <c r="B2876" s="37">
        <v>43685</v>
      </c>
      <c r="C2876" s="12">
        <v>21</v>
      </c>
      <c r="D2876" s="38" t="s">
        <v>2277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-86</v>
      </c>
    </row>
    <row r="2877" spans="1:10" hidden="1" x14ac:dyDescent="0.2">
      <c r="A2877" s="23" t="s">
        <v>1385</v>
      </c>
      <c r="B2877" s="37">
        <v>43685</v>
      </c>
      <c r="C2877" s="12">
        <v>22</v>
      </c>
      <c r="D2877" s="38" t="s">
        <v>2308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-84</v>
      </c>
    </row>
    <row r="2878" spans="1:10" hidden="1" x14ac:dyDescent="0.2">
      <c r="A2878" s="23" t="s">
        <v>1372</v>
      </c>
      <c r="B2878" s="25">
        <v>43688</v>
      </c>
      <c r="C2878" s="26">
        <v>1</v>
      </c>
      <c r="D2878" s="7" t="s">
        <v>1378</v>
      </c>
      <c r="E2878" s="27">
        <v>43655</v>
      </c>
      <c r="F2878" s="28" t="s">
        <v>1381</v>
      </c>
      <c r="G2878" s="26"/>
      <c r="H2878" s="26"/>
      <c r="I2878" s="23"/>
      <c r="J2878" s="29">
        <f ca="1">ROUNDDOWN(表3[[#This Row],[日期]]-TODAY(),1)</f>
        <v>-122</v>
      </c>
    </row>
    <row r="2879" spans="1:10" hidden="1" x14ac:dyDescent="0.2">
      <c r="A2879" s="23" t="s">
        <v>1372</v>
      </c>
      <c r="B2879" s="25">
        <v>43688</v>
      </c>
      <c r="C2879" s="26">
        <v>2</v>
      </c>
      <c r="D2879" s="7" t="s">
        <v>1380</v>
      </c>
      <c r="E2879" s="27">
        <v>43657</v>
      </c>
      <c r="F2879" s="28" t="s">
        <v>1381</v>
      </c>
      <c r="G2879" s="26"/>
      <c r="H2879" s="26"/>
      <c r="I2879" s="23"/>
      <c r="J2879" s="29">
        <f ca="1">ROUNDDOWN(表3[[#This Row],[日期]]-TODAY(),1)</f>
        <v>-120</v>
      </c>
    </row>
    <row r="2880" spans="1:10" hidden="1" x14ac:dyDescent="0.2">
      <c r="A2880" s="23" t="s">
        <v>1372</v>
      </c>
      <c r="B2880" s="25">
        <v>43688</v>
      </c>
      <c r="C2880" s="26">
        <v>3</v>
      </c>
      <c r="D2880" s="7" t="s">
        <v>1382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-120</v>
      </c>
    </row>
    <row r="2881" spans="1:10" hidden="1" x14ac:dyDescent="0.2">
      <c r="A2881" s="23" t="s">
        <v>1372</v>
      </c>
      <c r="B2881" s="25">
        <v>43688</v>
      </c>
      <c r="C2881" s="26">
        <v>4</v>
      </c>
      <c r="D2881" s="7" t="s">
        <v>1383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-120</v>
      </c>
    </row>
    <row r="2882" spans="1:10" hidden="1" x14ac:dyDescent="0.2">
      <c r="A2882" s="4" t="s">
        <v>1371</v>
      </c>
      <c r="B2882" s="25">
        <v>43688</v>
      </c>
      <c r="C2882" s="12">
        <v>5</v>
      </c>
      <c r="D2882" s="38" t="s">
        <v>1653</v>
      </c>
      <c r="E2882" s="39">
        <v>43682</v>
      </c>
      <c r="F2882" s="40" t="s">
        <v>2023</v>
      </c>
      <c r="G2882" s="12"/>
      <c r="H2882" s="12"/>
      <c r="J2882" s="41">
        <f ca="1">ROUNDDOWN(表3[[#This Row],[日期]]-TODAY(),1)</f>
        <v>-95</v>
      </c>
    </row>
    <row r="2883" spans="1:10" hidden="1" x14ac:dyDescent="0.2">
      <c r="A2883" s="4" t="s">
        <v>1371</v>
      </c>
      <c r="B2883" s="37">
        <v>43688</v>
      </c>
      <c r="C2883" s="12">
        <v>5</v>
      </c>
      <c r="D2883" s="38" t="s">
        <v>1653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-93</v>
      </c>
    </row>
    <row r="2884" spans="1:10" hidden="1" x14ac:dyDescent="0.2">
      <c r="A2884" s="4" t="s">
        <v>1371</v>
      </c>
      <c r="B2884" s="25">
        <v>43688</v>
      </c>
      <c r="C2884" s="12">
        <v>6</v>
      </c>
      <c r="D2884" s="38" t="s">
        <v>1655</v>
      </c>
      <c r="E2884" s="39">
        <v>43682</v>
      </c>
      <c r="F2884" s="40" t="s">
        <v>2023</v>
      </c>
      <c r="G2884" s="12"/>
      <c r="H2884" s="12"/>
      <c r="J2884" s="41">
        <f ca="1">ROUNDDOWN(表3[[#This Row],[日期]]-TODAY(),1)</f>
        <v>-95</v>
      </c>
    </row>
    <row r="2885" spans="1:10" hidden="1" x14ac:dyDescent="0.2">
      <c r="A2885" s="4" t="s">
        <v>1371</v>
      </c>
      <c r="B2885" s="37">
        <v>43688</v>
      </c>
      <c r="C2885" s="12">
        <v>6</v>
      </c>
      <c r="D2885" s="38" t="s">
        <v>2011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-92</v>
      </c>
    </row>
    <row r="2886" spans="1:10" hidden="1" x14ac:dyDescent="0.2">
      <c r="A2886" s="4" t="s">
        <v>1371</v>
      </c>
      <c r="B2886" s="25">
        <v>43688</v>
      </c>
      <c r="C2886" s="12">
        <v>7</v>
      </c>
      <c r="D2886" s="38" t="s">
        <v>1498</v>
      </c>
      <c r="E2886" s="39">
        <v>43682</v>
      </c>
      <c r="F2886" s="40" t="s">
        <v>2023</v>
      </c>
      <c r="G2886" s="12"/>
      <c r="H2886" s="12"/>
      <c r="J2886" s="41">
        <f ca="1">ROUNDDOWN(表3[[#This Row],[日期]]-TODAY(),1)</f>
        <v>-95</v>
      </c>
    </row>
    <row r="2887" spans="1:10" hidden="1" x14ac:dyDescent="0.2">
      <c r="A2887" s="4" t="s">
        <v>1371</v>
      </c>
      <c r="B2887" s="37">
        <v>43688</v>
      </c>
      <c r="C2887" s="12">
        <v>7</v>
      </c>
      <c r="D2887" s="38" t="s">
        <v>1655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-92</v>
      </c>
    </row>
    <row r="2888" spans="1:10" hidden="1" x14ac:dyDescent="0.2">
      <c r="A2888" s="4" t="s">
        <v>1371</v>
      </c>
      <c r="B2888" s="25">
        <v>43688</v>
      </c>
      <c r="C2888" s="12">
        <v>8</v>
      </c>
      <c r="D2888" s="38" t="s">
        <v>1657</v>
      </c>
      <c r="E2888" s="39">
        <v>43682</v>
      </c>
      <c r="F2888" s="40" t="s">
        <v>2023</v>
      </c>
      <c r="G2888" s="12"/>
      <c r="H2888" s="12"/>
      <c r="J2888" s="41">
        <f ca="1">ROUNDDOWN(表3[[#This Row],[日期]]-TODAY(),1)</f>
        <v>-95</v>
      </c>
    </row>
    <row r="2889" spans="1:10" hidden="1" x14ac:dyDescent="0.2">
      <c r="A2889" s="4" t="s">
        <v>1371</v>
      </c>
      <c r="B2889" s="37">
        <v>43688</v>
      </c>
      <c r="C2889" s="12">
        <v>8</v>
      </c>
      <c r="D2889" s="38" t="s">
        <v>2198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-92</v>
      </c>
    </row>
    <row r="2890" spans="1:10" hidden="1" x14ac:dyDescent="0.2">
      <c r="A2890" s="4" t="s">
        <v>1371</v>
      </c>
      <c r="B2890" s="37">
        <v>43688</v>
      </c>
      <c r="C2890" s="12">
        <v>9</v>
      </c>
      <c r="D2890" s="38" t="s">
        <v>2013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-92</v>
      </c>
    </row>
    <row r="2891" spans="1:10" hidden="1" x14ac:dyDescent="0.2">
      <c r="A2891" s="4" t="s">
        <v>1371</v>
      </c>
      <c r="B2891" s="37">
        <v>43688</v>
      </c>
      <c r="C2891" s="12">
        <v>10</v>
      </c>
      <c r="D2891" s="38" t="s">
        <v>2014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-92</v>
      </c>
    </row>
    <row r="2892" spans="1:10" hidden="1" x14ac:dyDescent="0.2">
      <c r="A2892" s="4" t="s">
        <v>1371</v>
      </c>
      <c r="B2892" s="37">
        <v>43688</v>
      </c>
      <c r="C2892" s="12">
        <v>11</v>
      </c>
      <c r="D2892" s="38" t="s">
        <v>2015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-92</v>
      </c>
    </row>
    <row r="2893" spans="1:10" hidden="1" x14ac:dyDescent="0.2">
      <c r="A2893" s="23" t="s">
        <v>1372</v>
      </c>
      <c r="B2893" s="25">
        <v>43688</v>
      </c>
      <c r="C2893" s="12">
        <v>11.1</v>
      </c>
      <c r="D2893" s="38" t="s">
        <v>2272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-80</v>
      </c>
    </row>
    <row r="2894" spans="1:10" hidden="1" x14ac:dyDescent="0.2">
      <c r="A2894" s="23" t="s">
        <v>1372</v>
      </c>
      <c r="B2894" s="25">
        <v>43688</v>
      </c>
      <c r="C2894" s="12">
        <v>11.1</v>
      </c>
      <c r="D2894" s="38" t="s">
        <v>2385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-80</v>
      </c>
    </row>
    <row r="2895" spans="1:10" hidden="1" x14ac:dyDescent="0.2">
      <c r="A2895" s="4" t="s">
        <v>1371</v>
      </c>
      <c r="B2895" s="37">
        <v>43688</v>
      </c>
      <c r="C2895" s="12">
        <v>12</v>
      </c>
      <c r="D2895" s="38" t="s">
        <v>2016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-92</v>
      </c>
    </row>
    <row r="2896" spans="1:10" hidden="1" x14ac:dyDescent="0.2">
      <c r="A2896" s="4" t="s">
        <v>1371</v>
      </c>
      <c r="B2896" s="37">
        <v>43688</v>
      </c>
      <c r="C2896" s="12">
        <v>13</v>
      </c>
      <c r="D2896" s="38" t="s">
        <v>2017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-92</v>
      </c>
    </row>
    <row r="2897" spans="1:10" hidden="1" x14ac:dyDescent="0.2">
      <c r="A2897" s="4" t="s">
        <v>1371</v>
      </c>
      <c r="B2897" s="37">
        <v>43688</v>
      </c>
      <c r="C2897" s="12">
        <v>14</v>
      </c>
      <c r="D2897" s="38" t="s">
        <v>2018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-92</v>
      </c>
    </row>
    <row r="2898" spans="1:10" hidden="1" x14ac:dyDescent="0.2">
      <c r="A2898" s="4" t="s">
        <v>1371</v>
      </c>
      <c r="B2898" s="37">
        <v>43688</v>
      </c>
      <c r="C2898" s="12">
        <v>15</v>
      </c>
      <c r="D2898" s="38" t="s">
        <v>269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-91</v>
      </c>
    </row>
    <row r="2899" spans="1:10" hidden="1" x14ac:dyDescent="0.2">
      <c r="A2899" s="4" t="s">
        <v>1371</v>
      </c>
      <c r="B2899" s="37">
        <v>43688</v>
      </c>
      <c r="C2899" s="12">
        <v>16</v>
      </c>
      <c r="D2899" s="38" t="s">
        <v>271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-91</v>
      </c>
    </row>
    <row r="2900" spans="1:10" hidden="1" x14ac:dyDescent="0.2">
      <c r="A2900" s="4" t="s">
        <v>1371</v>
      </c>
      <c r="B2900" s="37">
        <v>43688</v>
      </c>
      <c r="C2900" s="12">
        <v>17</v>
      </c>
      <c r="D2900" s="38" t="s">
        <v>273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-80</v>
      </c>
    </row>
    <row r="2901" spans="1:10" hidden="1" x14ac:dyDescent="0.2">
      <c r="A2901" s="4" t="s">
        <v>1371</v>
      </c>
      <c r="B2901" s="37">
        <v>43688</v>
      </c>
      <c r="C2901" s="12">
        <v>18</v>
      </c>
      <c r="D2901" s="38" t="s">
        <v>275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-80</v>
      </c>
    </row>
    <row r="2902" spans="1:10" hidden="1" x14ac:dyDescent="0.2">
      <c r="A2902" s="4" t="s">
        <v>1371</v>
      </c>
      <c r="B2902" s="37">
        <v>43688</v>
      </c>
      <c r="C2902" s="12">
        <v>19</v>
      </c>
      <c r="D2902" s="38" t="s">
        <v>2400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-78</v>
      </c>
    </row>
    <row r="2903" spans="1:10" hidden="1" x14ac:dyDescent="0.2">
      <c r="A2903" s="4" t="s">
        <v>1371</v>
      </c>
      <c r="B2903" s="37">
        <v>43688</v>
      </c>
      <c r="C2903" s="12">
        <v>20</v>
      </c>
      <c r="D2903" s="38" t="s">
        <v>2019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-78</v>
      </c>
    </row>
    <row r="2904" spans="1:10" hidden="1" x14ac:dyDescent="0.2">
      <c r="A2904" s="4" t="s">
        <v>1371</v>
      </c>
      <c r="B2904" s="37">
        <v>43688</v>
      </c>
      <c r="C2904" s="12">
        <v>21</v>
      </c>
      <c r="D2904" s="38" t="s">
        <v>1990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-73</v>
      </c>
    </row>
    <row r="2905" spans="1:10" hidden="1" x14ac:dyDescent="0.2">
      <c r="A2905" s="4" t="s">
        <v>1371</v>
      </c>
      <c r="B2905" s="37">
        <v>43688</v>
      </c>
      <c r="C2905" s="12">
        <v>22</v>
      </c>
      <c r="D2905" s="38" t="s">
        <v>2020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-73</v>
      </c>
    </row>
    <row r="2906" spans="1:10" hidden="1" x14ac:dyDescent="0.2">
      <c r="A2906" s="4" t="s">
        <v>1371</v>
      </c>
      <c r="B2906" s="37">
        <v>43688</v>
      </c>
      <c r="C2906" s="12">
        <v>23</v>
      </c>
      <c r="D2906" s="38" t="s">
        <v>2281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-85</v>
      </c>
    </row>
    <row r="2907" spans="1:10" hidden="1" x14ac:dyDescent="0.2">
      <c r="A2907" s="4" t="s">
        <v>2831</v>
      </c>
      <c r="B2907" s="37">
        <v>43688</v>
      </c>
      <c r="C2907" s="12">
        <v>1</v>
      </c>
      <c r="D2907" s="38" t="s">
        <v>507</v>
      </c>
      <c r="E2907" s="39">
        <v>43675</v>
      </c>
      <c r="F2907" s="40" t="s">
        <v>1915</v>
      </c>
      <c r="G2907" s="12"/>
      <c r="H2907" s="12"/>
      <c r="J2907" s="41">
        <f ca="1">ROUNDDOWN(表3[[#This Row],[日期]]-TODAY(),1)</f>
        <v>-102</v>
      </c>
    </row>
    <row r="2908" spans="1:10" hidden="1" x14ac:dyDescent="0.2">
      <c r="A2908" s="4" t="s">
        <v>2831</v>
      </c>
      <c r="B2908" s="37">
        <v>43688</v>
      </c>
      <c r="C2908" s="12">
        <v>2</v>
      </c>
      <c r="D2908" s="38" t="s">
        <v>1518</v>
      </c>
      <c r="E2908" s="39">
        <v>43675</v>
      </c>
      <c r="F2908" s="40" t="s">
        <v>1915</v>
      </c>
      <c r="G2908" s="12"/>
      <c r="H2908" s="12"/>
      <c r="I2908" s="4" t="s">
        <v>1521</v>
      </c>
      <c r="J2908" s="41">
        <f ca="1">ROUNDDOWN(表3[[#This Row],[日期]]-TODAY(),1)</f>
        <v>-102</v>
      </c>
    </row>
    <row r="2909" spans="1:10" hidden="1" x14ac:dyDescent="0.2">
      <c r="A2909" s="4" t="s">
        <v>2831</v>
      </c>
      <c r="B2909" s="37">
        <v>43688</v>
      </c>
      <c r="C2909" s="12">
        <v>3</v>
      </c>
      <c r="D2909" s="38" t="s">
        <v>1779</v>
      </c>
      <c r="E2909" s="39">
        <v>43675</v>
      </c>
      <c r="F2909" s="40" t="s">
        <v>1915</v>
      </c>
      <c r="G2909" s="12"/>
      <c r="H2909" s="12"/>
      <c r="I2909" s="4" t="s">
        <v>1523</v>
      </c>
      <c r="J2909" s="41">
        <f ca="1">ROUNDDOWN(表3[[#This Row],[日期]]-TODAY(),1)</f>
        <v>-102</v>
      </c>
    </row>
    <row r="2910" spans="1:10" hidden="1" x14ac:dyDescent="0.2">
      <c r="A2910" s="4" t="s">
        <v>2831</v>
      </c>
      <c r="B2910" s="37">
        <v>43688</v>
      </c>
      <c r="C2910" s="12">
        <v>4</v>
      </c>
      <c r="D2910" s="38" t="s">
        <v>1526</v>
      </c>
      <c r="E2910" s="39">
        <v>43675</v>
      </c>
      <c r="F2910" s="40" t="s">
        <v>1915</v>
      </c>
      <c r="G2910" s="12"/>
      <c r="H2910" s="12"/>
      <c r="I2910" s="4" t="s">
        <v>1528</v>
      </c>
      <c r="J2910" s="41">
        <f ca="1">ROUNDDOWN(表3[[#This Row],[日期]]-TODAY(),1)</f>
        <v>-102</v>
      </c>
    </row>
    <row r="2911" spans="1:10" hidden="1" x14ac:dyDescent="0.2">
      <c r="A2911" s="4" t="s">
        <v>2831</v>
      </c>
      <c r="B2911" s="37">
        <v>43688</v>
      </c>
      <c r="C2911" s="12">
        <v>5</v>
      </c>
      <c r="D2911" s="38" t="s">
        <v>1703</v>
      </c>
      <c r="E2911" s="39">
        <v>43675</v>
      </c>
      <c r="F2911" s="40" t="s">
        <v>1915</v>
      </c>
      <c r="G2911" s="12"/>
      <c r="H2911" s="12"/>
      <c r="J2911" s="41">
        <f ca="1">ROUNDDOWN(表3[[#This Row],[日期]]-TODAY(),1)</f>
        <v>-102</v>
      </c>
    </row>
    <row r="2912" spans="1:10" hidden="1" x14ac:dyDescent="0.2">
      <c r="A2912" s="4" t="s">
        <v>2831</v>
      </c>
      <c r="B2912" s="37">
        <v>43688</v>
      </c>
      <c r="C2912" s="12">
        <v>6</v>
      </c>
      <c r="D2912" s="38" t="s">
        <v>1533</v>
      </c>
      <c r="E2912" s="39">
        <v>43676</v>
      </c>
      <c r="F2912" s="40" t="s">
        <v>1184</v>
      </c>
      <c r="G2912" s="12"/>
      <c r="H2912" s="12"/>
      <c r="J2912" s="41">
        <f ca="1">ROUNDDOWN(表3[[#This Row],[日期]]-TODAY(),1)</f>
        <v>-101</v>
      </c>
    </row>
    <row r="2913" spans="1:10" hidden="1" x14ac:dyDescent="0.2">
      <c r="A2913" s="4" t="s">
        <v>2831</v>
      </c>
      <c r="B2913" s="37">
        <v>43688</v>
      </c>
      <c r="C2913" s="12">
        <v>7</v>
      </c>
      <c r="D2913" s="38" t="s">
        <v>1535</v>
      </c>
      <c r="E2913" s="39">
        <v>43676</v>
      </c>
      <c r="F2913" s="40" t="s">
        <v>1184</v>
      </c>
      <c r="G2913" s="12"/>
      <c r="H2913" s="12"/>
      <c r="I2913" s="4" t="s">
        <v>1537</v>
      </c>
      <c r="J2913" s="41">
        <f ca="1">ROUNDDOWN(表3[[#This Row],[日期]]-TODAY(),1)</f>
        <v>-101</v>
      </c>
    </row>
    <row r="2914" spans="1:10" hidden="1" x14ac:dyDescent="0.2">
      <c r="A2914" s="4" t="s">
        <v>2831</v>
      </c>
      <c r="B2914" s="37">
        <v>43688</v>
      </c>
      <c r="C2914" s="12">
        <v>8</v>
      </c>
      <c r="D2914" s="38" t="s">
        <v>1531</v>
      </c>
      <c r="E2914" s="39">
        <v>43676</v>
      </c>
      <c r="F2914" s="40" t="s">
        <v>1184</v>
      </c>
      <c r="G2914" s="12"/>
      <c r="H2914" s="12"/>
      <c r="J2914" s="41">
        <f ca="1">ROUNDDOWN(表3[[#This Row],[日期]]-TODAY(),1)</f>
        <v>-101</v>
      </c>
    </row>
    <row r="2915" spans="1:10" hidden="1" x14ac:dyDescent="0.2">
      <c r="A2915" s="4" t="s">
        <v>2831</v>
      </c>
      <c r="B2915" s="37">
        <v>43688</v>
      </c>
      <c r="C2915" s="12">
        <v>9</v>
      </c>
      <c r="D2915" s="38" t="s">
        <v>1539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-101</v>
      </c>
    </row>
    <row r="2916" spans="1:10" hidden="1" x14ac:dyDescent="0.2">
      <c r="A2916" s="4" t="s">
        <v>2831</v>
      </c>
      <c r="B2916" s="37">
        <v>43688</v>
      </c>
      <c r="C2916" s="12">
        <v>10</v>
      </c>
      <c r="D2916" s="38" t="s">
        <v>1704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-101</v>
      </c>
    </row>
    <row r="2917" spans="1:10" hidden="1" x14ac:dyDescent="0.2">
      <c r="A2917" s="4" t="s">
        <v>2831</v>
      </c>
      <c r="B2917" s="37">
        <v>43688</v>
      </c>
      <c r="C2917" s="12">
        <v>10.1</v>
      </c>
      <c r="D2917" s="38" t="s">
        <v>1929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-101</v>
      </c>
    </row>
    <row r="2918" spans="1:10" hidden="1" x14ac:dyDescent="0.2">
      <c r="A2918" s="4" t="s">
        <v>2831</v>
      </c>
      <c r="B2918" s="37">
        <v>43688</v>
      </c>
      <c r="C2918" s="12">
        <v>11</v>
      </c>
      <c r="D2918" s="38" t="s">
        <v>1878</v>
      </c>
      <c r="E2918" s="39">
        <v>43685</v>
      </c>
      <c r="F2918" s="40" t="s">
        <v>1184</v>
      </c>
      <c r="G2918" s="12">
        <v>3</v>
      </c>
      <c r="H2918" s="12"/>
      <c r="J2918" s="41">
        <f ca="1">ROUNDDOWN(表3[[#This Row],[日期]]-TODAY(),1)</f>
        <v>-92</v>
      </c>
    </row>
    <row r="2919" spans="1:10" hidden="1" x14ac:dyDescent="0.2">
      <c r="A2919" s="4" t="s">
        <v>2831</v>
      </c>
      <c r="B2919" s="37">
        <v>43688</v>
      </c>
      <c r="C2919" s="12">
        <v>12</v>
      </c>
      <c r="D2919" s="38" t="s">
        <v>1541</v>
      </c>
      <c r="E2919" s="39">
        <v>43686</v>
      </c>
      <c r="F2919" s="40" t="s">
        <v>242</v>
      </c>
      <c r="G2919" s="12">
        <v>1</v>
      </c>
      <c r="H2919" s="12"/>
      <c r="I2919" s="4" t="s">
        <v>529</v>
      </c>
      <c r="J2919" s="41">
        <f ca="1">ROUNDDOWN(表3[[#This Row],[日期]]-TODAY(),1)</f>
        <v>-91</v>
      </c>
    </row>
    <row r="2920" spans="1:10" hidden="1" x14ac:dyDescent="0.2">
      <c r="A2920" s="4" t="s">
        <v>2831</v>
      </c>
      <c r="B2920" s="37">
        <v>43688</v>
      </c>
      <c r="C2920" s="12">
        <v>13</v>
      </c>
      <c r="D2920" s="38" t="s">
        <v>1543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-91</v>
      </c>
    </row>
    <row r="2921" spans="1:10" hidden="1" x14ac:dyDescent="0.2">
      <c r="A2921" s="4" t="s">
        <v>2831</v>
      </c>
      <c r="B2921" s="37">
        <v>43688</v>
      </c>
      <c r="C2921" s="12">
        <v>14</v>
      </c>
      <c r="D2921" s="38" t="s">
        <v>1545</v>
      </c>
      <c r="E2921" s="39">
        <v>43686</v>
      </c>
      <c r="F2921" s="40" t="s">
        <v>242</v>
      </c>
      <c r="G2921" s="12">
        <v>1</v>
      </c>
      <c r="H2921" s="12"/>
      <c r="I2921" s="4" t="s">
        <v>1547</v>
      </c>
      <c r="J2921" s="41">
        <f ca="1">ROUNDDOWN(表3[[#This Row],[日期]]-TODAY(),1)</f>
        <v>-91</v>
      </c>
    </row>
    <row r="2922" spans="1:10" hidden="1" x14ac:dyDescent="0.2">
      <c r="A2922" s="4" t="s">
        <v>2831</v>
      </c>
      <c r="B2922" s="37">
        <v>43688</v>
      </c>
      <c r="C2922" s="12">
        <v>15</v>
      </c>
      <c r="D2922" s="38" t="s">
        <v>1549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-91</v>
      </c>
    </row>
    <row r="2923" spans="1:10" hidden="1" x14ac:dyDescent="0.2">
      <c r="A2923" s="4" t="s">
        <v>2831</v>
      </c>
      <c r="B2923" s="37">
        <v>43688</v>
      </c>
      <c r="C2923" s="12">
        <v>16</v>
      </c>
      <c r="D2923" s="38" t="s">
        <v>1556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-91</v>
      </c>
    </row>
    <row r="2924" spans="1:10" hidden="1" x14ac:dyDescent="0.2">
      <c r="A2924" s="4" t="s">
        <v>2831</v>
      </c>
      <c r="B2924" s="37">
        <v>43688</v>
      </c>
      <c r="C2924" s="12">
        <v>17</v>
      </c>
      <c r="D2924" s="38" t="s">
        <v>1298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-91</v>
      </c>
    </row>
    <row r="2925" spans="1:10" hidden="1" x14ac:dyDescent="0.2">
      <c r="A2925" s="4" t="s">
        <v>2831</v>
      </c>
      <c r="B2925" s="37">
        <v>43688</v>
      </c>
      <c r="C2925" s="12">
        <v>18</v>
      </c>
      <c r="D2925" s="38" t="s">
        <v>1552</v>
      </c>
      <c r="E2925" s="39">
        <v>43686</v>
      </c>
      <c r="F2925" s="40" t="s">
        <v>242</v>
      </c>
      <c r="G2925" s="12">
        <v>1</v>
      </c>
      <c r="H2925" s="12"/>
      <c r="I2925" s="4" t="s">
        <v>1554</v>
      </c>
      <c r="J2925" s="41">
        <f ca="1">ROUNDDOWN(表3[[#This Row],[日期]]-TODAY(),1)</f>
        <v>-91</v>
      </c>
    </row>
    <row r="2926" spans="1:10" hidden="1" x14ac:dyDescent="0.2">
      <c r="A2926" s="4" t="s">
        <v>2831</v>
      </c>
      <c r="B2926" s="37">
        <v>43688</v>
      </c>
      <c r="C2926" s="12">
        <v>19</v>
      </c>
      <c r="D2926" s="38" t="s">
        <v>1558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-91</v>
      </c>
    </row>
    <row r="2927" spans="1:10" hidden="1" x14ac:dyDescent="0.2">
      <c r="A2927" s="4" t="s">
        <v>2831</v>
      </c>
      <c r="B2927" s="37">
        <v>43688</v>
      </c>
      <c r="C2927" s="12">
        <v>20</v>
      </c>
      <c r="D2927" s="38" t="s">
        <v>1560</v>
      </c>
      <c r="E2927" s="39">
        <v>43686</v>
      </c>
      <c r="F2927" s="40" t="s">
        <v>1184</v>
      </c>
      <c r="G2927" s="12">
        <v>1</v>
      </c>
      <c r="H2927" s="12"/>
      <c r="J2927" s="41">
        <f ca="1">ROUNDDOWN(表3[[#This Row],[日期]]-TODAY(),1)</f>
        <v>-91</v>
      </c>
    </row>
    <row r="2928" spans="1:10" hidden="1" x14ac:dyDescent="0.2">
      <c r="A2928" s="4" t="s">
        <v>2831</v>
      </c>
      <c r="B2928" s="37">
        <v>43688</v>
      </c>
      <c r="C2928" s="12">
        <v>21</v>
      </c>
      <c r="D2928" s="38" t="s">
        <v>1562</v>
      </c>
      <c r="E2928" s="39">
        <v>43686</v>
      </c>
      <c r="F2928" s="40" t="s">
        <v>1184</v>
      </c>
      <c r="G2928" s="12">
        <v>1</v>
      </c>
      <c r="H2928" s="12"/>
      <c r="J2928" s="41">
        <f ca="1">ROUNDDOWN(表3[[#This Row],[日期]]-TODAY(),1)</f>
        <v>-91</v>
      </c>
    </row>
    <row r="2929" spans="1:10" hidden="1" x14ac:dyDescent="0.2">
      <c r="A2929" s="4" t="s">
        <v>2831</v>
      </c>
      <c r="B2929" s="37">
        <v>43688</v>
      </c>
      <c r="C2929" s="12">
        <v>22</v>
      </c>
      <c r="D2929" s="38" t="s">
        <v>1564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-91</v>
      </c>
    </row>
    <row r="2930" spans="1:10" hidden="1" x14ac:dyDescent="0.2">
      <c r="A2930" s="4" t="s">
        <v>2831</v>
      </c>
      <c r="B2930" s="37">
        <v>43688</v>
      </c>
      <c r="C2930" s="12">
        <v>23</v>
      </c>
      <c r="D2930" s="38" t="s">
        <v>1566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-91</v>
      </c>
    </row>
    <row r="2931" spans="1:10" hidden="1" x14ac:dyDescent="0.2">
      <c r="A2931" s="4" t="s">
        <v>2831</v>
      </c>
      <c r="B2931" s="37">
        <v>43688</v>
      </c>
      <c r="C2931" s="12">
        <v>24</v>
      </c>
      <c r="D2931" s="38" t="s">
        <v>1954</v>
      </c>
      <c r="E2931" s="39">
        <v>43686</v>
      </c>
      <c r="F2931" s="40" t="s">
        <v>242</v>
      </c>
      <c r="G2931" s="12">
        <v>1</v>
      </c>
      <c r="H2931" s="12"/>
      <c r="I2931" s="4" t="s">
        <v>1528</v>
      </c>
      <c r="J2931" s="41">
        <f ca="1">ROUNDDOWN(表3[[#This Row],[日期]]-TODAY(),1)</f>
        <v>-91</v>
      </c>
    </row>
    <row r="2932" spans="1:10" hidden="1" x14ac:dyDescent="0.2">
      <c r="A2932" s="4" t="s">
        <v>2831</v>
      </c>
      <c r="B2932" s="37">
        <v>43688</v>
      </c>
      <c r="C2932" s="12">
        <v>25</v>
      </c>
      <c r="D2932" s="38" t="s">
        <v>305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-85</v>
      </c>
    </row>
    <row r="2933" spans="1:10" hidden="1" x14ac:dyDescent="0.2">
      <c r="A2933" s="4" t="s">
        <v>2831</v>
      </c>
      <c r="B2933" s="37">
        <v>43688</v>
      </c>
      <c r="C2933" s="12">
        <v>26</v>
      </c>
      <c r="D2933" s="38" t="s">
        <v>1572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-85</v>
      </c>
    </row>
    <row r="2934" spans="1:10" hidden="1" x14ac:dyDescent="0.2">
      <c r="A2934" s="4" t="s">
        <v>2831</v>
      </c>
      <c r="B2934" s="37">
        <v>43688</v>
      </c>
      <c r="C2934" s="12">
        <v>27</v>
      </c>
      <c r="D2934" s="38" t="s">
        <v>1570</v>
      </c>
      <c r="E2934" s="39">
        <v>43692</v>
      </c>
      <c r="F2934" s="40" t="s">
        <v>242</v>
      </c>
      <c r="G2934" s="12">
        <v>4</v>
      </c>
      <c r="H2934" s="12"/>
      <c r="I2934" s="4" t="s">
        <v>1528</v>
      </c>
      <c r="J2934" s="41">
        <f ca="1">ROUNDDOWN(表3[[#This Row],[日期]]-TODAY(),1)</f>
        <v>-85</v>
      </c>
    </row>
    <row r="2935" spans="1:10" hidden="1" x14ac:dyDescent="0.2">
      <c r="A2935" s="4" t="s">
        <v>2847</v>
      </c>
      <c r="B2935" s="37">
        <v>43689</v>
      </c>
      <c r="C2935" s="12">
        <v>1</v>
      </c>
      <c r="D2935" s="38" t="s">
        <v>2260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-85</v>
      </c>
    </row>
    <row r="2936" spans="1:10" hidden="1" x14ac:dyDescent="0.2">
      <c r="A2936" s="4" t="s">
        <v>2847</v>
      </c>
      <c r="B2936" s="37">
        <v>43689</v>
      </c>
      <c r="C2936" s="12">
        <v>2</v>
      </c>
      <c r="D2936" s="38" t="s">
        <v>1475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-88</v>
      </c>
    </row>
    <row r="2937" spans="1:10" hidden="1" x14ac:dyDescent="0.2">
      <c r="A2937" s="4" t="s">
        <v>2847</v>
      </c>
      <c r="B2937" s="37">
        <v>43689</v>
      </c>
      <c r="C2937" s="12">
        <v>3</v>
      </c>
      <c r="D2937" s="38" t="s">
        <v>1477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-88</v>
      </c>
    </row>
    <row r="2938" spans="1:10" hidden="1" x14ac:dyDescent="0.2">
      <c r="A2938" s="4" t="s">
        <v>2847</v>
      </c>
      <c r="B2938" s="37">
        <v>43689</v>
      </c>
      <c r="C2938" s="12">
        <v>4</v>
      </c>
      <c r="D2938" s="38" t="s">
        <v>1478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-88</v>
      </c>
    </row>
    <row r="2939" spans="1:10" hidden="1" x14ac:dyDescent="0.2">
      <c r="A2939" s="4" t="s">
        <v>2847</v>
      </c>
      <c r="B2939" s="37">
        <v>43689</v>
      </c>
      <c r="C2939" s="12">
        <v>5</v>
      </c>
      <c r="D2939" s="38" t="s">
        <v>899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-85</v>
      </c>
    </row>
    <row r="2940" spans="1:10" hidden="1" x14ac:dyDescent="0.2">
      <c r="A2940" s="4" t="s">
        <v>2847</v>
      </c>
      <c r="B2940" s="37">
        <v>43689</v>
      </c>
      <c r="C2940" s="12">
        <v>6</v>
      </c>
      <c r="D2940" s="38" t="s">
        <v>2212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-88</v>
      </c>
    </row>
    <row r="2941" spans="1:10" hidden="1" x14ac:dyDescent="0.2">
      <c r="A2941" s="4" t="s">
        <v>2847</v>
      </c>
      <c r="B2941" s="37">
        <v>43689</v>
      </c>
      <c r="C2941" s="12">
        <v>7</v>
      </c>
      <c r="D2941" s="38" t="s">
        <v>738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-88</v>
      </c>
    </row>
    <row r="2942" spans="1:10" hidden="1" x14ac:dyDescent="0.2">
      <c r="A2942" s="4" t="s">
        <v>2847</v>
      </c>
      <c r="B2942" s="37">
        <v>43689</v>
      </c>
      <c r="C2942" s="12">
        <v>8</v>
      </c>
      <c r="D2942" s="38" t="s">
        <v>738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-86</v>
      </c>
    </row>
    <row r="2943" spans="1:10" hidden="1" x14ac:dyDescent="0.2">
      <c r="A2943" s="4" t="s">
        <v>2847</v>
      </c>
      <c r="B2943" s="37">
        <v>43689</v>
      </c>
      <c r="C2943" s="12">
        <v>9</v>
      </c>
      <c r="D2943" s="38" t="s">
        <v>2379</v>
      </c>
      <c r="E2943" s="39">
        <v>43696</v>
      </c>
      <c r="F2943" s="40" t="s">
        <v>242</v>
      </c>
      <c r="G2943" s="12">
        <v>2</v>
      </c>
      <c r="H2943" s="12"/>
      <c r="I2943" s="4" t="s">
        <v>743</v>
      </c>
      <c r="J2943" s="41">
        <f ca="1">ROUNDDOWN(表3[[#This Row],[日期]]-TODAY(),1)</f>
        <v>-81</v>
      </c>
    </row>
    <row r="2944" spans="1:10" hidden="1" x14ac:dyDescent="0.2">
      <c r="A2944" s="4" t="s">
        <v>2847</v>
      </c>
      <c r="B2944" s="37">
        <v>43689</v>
      </c>
      <c r="C2944" s="12">
        <v>10</v>
      </c>
      <c r="D2944" s="38" t="s">
        <v>899</v>
      </c>
      <c r="E2944" s="39">
        <v>43696</v>
      </c>
      <c r="F2944" s="40" t="s">
        <v>1184</v>
      </c>
      <c r="G2944" s="12">
        <v>4</v>
      </c>
      <c r="H2944" s="12"/>
      <c r="I2944" s="4" t="s">
        <v>743</v>
      </c>
      <c r="J2944" s="41">
        <f ca="1">ROUNDDOWN(表3[[#This Row],[日期]]-TODAY(),1)</f>
        <v>-81</v>
      </c>
    </row>
    <row r="2945" spans="1:10" hidden="1" x14ac:dyDescent="0.2">
      <c r="A2945" s="4" t="s">
        <v>2847</v>
      </c>
      <c r="B2945" s="37">
        <v>43689</v>
      </c>
      <c r="C2945" s="12">
        <v>11</v>
      </c>
      <c r="D2945" s="38" t="s">
        <v>1734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-84</v>
      </c>
    </row>
    <row r="2946" spans="1:10" hidden="1" x14ac:dyDescent="0.2">
      <c r="A2946" s="4" t="s">
        <v>2847</v>
      </c>
      <c r="B2946" s="37">
        <v>43689</v>
      </c>
      <c r="C2946" s="12">
        <v>12</v>
      </c>
      <c r="D2946" s="38" t="s">
        <v>1031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-84</v>
      </c>
    </row>
    <row r="2947" spans="1:10" hidden="1" x14ac:dyDescent="0.2">
      <c r="A2947" s="4" t="s">
        <v>2847</v>
      </c>
      <c r="B2947" s="37">
        <v>43689</v>
      </c>
      <c r="C2947" s="12">
        <v>13</v>
      </c>
      <c r="D2947" s="38" t="s">
        <v>738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-84</v>
      </c>
    </row>
    <row r="2948" spans="1:10" hidden="1" x14ac:dyDescent="0.2">
      <c r="A2948" s="4" t="s">
        <v>2847</v>
      </c>
      <c r="B2948" s="37">
        <v>43689</v>
      </c>
      <c r="C2948" s="12">
        <v>14</v>
      </c>
      <c r="D2948" s="38" t="s">
        <v>2344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-81</v>
      </c>
    </row>
    <row r="2949" spans="1:10" hidden="1" x14ac:dyDescent="0.2">
      <c r="A2949" s="4" t="s">
        <v>2847</v>
      </c>
      <c r="B2949" s="37">
        <v>43689</v>
      </c>
      <c r="C2949" s="12">
        <v>15</v>
      </c>
      <c r="D2949" s="38" t="s">
        <v>900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-84</v>
      </c>
    </row>
    <row r="2950" spans="1:10" hidden="1" x14ac:dyDescent="0.2">
      <c r="A2950" s="4" t="s">
        <v>2847</v>
      </c>
      <c r="B2950" s="37">
        <v>43689</v>
      </c>
      <c r="C2950" s="12">
        <v>16</v>
      </c>
      <c r="D2950" s="38" t="s">
        <v>2104</v>
      </c>
      <c r="E2950" s="39">
        <v>43698</v>
      </c>
      <c r="F2950" s="40" t="s">
        <v>1184</v>
      </c>
      <c r="G2950" s="12"/>
      <c r="H2950" s="12"/>
      <c r="I2950" s="4" t="s">
        <v>220</v>
      </c>
      <c r="J2950" s="41">
        <f ca="1">ROUNDDOWN(表3[[#This Row],[日期]]-TODAY(),1)</f>
        <v>-79</v>
      </c>
    </row>
    <row r="2951" spans="1:10" hidden="1" x14ac:dyDescent="0.2">
      <c r="A2951" s="4" t="s">
        <v>2847</v>
      </c>
      <c r="B2951" s="37">
        <v>43689</v>
      </c>
      <c r="C2951" s="12">
        <v>23</v>
      </c>
      <c r="D2951" s="38" t="s">
        <v>2284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-86</v>
      </c>
    </row>
    <row r="2952" spans="1:10" hidden="1" x14ac:dyDescent="0.2">
      <c r="A2952" s="4" t="s">
        <v>2847</v>
      </c>
      <c r="B2952" s="37">
        <v>43689</v>
      </c>
      <c r="C2952" s="12">
        <v>24</v>
      </c>
      <c r="D2952" s="38" t="s">
        <v>2278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-83</v>
      </c>
    </row>
    <row r="2953" spans="1:10" hidden="1" x14ac:dyDescent="0.2">
      <c r="A2953" s="4" t="s">
        <v>2847</v>
      </c>
      <c r="B2953" s="37">
        <v>43689</v>
      </c>
      <c r="C2953" s="12">
        <v>25</v>
      </c>
      <c r="D2953" s="38" t="s">
        <v>2279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-84</v>
      </c>
    </row>
    <row r="2954" spans="1:10" hidden="1" x14ac:dyDescent="0.2">
      <c r="A2954" s="4" t="s">
        <v>2847</v>
      </c>
      <c r="B2954" s="37">
        <v>43689</v>
      </c>
      <c r="C2954" s="12"/>
      <c r="D2954" s="38" t="s">
        <v>2286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-74</v>
      </c>
    </row>
    <row r="2955" spans="1:10" hidden="1" x14ac:dyDescent="0.2">
      <c r="A2955" s="4" t="s">
        <v>2847</v>
      </c>
      <c r="B2955" s="37">
        <v>43689</v>
      </c>
      <c r="C2955" s="12"/>
      <c r="D2955" s="38" t="s">
        <v>2288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-85</v>
      </c>
    </row>
    <row r="2956" spans="1:10" hidden="1" x14ac:dyDescent="0.2">
      <c r="A2956" s="4" t="s">
        <v>2831</v>
      </c>
      <c r="B2956" s="37">
        <v>43690</v>
      </c>
      <c r="C2956" s="12">
        <v>1</v>
      </c>
      <c r="D2956" s="38" t="s">
        <v>507</v>
      </c>
      <c r="E2956" s="39">
        <v>43684</v>
      </c>
      <c r="F2956" s="40" t="s">
        <v>2182</v>
      </c>
      <c r="G2956" s="12"/>
      <c r="H2956" s="12"/>
      <c r="J2956" s="41">
        <f ca="1">ROUNDDOWN(表3[[#This Row],[日期]]-TODAY(),1)</f>
        <v>-93</v>
      </c>
    </row>
    <row r="2957" spans="1:10" hidden="1" x14ac:dyDescent="0.2">
      <c r="A2957" s="4" t="s">
        <v>2831</v>
      </c>
      <c r="B2957" s="37">
        <v>43690</v>
      </c>
      <c r="C2957" s="12">
        <v>2</v>
      </c>
      <c r="D2957" s="38" t="s">
        <v>2177</v>
      </c>
      <c r="E2957" s="39">
        <v>43684</v>
      </c>
      <c r="F2957" s="40" t="s">
        <v>242</v>
      </c>
      <c r="G2957" s="12"/>
      <c r="H2957" s="12"/>
      <c r="I2957" s="4" t="s">
        <v>2178</v>
      </c>
      <c r="J2957" s="41">
        <f ca="1">ROUNDDOWN(表3[[#This Row],[日期]]-TODAY(),1)</f>
        <v>-93</v>
      </c>
    </row>
    <row r="2958" spans="1:10" hidden="1" x14ac:dyDescent="0.2">
      <c r="A2958" s="4" t="s">
        <v>2831</v>
      </c>
      <c r="B2958" s="37">
        <v>43690</v>
      </c>
      <c r="C2958" s="12">
        <v>3</v>
      </c>
      <c r="D2958" s="38" t="s">
        <v>2164</v>
      </c>
      <c r="E2958" s="39">
        <v>43684</v>
      </c>
      <c r="F2958" s="40" t="s">
        <v>242</v>
      </c>
      <c r="G2958" s="12"/>
      <c r="H2958" s="12"/>
      <c r="I2958" s="4" t="s">
        <v>2165</v>
      </c>
      <c r="J2958" s="41">
        <f ca="1">ROUNDDOWN(表3[[#This Row],[日期]]-TODAY(),1)</f>
        <v>-93</v>
      </c>
    </row>
    <row r="2959" spans="1:10" hidden="1" x14ac:dyDescent="0.2">
      <c r="A2959" s="4" t="s">
        <v>2831</v>
      </c>
      <c r="B2959" s="37">
        <v>43690</v>
      </c>
      <c r="C2959" s="12">
        <v>4</v>
      </c>
      <c r="D2959" s="38" t="s">
        <v>2166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-93</v>
      </c>
    </row>
    <row r="2960" spans="1:10" hidden="1" x14ac:dyDescent="0.2">
      <c r="A2960" s="4" t="s">
        <v>2831</v>
      </c>
      <c r="B2960" s="37">
        <v>43690</v>
      </c>
      <c r="C2960" s="12">
        <v>5</v>
      </c>
      <c r="D2960" s="38" t="s">
        <v>517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-93</v>
      </c>
    </row>
    <row r="2961" spans="1:10" hidden="1" x14ac:dyDescent="0.2">
      <c r="A2961" s="4" t="s">
        <v>2831</v>
      </c>
      <c r="B2961" s="37">
        <v>43690</v>
      </c>
      <c r="C2961" s="12">
        <v>6</v>
      </c>
      <c r="D2961" s="38" t="s">
        <v>2167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-92</v>
      </c>
    </row>
    <row r="2962" spans="1:10" hidden="1" x14ac:dyDescent="0.2">
      <c r="A2962" s="4" t="s">
        <v>2831</v>
      </c>
      <c r="B2962" s="37">
        <v>43690</v>
      </c>
      <c r="C2962" s="12">
        <v>7</v>
      </c>
      <c r="D2962" s="38" t="s">
        <v>2168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-92</v>
      </c>
    </row>
    <row r="2963" spans="1:10" hidden="1" x14ac:dyDescent="0.2">
      <c r="A2963" s="4" t="s">
        <v>2831</v>
      </c>
      <c r="B2963" s="37">
        <v>43690</v>
      </c>
      <c r="C2963" s="12">
        <v>8</v>
      </c>
      <c r="D2963" s="38" t="s">
        <v>2169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-92</v>
      </c>
    </row>
    <row r="2964" spans="1:10" hidden="1" x14ac:dyDescent="0.2">
      <c r="A2964" s="4" t="s">
        <v>2831</v>
      </c>
      <c r="B2964" s="37">
        <v>43690</v>
      </c>
      <c r="C2964" s="12">
        <v>9</v>
      </c>
      <c r="D2964" s="38" t="s">
        <v>2170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-92</v>
      </c>
    </row>
    <row r="2965" spans="1:10" hidden="1" x14ac:dyDescent="0.2">
      <c r="A2965" s="4" t="s">
        <v>2831</v>
      </c>
      <c r="B2965" s="37">
        <v>43690</v>
      </c>
      <c r="C2965" s="12">
        <v>10</v>
      </c>
      <c r="D2965" s="38" t="s">
        <v>2229</v>
      </c>
      <c r="E2965" s="39">
        <v>43686</v>
      </c>
      <c r="F2965" s="40" t="s">
        <v>2230</v>
      </c>
      <c r="G2965" s="12"/>
      <c r="H2965" s="12"/>
      <c r="J2965" s="41">
        <f ca="1">ROUNDDOWN(表3[[#This Row],[日期]]-TODAY(),1)</f>
        <v>-91</v>
      </c>
    </row>
    <row r="2966" spans="1:10" hidden="1" x14ac:dyDescent="0.2">
      <c r="A2966" s="4" t="s">
        <v>2831</v>
      </c>
      <c r="B2966" s="37">
        <v>43690</v>
      </c>
      <c r="C2966" s="12">
        <v>10.199999999999999</v>
      </c>
      <c r="D2966" s="38" t="s">
        <v>2231</v>
      </c>
      <c r="E2966" s="39">
        <v>43686</v>
      </c>
      <c r="F2966" s="40" t="s">
        <v>2230</v>
      </c>
      <c r="G2966" s="12"/>
      <c r="H2966" s="12"/>
      <c r="J2966" s="41">
        <f ca="1">ROUNDDOWN(表3[[#This Row],[日期]]-TODAY(),1)</f>
        <v>-91</v>
      </c>
    </row>
    <row r="2967" spans="1:10" hidden="1" x14ac:dyDescent="0.2">
      <c r="A2967" s="4" t="s">
        <v>2831</v>
      </c>
      <c r="B2967" s="37">
        <v>43690</v>
      </c>
      <c r="C2967" s="12">
        <v>10.9</v>
      </c>
      <c r="D2967" s="38" t="s">
        <v>2179</v>
      </c>
      <c r="E2967" s="39">
        <v>43692</v>
      </c>
      <c r="F2967" s="40" t="s">
        <v>2772</v>
      </c>
      <c r="G2967" s="12"/>
      <c r="H2967" s="12"/>
      <c r="I2967" s="4" t="s">
        <v>2178</v>
      </c>
      <c r="J2967" s="41">
        <f ca="1">ROUNDDOWN(表3[[#This Row],[日期]]-TODAY(),1)</f>
        <v>-85</v>
      </c>
    </row>
    <row r="2968" spans="1:10" hidden="1" x14ac:dyDescent="0.2">
      <c r="A2968" s="4" t="s">
        <v>2831</v>
      </c>
      <c r="B2968" s="37">
        <v>43690</v>
      </c>
      <c r="C2968" s="12">
        <v>11</v>
      </c>
      <c r="D2968" s="38" t="s">
        <v>1322</v>
      </c>
      <c r="E2968" s="39">
        <v>43692</v>
      </c>
      <c r="F2968" s="40" t="s">
        <v>2772</v>
      </c>
      <c r="G2968" s="12"/>
      <c r="H2968" s="12"/>
      <c r="J2968" s="41">
        <f ca="1">ROUNDDOWN(表3[[#This Row],[日期]]-TODAY(),1)</f>
        <v>-85</v>
      </c>
    </row>
    <row r="2969" spans="1:10" hidden="1" x14ac:dyDescent="0.2">
      <c r="A2969" s="4" t="s">
        <v>2831</v>
      </c>
      <c r="B2969" s="37">
        <v>43690</v>
      </c>
      <c r="C2969" s="12">
        <v>12</v>
      </c>
      <c r="D2969" s="38" t="s">
        <v>1325</v>
      </c>
      <c r="E2969" s="39">
        <v>43692</v>
      </c>
      <c r="F2969" s="40" t="s">
        <v>2772</v>
      </c>
      <c r="G2969" s="12"/>
      <c r="H2969" s="12"/>
      <c r="J2969" s="41">
        <f ca="1">ROUNDDOWN(表3[[#This Row],[日期]]-TODAY(),1)</f>
        <v>-85</v>
      </c>
    </row>
    <row r="2970" spans="1:10" hidden="1" x14ac:dyDescent="0.2">
      <c r="A2970" s="4" t="s">
        <v>2831</v>
      </c>
      <c r="B2970" s="37">
        <v>43690</v>
      </c>
      <c r="C2970" s="12">
        <v>14</v>
      </c>
      <c r="D2970" s="38" t="s">
        <v>305</v>
      </c>
      <c r="E2970" s="39">
        <v>43692</v>
      </c>
      <c r="F2970" s="40" t="s">
        <v>2772</v>
      </c>
      <c r="G2970" s="12"/>
      <c r="H2970" s="12"/>
      <c r="J2970" s="41">
        <f ca="1">ROUNDDOWN(表3[[#This Row],[日期]]-TODAY(),1)</f>
        <v>-85</v>
      </c>
    </row>
    <row r="2971" spans="1:10" hidden="1" x14ac:dyDescent="0.2">
      <c r="A2971" s="4" t="s">
        <v>2831</v>
      </c>
      <c r="B2971" s="37">
        <v>43690</v>
      </c>
      <c r="C2971" s="12">
        <v>15</v>
      </c>
      <c r="D2971" s="38" t="s">
        <v>1329</v>
      </c>
      <c r="E2971" s="39">
        <v>43692</v>
      </c>
      <c r="F2971" s="40" t="s">
        <v>2772</v>
      </c>
      <c r="G2971" s="12"/>
      <c r="H2971" s="12"/>
      <c r="J2971" s="41">
        <f ca="1">ROUNDDOWN(表3[[#This Row],[日期]]-TODAY(),1)</f>
        <v>-85</v>
      </c>
    </row>
    <row r="2972" spans="1:10" hidden="1" x14ac:dyDescent="0.2">
      <c r="A2972" s="4" t="s">
        <v>2831</v>
      </c>
      <c r="B2972" s="37">
        <v>43690</v>
      </c>
      <c r="C2972" s="12">
        <v>16</v>
      </c>
      <c r="D2972" s="38" t="s">
        <v>2171</v>
      </c>
      <c r="E2972" s="39">
        <v>43692</v>
      </c>
      <c r="F2972" s="40" t="s">
        <v>2772</v>
      </c>
      <c r="G2972" s="12"/>
      <c r="H2972" s="12"/>
      <c r="J2972" s="41">
        <f ca="1">ROUNDDOWN(表3[[#This Row],[日期]]-TODAY(),1)</f>
        <v>-85</v>
      </c>
    </row>
    <row r="2973" spans="1:10" hidden="1" x14ac:dyDescent="0.2">
      <c r="A2973" s="4" t="s">
        <v>2831</v>
      </c>
      <c r="B2973" s="37">
        <v>43690</v>
      </c>
      <c r="C2973" s="12">
        <v>17</v>
      </c>
      <c r="D2973" s="38" t="s">
        <v>1331</v>
      </c>
      <c r="E2973" s="39">
        <v>43692</v>
      </c>
      <c r="F2973" s="40" t="s">
        <v>2772</v>
      </c>
      <c r="G2973" s="12"/>
      <c r="H2973" s="12"/>
      <c r="J2973" s="41">
        <f ca="1">ROUNDDOWN(表3[[#This Row],[日期]]-TODAY(),1)</f>
        <v>-85</v>
      </c>
    </row>
    <row r="2974" spans="1:10" hidden="1" x14ac:dyDescent="0.2">
      <c r="A2974" s="4" t="s">
        <v>2831</v>
      </c>
      <c r="B2974" s="37">
        <v>43690</v>
      </c>
      <c r="C2974" s="12">
        <v>18</v>
      </c>
      <c r="D2974" s="38" t="s">
        <v>1333</v>
      </c>
      <c r="E2974" s="39">
        <v>43692</v>
      </c>
      <c r="F2974" s="40" t="s">
        <v>2772</v>
      </c>
      <c r="G2974" s="12"/>
      <c r="H2974" s="12"/>
      <c r="J2974" s="41">
        <f ca="1">ROUNDDOWN(表3[[#This Row],[日期]]-TODAY(),1)</f>
        <v>-85</v>
      </c>
    </row>
    <row r="2975" spans="1:10" hidden="1" x14ac:dyDescent="0.2">
      <c r="A2975" s="4" t="s">
        <v>2831</v>
      </c>
      <c r="B2975" s="37">
        <v>43690</v>
      </c>
      <c r="C2975" s="12">
        <v>19</v>
      </c>
      <c r="D2975" s="38" t="s">
        <v>2172</v>
      </c>
      <c r="E2975" s="39">
        <v>43692</v>
      </c>
      <c r="F2975" s="40" t="s">
        <v>2772</v>
      </c>
      <c r="G2975" s="12"/>
      <c r="H2975" s="12"/>
      <c r="J2975" s="41">
        <f ca="1">ROUNDDOWN(表3[[#This Row],[日期]]-TODAY(),1)</f>
        <v>-85</v>
      </c>
    </row>
    <row r="2976" spans="1:10" hidden="1" x14ac:dyDescent="0.2">
      <c r="A2976" s="4" t="s">
        <v>2831</v>
      </c>
      <c r="B2976" s="37">
        <v>43690</v>
      </c>
      <c r="C2976" s="12">
        <v>20</v>
      </c>
      <c r="D2976" s="38" t="s">
        <v>2173</v>
      </c>
      <c r="E2976" s="39">
        <v>43692</v>
      </c>
      <c r="F2976" s="40" t="s">
        <v>2772</v>
      </c>
      <c r="G2976" s="12"/>
      <c r="H2976" s="12"/>
      <c r="J2976" s="41">
        <f ca="1">ROUNDDOWN(表3[[#This Row],[日期]]-TODAY(),1)</f>
        <v>-85</v>
      </c>
    </row>
    <row r="2977" spans="1:10" hidden="1" x14ac:dyDescent="0.2">
      <c r="A2977" s="4" t="s">
        <v>2831</v>
      </c>
      <c r="B2977" s="37">
        <v>43690</v>
      </c>
      <c r="C2977" s="12">
        <v>21</v>
      </c>
      <c r="D2977" s="38" t="s">
        <v>2174</v>
      </c>
      <c r="E2977" s="39">
        <v>43692</v>
      </c>
      <c r="F2977" s="40" t="s">
        <v>2772</v>
      </c>
      <c r="G2977" s="12"/>
      <c r="H2977" s="12"/>
      <c r="J2977" s="41">
        <f ca="1">ROUNDDOWN(表3[[#This Row],[日期]]-TODAY(),1)</f>
        <v>-85</v>
      </c>
    </row>
    <row r="2978" spans="1:10" hidden="1" x14ac:dyDescent="0.2">
      <c r="A2978" s="4" t="s">
        <v>2831</v>
      </c>
      <c r="B2978" s="37">
        <v>43690</v>
      </c>
      <c r="C2978" s="12">
        <v>22</v>
      </c>
      <c r="D2978" s="38" t="s">
        <v>2175</v>
      </c>
      <c r="E2978" s="39">
        <v>43692</v>
      </c>
      <c r="F2978" s="40" t="s">
        <v>2772</v>
      </c>
      <c r="G2978" s="12"/>
      <c r="H2978" s="12"/>
      <c r="J2978" s="41">
        <f ca="1">ROUNDDOWN(表3[[#This Row],[日期]]-TODAY(),1)</f>
        <v>-85</v>
      </c>
    </row>
    <row r="2979" spans="1:10" hidden="1" x14ac:dyDescent="0.2">
      <c r="A2979" s="4" t="s">
        <v>2831</v>
      </c>
      <c r="B2979" s="37">
        <v>43690</v>
      </c>
      <c r="C2979" s="12">
        <v>23</v>
      </c>
      <c r="D2979" s="38" t="s">
        <v>2176</v>
      </c>
      <c r="E2979" s="39">
        <v>43692</v>
      </c>
      <c r="F2979" s="40" t="s">
        <v>2772</v>
      </c>
      <c r="G2979" s="12"/>
      <c r="H2979" s="12"/>
      <c r="J2979" s="41">
        <f ca="1">ROUNDDOWN(表3[[#This Row],[日期]]-TODAY(),1)</f>
        <v>-85</v>
      </c>
    </row>
    <row r="2980" spans="1:10" hidden="1" x14ac:dyDescent="0.2">
      <c r="A2980" s="4" t="s">
        <v>2831</v>
      </c>
      <c r="B2980" s="37">
        <v>43690</v>
      </c>
      <c r="C2980" s="12">
        <v>24</v>
      </c>
      <c r="D2980" s="38" t="s">
        <v>2171</v>
      </c>
      <c r="E2980" s="39">
        <v>43692</v>
      </c>
      <c r="F2980" s="40" t="s">
        <v>2772</v>
      </c>
      <c r="G2980" s="12"/>
      <c r="H2980" s="12"/>
      <c r="J2980" s="41">
        <f ca="1">ROUNDDOWN(表3[[#This Row],[日期]]-TODAY(),1)</f>
        <v>-85</v>
      </c>
    </row>
    <row r="2981" spans="1:10" hidden="1" x14ac:dyDescent="0.2">
      <c r="A2981" s="4" t="s">
        <v>2831</v>
      </c>
      <c r="B2981" s="37">
        <v>43690</v>
      </c>
      <c r="C2981" s="12">
        <v>25</v>
      </c>
      <c r="D2981" s="38" t="s">
        <v>2397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-77</v>
      </c>
    </row>
    <row r="2982" spans="1:10" hidden="1" x14ac:dyDescent="0.2">
      <c r="A2982" s="4" t="s">
        <v>2831</v>
      </c>
      <c r="B2982" s="37">
        <v>43690</v>
      </c>
      <c r="C2982" s="12">
        <v>26</v>
      </c>
      <c r="D2982" s="38" t="s">
        <v>2434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-73</v>
      </c>
    </row>
    <row r="2983" spans="1:10" hidden="1" x14ac:dyDescent="0.2">
      <c r="A2983" s="4" t="s">
        <v>2831</v>
      </c>
      <c r="B2983" s="37">
        <v>43690</v>
      </c>
      <c r="C2983" s="12">
        <v>27</v>
      </c>
      <c r="D2983" s="38" t="s">
        <v>2398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-73</v>
      </c>
    </row>
    <row r="2984" spans="1:10" hidden="1" x14ac:dyDescent="0.2">
      <c r="A2984" s="4" t="s">
        <v>2831</v>
      </c>
      <c r="B2984" s="37">
        <v>43690</v>
      </c>
      <c r="C2984" s="12"/>
      <c r="D2984" s="38" t="s">
        <v>3815</v>
      </c>
      <c r="E2984" s="39">
        <v>43770</v>
      </c>
      <c r="F2984" s="40" t="s">
        <v>242</v>
      </c>
      <c r="G2984" s="12"/>
      <c r="H2984" s="12" t="s">
        <v>3375</v>
      </c>
      <c r="J2984" s="41">
        <f ca="1">ROUNDDOWN(表3[[#This Row],[日期]]-TODAY(),1)</f>
        <v>-7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-106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-106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-105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1263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-105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1859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-105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1860</v>
      </c>
      <c r="E2990" s="39">
        <v>43682</v>
      </c>
      <c r="F2990" s="40" t="s">
        <v>242</v>
      </c>
      <c r="G2990" s="12">
        <v>2</v>
      </c>
      <c r="H2990" s="12"/>
      <c r="I2990" s="4" t="s">
        <v>1265</v>
      </c>
      <c r="J2990" s="41">
        <f ca="1">ROUNDDOWN(表3[[#This Row],[日期]]-TODAY(),1)</f>
        <v>-95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972</v>
      </c>
      <c r="E2991" s="39">
        <v>43683</v>
      </c>
      <c r="F2991" s="40" t="s">
        <v>242</v>
      </c>
      <c r="G2991" s="12">
        <v>4</v>
      </c>
      <c r="H2991" s="12"/>
      <c r="I2991" s="4" t="s">
        <v>2058</v>
      </c>
      <c r="J2991" s="41">
        <f ca="1">ROUNDDOWN(表3[[#This Row],[日期]]-TODAY(),1)</f>
        <v>-94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973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-94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-94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1861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-94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-94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-93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-93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974</v>
      </c>
      <c r="E2998" s="39">
        <v>43685</v>
      </c>
      <c r="F2998" s="40" t="s">
        <v>242</v>
      </c>
      <c r="G2998" s="12">
        <v>3</v>
      </c>
      <c r="H2998" s="12"/>
      <c r="I2998" s="4" t="s">
        <v>256</v>
      </c>
      <c r="J2998" s="41">
        <f ca="1">ROUNDDOWN(表3[[#This Row],[日期]]-TODAY(),1)</f>
        <v>-92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261</v>
      </c>
      <c r="E2999" s="39">
        <v>43686</v>
      </c>
      <c r="F2999" s="40" t="s">
        <v>242</v>
      </c>
      <c r="G2999" s="12">
        <v>1</v>
      </c>
      <c r="H2999" s="12"/>
      <c r="I2999" s="4" t="s">
        <v>259</v>
      </c>
      <c r="J2999" s="41">
        <f ca="1">ROUNDDOWN(表3[[#This Row],[日期]]-TODAY(),1)</f>
        <v>-91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263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-91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2217</v>
      </c>
      <c r="E3001" s="39">
        <v>43687</v>
      </c>
      <c r="F3001" s="40" t="s">
        <v>2218</v>
      </c>
      <c r="G3001" s="12">
        <v>2</v>
      </c>
      <c r="H3001" s="12"/>
      <c r="J3001" s="41">
        <f ca="1">ROUNDDOWN(表3[[#This Row],[日期]]-TODAY(),1)</f>
        <v>-90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2219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-89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281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-88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283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-88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267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-88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2228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-88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271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-88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273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-87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2225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-88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275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-86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2236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-86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277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-85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2334</v>
      </c>
      <c r="E3013" s="39">
        <v>43693</v>
      </c>
      <c r="F3013" s="40" t="s">
        <v>242</v>
      </c>
      <c r="G3013" s="12">
        <v>1</v>
      </c>
      <c r="H3013" s="12"/>
      <c r="I3013" s="48" t="s">
        <v>2157</v>
      </c>
      <c r="J3013" s="41">
        <f ca="1">ROUNDDOWN(表3[[#This Row],[日期]]-TODAY(),1)</f>
        <v>-84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412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-85</v>
      </c>
    </row>
    <row r="3015" spans="1:10" hidden="1" x14ac:dyDescent="0.2">
      <c r="A3015" s="4" t="s">
        <v>2192</v>
      </c>
      <c r="B3015" s="37">
        <v>43691</v>
      </c>
      <c r="C3015" s="12">
        <v>1</v>
      </c>
      <c r="D3015" s="38" t="s">
        <v>364</v>
      </c>
      <c r="E3015" s="39">
        <v>43679</v>
      </c>
      <c r="F3015" s="40" t="s">
        <v>2193</v>
      </c>
      <c r="G3015" s="12"/>
      <c r="H3015" s="12"/>
      <c r="J3015" s="41">
        <f ca="1">ROUNDDOWN(表3[[#This Row],[日期]]-TODAY(),1)</f>
        <v>-98</v>
      </c>
    </row>
    <row r="3016" spans="1:10" hidden="1" x14ac:dyDescent="0.2">
      <c r="A3016" s="4" t="s">
        <v>2192</v>
      </c>
      <c r="B3016" s="37">
        <v>43691</v>
      </c>
      <c r="C3016" s="12">
        <v>2</v>
      </c>
      <c r="D3016" s="38" t="s">
        <v>863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-92</v>
      </c>
    </row>
    <row r="3017" spans="1:10" hidden="1" x14ac:dyDescent="0.2">
      <c r="A3017" s="4" t="s">
        <v>2192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-92</v>
      </c>
    </row>
    <row r="3018" spans="1:10" hidden="1" x14ac:dyDescent="0.2">
      <c r="A3018" s="4" t="s">
        <v>2192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-92</v>
      </c>
    </row>
    <row r="3019" spans="1:10" hidden="1" x14ac:dyDescent="0.2">
      <c r="A3019" s="4" t="s">
        <v>2192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-92</v>
      </c>
    </row>
    <row r="3020" spans="1:10" hidden="1" x14ac:dyDescent="0.2">
      <c r="A3020" s="4" t="s">
        <v>2192</v>
      </c>
      <c r="B3020" s="37">
        <v>43691</v>
      </c>
      <c r="C3020" s="12">
        <v>6</v>
      </c>
      <c r="D3020" s="38" t="s">
        <v>864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-92</v>
      </c>
    </row>
    <row r="3021" spans="1:10" hidden="1" x14ac:dyDescent="0.2">
      <c r="A3021" s="4" t="s">
        <v>2192</v>
      </c>
      <c r="B3021" s="37">
        <v>43691</v>
      </c>
      <c r="C3021" s="12">
        <v>7</v>
      </c>
      <c r="D3021" s="38" t="s">
        <v>2242</v>
      </c>
      <c r="E3021" s="39">
        <v>43689</v>
      </c>
      <c r="F3021" s="40" t="s">
        <v>242</v>
      </c>
      <c r="G3021" s="12">
        <v>4</v>
      </c>
      <c r="H3021" s="12"/>
      <c r="I3021" s="4" t="s">
        <v>2241</v>
      </c>
      <c r="J3021" s="41">
        <f ca="1">ROUNDDOWN(表3[[#This Row],[日期]]-TODAY(),1)</f>
        <v>-88</v>
      </c>
    </row>
    <row r="3022" spans="1:10" hidden="1" x14ac:dyDescent="0.2">
      <c r="A3022" s="4" t="s">
        <v>2192</v>
      </c>
      <c r="B3022" s="37">
        <v>43691</v>
      </c>
      <c r="C3022" s="12">
        <v>8</v>
      </c>
      <c r="D3022" s="38" t="s">
        <v>307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-91</v>
      </c>
    </row>
    <row r="3023" spans="1:10" hidden="1" x14ac:dyDescent="0.2">
      <c r="A3023" s="4" t="s">
        <v>2192</v>
      </c>
      <c r="B3023" s="37">
        <v>43691</v>
      </c>
      <c r="C3023" s="12">
        <v>9</v>
      </c>
      <c r="D3023" s="38" t="s">
        <v>865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-91</v>
      </c>
    </row>
    <row r="3024" spans="1:10" hidden="1" x14ac:dyDescent="0.2">
      <c r="A3024" s="4" t="s">
        <v>2192</v>
      </c>
      <c r="B3024" s="37">
        <v>43691</v>
      </c>
      <c r="C3024" s="12">
        <v>10</v>
      </c>
      <c r="D3024" s="38" t="s">
        <v>866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-91</v>
      </c>
    </row>
    <row r="3025" spans="1:10" hidden="1" x14ac:dyDescent="0.2">
      <c r="A3025" s="4" t="s">
        <v>2192</v>
      </c>
      <c r="B3025" s="37">
        <v>43691</v>
      </c>
      <c r="C3025" s="12">
        <v>11</v>
      </c>
      <c r="D3025" s="38" t="s">
        <v>309</v>
      </c>
      <c r="E3025" s="39">
        <v>43687</v>
      </c>
      <c r="F3025" s="40" t="s">
        <v>1184</v>
      </c>
      <c r="G3025" s="12">
        <v>3</v>
      </c>
      <c r="H3025" s="12"/>
      <c r="I3025" s="4" t="s">
        <v>310</v>
      </c>
      <c r="J3025" s="41">
        <f ca="1">ROUNDDOWN(表3[[#This Row],[日期]]-TODAY(),1)</f>
        <v>-90</v>
      </c>
    </row>
    <row r="3026" spans="1:10" hidden="1" x14ac:dyDescent="0.2">
      <c r="A3026" s="4" t="s">
        <v>2192</v>
      </c>
      <c r="B3026" s="37">
        <v>43691</v>
      </c>
      <c r="C3026" s="12">
        <v>12</v>
      </c>
      <c r="D3026" s="38" t="s">
        <v>867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-87</v>
      </c>
    </row>
    <row r="3027" spans="1:10" hidden="1" x14ac:dyDescent="0.2">
      <c r="A3027" s="4" t="s">
        <v>2192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-87</v>
      </c>
    </row>
    <row r="3028" spans="1:10" hidden="1" x14ac:dyDescent="0.2">
      <c r="A3028" s="4" t="s">
        <v>2192</v>
      </c>
      <c r="B3028" s="37">
        <v>43691</v>
      </c>
      <c r="C3028" s="12">
        <v>14</v>
      </c>
      <c r="D3028" s="38" t="s">
        <v>311</v>
      </c>
      <c r="E3028" s="39">
        <v>43691</v>
      </c>
      <c r="F3028" s="40" t="s">
        <v>242</v>
      </c>
      <c r="G3028" s="12">
        <v>4</v>
      </c>
      <c r="H3028" s="12"/>
      <c r="I3028" s="4" t="s">
        <v>310</v>
      </c>
      <c r="J3028" s="41">
        <f ca="1">ROUNDDOWN(表3[[#This Row],[日期]]-TODAY(),1)</f>
        <v>-86</v>
      </c>
    </row>
    <row r="3029" spans="1:10" hidden="1" x14ac:dyDescent="0.2">
      <c r="A3029" s="4" t="s">
        <v>2192</v>
      </c>
      <c r="B3029" s="37">
        <v>43691</v>
      </c>
      <c r="C3029" s="12">
        <v>15</v>
      </c>
      <c r="D3029" s="38" t="s">
        <v>868</v>
      </c>
      <c r="E3029" s="39">
        <v>43691</v>
      </c>
      <c r="F3029" s="40" t="s">
        <v>242</v>
      </c>
      <c r="G3029" s="12">
        <v>2</v>
      </c>
      <c r="H3029" s="12"/>
      <c r="I3029" s="4" t="s">
        <v>310</v>
      </c>
      <c r="J3029" s="41">
        <f ca="1">ROUNDDOWN(表3[[#This Row],[日期]]-TODAY(),1)</f>
        <v>-86</v>
      </c>
    </row>
    <row r="3030" spans="1:10" hidden="1" x14ac:dyDescent="0.2">
      <c r="A3030" s="4" t="s">
        <v>2192</v>
      </c>
      <c r="B3030" s="37">
        <v>43691</v>
      </c>
      <c r="C3030" s="12">
        <v>16</v>
      </c>
      <c r="D3030" s="38" t="s">
        <v>313</v>
      </c>
      <c r="E3030" s="39">
        <v>43691</v>
      </c>
      <c r="F3030" s="40" t="s">
        <v>242</v>
      </c>
      <c r="G3030" s="12">
        <v>3</v>
      </c>
      <c r="H3030" s="12"/>
      <c r="I3030" s="4" t="s">
        <v>310</v>
      </c>
      <c r="J3030" s="41">
        <f ca="1">ROUNDDOWN(表3[[#This Row],[日期]]-TODAY(),1)</f>
        <v>-86</v>
      </c>
    </row>
    <row r="3031" spans="1:10" hidden="1" x14ac:dyDescent="0.2">
      <c r="A3031" s="4" t="s">
        <v>2192</v>
      </c>
      <c r="B3031" s="37">
        <v>43691</v>
      </c>
      <c r="C3031" s="12">
        <v>17</v>
      </c>
      <c r="D3031" s="38" t="s">
        <v>271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-86</v>
      </c>
    </row>
    <row r="3032" spans="1:10" hidden="1" x14ac:dyDescent="0.2">
      <c r="A3032" s="4" t="s">
        <v>2192</v>
      </c>
      <c r="B3032" s="37">
        <v>43691</v>
      </c>
      <c r="C3032" s="12">
        <v>18</v>
      </c>
      <c r="D3032" s="38" t="s">
        <v>273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-86</v>
      </c>
    </row>
    <row r="3033" spans="1:10" hidden="1" x14ac:dyDescent="0.2">
      <c r="A3033" s="4" t="s">
        <v>2192</v>
      </c>
      <c r="B3033" s="37">
        <v>43691</v>
      </c>
      <c r="C3033" s="12">
        <v>19</v>
      </c>
      <c r="D3033" s="38" t="s">
        <v>275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-85</v>
      </c>
    </row>
    <row r="3034" spans="1:10" hidden="1" x14ac:dyDescent="0.2">
      <c r="A3034" s="4" t="s">
        <v>2192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-84</v>
      </c>
    </row>
    <row r="3035" spans="1:10" hidden="1" x14ac:dyDescent="0.2">
      <c r="A3035" s="4" t="s">
        <v>2192</v>
      </c>
      <c r="B3035" s="37">
        <v>43691</v>
      </c>
      <c r="C3035" s="12">
        <v>21</v>
      </c>
      <c r="D3035" s="38" t="s">
        <v>1387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-84</v>
      </c>
    </row>
    <row r="3036" spans="1:10" hidden="1" x14ac:dyDescent="0.2">
      <c r="A3036" s="4" t="s">
        <v>2192</v>
      </c>
      <c r="B3036" s="37">
        <v>43691</v>
      </c>
      <c r="C3036" s="12">
        <v>22</v>
      </c>
      <c r="D3036" s="38" t="s">
        <v>305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-85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2224</v>
      </c>
      <c r="E3037" s="39">
        <v>43687</v>
      </c>
      <c r="F3037" s="40" t="s">
        <v>1184</v>
      </c>
      <c r="G3037" s="12"/>
      <c r="H3037" s="12"/>
      <c r="J3037" s="41">
        <f ca="1">ROUNDDOWN(表3[[#This Row],[日期]]-TODAY(),1)</f>
        <v>-90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2235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-88</v>
      </c>
    </row>
    <row r="3039" spans="1:10" hidden="1" x14ac:dyDescent="0.2">
      <c r="A3039" s="4" t="s">
        <v>2046</v>
      </c>
      <c r="B3039" s="37">
        <v>43691</v>
      </c>
      <c r="C3039" s="12">
        <v>1</v>
      </c>
      <c r="D3039" s="38" t="s">
        <v>364</v>
      </c>
      <c r="E3039" s="39">
        <v>43677</v>
      </c>
      <c r="F3039" s="40" t="s">
        <v>2047</v>
      </c>
      <c r="G3039" s="12"/>
      <c r="H3039" s="12"/>
      <c r="J3039" s="41">
        <f ca="1">ROUNDDOWN(表3[[#This Row],[日期]]-TODAY(),1)</f>
        <v>-100</v>
      </c>
    </row>
    <row r="3040" spans="1:10" hidden="1" x14ac:dyDescent="0.2">
      <c r="A3040" s="4" t="s">
        <v>2046</v>
      </c>
      <c r="B3040" s="37">
        <v>43691</v>
      </c>
      <c r="C3040" s="12">
        <v>2</v>
      </c>
      <c r="D3040" s="38" t="s">
        <v>863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-99</v>
      </c>
    </row>
    <row r="3041" spans="1:10" hidden="1" x14ac:dyDescent="0.2">
      <c r="A3041" s="4" t="s">
        <v>2046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-99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2150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-93</v>
      </c>
    </row>
    <row r="3043" spans="1:10" hidden="1" x14ac:dyDescent="0.2">
      <c r="A3043" s="4" t="s">
        <v>2046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-93</v>
      </c>
    </row>
    <row r="3044" spans="1:10" hidden="1" x14ac:dyDescent="0.2">
      <c r="A3044" s="4" t="s">
        <v>2046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-93</v>
      </c>
    </row>
    <row r="3045" spans="1:10" hidden="1" x14ac:dyDescent="0.2">
      <c r="A3045" s="4" t="s">
        <v>2046</v>
      </c>
      <c r="B3045" s="37">
        <v>43691</v>
      </c>
      <c r="C3045" s="12">
        <v>6</v>
      </c>
      <c r="D3045" s="38" t="s">
        <v>864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-93</v>
      </c>
    </row>
    <row r="3046" spans="1:10" hidden="1" x14ac:dyDescent="0.2">
      <c r="A3046" s="4" t="s">
        <v>2046</v>
      </c>
      <c r="B3046" s="37">
        <v>43691</v>
      </c>
      <c r="C3046" s="12">
        <v>7</v>
      </c>
      <c r="D3046" s="38" t="s">
        <v>1851</v>
      </c>
      <c r="E3046" s="39">
        <v>43684</v>
      </c>
      <c r="F3046" s="40" t="s">
        <v>1184</v>
      </c>
      <c r="G3046" s="12"/>
      <c r="H3046" s="12"/>
      <c r="I3046" s="4" t="s">
        <v>1131</v>
      </c>
      <c r="J3046" s="41">
        <f ca="1">ROUNDDOWN(表3[[#This Row],[日期]]-TODAY(),1)</f>
        <v>-93</v>
      </c>
    </row>
    <row r="3047" spans="1:10" hidden="1" x14ac:dyDescent="0.2">
      <c r="A3047" s="4" t="s">
        <v>2046</v>
      </c>
      <c r="B3047" s="37">
        <v>43691</v>
      </c>
      <c r="C3047" s="12">
        <v>8</v>
      </c>
      <c r="D3047" s="38" t="s">
        <v>307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-93</v>
      </c>
    </row>
    <row r="3048" spans="1:10" hidden="1" x14ac:dyDescent="0.2">
      <c r="A3048" s="4" t="s">
        <v>2046</v>
      </c>
      <c r="B3048" s="37">
        <v>43691</v>
      </c>
      <c r="C3048" s="12">
        <v>9</v>
      </c>
      <c r="D3048" s="38" t="s">
        <v>865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-93</v>
      </c>
    </row>
    <row r="3049" spans="1:10" hidden="1" x14ac:dyDescent="0.2">
      <c r="A3049" s="4" t="s">
        <v>2046</v>
      </c>
      <c r="B3049" s="37">
        <v>43691</v>
      </c>
      <c r="C3049" s="12">
        <v>10</v>
      </c>
      <c r="D3049" s="38" t="s">
        <v>1852</v>
      </c>
      <c r="E3049" s="39">
        <v>43684</v>
      </c>
      <c r="F3049" s="40" t="s">
        <v>1184</v>
      </c>
      <c r="G3049" s="12"/>
      <c r="H3049" s="12"/>
      <c r="J3049" s="41">
        <f ca="1">ROUNDDOWN(表3[[#This Row],[日期]]-TODAY(),1)</f>
        <v>-93</v>
      </c>
    </row>
    <row r="3050" spans="1:10" hidden="1" x14ac:dyDescent="0.2">
      <c r="A3050" s="4" t="s">
        <v>2046</v>
      </c>
      <c r="B3050" s="37">
        <v>43691</v>
      </c>
      <c r="C3050" s="12">
        <v>11</v>
      </c>
      <c r="D3050" s="38" t="s">
        <v>866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-93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2205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-92</v>
      </c>
    </row>
    <row r="3052" spans="1:10" hidden="1" x14ac:dyDescent="0.2">
      <c r="A3052" s="4" t="s">
        <v>2046</v>
      </c>
      <c r="B3052" s="37">
        <v>43691</v>
      </c>
      <c r="C3052" s="12">
        <v>12</v>
      </c>
      <c r="D3052" s="38" t="s">
        <v>867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-91</v>
      </c>
    </row>
    <row r="3053" spans="1:10" hidden="1" x14ac:dyDescent="0.2">
      <c r="A3053" s="4" t="s">
        <v>2046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-91</v>
      </c>
    </row>
    <row r="3054" spans="1:10" hidden="1" x14ac:dyDescent="0.2">
      <c r="A3054" s="4" t="s">
        <v>2046</v>
      </c>
      <c r="B3054" s="37">
        <v>43691</v>
      </c>
      <c r="C3054" s="12">
        <v>14</v>
      </c>
      <c r="D3054" s="38" t="s">
        <v>868</v>
      </c>
      <c r="E3054" s="39">
        <v>43686</v>
      </c>
      <c r="F3054" s="40" t="s">
        <v>242</v>
      </c>
      <c r="G3054" s="12">
        <v>2</v>
      </c>
      <c r="H3054" s="12"/>
      <c r="I3054" s="4" t="s">
        <v>310</v>
      </c>
      <c r="J3054" s="41">
        <f ca="1">ROUNDDOWN(表3[[#This Row],[日期]]-TODAY(),1)</f>
        <v>-91</v>
      </c>
    </row>
    <row r="3055" spans="1:10" hidden="1" x14ac:dyDescent="0.2">
      <c r="A3055" s="4" t="s">
        <v>2046</v>
      </c>
      <c r="B3055" s="37">
        <v>43691</v>
      </c>
      <c r="C3055" s="12">
        <v>15</v>
      </c>
      <c r="D3055" s="38" t="s">
        <v>313</v>
      </c>
      <c r="E3055" s="39">
        <v>43686</v>
      </c>
      <c r="F3055" s="40" t="s">
        <v>242</v>
      </c>
      <c r="G3055" s="12">
        <v>4</v>
      </c>
      <c r="H3055" s="12"/>
      <c r="I3055" s="4" t="s">
        <v>310</v>
      </c>
      <c r="J3055" s="41">
        <f ca="1">ROUNDDOWN(表3[[#This Row],[日期]]-TODAY(),1)</f>
        <v>-91</v>
      </c>
    </row>
    <row r="3056" spans="1:10" hidden="1" x14ac:dyDescent="0.2">
      <c r="A3056" s="4" t="s">
        <v>2046</v>
      </c>
      <c r="B3056" s="37">
        <v>43691</v>
      </c>
      <c r="C3056" s="12">
        <v>16</v>
      </c>
      <c r="D3056" s="38" t="s">
        <v>309</v>
      </c>
      <c r="E3056" s="39">
        <v>43686</v>
      </c>
      <c r="F3056" s="40" t="s">
        <v>242</v>
      </c>
      <c r="G3056" s="12">
        <v>4</v>
      </c>
      <c r="H3056" s="12"/>
      <c r="I3056" s="4" t="s">
        <v>310</v>
      </c>
      <c r="J3056" s="41">
        <f ca="1">ROUNDDOWN(表3[[#This Row],[日期]]-TODAY(),1)</f>
        <v>-91</v>
      </c>
    </row>
    <row r="3057" spans="1:10" hidden="1" x14ac:dyDescent="0.2">
      <c r="A3057" s="4" t="s">
        <v>2046</v>
      </c>
      <c r="B3057" s="37">
        <v>43691</v>
      </c>
      <c r="C3057" s="12">
        <v>17</v>
      </c>
      <c r="D3057" s="38" t="s">
        <v>2226</v>
      </c>
      <c r="E3057" s="39">
        <v>43688</v>
      </c>
      <c r="F3057" s="40" t="s">
        <v>242</v>
      </c>
      <c r="G3057" s="12"/>
      <c r="H3057" s="12"/>
      <c r="I3057" s="4" t="s">
        <v>310</v>
      </c>
      <c r="J3057" s="41">
        <f ca="1">ROUNDDOWN(表3[[#This Row],[日期]]-TODAY(),1)</f>
        <v>-89</v>
      </c>
    </row>
    <row r="3058" spans="1:10" hidden="1" x14ac:dyDescent="0.2">
      <c r="A3058" s="4" t="s">
        <v>2046</v>
      </c>
      <c r="B3058" s="37">
        <v>43691</v>
      </c>
      <c r="C3058" s="12">
        <v>18</v>
      </c>
      <c r="D3058" s="38" t="s">
        <v>271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-89</v>
      </c>
    </row>
    <row r="3059" spans="1:10" hidden="1" x14ac:dyDescent="0.2">
      <c r="A3059" s="4" t="s">
        <v>2046</v>
      </c>
      <c r="B3059" s="37">
        <v>43691</v>
      </c>
      <c r="C3059" s="12">
        <v>19</v>
      </c>
      <c r="D3059" s="38" t="s">
        <v>273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-87</v>
      </c>
    </row>
    <row r="3060" spans="1:10" hidden="1" x14ac:dyDescent="0.2">
      <c r="A3060" s="4" t="s">
        <v>2046</v>
      </c>
      <c r="B3060" s="37">
        <v>43691</v>
      </c>
      <c r="C3060" s="12">
        <v>20</v>
      </c>
      <c r="D3060" s="38" t="s">
        <v>275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-86</v>
      </c>
    </row>
    <row r="3061" spans="1:10" hidden="1" x14ac:dyDescent="0.2">
      <c r="A3061" s="4" t="s">
        <v>2046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-86</v>
      </c>
    </row>
    <row r="3062" spans="1:10" hidden="1" x14ac:dyDescent="0.2">
      <c r="A3062" s="4" t="s">
        <v>2046</v>
      </c>
      <c r="B3062" s="37">
        <v>43691</v>
      </c>
      <c r="C3062" s="12">
        <v>22</v>
      </c>
      <c r="D3062" s="38" t="s">
        <v>1387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-86</v>
      </c>
    </row>
    <row r="3063" spans="1:10" hidden="1" x14ac:dyDescent="0.2">
      <c r="A3063" s="4" t="s">
        <v>2046</v>
      </c>
      <c r="B3063" s="37">
        <v>43691</v>
      </c>
      <c r="C3063" s="12">
        <v>23</v>
      </c>
      <c r="D3063" s="38" t="s">
        <v>305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-85</v>
      </c>
    </row>
    <row r="3064" spans="1:10" hidden="1" x14ac:dyDescent="0.2">
      <c r="A3064" s="4" t="s">
        <v>2831</v>
      </c>
      <c r="B3064" s="37">
        <v>43691</v>
      </c>
      <c r="C3064" s="12">
        <v>1</v>
      </c>
      <c r="D3064" s="38" t="s">
        <v>507</v>
      </c>
      <c r="E3064" s="39">
        <v>43683</v>
      </c>
      <c r="F3064" s="40" t="s">
        <v>2156</v>
      </c>
      <c r="G3064" s="12"/>
      <c r="H3064" s="12"/>
      <c r="J3064" s="41">
        <f ca="1">ROUNDDOWN(表3[[#This Row],[日期]]-TODAY(),1)</f>
        <v>-94</v>
      </c>
    </row>
    <row r="3065" spans="1:10" hidden="1" x14ac:dyDescent="0.2">
      <c r="A3065" s="4" t="s">
        <v>2831</v>
      </c>
      <c r="B3065" s="37">
        <v>43691</v>
      </c>
      <c r="C3065" s="12">
        <v>2</v>
      </c>
      <c r="D3065" s="38" t="s">
        <v>1518</v>
      </c>
      <c r="E3065" s="39">
        <v>43683</v>
      </c>
      <c r="F3065" s="40" t="s">
        <v>2156</v>
      </c>
      <c r="G3065" s="12"/>
      <c r="H3065" s="12"/>
      <c r="I3065" s="4" t="s">
        <v>1521</v>
      </c>
      <c r="J3065" s="41">
        <f ca="1">ROUNDDOWN(表3[[#This Row],[日期]]-TODAY(),1)</f>
        <v>-94</v>
      </c>
    </row>
    <row r="3066" spans="1:10" hidden="1" x14ac:dyDescent="0.2">
      <c r="A3066" s="4" t="s">
        <v>2831</v>
      </c>
      <c r="B3066" s="37">
        <v>43691</v>
      </c>
      <c r="C3066" s="12">
        <v>3</v>
      </c>
      <c r="D3066" s="38" t="s">
        <v>1779</v>
      </c>
      <c r="E3066" s="39">
        <v>43683</v>
      </c>
      <c r="F3066" s="40" t="s">
        <v>2156</v>
      </c>
      <c r="G3066" s="12"/>
      <c r="H3066" s="12"/>
      <c r="I3066" s="4" t="s">
        <v>1523</v>
      </c>
      <c r="J3066" s="41">
        <f ca="1">ROUNDDOWN(表3[[#This Row],[日期]]-TODAY(),1)</f>
        <v>-94</v>
      </c>
    </row>
    <row r="3067" spans="1:10" hidden="1" x14ac:dyDescent="0.2">
      <c r="A3067" s="4" t="s">
        <v>2831</v>
      </c>
      <c r="B3067" s="37">
        <v>43691</v>
      </c>
      <c r="C3067" s="12">
        <v>4</v>
      </c>
      <c r="D3067" s="38" t="s">
        <v>1526</v>
      </c>
      <c r="E3067" s="39">
        <v>43683</v>
      </c>
      <c r="F3067" s="40" t="s">
        <v>2156</v>
      </c>
      <c r="G3067" s="12"/>
      <c r="H3067" s="12"/>
      <c r="I3067" s="4" t="s">
        <v>1528</v>
      </c>
      <c r="J3067" s="41">
        <f ca="1">ROUNDDOWN(表3[[#This Row],[日期]]-TODAY(),1)</f>
        <v>-94</v>
      </c>
    </row>
    <row r="3068" spans="1:10" hidden="1" x14ac:dyDescent="0.2">
      <c r="A3068" s="4" t="s">
        <v>2831</v>
      </c>
      <c r="B3068" s="37">
        <v>43691</v>
      </c>
      <c r="C3068" s="12">
        <v>5</v>
      </c>
      <c r="D3068" s="38" t="s">
        <v>1703</v>
      </c>
      <c r="E3068" s="39">
        <v>43683</v>
      </c>
      <c r="F3068" s="40" t="s">
        <v>2156</v>
      </c>
      <c r="G3068" s="12"/>
      <c r="H3068" s="12"/>
      <c r="J3068" s="41">
        <f ca="1">ROUNDDOWN(表3[[#This Row],[日期]]-TODAY(),1)</f>
        <v>-94</v>
      </c>
    </row>
    <row r="3069" spans="1:10" hidden="1" x14ac:dyDescent="0.2">
      <c r="A3069" s="4" t="s">
        <v>2831</v>
      </c>
      <c r="B3069" s="37">
        <v>43691</v>
      </c>
      <c r="C3069" s="12">
        <v>6</v>
      </c>
      <c r="D3069" s="38" t="s">
        <v>1533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-94</v>
      </c>
    </row>
    <row r="3070" spans="1:10" hidden="1" x14ac:dyDescent="0.2">
      <c r="A3070" s="4" t="s">
        <v>2831</v>
      </c>
      <c r="B3070" s="37">
        <v>43691</v>
      </c>
      <c r="C3070" s="12">
        <v>7</v>
      </c>
      <c r="D3070" s="38" t="s">
        <v>1535</v>
      </c>
      <c r="E3070" s="39">
        <v>43683</v>
      </c>
      <c r="F3070" s="40" t="s">
        <v>1184</v>
      </c>
      <c r="G3070" s="12"/>
      <c r="H3070" s="12"/>
      <c r="I3070" s="4" t="s">
        <v>1537</v>
      </c>
      <c r="J3070" s="41">
        <f ca="1">ROUNDDOWN(表3[[#This Row],[日期]]-TODAY(),1)</f>
        <v>-94</v>
      </c>
    </row>
    <row r="3071" spans="1:10" hidden="1" x14ac:dyDescent="0.2">
      <c r="A3071" s="4" t="s">
        <v>2831</v>
      </c>
      <c r="B3071" s="37">
        <v>43691</v>
      </c>
      <c r="C3071" s="12">
        <v>8</v>
      </c>
      <c r="D3071" s="38" t="s">
        <v>1531</v>
      </c>
      <c r="E3071" s="39">
        <v>43683</v>
      </c>
      <c r="F3071" s="40" t="s">
        <v>1184</v>
      </c>
      <c r="G3071" s="12"/>
      <c r="H3071" s="12"/>
      <c r="J3071" s="41">
        <f ca="1">ROUNDDOWN(表3[[#This Row],[日期]]-TODAY(),1)</f>
        <v>-94</v>
      </c>
    </row>
    <row r="3072" spans="1:10" hidden="1" x14ac:dyDescent="0.2">
      <c r="A3072" s="4" t="s">
        <v>2831</v>
      </c>
      <c r="B3072" s="37">
        <v>43691</v>
      </c>
      <c r="C3072" s="12">
        <v>9</v>
      </c>
      <c r="D3072" s="38" t="s">
        <v>1539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-94</v>
      </c>
    </row>
    <row r="3073" spans="1:10" hidden="1" x14ac:dyDescent="0.2">
      <c r="A3073" s="4" t="s">
        <v>2831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-93</v>
      </c>
    </row>
    <row r="3074" spans="1:10" hidden="1" x14ac:dyDescent="0.2">
      <c r="A3074" s="4" t="s">
        <v>2831</v>
      </c>
      <c r="B3074" s="37">
        <v>43691</v>
      </c>
      <c r="C3074" s="12">
        <v>11</v>
      </c>
      <c r="D3074" s="38" t="s">
        <v>1878</v>
      </c>
      <c r="E3074" s="39">
        <v>43685</v>
      </c>
      <c r="F3074" s="40" t="s">
        <v>1184</v>
      </c>
      <c r="G3074" s="12">
        <v>3</v>
      </c>
      <c r="H3074" s="12"/>
      <c r="J3074" s="41">
        <f ca="1">ROUNDDOWN(表3[[#This Row],[日期]]-TODAY(),1)</f>
        <v>-92</v>
      </c>
    </row>
    <row r="3075" spans="1:10" hidden="1" x14ac:dyDescent="0.2">
      <c r="A3075" s="4" t="s">
        <v>2831</v>
      </c>
      <c r="B3075" s="37">
        <v>43691</v>
      </c>
      <c r="C3075" s="12">
        <v>12</v>
      </c>
      <c r="D3075" s="38" t="s">
        <v>1541</v>
      </c>
      <c r="E3075" s="39">
        <v>43689</v>
      </c>
      <c r="F3075" s="40" t="s">
        <v>242</v>
      </c>
      <c r="G3075" s="12">
        <v>1</v>
      </c>
      <c r="H3075" s="12"/>
      <c r="I3075" s="4" t="s">
        <v>529</v>
      </c>
      <c r="J3075" s="41">
        <f ca="1">ROUNDDOWN(表3[[#This Row],[日期]]-TODAY(),1)</f>
        <v>-88</v>
      </c>
    </row>
    <row r="3076" spans="1:10" hidden="1" x14ac:dyDescent="0.2">
      <c r="A3076" s="4" t="s">
        <v>2831</v>
      </c>
      <c r="B3076" s="37">
        <v>43691</v>
      </c>
      <c r="C3076" s="12">
        <v>13</v>
      </c>
      <c r="D3076" s="38" t="s">
        <v>1543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-88</v>
      </c>
    </row>
    <row r="3077" spans="1:10" hidden="1" x14ac:dyDescent="0.2">
      <c r="A3077" s="4" t="s">
        <v>2831</v>
      </c>
      <c r="B3077" s="37">
        <v>43691</v>
      </c>
      <c r="C3077" s="12">
        <v>14</v>
      </c>
      <c r="D3077" s="38" t="s">
        <v>1545</v>
      </c>
      <c r="E3077" s="39">
        <v>43689</v>
      </c>
      <c r="F3077" s="40" t="s">
        <v>242</v>
      </c>
      <c r="G3077" s="12">
        <v>1</v>
      </c>
      <c r="H3077" s="12"/>
      <c r="I3077" s="4" t="s">
        <v>1547</v>
      </c>
      <c r="J3077" s="41">
        <f ca="1">ROUNDDOWN(表3[[#This Row],[日期]]-TODAY(),1)</f>
        <v>-88</v>
      </c>
    </row>
    <row r="3078" spans="1:10" hidden="1" x14ac:dyDescent="0.2">
      <c r="A3078" s="4" t="s">
        <v>2831</v>
      </c>
      <c r="B3078" s="37">
        <v>43691</v>
      </c>
      <c r="C3078" s="12">
        <v>15</v>
      </c>
      <c r="D3078" s="38" t="s">
        <v>1549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-88</v>
      </c>
    </row>
    <row r="3079" spans="1:10" hidden="1" x14ac:dyDescent="0.2">
      <c r="A3079" s="4" t="s">
        <v>2831</v>
      </c>
      <c r="B3079" s="37">
        <v>43691</v>
      </c>
      <c r="C3079" s="12">
        <v>16</v>
      </c>
      <c r="D3079" s="38" t="s">
        <v>1556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-88</v>
      </c>
    </row>
    <row r="3080" spans="1:10" hidden="1" x14ac:dyDescent="0.2">
      <c r="A3080" s="4" t="s">
        <v>2831</v>
      </c>
      <c r="B3080" s="37">
        <v>43691</v>
      </c>
      <c r="C3080" s="12">
        <v>17</v>
      </c>
      <c r="D3080" s="38" t="s">
        <v>1298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-88</v>
      </c>
    </row>
    <row r="3081" spans="1:10" hidden="1" x14ac:dyDescent="0.2">
      <c r="A3081" s="4" t="s">
        <v>2831</v>
      </c>
      <c r="B3081" s="37">
        <v>43691</v>
      </c>
      <c r="C3081" s="12">
        <v>18</v>
      </c>
      <c r="D3081" s="38" t="s">
        <v>1552</v>
      </c>
      <c r="E3081" s="39">
        <v>43689</v>
      </c>
      <c r="F3081" s="40" t="s">
        <v>242</v>
      </c>
      <c r="G3081" s="12">
        <v>1</v>
      </c>
      <c r="H3081" s="12"/>
      <c r="I3081" s="4" t="s">
        <v>1554</v>
      </c>
      <c r="J3081" s="41">
        <f ca="1">ROUNDDOWN(表3[[#This Row],[日期]]-TODAY(),1)</f>
        <v>-88</v>
      </c>
    </row>
    <row r="3082" spans="1:10" hidden="1" x14ac:dyDescent="0.2">
      <c r="A3082" s="4" t="s">
        <v>2831</v>
      </c>
      <c r="B3082" s="37">
        <v>43691</v>
      </c>
      <c r="C3082" s="12">
        <v>19</v>
      </c>
      <c r="D3082" s="38" t="s">
        <v>1558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-88</v>
      </c>
    </row>
    <row r="3083" spans="1:10" hidden="1" x14ac:dyDescent="0.2">
      <c r="A3083" s="4" t="s">
        <v>2831</v>
      </c>
      <c r="B3083" s="37">
        <v>43691</v>
      </c>
      <c r="C3083" s="12">
        <v>20</v>
      </c>
      <c r="D3083" s="38" t="s">
        <v>1560</v>
      </c>
      <c r="E3083" s="39">
        <v>43689</v>
      </c>
      <c r="F3083" s="40" t="s">
        <v>1184</v>
      </c>
      <c r="G3083" s="12">
        <v>1</v>
      </c>
      <c r="H3083" s="12"/>
      <c r="J3083" s="41">
        <f ca="1">ROUNDDOWN(表3[[#This Row],[日期]]-TODAY(),1)</f>
        <v>-88</v>
      </c>
    </row>
    <row r="3084" spans="1:10" hidden="1" x14ac:dyDescent="0.2">
      <c r="A3084" s="4" t="s">
        <v>2831</v>
      </c>
      <c r="B3084" s="37">
        <v>43691</v>
      </c>
      <c r="C3084" s="12">
        <v>21</v>
      </c>
      <c r="D3084" s="38" t="s">
        <v>1562</v>
      </c>
      <c r="E3084" s="39">
        <v>43689</v>
      </c>
      <c r="F3084" s="40" t="s">
        <v>1184</v>
      </c>
      <c r="G3084" s="12">
        <v>1</v>
      </c>
      <c r="H3084" s="12"/>
      <c r="J3084" s="41">
        <f ca="1">ROUNDDOWN(表3[[#This Row],[日期]]-TODAY(),1)</f>
        <v>-88</v>
      </c>
    </row>
    <row r="3085" spans="1:10" hidden="1" x14ac:dyDescent="0.2">
      <c r="A3085" s="4" t="s">
        <v>2831</v>
      </c>
      <c r="B3085" s="37">
        <v>43691</v>
      </c>
      <c r="C3085" s="12">
        <v>22</v>
      </c>
      <c r="D3085" s="38" t="s">
        <v>1564</v>
      </c>
      <c r="E3085" s="39">
        <v>43689</v>
      </c>
      <c r="F3085" s="40" t="s">
        <v>1184</v>
      </c>
      <c r="G3085" s="12">
        <v>1</v>
      </c>
      <c r="H3085" s="12"/>
      <c r="J3085" s="41">
        <f ca="1">ROUNDDOWN(表3[[#This Row],[日期]]-TODAY(),1)</f>
        <v>-88</v>
      </c>
    </row>
    <row r="3086" spans="1:10" hidden="1" x14ac:dyDescent="0.2">
      <c r="A3086" s="4" t="s">
        <v>2831</v>
      </c>
      <c r="B3086" s="37">
        <v>43691</v>
      </c>
      <c r="C3086" s="12">
        <v>23</v>
      </c>
      <c r="D3086" s="38" t="s">
        <v>1566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-88</v>
      </c>
    </row>
    <row r="3087" spans="1:10" hidden="1" x14ac:dyDescent="0.2">
      <c r="A3087" s="4" t="s">
        <v>2831</v>
      </c>
      <c r="B3087" s="37">
        <v>43691</v>
      </c>
      <c r="C3087" s="12">
        <v>24</v>
      </c>
      <c r="D3087" s="38" t="s">
        <v>1568</v>
      </c>
      <c r="E3087" s="39">
        <v>43689</v>
      </c>
      <c r="F3087" s="40" t="s">
        <v>242</v>
      </c>
      <c r="G3087" s="12">
        <v>1</v>
      </c>
      <c r="H3087" s="12"/>
      <c r="I3087" s="4" t="s">
        <v>1528</v>
      </c>
      <c r="J3087" s="41">
        <f ca="1">ROUNDDOWN(表3[[#This Row],[日期]]-TODAY(),1)</f>
        <v>-88</v>
      </c>
    </row>
    <row r="3088" spans="1:10" hidden="1" x14ac:dyDescent="0.2">
      <c r="A3088" s="4" t="s">
        <v>2831</v>
      </c>
      <c r="B3088" s="37">
        <v>43691</v>
      </c>
      <c r="C3088" s="12">
        <v>25</v>
      </c>
      <c r="D3088" s="38" t="s">
        <v>305</v>
      </c>
      <c r="E3088" s="39">
        <v>43693</v>
      </c>
      <c r="F3088" s="40" t="s">
        <v>2347</v>
      </c>
      <c r="G3088" s="12"/>
      <c r="H3088" s="12"/>
      <c r="J3088" s="41">
        <f ca="1">ROUNDDOWN(表3[[#This Row],[日期]]-TODAY(),1)</f>
        <v>-84</v>
      </c>
    </row>
    <row r="3089" spans="1:10" hidden="1" x14ac:dyDescent="0.2">
      <c r="A3089" s="4" t="s">
        <v>2831</v>
      </c>
      <c r="B3089" s="37">
        <v>43691</v>
      </c>
      <c r="C3089" s="12">
        <v>26</v>
      </c>
      <c r="D3089" s="38" t="s">
        <v>1572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-81</v>
      </c>
    </row>
    <row r="3090" spans="1:10" hidden="1" x14ac:dyDescent="0.2">
      <c r="A3090" s="4" t="s">
        <v>2831</v>
      </c>
      <c r="B3090" s="37">
        <v>43691</v>
      </c>
      <c r="C3090" s="12">
        <v>27</v>
      </c>
      <c r="D3090" s="38" t="s">
        <v>1570</v>
      </c>
      <c r="E3090" s="39">
        <v>43696</v>
      </c>
      <c r="F3090" s="40" t="s">
        <v>242</v>
      </c>
      <c r="G3090" s="12">
        <v>4</v>
      </c>
      <c r="H3090" s="12"/>
      <c r="I3090" s="4" t="s">
        <v>1528</v>
      </c>
      <c r="J3090" s="41">
        <f ca="1">ROUNDDOWN(表3[[#This Row],[日期]]-TODAY(),1)</f>
        <v>-81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927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-98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-98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1210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-98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-98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-94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1576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-94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1577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-94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-94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928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-88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1740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-88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1578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-88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1742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-88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1744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-88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1746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-88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1748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-87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1750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-87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929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-87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1752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-87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-87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930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-87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-87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931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-87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759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-87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1919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-87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-87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-87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-87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-87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-87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-87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932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-87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933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-87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1071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-87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-87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-87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1072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-86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-86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-86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-84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-84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2338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-84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305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-83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2384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-81</v>
      </c>
    </row>
    <row r="3134" spans="1:10" hidden="1" x14ac:dyDescent="0.2">
      <c r="A3134" s="23" t="s">
        <v>1372</v>
      </c>
      <c r="B3134" s="25">
        <v>43695</v>
      </c>
      <c r="C3134" s="26">
        <v>1</v>
      </c>
      <c r="D3134" s="7" t="s">
        <v>1378</v>
      </c>
      <c r="E3134" s="27">
        <v>43655</v>
      </c>
      <c r="F3134" s="28" t="s">
        <v>1381</v>
      </c>
      <c r="G3134" s="26"/>
      <c r="H3134" s="26"/>
      <c r="I3134" s="23"/>
      <c r="J3134" s="29">
        <f ca="1">ROUNDDOWN(表3[[#This Row],[日期]]-TODAY(),1)</f>
        <v>-122</v>
      </c>
    </row>
    <row r="3135" spans="1:10" hidden="1" x14ac:dyDescent="0.2">
      <c r="A3135" s="23" t="s">
        <v>1372</v>
      </c>
      <c r="B3135" s="25">
        <v>43695</v>
      </c>
      <c r="C3135" s="26">
        <v>2</v>
      </c>
      <c r="D3135" s="7" t="s">
        <v>1380</v>
      </c>
      <c r="E3135" s="27">
        <v>43657</v>
      </c>
      <c r="F3135" s="28" t="s">
        <v>1381</v>
      </c>
      <c r="G3135" s="26"/>
      <c r="H3135" s="26"/>
      <c r="I3135" s="23"/>
      <c r="J3135" s="29">
        <f ca="1">ROUNDDOWN(表3[[#This Row],[日期]]-TODAY(),1)</f>
        <v>-120</v>
      </c>
    </row>
    <row r="3136" spans="1:10" hidden="1" x14ac:dyDescent="0.2">
      <c r="A3136" s="23" t="s">
        <v>1372</v>
      </c>
      <c r="B3136" s="25">
        <v>43695</v>
      </c>
      <c r="C3136" s="26">
        <v>3</v>
      </c>
      <c r="D3136" s="7" t="s">
        <v>1382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-120</v>
      </c>
    </row>
    <row r="3137" spans="1:10" hidden="1" x14ac:dyDescent="0.2">
      <c r="A3137" s="23" t="s">
        <v>1372</v>
      </c>
      <c r="B3137" s="25">
        <v>43695</v>
      </c>
      <c r="C3137" s="26">
        <v>4</v>
      </c>
      <c r="D3137" s="7" t="s">
        <v>1383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-120</v>
      </c>
    </row>
    <row r="3138" spans="1:10" hidden="1" x14ac:dyDescent="0.2">
      <c r="A3138" s="23" t="s">
        <v>1372</v>
      </c>
      <c r="B3138" s="25">
        <v>43695</v>
      </c>
      <c r="C3138" s="26">
        <v>5</v>
      </c>
      <c r="D3138" s="7" t="s">
        <v>1433</v>
      </c>
      <c r="E3138" s="27">
        <v>43658</v>
      </c>
      <c r="F3138" s="28" t="s">
        <v>242</v>
      </c>
      <c r="G3138" s="26"/>
      <c r="H3138" s="26"/>
      <c r="I3138" s="23" t="s">
        <v>1474</v>
      </c>
      <c r="J3138" s="29">
        <f ca="1">ROUNDDOWN(表3[[#This Row],[日期]]-TODAY(),1)</f>
        <v>-119</v>
      </c>
    </row>
    <row r="3139" spans="1:10" hidden="1" x14ac:dyDescent="0.2">
      <c r="A3139" s="4" t="s">
        <v>1371</v>
      </c>
      <c r="B3139" s="25">
        <v>43695</v>
      </c>
      <c r="C3139" s="12">
        <v>5</v>
      </c>
      <c r="D3139" s="38" t="s">
        <v>1653</v>
      </c>
      <c r="E3139" s="39">
        <v>43689</v>
      </c>
      <c r="F3139" s="40" t="s">
        <v>2023</v>
      </c>
      <c r="G3139" s="12"/>
      <c r="H3139" s="12"/>
      <c r="J3139" s="41">
        <f ca="1">ROUNDDOWN(表3[[#This Row],[日期]]-TODAY(),1)</f>
        <v>-88</v>
      </c>
    </row>
    <row r="3140" spans="1:10" hidden="1" x14ac:dyDescent="0.2">
      <c r="A3140" s="4" t="s">
        <v>1371</v>
      </c>
      <c r="B3140" s="37">
        <v>43695</v>
      </c>
      <c r="C3140" s="12">
        <v>5</v>
      </c>
      <c r="D3140" s="38" t="s">
        <v>1653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-87</v>
      </c>
    </row>
    <row r="3141" spans="1:10" hidden="1" x14ac:dyDescent="0.2">
      <c r="A3141" s="4" t="s">
        <v>1371</v>
      </c>
      <c r="B3141" s="25">
        <v>43695</v>
      </c>
      <c r="C3141" s="12">
        <v>6</v>
      </c>
      <c r="D3141" s="38" t="s">
        <v>1655</v>
      </c>
      <c r="E3141" s="39">
        <v>43689</v>
      </c>
      <c r="F3141" s="40" t="s">
        <v>2023</v>
      </c>
      <c r="G3141" s="12"/>
      <c r="H3141" s="12"/>
      <c r="J3141" s="41">
        <f ca="1">ROUNDDOWN(表3[[#This Row],[日期]]-TODAY(),1)</f>
        <v>-88</v>
      </c>
    </row>
    <row r="3142" spans="1:10" hidden="1" x14ac:dyDescent="0.2">
      <c r="A3142" s="4" t="s">
        <v>1371</v>
      </c>
      <c r="B3142" s="37">
        <v>43695</v>
      </c>
      <c r="C3142" s="12">
        <v>6</v>
      </c>
      <c r="D3142" s="38" t="s">
        <v>2011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-85</v>
      </c>
    </row>
    <row r="3143" spans="1:10" hidden="1" x14ac:dyDescent="0.2">
      <c r="A3143" s="4" t="s">
        <v>1371</v>
      </c>
      <c r="B3143" s="25">
        <v>43695</v>
      </c>
      <c r="C3143" s="12">
        <v>7</v>
      </c>
      <c r="D3143" s="38" t="s">
        <v>1498</v>
      </c>
      <c r="E3143" s="39">
        <v>43689</v>
      </c>
      <c r="F3143" s="40" t="s">
        <v>2023</v>
      </c>
      <c r="G3143" s="12"/>
      <c r="H3143" s="12"/>
      <c r="J3143" s="41">
        <f ca="1">ROUNDDOWN(表3[[#This Row],[日期]]-TODAY(),1)</f>
        <v>-88</v>
      </c>
    </row>
    <row r="3144" spans="1:10" hidden="1" x14ac:dyDescent="0.2">
      <c r="A3144" s="4" t="s">
        <v>1371</v>
      </c>
      <c r="B3144" s="37">
        <v>43695</v>
      </c>
      <c r="C3144" s="12">
        <v>7</v>
      </c>
      <c r="D3144" s="38" t="s">
        <v>1655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-85</v>
      </c>
    </row>
    <row r="3145" spans="1:10" hidden="1" x14ac:dyDescent="0.2">
      <c r="A3145" s="4" t="s">
        <v>1371</v>
      </c>
      <c r="B3145" s="25">
        <v>43695</v>
      </c>
      <c r="C3145" s="12">
        <v>8</v>
      </c>
      <c r="D3145" s="38" t="s">
        <v>1657</v>
      </c>
      <c r="E3145" s="39">
        <v>43689</v>
      </c>
      <c r="F3145" s="40" t="s">
        <v>2023</v>
      </c>
      <c r="G3145" s="12"/>
      <c r="H3145" s="12"/>
      <c r="J3145" s="41">
        <f ca="1">ROUNDDOWN(表3[[#This Row],[日期]]-TODAY(),1)</f>
        <v>-88</v>
      </c>
    </row>
    <row r="3146" spans="1:10" hidden="1" x14ac:dyDescent="0.2">
      <c r="A3146" s="4" t="s">
        <v>1371</v>
      </c>
      <c r="B3146" s="37">
        <v>43695</v>
      </c>
      <c r="C3146" s="12">
        <v>8</v>
      </c>
      <c r="D3146" s="38" t="s">
        <v>2287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-85</v>
      </c>
    </row>
    <row r="3147" spans="1:10" hidden="1" x14ac:dyDescent="0.2">
      <c r="A3147" s="4" t="s">
        <v>1371</v>
      </c>
      <c r="B3147" s="37">
        <v>43695</v>
      </c>
      <c r="C3147" s="12">
        <v>9</v>
      </c>
      <c r="D3147" s="38" t="s">
        <v>2013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-85</v>
      </c>
    </row>
    <row r="3148" spans="1:10" hidden="1" x14ac:dyDescent="0.2">
      <c r="A3148" s="4" t="s">
        <v>1371</v>
      </c>
      <c r="B3148" s="37">
        <v>43695</v>
      </c>
      <c r="C3148" s="12">
        <v>10</v>
      </c>
      <c r="D3148" s="38" t="s">
        <v>2014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-85</v>
      </c>
    </row>
    <row r="3149" spans="1:10" hidden="1" x14ac:dyDescent="0.2">
      <c r="A3149" s="4" t="s">
        <v>1371</v>
      </c>
      <c r="B3149" s="37">
        <v>43695</v>
      </c>
      <c r="C3149" s="12">
        <v>11</v>
      </c>
      <c r="D3149" s="38" t="s">
        <v>2015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-85</v>
      </c>
    </row>
    <row r="3150" spans="1:10" hidden="1" x14ac:dyDescent="0.2">
      <c r="A3150" s="4" t="s">
        <v>1371</v>
      </c>
      <c r="B3150" s="37">
        <v>43695</v>
      </c>
      <c r="C3150" s="12">
        <v>12</v>
      </c>
      <c r="D3150" s="38" t="s">
        <v>2016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-85</v>
      </c>
    </row>
    <row r="3151" spans="1:10" hidden="1" x14ac:dyDescent="0.2">
      <c r="A3151" s="4" t="s">
        <v>1371</v>
      </c>
      <c r="B3151" s="37">
        <v>43695</v>
      </c>
      <c r="C3151" s="12">
        <v>13</v>
      </c>
      <c r="D3151" s="38" t="s">
        <v>2017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-85</v>
      </c>
    </row>
    <row r="3152" spans="1:10" hidden="1" x14ac:dyDescent="0.2">
      <c r="A3152" s="4" t="s">
        <v>1371</v>
      </c>
      <c r="B3152" s="37">
        <v>43695</v>
      </c>
      <c r="C3152" s="12">
        <v>14</v>
      </c>
      <c r="D3152" s="38" t="s">
        <v>2018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-85</v>
      </c>
    </row>
    <row r="3153" spans="1:10" hidden="1" x14ac:dyDescent="0.2">
      <c r="A3153" s="4" t="s">
        <v>1371</v>
      </c>
      <c r="B3153" s="37">
        <v>43695</v>
      </c>
      <c r="C3153" s="12">
        <v>15</v>
      </c>
      <c r="D3153" s="38" t="s">
        <v>269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-84</v>
      </c>
    </row>
    <row r="3154" spans="1:10" hidden="1" x14ac:dyDescent="0.2">
      <c r="A3154" s="4" t="s">
        <v>1371</v>
      </c>
      <c r="B3154" s="37">
        <v>43695</v>
      </c>
      <c r="C3154" s="12">
        <v>16</v>
      </c>
      <c r="D3154" s="38" t="s">
        <v>271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-84</v>
      </c>
    </row>
    <row r="3155" spans="1:10" hidden="1" x14ac:dyDescent="0.2">
      <c r="A3155" s="4" t="s">
        <v>1371</v>
      </c>
      <c r="B3155" s="37">
        <v>43695</v>
      </c>
      <c r="C3155" s="12">
        <v>16.100000000000001</v>
      </c>
      <c r="D3155" s="38" t="s">
        <v>2386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-80</v>
      </c>
    </row>
    <row r="3156" spans="1:10" hidden="1" x14ac:dyDescent="0.2">
      <c r="A3156" s="4" t="s">
        <v>1371</v>
      </c>
      <c r="B3156" s="37">
        <v>43695</v>
      </c>
      <c r="C3156" s="12">
        <v>17</v>
      </c>
      <c r="D3156" s="38" t="s">
        <v>273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-80</v>
      </c>
    </row>
    <row r="3157" spans="1:10" hidden="1" x14ac:dyDescent="0.2">
      <c r="A3157" s="4" t="s">
        <v>1371</v>
      </c>
      <c r="B3157" s="37">
        <v>43695</v>
      </c>
      <c r="C3157" s="12">
        <v>18</v>
      </c>
      <c r="D3157" s="38" t="s">
        <v>275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-80</v>
      </c>
    </row>
    <row r="3158" spans="1:10" hidden="1" x14ac:dyDescent="0.2">
      <c r="A3158" s="4" t="s">
        <v>1371</v>
      </c>
      <c r="B3158" s="37">
        <v>43695</v>
      </c>
      <c r="C3158" s="12">
        <v>19</v>
      </c>
      <c r="D3158" s="38" t="s">
        <v>2389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-78</v>
      </c>
    </row>
    <row r="3159" spans="1:10" hidden="1" x14ac:dyDescent="0.2">
      <c r="A3159" s="4" t="s">
        <v>1371</v>
      </c>
      <c r="B3159" s="37">
        <v>43695</v>
      </c>
      <c r="C3159" s="12">
        <v>20</v>
      </c>
      <c r="D3159" s="38" t="s">
        <v>2019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-78</v>
      </c>
    </row>
    <row r="3160" spans="1:10" hidden="1" x14ac:dyDescent="0.2">
      <c r="A3160" s="4" t="s">
        <v>1371</v>
      </c>
      <c r="B3160" s="37">
        <v>43695</v>
      </c>
      <c r="C3160" s="12">
        <v>21</v>
      </c>
      <c r="D3160" s="38" t="s">
        <v>1990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-73</v>
      </c>
    </row>
    <row r="3161" spans="1:10" hidden="1" x14ac:dyDescent="0.2">
      <c r="A3161" s="4" t="s">
        <v>1371</v>
      </c>
      <c r="B3161" s="37">
        <v>43695</v>
      </c>
      <c r="C3161" s="12">
        <v>22</v>
      </c>
      <c r="D3161" s="38" t="s">
        <v>2020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-73</v>
      </c>
    </row>
    <row r="3162" spans="1:10" hidden="1" x14ac:dyDescent="0.2">
      <c r="A3162" s="23" t="s">
        <v>1372</v>
      </c>
      <c r="B3162" s="25">
        <v>43695</v>
      </c>
      <c r="C3162" s="26">
        <v>99</v>
      </c>
      <c r="D3162" s="7" t="s">
        <v>1379</v>
      </c>
      <c r="E3162" s="27">
        <v>43663</v>
      </c>
      <c r="F3162" s="28" t="s">
        <v>1184</v>
      </c>
      <c r="G3162" s="26">
        <v>3</v>
      </c>
      <c r="H3162" s="26"/>
      <c r="I3162" s="23"/>
      <c r="J3162" s="29">
        <f ca="1">ROUNDDOWN(表3[[#This Row],[日期]]-TODAY(),1)</f>
        <v>-114</v>
      </c>
    </row>
    <row r="3163" spans="1:10" hidden="1" x14ac:dyDescent="0.2">
      <c r="A3163" s="23" t="s">
        <v>1488</v>
      </c>
      <c r="B3163" s="25">
        <v>43695</v>
      </c>
      <c r="C3163" s="26">
        <v>1</v>
      </c>
      <c r="D3163" s="7" t="s">
        <v>984</v>
      </c>
      <c r="E3163" s="27">
        <v>43657</v>
      </c>
      <c r="F3163" s="28" t="s">
        <v>1489</v>
      </c>
      <c r="G3163" s="26"/>
      <c r="H3163" s="26"/>
      <c r="I3163" s="23"/>
      <c r="J3163" s="29">
        <f ca="1">ROUNDDOWN(表3[[#This Row],[日期]]-TODAY(),1)</f>
        <v>-120</v>
      </c>
    </row>
    <row r="3164" spans="1:10" hidden="1" x14ac:dyDescent="0.2">
      <c r="A3164" s="23" t="s">
        <v>1488</v>
      </c>
      <c r="B3164" s="25">
        <v>43695</v>
      </c>
      <c r="C3164" s="26">
        <v>2</v>
      </c>
      <c r="D3164" s="7" t="s">
        <v>1995</v>
      </c>
      <c r="E3164" s="27">
        <v>43659</v>
      </c>
      <c r="F3164" s="28" t="s">
        <v>1489</v>
      </c>
      <c r="G3164" s="26"/>
      <c r="H3164" s="26"/>
      <c r="I3164" s="23"/>
      <c r="J3164" s="29">
        <f ca="1">ROUNDDOWN(表3[[#This Row],[日期]]-TODAY(),1)</f>
        <v>-118</v>
      </c>
    </row>
    <row r="3165" spans="1:10" hidden="1" x14ac:dyDescent="0.2">
      <c r="A3165" s="23" t="s">
        <v>1488</v>
      </c>
      <c r="B3165" s="25">
        <v>43695</v>
      </c>
      <c r="C3165" s="26">
        <v>3</v>
      </c>
      <c r="D3165" s="7" t="s">
        <v>1491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-118</v>
      </c>
    </row>
    <row r="3166" spans="1:10" hidden="1" x14ac:dyDescent="0.2">
      <c r="A3166" s="23" t="s">
        <v>1488</v>
      </c>
      <c r="B3166" s="25">
        <v>43695</v>
      </c>
      <c r="C3166" s="26">
        <v>4</v>
      </c>
      <c r="D3166" s="7" t="s">
        <v>1493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-114</v>
      </c>
    </row>
    <row r="3167" spans="1:10" hidden="1" x14ac:dyDescent="0.2">
      <c r="A3167" s="23" t="s">
        <v>1488</v>
      </c>
      <c r="B3167" s="25">
        <v>43695</v>
      </c>
      <c r="C3167" s="26">
        <v>5</v>
      </c>
      <c r="D3167" s="7" t="s">
        <v>1490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-114</v>
      </c>
    </row>
    <row r="3168" spans="1:10" hidden="1" x14ac:dyDescent="0.2">
      <c r="A3168" s="23" t="s">
        <v>1488</v>
      </c>
      <c r="B3168" s="25">
        <v>43695</v>
      </c>
      <c r="C3168" s="26">
        <v>6</v>
      </c>
      <c r="D3168" s="7" t="s">
        <v>1492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-114</v>
      </c>
    </row>
    <row r="3169" spans="1:10" hidden="1" x14ac:dyDescent="0.2">
      <c r="A3169" s="4" t="s">
        <v>700</v>
      </c>
      <c r="B3169" s="37">
        <v>43695</v>
      </c>
      <c r="C3169" s="12">
        <v>7</v>
      </c>
      <c r="D3169" s="38" t="s">
        <v>1864</v>
      </c>
      <c r="E3169" s="39">
        <v>43671</v>
      </c>
      <c r="F3169" s="40" t="s">
        <v>1834</v>
      </c>
      <c r="G3169" s="12"/>
      <c r="H3169" s="12"/>
      <c r="J3169" s="41">
        <f ca="1">ROUNDDOWN(表3[[#This Row],[日期]]-TODAY(),1)</f>
        <v>-106</v>
      </c>
    </row>
    <row r="3170" spans="1:10" hidden="1" x14ac:dyDescent="0.2">
      <c r="A3170" s="4" t="s">
        <v>700</v>
      </c>
      <c r="B3170" s="37">
        <v>43695</v>
      </c>
      <c r="C3170" s="12">
        <v>8</v>
      </c>
      <c r="D3170" s="38" t="s">
        <v>1865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-106</v>
      </c>
    </row>
    <row r="3171" spans="1:10" hidden="1" x14ac:dyDescent="0.2">
      <c r="A3171" s="23" t="s">
        <v>1488</v>
      </c>
      <c r="B3171" s="25">
        <v>43695</v>
      </c>
      <c r="C3171" s="26">
        <v>9</v>
      </c>
      <c r="D3171" s="7" t="s">
        <v>1660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-99</v>
      </c>
    </row>
    <row r="3172" spans="1:10" hidden="1" x14ac:dyDescent="0.2">
      <c r="A3172" s="23" t="s">
        <v>1488</v>
      </c>
      <c r="B3172" s="25">
        <v>43695</v>
      </c>
      <c r="C3172" s="26">
        <v>10</v>
      </c>
      <c r="D3172" s="7" t="s">
        <v>2261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-87</v>
      </c>
    </row>
    <row r="3173" spans="1:10" hidden="1" x14ac:dyDescent="0.2">
      <c r="A3173" s="23" t="s">
        <v>1488</v>
      </c>
      <c r="B3173" s="25">
        <v>43695</v>
      </c>
      <c r="C3173" s="26">
        <v>11</v>
      </c>
      <c r="D3173" s="7" t="s">
        <v>1661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-87</v>
      </c>
    </row>
    <row r="3174" spans="1:10" hidden="1" x14ac:dyDescent="0.2">
      <c r="A3174" s="23" t="s">
        <v>1488</v>
      </c>
      <c r="B3174" s="25">
        <v>43695</v>
      </c>
      <c r="C3174" s="26">
        <v>12</v>
      </c>
      <c r="D3174" s="7" t="s">
        <v>1496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-86</v>
      </c>
    </row>
    <row r="3175" spans="1:10" hidden="1" x14ac:dyDescent="0.2">
      <c r="A3175" s="23" t="s">
        <v>700</v>
      </c>
      <c r="B3175" s="25">
        <v>43695</v>
      </c>
      <c r="C3175" s="26">
        <v>13</v>
      </c>
      <c r="D3175" s="7" t="s">
        <v>2022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-85</v>
      </c>
    </row>
    <row r="3176" spans="1:10" hidden="1" x14ac:dyDescent="0.2">
      <c r="A3176" s="23" t="s">
        <v>1488</v>
      </c>
      <c r="B3176" s="25">
        <v>43695</v>
      </c>
      <c r="C3176" s="26">
        <v>14</v>
      </c>
      <c r="D3176" s="7" t="s">
        <v>1497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-85</v>
      </c>
    </row>
    <row r="3177" spans="1:10" hidden="1" x14ac:dyDescent="0.2">
      <c r="A3177" s="23" t="s">
        <v>1488</v>
      </c>
      <c r="B3177" s="25">
        <v>43695</v>
      </c>
      <c r="C3177" s="26">
        <v>15</v>
      </c>
      <c r="D3177" s="7" t="s">
        <v>1499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-85</v>
      </c>
    </row>
    <row r="3178" spans="1:10" hidden="1" x14ac:dyDescent="0.2">
      <c r="A3178" s="23" t="s">
        <v>1488</v>
      </c>
      <c r="B3178" s="25">
        <v>43695</v>
      </c>
      <c r="C3178" s="26">
        <v>16</v>
      </c>
      <c r="D3178" s="7" t="s">
        <v>1500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-85</v>
      </c>
    </row>
    <row r="3179" spans="1:10" hidden="1" x14ac:dyDescent="0.2">
      <c r="A3179" s="23" t="s">
        <v>1488</v>
      </c>
      <c r="B3179" s="25">
        <v>43695</v>
      </c>
      <c r="C3179" s="26">
        <v>17</v>
      </c>
      <c r="D3179" s="7" t="s">
        <v>1501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-85</v>
      </c>
    </row>
    <row r="3180" spans="1:10" hidden="1" x14ac:dyDescent="0.2">
      <c r="A3180" s="23" t="s">
        <v>1488</v>
      </c>
      <c r="B3180" s="25">
        <v>43695</v>
      </c>
      <c r="C3180" s="26">
        <v>18</v>
      </c>
      <c r="D3180" s="7" t="s">
        <v>1502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-85</v>
      </c>
    </row>
    <row r="3181" spans="1:10" hidden="1" x14ac:dyDescent="0.2">
      <c r="A3181" s="23" t="s">
        <v>1488</v>
      </c>
      <c r="B3181" s="25">
        <v>43695</v>
      </c>
      <c r="C3181" s="26">
        <v>19</v>
      </c>
      <c r="D3181" s="7" t="s">
        <v>312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-85</v>
      </c>
    </row>
    <row r="3182" spans="1:10" hidden="1" x14ac:dyDescent="0.2">
      <c r="A3182" s="23" t="s">
        <v>1488</v>
      </c>
      <c r="B3182" s="25">
        <v>43695</v>
      </c>
      <c r="C3182" s="26">
        <v>20</v>
      </c>
      <c r="D3182" s="7" t="s">
        <v>576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-85</v>
      </c>
    </row>
    <row r="3183" spans="1:10" hidden="1" x14ac:dyDescent="0.2">
      <c r="A3183" s="23" t="s">
        <v>1488</v>
      </c>
      <c r="B3183" s="25">
        <v>43695</v>
      </c>
      <c r="C3183" s="26">
        <v>21</v>
      </c>
      <c r="D3183" s="7" t="s">
        <v>271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-85</v>
      </c>
    </row>
    <row r="3184" spans="1:10" hidden="1" x14ac:dyDescent="0.2">
      <c r="A3184" s="23" t="s">
        <v>1488</v>
      </c>
      <c r="B3184" s="25">
        <v>43695</v>
      </c>
      <c r="C3184" s="26">
        <v>22</v>
      </c>
      <c r="D3184" s="7" t="s">
        <v>1862</v>
      </c>
      <c r="E3184" s="27">
        <v>43693</v>
      </c>
      <c r="F3184" s="28" t="s">
        <v>242</v>
      </c>
      <c r="G3184" s="26"/>
      <c r="H3184" s="26"/>
      <c r="I3184" s="23" t="s">
        <v>1863</v>
      </c>
      <c r="J3184" s="29">
        <f ca="1">ROUNDDOWN(表3[[#This Row],[日期]]-TODAY(),1)</f>
        <v>-84</v>
      </c>
    </row>
    <row r="3185" spans="1:10" hidden="1" x14ac:dyDescent="0.2">
      <c r="A3185" s="23" t="s">
        <v>1488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-84</v>
      </c>
    </row>
    <row r="3186" spans="1:10" hidden="1" x14ac:dyDescent="0.2">
      <c r="A3186" s="23" t="s">
        <v>700</v>
      </c>
      <c r="B3186" s="25">
        <v>43695</v>
      </c>
      <c r="C3186" s="26">
        <v>24</v>
      </c>
      <c r="D3186" s="7" t="s">
        <v>2391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-80</v>
      </c>
    </row>
    <row r="3187" spans="1:10" hidden="1" x14ac:dyDescent="0.2">
      <c r="A3187" s="23" t="s">
        <v>1488</v>
      </c>
      <c r="B3187" s="25">
        <v>43695</v>
      </c>
      <c r="C3187" s="26">
        <v>25</v>
      </c>
      <c r="D3187" s="7" t="s">
        <v>273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-80</v>
      </c>
    </row>
    <row r="3188" spans="1:10" hidden="1" x14ac:dyDescent="0.2">
      <c r="A3188" s="23" t="s">
        <v>1488</v>
      </c>
      <c r="B3188" s="25">
        <v>43695</v>
      </c>
      <c r="C3188" s="26">
        <v>26</v>
      </c>
      <c r="D3188" s="7" t="s">
        <v>275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-80</v>
      </c>
    </row>
    <row r="3189" spans="1:10" hidden="1" x14ac:dyDescent="0.2">
      <c r="A3189" s="23" t="s">
        <v>1488</v>
      </c>
      <c r="B3189" s="25">
        <v>43695</v>
      </c>
      <c r="C3189" s="26">
        <v>27</v>
      </c>
      <c r="D3189" s="7" t="s">
        <v>1503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-79</v>
      </c>
    </row>
    <row r="3190" spans="1:10" hidden="1" x14ac:dyDescent="0.2">
      <c r="A3190" s="23" t="s">
        <v>1488</v>
      </c>
      <c r="B3190" s="25">
        <v>43695</v>
      </c>
      <c r="C3190" s="26">
        <v>28</v>
      </c>
      <c r="D3190" s="7" t="s">
        <v>2401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-78</v>
      </c>
    </row>
    <row r="3191" spans="1:10" hidden="1" x14ac:dyDescent="0.2">
      <c r="A3191" s="23" t="s">
        <v>700</v>
      </c>
      <c r="B3191" s="25">
        <v>43695</v>
      </c>
      <c r="C3191" s="26">
        <v>28.1</v>
      </c>
      <c r="D3191" s="7" t="s">
        <v>2402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-78</v>
      </c>
    </row>
    <row r="3192" spans="1:10" hidden="1" x14ac:dyDescent="0.2">
      <c r="A3192" s="23" t="s">
        <v>1488</v>
      </c>
      <c r="B3192" s="25">
        <v>43695</v>
      </c>
      <c r="C3192" s="26">
        <v>29</v>
      </c>
      <c r="D3192" s="7" t="s">
        <v>2392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-72</v>
      </c>
    </row>
    <row r="3193" spans="1:10" hidden="1" x14ac:dyDescent="0.2">
      <c r="A3193" s="23" t="s">
        <v>700</v>
      </c>
      <c r="B3193" s="25">
        <v>43695</v>
      </c>
      <c r="C3193" s="12">
        <v>30</v>
      </c>
      <c r="D3193" s="38" t="s">
        <v>2443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-73</v>
      </c>
    </row>
    <row r="3194" spans="1:10" hidden="1" x14ac:dyDescent="0.2">
      <c r="A3194" s="23" t="s">
        <v>700</v>
      </c>
      <c r="B3194" s="25">
        <v>43695</v>
      </c>
      <c r="C3194" s="12">
        <v>31</v>
      </c>
      <c r="D3194" s="38" t="s">
        <v>2457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-72</v>
      </c>
    </row>
    <row r="3195" spans="1:10" hidden="1" x14ac:dyDescent="0.2">
      <c r="A3195" s="23" t="s">
        <v>700</v>
      </c>
      <c r="B3195" s="25">
        <v>43695</v>
      </c>
      <c r="C3195" s="12">
        <v>32</v>
      </c>
      <c r="D3195" s="38" t="s">
        <v>2463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-71</v>
      </c>
    </row>
    <row r="3196" spans="1:10" hidden="1" x14ac:dyDescent="0.2">
      <c r="A3196" s="4" t="s">
        <v>2831</v>
      </c>
      <c r="B3196" s="37">
        <v>43695</v>
      </c>
      <c r="C3196" s="12">
        <v>1</v>
      </c>
      <c r="D3196" s="38" t="s">
        <v>507</v>
      </c>
      <c r="E3196" s="39">
        <v>43690</v>
      </c>
      <c r="F3196" s="40" t="s">
        <v>2270</v>
      </c>
      <c r="G3196" s="12"/>
      <c r="H3196" s="12"/>
      <c r="J3196" s="41">
        <f ca="1">ROUNDDOWN(表3[[#This Row],[日期]]-TODAY(),1)</f>
        <v>-87</v>
      </c>
    </row>
    <row r="3197" spans="1:10" hidden="1" x14ac:dyDescent="0.2">
      <c r="A3197" s="4" t="s">
        <v>2831</v>
      </c>
      <c r="B3197" s="37">
        <v>43695</v>
      </c>
      <c r="C3197" s="12">
        <v>2</v>
      </c>
      <c r="D3197" s="38" t="s">
        <v>1518</v>
      </c>
      <c r="E3197" s="39">
        <v>43690</v>
      </c>
      <c r="F3197" s="40" t="s">
        <v>242</v>
      </c>
      <c r="G3197" s="12"/>
      <c r="H3197" s="12"/>
      <c r="I3197" s="4" t="s">
        <v>1521</v>
      </c>
      <c r="J3197" s="41">
        <f ca="1">ROUNDDOWN(表3[[#This Row],[日期]]-TODAY(),1)</f>
        <v>-87</v>
      </c>
    </row>
    <row r="3198" spans="1:10" hidden="1" x14ac:dyDescent="0.2">
      <c r="A3198" s="4" t="s">
        <v>2831</v>
      </c>
      <c r="B3198" s="37">
        <v>43695</v>
      </c>
      <c r="C3198" s="12">
        <v>3</v>
      </c>
      <c r="D3198" s="38" t="s">
        <v>1779</v>
      </c>
      <c r="E3198" s="39">
        <v>43690</v>
      </c>
      <c r="F3198" s="40" t="s">
        <v>242</v>
      </c>
      <c r="G3198" s="12"/>
      <c r="H3198" s="12"/>
      <c r="I3198" s="4" t="s">
        <v>1523</v>
      </c>
      <c r="J3198" s="41">
        <f ca="1">ROUNDDOWN(表3[[#This Row],[日期]]-TODAY(),1)</f>
        <v>-87</v>
      </c>
    </row>
    <row r="3199" spans="1:10" hidden="1" x14ac:dyDescent="0.2">
      <c r="A3199" s="4" t="s">
        <v>2831</v>
      </c>
      <c r="B3199" s="37">
        <v>43695</v>
      </c>
      <c r="C3199" s="12">
        <v>4</v>
      </c>
      <c r="D3199" s="38" t="s">
        <v>1526</v>
      </c>
      <c r="E3199" s="39">
        <v>43690</v>
      </c>
      <c r="F3199" s="40" t="s">
        <v>242</v>
      </c>
      <c r="G3199" s="12"/>
      <c r="H3199" s="12"/>
      <c r="I3199" s="4" t="s">
        <v>1528</v>
      </c>
      <c r="J3199" s="41">
        <f ca="1">ROUNDDOWN(表3[[#This Row],[日期]]-TODAY(),1)</f>
        <v>-87</v>
      </c>
    </row>
    <row r="3200" spans="1:10" hidden="1" x14ac:dyDescent="0.2">
      <c r="A3200" s="4" t="s">
        <v>2831</v>
      </c>
      <c r="B3200" s="37">
        <v>43695</v>
      </c>
      <c r="C3200" s="12">
        <v>5</v>
      </c>
      <c r="D3200" s="38" t="s">
        <v>1703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-87</v>
      </c>
    </row>
    <row r="3201" spans="1:10" hidden="1" x14ac:dyDescent="0.2">
      <c r="A3201" s="4" t="s">
        <v>2831</v>
      </c>
      <c r="B3201" s="37">
        <v>43695</v>
      </c>
      <c r="C3201" s="12">
        <v>6</v>
      </c>
      <c r="D3201" s="38" t="s">
        <v>1533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-87</v>
      </c>
    </row>
    <row r="3202" spans="1:10" hidden="1" x14ac:dyDescent="0.2">
      <c r="A3202" s="4" t="s">
        <v>2831</v>
      </c>
      <c r="B3202" s="37">
        <v>43695</v>
      </c>
      <c r="C3202" s="12">
        <v>7</v>
      </c>
      <c r="D3202" s="38" t="s">
        <v>1535</v>
      </c>
      <c r="E3202" s="39">
        <v>43690</v>
      </c>
      <c r="F3202" s="40" t="s">
        <v>1184</v>
      </c>
      <c r="G3202" s="12"/>
      <c r="H3202" s="12"/>
      <c r="I3202" s="4" t="s">
        <v>1537</v>
      </c>
      <c r="J3202" s="41">
        <f ca="1">ROUNDDOWN(表3[[#This Row],[日期]]-TODAY(),1)</f>
        <v>-87</v>
      </c>
    </row>
    <row r="3203" spans="1:10" hidden="1" x14ac:dyDescent="0.2">
      <c r="A3203" s="4" t="s">
        <v>2831</v>
      </c>
      <c r="B3203" s="37">
        <v>43695</v>
      </c>
      <c r="C3203" s="12">
        <v>8</v>
      </c>
      <c r="D3203" s="38" t="s">
        <v>1531</v>
      </c>
      <c r="E3203" s="39">
        <v>43690</v>
      </c>
      <c r="F3203" s="40" t="s">
        <v>1184</v>
      </c>
      <c r="G3203" s="12"/>
      <c r="H3203" s="12"/>
      <c r="J3203" s="41">
        <f ca="1">ROUNDDOWN(表3[[#This Row],[日期]]-TODAY(),1)</f>
        <v>-87</v>
      </c>
    </row>
    <row r="3204" spans="1:10" hidden="1" x14ac:dyDescent="0.2">
      <c r="A3204" s="4" t="s">
        <v>2831</v>
      </c>
      <c r="B3204" s="37">
        <v>43695</v>
      </c>
      <c r="C3204" s="12">
        <v>9</v>
      </c>
      <c r="D3204" s="38" t="s">
        <v>1539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-86</v>
      </c>
    </row>
    <row r="3205" spans="1:10" hidden="1" x14ac:dyDescent="0.2">
      <c r="A3205" s="4" t="s">
        <v>2831</v>
      </c>
      <c r="B3205" s="37">
        <v>43695</v>
      </c>
      <c r="C3205" s="12">
        <v>9.1</v>
      </c>
      <c r="D3205" s="38" t="s">
        <v>2293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-85</v>
      </c>
    </row>
    <row r="3206" spans="1:10" hidden="1" x14ac:dyDescent="0.2">
      <c r="A3206" s="4" t="s">
        <v>2831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-81</v>
      </c>
    </row>
    <row r="3207" spans="1:10" hidden="1" x14ac:dyDescent="0.2">
      <c r="A3207" s="4" t="s">
        <v>2831</v>
      </c>
      <c r="B3207" s="37">
        <v>43695</v>
      </c>
      <c r="C3207" s="12">
        <v>11</v>
      </c>
      <c r="D3207" s="38" t="s">
        <v>2309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-84</v>
      </c>
    </row>
    <row r="3208" spans="1:10" hidden="1" x14ac:dyDescent="0.2">
      <c r="A3208" s="4" t="s">
        <v>2831</v>
      </c>
      <c r="B3208" s="37">
        <v>43695</v>
      </c>
      <c r="C3208" s="12">
        <v>12</v>
      </c>
      <c r="D3208" s="38" t="s">
        <v>1541</v>
      </c>
      <c r="E3208" s="39">
        <v>43695</v>
      </c>
      <c r="F3208" s="40" t="s">
        <v>242</v>
      </c>
      <c r="G3208" s="12"/>
      <c r="H3208" s="12"/>
      <c r="I3208" s="4" t="s">
        <v>529</v>
      </c>
      <c r="J3208" s="41">
        <f ca="1">ROUNDDOWN(表3[[#This Row],[日期]]-TODAY(),1)</f>
        <v>-82</v>
      </c>
    </row>
    <row r="3209" spans="1:10" hidden="1" x14ac:dyDescent="0.2">
      <c r="A3209" s="4" t="s">
        <v>2831</v>
      </c>
      <c r="B3209" s="37">
        <v>43695</v>
      </c>
      <c r="C3209" s="12">
        <v>13</v>
      </c>
      <c r="D3209" s="38" t="s">
        <v>1543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-82</v>
      </c>
    </row>
    <row r="3210" spans="1:10" hidden="1" x14ac:dyDescent="0.2">
      <c r="A3210" s="4" t="s">
        <v>2831</v>
      </c>
      <c r="B3210" s="37">
        <v>43695</v>
      </c>
      <c r="C3210" s="12">
        <v>14</v>
      </c>
      <c r="D3210" s="38" t="s">
        <v>1545</v>
      </c>
      <c r="E3210" s="39">
        <v>43695</v>
      </c>
      <c r="F3210" s="40" t="s">
        <v>242</v>
      </c>
      <c r="G3210" s="12"/>
      <c r="H3210" s="12"/>
      <c r="I3210" s="4" t="s">
        <v>1547</v>
      </c>
      <c r="J3210" s="41">
        <f ca="1">ROUNDDOWN(表3[[#This Row],[日期]]-TODAY(),1)</f>
        <v>-82</v>
      </c>
    </row>
    <row r="3211" spans="1:10" hidden="1" x14ac:dyDescent="0.2">
      <c r="A3211" s="4" t="s">
        <v>2831</v>
      </c>
      <c r="B3211" s="37">
        <v>43695</v>
      </c>
      <c r="C3211" s="12">
        <v>15</v>
      </c>
      <c r="D3211" s="38" t="s">
        <v>1549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-81</v>
      </c>
    </row>
    <row r="3212" spans="1:10" hidden="1" x14ac:dyDescent="0.2">
      <c r="A3212" s="4" t="s">
        <v>2831</v>
      </c>
      <c r="B3212" s="37">
        <v>43695</v>
      </c>
      <c r="C3212" s="12">
        <v>16</v>
      </c>
      <c r="D3212" s="38" t="s">
        <v>1556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-82</v>
      </c>
    </row>
    <row r="3213" spans="1:10" hidden="1" x14ac:dyDescent="0.2">
      <c r="A3213" s="4" t="s">
        <v>2831</v>
      </c>
      <c r="B3213" s="37">
        <v>43695</v>
      </c>
      <c r="C3213" s="12">
        <v>17</v>
      </c>
      <c r="D3213" s="38" t="s">
        <v>1298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-81</v>
      </c>
    </row>
    <row r="3214" spans="1:10" hidden="1" x14ac:dyDescent="0.2">
      <c r="A3214" s="4" t="s">
        <v>2831</v>
      </c>
      <c r="B3214" s="37">
        <v>43695</v>
      </c>
      <c r="C3214" s="12">
        <v>18</v>
      </c>
      <c r="D3214" s="38" t="s">
        <v>1552</v>
      </c>
      <c r="E3214" s="39">
        <v>43696</v>
      </c>
      <c r="F3214" s="40" t="s">
        <v>242</v>
      </c>
      <c r="G3214" s="12">
        <v>1</v>
      </c>
      <c r="H3214" s="12"/>
      <c r="I3214" s="4" t="s">
        <v>1554</v>
      </c>
      <c r="J3214" s="41">
        <f ca="1">ROUNDDOWN(表3[[#This Row],[日期]]-TODAY(),1)</f>
        <v>-81</v>
      </c>
    </row>
    <row r="3215" spans="1:10" hidden="1" x14ac:dyDescent="0.2">
      <c r="A3215" s="4" t="s">
        <v>2831</v>
      </c>
      <c r="B3215" s="37">
        <v>43695</v>
      </c>
      <c r="C3215" s="12">
        <v>19</v>
      </c>
      <c r="D3215" s="38" t="s">
        <v>1558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-81</v>
      </c>
    </row>
    <row r="3216" spans="1:10" hidden="1" x14ac:dyDescent="0.2">
      <c r="A3216" s="4" t="s">
        <v>2831</v>
      </c>
      <c r="B3216" s="37">
        <v>43695</v>
      </c>
      <c r="C3216" s="12">
        <v>20</v>
      </c>
      <c r="D3216" s="38" t="s">
        <v>1560</v>
      </c>
      <c r="E3216" s="39">
        <v>43695</v>
      </c>
      <c r="F3216" s="40" t="s">
        <v>1184</v>
      </c>
      <c r="G3216" s="12"/>
      <c r="H3216" s="12"/>
      <c r="J3216" s="41">
        <f ca="1">ROUNDDOWN(表3[[#This Row],[日期]]-TODAY(),1)</f>
        <v>-82</v>
      </c>
    </row>
    <row r="3217" spans="1:10" hidden="1" x14ac:dyDescent="0.2">
      <c r="A3217" s="4" t="s">
        <v>2831</v>
      </c>
      <c r="B3217" s="37">
        <v>43695</v>
      </c>
      <c r="C3217" s="12">
        <v>21</v>
      </c>
      <c r="D3217" s="38" t="s">
        <v>1562</v>
      </c>
      <c r="E3217" s="39">
        <v>43695</v>
      </c>
      <c r="F3217" s="40" t="s">
        <v>1184</v>
      </c>
      <c r="G3217" s="12"/>
      <c r="H3217" s="12"/>
      <c r="J3217" s="41">
        <f ca="1">ROUNDDOWN(表3[[#This Row],[日期]]-TODAY(),1)</f>
        <v>-82</v>
      </c>
    </row>
    <row r="3218" spans="1:10" hidden="1" x14ac:dyDescent="0.2">
      <c r="A3218" s="4" t="s">
        <v>2831</v>
      </c>
      <c r="B3218" s="37">
        <v>43695</v>
      </c>
      <c r="C3218" s="12">
        <v>22</v>
      </c>
      <c r="D3218" s="38" t="s">
        <v>1564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-81</v>
      </c>
    </row>
    <row r="3219" spans="1:10" hidden="1" x14ac:dyDescent="0.2">
      <c r="A3219" s="4" t="s">
        <v>2831</v>
      </c>
      <c r="B3219" s="37">
        <v>43695</v>
      </c>
      <c r="C3219" s="12">
        <v>23</v>
      </c>
      <c r="D3219" s="38" t="s">
        <v>1566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-81</v>
      </c>
    </row>
    <row r="3220" spans="1:10" hidden="1" x14ac:dyDescent="0.2">
      <c r="A3220" s="4" t="s">
        <v>2831</v>
      </c>
      <c r="B3220" s="37">
        <v>43695</v>
      </c>
      <c r="C3220" s="12">
        <v>24</v>
      </c>
      <c r="D3220" s="38" t="s">
        <v>1568</v>
      </c>
      <c r="E3220" s="39">
        <v>43696</v>
      </c>
      <c r="F3220" s="40" t="s">
        <v>242</v>
      </c>
      <c r="G3220" s="12">
        <v>2</v>
      </c>
      <c r="H3220" s="12"/>
      <c r="I3220" s="4" t="s">
        <v>1528</v>
      </c>
      <c r="J3220" s="41">
        <f ca="1">ROUNDDOWN(表3[[#This Row],[日期]]-TODAY(),1)</f>
        <v>-81</v>
      </c>
    </row>
    <row r="3221" spans="1:10" hidden="1" x14ac:dyDescent="0.2">
      <c r="A3221" s="4" t="s">
        <v>2831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-78</v>
      </c>
    </row>
    <row r="3222" spans="1:10" hidden="1" x14ac:dyDescent="0.2">
      <c r="A3222" s="4" t="s">
        <v>2831</v>
      </c>
      <c r="B3222" s="37">
        <v>43695</v>
      </c>
      <c r="C3222" s="12">
        <v>26</v>
      </c>
      <c r="D3222" s="38" t="s">
        <v>1572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-78</v>
      </c>
    </row>
    <row r="3223" spans="1:10" hidden="1" x14ac:dyDescent="0.2">
      <c r="A3223" s="4" t="s">
        <v>2831</v>
      </c>
      <c r="B3223" s="37">
        <v>43695</v>
      </c>
      <c r="C3223" s="12">
        <v>27</v>
      </c>
      <c r="D3223" s="38" t="s">
        <v>1570</v>
      </c>
      <c r="E3223" s="39">
        <v>43699</v>
      </c>
      <c r="F3223" s="40" t="s">
        <v>242</v>
      </c>
      <c r="G3223" s="12">
        <v>4</v>
      </c>
      <c r="H3223" s="12"/>
      <c r="I3223" s="4" t="s">
        <v>1528</v>
      </c>
      <c r="J3223" s="41">
        <f ca="1">ROUNDDOWN(表3[[#This Row],[日期]]-TODAY(),1)</f>
        <v>-78</v>
      </c>
    </row>
    <row r="3224" spans="1:10" hidden="1" x14ac:dyDescent="0.2">
      <c r="A3224" s="4" t="s">
        <v>2847</v>
      </c>
      <c r="B3224" s="37">
        <v>43696</v>
      </c>
      <c r="C3224" s="12">
        <v>1</v>
      </c>
      <c r="D3224" s="38" t="s">
        <v>2388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-78</v>
      </c>
    </row>
    <row r="3225" spans="1:10" hidden="1" x14ac:dyDescent="0.2">
      <c r="A3225" s="4" t="s">
        <v>2847</v>
      </c>
      <c r="B3225" s="37">
        <v>43696</v>
      </c>
      <c r="C3225" s="12">
        <v>2</v>
      </c>
      <c r="D3225" s="38" t="s">
        <v>1475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-81</v>
      </c>
    </row>
    <row r="3226" spans="1:10" hidden="1" x14ac:dyDescent="0.2">
      <c r="A3226" s="4" t="s">
        <v>2847</v>
      </c>
      <c r="B3226" s="37">
        <v>43696</v>
      </c>
      <c r="C3226" s="12">
        <v>3</v>
      </c>
      <c r="D3226" s="38" t="s">
        <v>1477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-81</v>
      </c>
    </row>
    <row r="3227" spans="1:10" hidden="1" x14ac:dyDescent="0.2">
      <c r="A3227" s="4" t="s">
        <v>2847</v>
      </c>
      <c r="B3227" s="37">
        <v>43696</v>
      </c>
      <c r="C3227" s="12">
        <v>4</v>
      </c>
      <c r="D3227" s="38" t="s">
        <v>1478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-81</v>
      </c>
    </row>
    <row r="3228" spans="1:10" hidden="1" x14ac:dyDescent="0.2">
      <c r="A3228" s="4" t="s">
        <v>2847</v>
      </c>
      <c r="B3228" s="37">
        <v>43696</v>
      </c>
      <c r="C3228" s="12">
        <v>5</v>
      </c>
      <c r="D3228" s="38" t="s">
        <v>2390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-78</v>
      </c>
    </row>
    <row r="3229" spans="1:10" hidden="1" x14ac:dyDescent="0.2">
      <c r="A3229" s="4" t="s">
        <v>2847</v>
      </c>
      <c r="B3229" s="37">
        <v>43696</v>
      </c>
      <c r="C3229" s="12">
        <v>6</v>
      </c>
      <c r="D3229" s="38" t="s">
        <v>2380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-80</v>
      </c>
    </row>
    <row r="3230" spans="1:10" hidden="1" x14ac:dyDescent="0.2">
      <c r="A3230" s="4" t="s">
        <v>2847</v>
      </c>
      <c r="B3230" s="37">
        <v>43696</v>
      </c>
      <c r="C3230" s="12">
        <v>7</v>
      </c>
      <c r="D3230" s="38" t="s">
        <v>738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-81</v>
      </c>
    </row>
    <row r="3231" spans="1:10" hidden="1" x14ac:dyDescent="0.2">
      <c r="A3231" s="4" t="s">
        <v>2847</v>
      </c>
      <c r="B3231" s="37">
        <v>43696</v>
      </c>
      <c r="C3231" s="12">
        <v>8</v>
      </c>
      <c r="D3231" s="38" t="s">
        <v>738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-79</v>
      </c>
    </row>
    <row r="3232" spans="1:10" hidden="1" x14ac:dyDescent="0.2">
      <c r="A3232" s="4" t="s">
        <v>2847</v>
      </c>
      <c r="B3232" s="37">
        <v>43696</v>
      </c>
      <c r="C3232" s="12">
        <v>9</v>
      </c>
      <c r="D3232" s="38" t="s">
        <v>1025</v>
      </c>
      <c r="E3232" s="39">
        <v>43699</v>
      </c>
      <c r="F3232" s="40" t="s">
        <v>242</v>
      </c>
      <c r="G3232" s="12">
        <v>0</v>
      </c>
      <c r="H3232" s="12"/>
      <c r="I3232" s="4" t="s">
        <v>743</v>
      </c>
      <c r="J3232" s="41">
        <f ca="1">ROUNDDOWN(表3[[#This Row],[日期]]-TODAY(),1)</f>
        <v>-78</v>
      </c>
    </row>
    <row r="3233" spans="1:10" hidden="1" x14ac:dyDescent="0.2">
      <c r="A3233" s="4" t="s">
        <v>2847</v>
      </c>
      <c r="B3233" s="37">
        <v>43696</v>
      </c>
      <c r="C3233" s="12">
        <v>10</v>
      </c>
      <c r="D3233" s="38" t="s">
        <v>899</v>
      </c>
      <c r="E3233" s="39">
        <v>43699</v>
      </c>
      <c r="F3233" s="40" t="s">
        <v>242</v>
      </c>
      <c r="G3233" s="12">
        <v>4</v>
      </c>
      <c r="H3233" s="12"/>
      <c r="I3233" s="4" t="s">
        <v>743</v>
      </c>
      <c r="J3233" s="41">
        <f ca="1">ROUNDDOWN(表3[[#This Row],[日期]]-TODAY(),1)</f>
        <v>-78</v>
      </c>
    </row>
    <row r="3234" spans="1:10" hidden="1" x14ac:dyDescent="0.2">
      <c r="A3234" s="4" t="s">
        <v>2847</v>
      </c>
      <c r="B3234" s="37">
        <v>43696</v>
      </c>
      <c r="C3234" s="12">
        <v>11</v>
      </c>
      <c r="D3234" s="38" t="s">
        <v>1734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-77</v>
      </c>
    </row>
    <row r="3235" spans="1:10" hidden="1" x14ac:dyDescent="0.2">
      <c r="A3235" s="4" t="s">
        <v>2847</v>
      </c>
      <c r="B3235" s="37">
        <v>43696</v>
      </c>
      <c r="C3235" s="12">
        <v>12</v>
      </c>
      <c r="D3235" s="38" t="s">
        <v>1031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-74</v>
      </c>
    </row>
    <row r="3236" spans="1:10" hidden="1" x14ac:dyDescent="0.2">
      <c r="A3236" s="4" t="s">
        <v>2847</v>
      </c>
      <c r="B3236" s="37">
        <v>43696</v>
      </c>
      <c r="C3236" s="12">
        <v>13</v>
      </c>
      <c r="D3236" s="38" t="s">
        <v>738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-77</v>
      </c>
    </row>
    <row r="3237" spans="1:10" hidden="1" x14ac:dyDescent="0.2">
      <c r="A3237" s="4" t="s">
        <v>2847</v>
      </c>
      <c r="B3237" s="37">
        <v>43696</v>
      </c>
      <c r="C3237" s="12">
        <v>14</v>
      </c>
      <c r="D3237" s="38" t="s">
        <v>2103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-77</v>
      </c>
    </row>
    <row r="3238" spans="1:10" hidden="1" x14ac:dyDescent="0.2">
      <c r="A3238" s="4" t="s">
        <v>2847</v>
      </c>
      <c r="B3238" s="37">
        <v>43696</v>
      </c>
      <c r="C3238" s="12">
        <v>15</v>
      </c>
      <c r="D3238" s="38" t="s">
        <v>900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-77</v>
      </c>
    </row>
    <row r="3239" spans="1:10" hidden="1" x14ac:dyDescent="0.2">
      <c r="A3239" s="4" t="s">
        <v>2847</v>
      </c>
      <c r="B3239" s="37">
        <v>43696</v>
      </c>
      <c r="C3239" s="12">
        <v>16</v>
      </c>
      <c r="D3239" s="38" t="s">
        <v>2104</v>
      </c>
      <c r="E3239" s="39">
        <v>43700</v>
      </c>
      <c r="F3239" s="40" t="s">
        <v>1184</v>
      </c>
      <c r="G3239" s="12"/>
      <c r="H3239" s="12"/>
      <c r="I3239" s="4" t="s">
        <v>220</v>
      </c>
      <c r="J3239" s="41">
        <f ca="1">ROUNDDOWN(表3[[#This Row],[日期]]-TODAY(),1)</f>
        <v>-77</v>
      </c>
    </row>
    <row r="3240" spans="1:10" hidden="1" x14ac:dyDescent="0.2">
      <c r="A3240" s="4" t="s">
        <v>2847</v>
      </c>
      <c r="B3240" s="37">
        <v>43696</v>
      </c>
      <c r="C3240" s="12"/>
      <c r="D3240" s="38" t="s">
        <v>2337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-79</v>
      </c>
    </row>
    <row r="3241" spans="1:10" hidden="1" x14ac:dyDescent="0.2">
      <c r="A3241" s="4" t="s">
        <v>2185</v>
      </c>
      <c r="B3241" s="37">
        <v>43697</v>
      </c>
      <c r="C3241" s="12">
        <v>1</v>
      </c>
      <c r="D3241" s="38" t="s">
        <v>364</v>
      </c>
      <c r="E3241" s="39">
        <v>43684</v>
      </c>
      <c r="F3241" s="40" t="s">
        <v>2182</v>
      </c>
      <c r="G3241" s="12"/>
      <c r="H3241" s="12"/>
      <c r="J3241" s="41">
        <f ca="1">ROUNDDOWN(表3[[#This Row],[日期]]-TODAY(),1)</f>
        <v>-93</v>
      </c>
    </row>
    <row r="3242" spans="1:10" hidden="1" x14ac:dyDescent="0.2">
      <c r="A3242" s="4" t="s">
        <v>2185</v>
      </c>
      <c r="B3242" s="37">
        <v>43697</v>
      </c>
      <c r="C3242" s="12">
        <v>2</v>
      </c>
      <c r="D3242" s="38" t="s">
        <v>863</v>
      </c>
      <c r="E3242" s="39">
        <v>43684</v>
      </c>
      <c r="F3242" s="40" t="s">
        <v>2188</v>
      </c>
      <c r="G3242" s="12"/>
      <c r="H3242" s="12"/>
      <c r="J3242" s="41">
        <f ca="1">ROUNDDOWN(表3[[#This Row],[日期]]-TODAY(),1)</f>
        <v>-93</v>
      </c>
    </row>
    <row r="3243" spans="1:10" hidden="1" x14ac:dyDescent="0.2">
      <c r="A3243" s="4" t="s">
        <v>2185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-87</v>
      </c>
    </row>
    <row r="3244" spans="1:10" hidden="1" x14ac:dyDescent="0.2">
      <c r="A3244" s="4" t="s">
        <v>2185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-85</v>
      </c>
    </row>
    <row r="3245" spans="1:10" hidden="1" x14ac:dyDescent="0.2">
      <c r="A3245" s="4" t="s">
        <v>2185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-85</v>
      </c>
    </row>
    <row r="3246" spans="1:10" hidden="1" x14ac:dyDescent="0.2">
      <c r="A3246" s="4" t="s">
        <v>2185</v>
      </c>
      <c r="B3246" s="37">
        <v>43697</v>
      </c>
      <c r="C3246" s="12">
        <v>6</v>
      </c>
      <c r="D3246" s="38" t="s">
        <v>864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-85</v>
      </c>
    </row>
    <row r="3247" spans="1:10" hidden="1" x14ac:dyDescent="0.2">
      <c r="A3247" s="4" t="s">
        <v>2185</v>
      </c>
      <c r="B3247" s="37">
        <v>43697</v>
      </c>
      <c r="C3247" s="12">
        <v>7</v>
      </c>
      <c r="D3247" s="38" t="s">
        <v>1851</v>
      </c>
      <c r="E3247" s="39">
        <v>43692</v>
      </c>
      <c r="F3247" s="40" t="s">
        <v>1184</v>
      </c>
      <c r="G3247" s="12"/>
      <c r="H3247" s="12"/>
      <c r="I3247" s="4" t="s">
        <v>1131</v>
      </c>
      <c r="J3247" s="41">
        <f ca="1">ROUNDDOWN(表3[[#This Row],[日期]]-TODAY(),1)</f>
        <v>-85</v>
      </c>
    </row>
    <row r="3248" spans="1:10" hidden="1" x14ac:dyDescent="0.2">
      <c r="A3248" s="4" t="s">
        <v>2185</v>
      </c>
      <c r="B3248" s="37">
        <v>43697</v>
      </c>
      <c r="C3248" s="12">
        <v>8</v>
      </c>
      <c r="D3248" s="38" t="s">
        <v>307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-85</v>
      </c>
    </row>
    <row r="3249" spans="1:10" hidden="1" x14ac:dyDescent="0.2">
      <c r="A3249" s="4" t="s">
        <v>2185</v>
      </c>
      <c r="B3249" s="37">
        <v>43697</v>
      </c>
      <c r="C3249" s="12">
        <v>9</v>
      </c>
      <c r="D3249" s="38" t="s">
        <v>865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-84</v>
      </c>
    </row>
    <row r="3250" spans="1:10" hidden="1" x14ac:dyDescent="0.2">
      <c r="A3250" s="4" t="s">
        <v>2185</v>
      </c>
      <c r="B3250" s="37">
        <v>43697</v>
      </c>
      <c r="C3250" s="12">
        <v>10</v>
      </c>
      <c r="D3250" s="38" t="s">
        <v>866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-84</v>
      </c>
    </row>
    <row r="3251" spans="1:10" hidden="1" x14ac:dyDescent="0.2">
      <c r="A3251" s="4" t="s">
        <v>2185</v>
      </c>
      <c r="B3251" s="37">
        <v>43697</v>
      </c>
      <c r="C3251" s="12">
        <v>11</v>
      </c>
      <c r="D3251" s="38" t="s">
        <v>867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-84</v>
      </c>
    </row>
    <row r="3252" spans="1:10" hidden="1" x14ac:dyDescent="0.2">
      <c r="A3252" s="4" t="s">
        <v>2185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-84</v>
      </c>
    </row>
    <row r="3253" spans="1:10" hidden="1" x14ac:dyDescent="0.2">
      <c r="A3253" s="4" t="s">
        <v>2185</v>
      </c>
      <c r="B3253" s="37">
        <v>43697</v>
      </c>
      <c r="C3253" s="12">
        <v>13</v>
      </c>
      <c r="D3253" s="38" t="s">
        <v>868</v>
      </c>
      <c r="E3253" s="39">
        <v>43693</v>
      </c>
      <c r="F3253" s="40" t="s">
        <v>242</v>
      </c>
      <c r="G3253" s="12">
        <v>2</v>
      </c>
      <c r="H3253" s="12"/>
      <c r="I3253" s="4" t="s">
        <v>310</v>
      </c>
      <c r="J3253" s="41">
        <f ca="1">ROUNDDOWN(表3[[#This Row],[日期]]-TODAY(),1)</f>
        <v>-84</v>
      </c>
    </row>
    <row r="3254" spans="1:10" hidden="1" x14ac:dyDescent="0.2">
      <c r="A3254" s="4" t="s">
        <v>2185</v>
      </c>
      <c r="B3254" s="37">
        <v>43697</v>
      </c>
      <c r="C3254" s="12">
        <v>14</v>
      </c>
      <c r="D3254" s="38" t="s">
        <v>313</v>
      </c>
      <c r="E3254" s="39">
        <v>43693</v>
      </c>
      <c r="F3254" s="40" t="s">
        <v>242</v>
      </c>
      <c r="G3254" s="12"/>
      <c r="H3254" s="12"/>
      <c r="I3254" s="4" t="s">
        <v>310</v>
      </c>
      <c r="J3254" s="41">
        <f ca="1">ROUNDDOWN(表3[[#This Row],[日期]]-TODAY(),1)</f>
        <v>-84</v>
      </c>
    </row>
    <row r="3255" spans="1:10" hidden="1" x14ac:dyDescent="0.2">
      <c r="A3255" s="4" t="s">
        <v>2185</v>
      </c>
      <c r="B3255" s="37">
        <v>43697</v>
      </c>
      <c r="C3255" s="12">
        <v>15</v>
      </c>
      <c r="D3255" s="38" t="s">
        <v>309</v>
      </c>
      <c r="E3255" s="39">
        <v>43693</v>
      </c>
      <c r="F3255" s="40" t="s">
        <v>242</v>
      </c>
      <c r="G3255" s="12"/>
      <c r="H3255" s="12"/>
      <c r="I3255" s="4" t="s">
        <v>310</v>
      </c>
      <c r="J3255" s="41">
        <f ca="1">ROUNDDOWN(表3[[#This Row],[日期]]-TODAY(),1)</f>
        <v>-84</v>
      </c>
    </row>
    <row r="3256" spans="1:10" hidden="1" x14ac:dyDescent="0.2">
      <c r="A3256" s="4" t="s">
        <v>2185</v>
      </c>
      <c r="B3256" s="37">
        <v>43697</v>
      </c>
      <c r="C3256" s="12">
        <v>16</v>
      </c>
      <c r="D3256" s="38" t="s">
        <v>292</v>
      </c>
      <c r="E3256" s="39">
        <v>43694</v>
      </c>
      <c r="F3256" s="40" t="s">
        <v>242</v>
      </c>
      <c r="G3256" s="12"/>
      <c r="H3256" s="12"/>
      <c r="I3256" s="4" t="s">
        <v>310</v>
      </c>
      <c r="J3256" s="41">
        <f ca="1">ROUNDDOWN(表3[[#This Row],[日期]]-TODAY(),1)</f>
        <v>-83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2310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-81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2352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-81</v>
      </c>
    </row>
    <row r="3259" spans="1:10" hidden="1" x14ac:dyDescent="0.2">
      <c r="A3259" s="4" t="s">
        <v>2185</v>
      </c>
      <c r="B3259" s="37">
        <v>43697</v>
      </c>
      <c r="C3259" s="12">
        <v>17</v>
      </c>
      <c r="D3259" s="38" t="s">
        <v>271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-83</v>
      </c>
    </row>
    <row r="3260" spans="1:10" hidden="1" x14ac:dyDescent="0.2">
      <c r="A3260" s="4" t="s">
        <v>2185</v>
      </c>
      <c r="B3260" s="37">
        <v>43697</v>
      </c>
      <c r="C3260" s="12">
        <v>18</v>
      </c>
      <c r="D3260" s="38" t="s">
        <v>273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-80</v>
      </c>
    </row>
    <row r="3261" spans="1:10" hidden="1" x14ac:dyDescent="0.2">
      <c r="A3261" s="4" t="s">
        <v>2185</v>
      </c>
      <c r="B3261" s="37">
        <v>43697</v>
      </c>
      <c r="C3261" s="12">
        <v>19</v>
      </c>
      <c r="D3261" s="38" t="s">
        <v>275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-80</v>
      </c>
    </row>
    <row r="3262" spans="1:10" hidden="1" x14ac:dyDescent="0.2">
      <c r="A3262" s="4" t="s">
        <v>2185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-79</v>
      </c>
    </row>
    <row r="3263" spans="1:10" hidden="1" x14ac:dyDescent="0.2">
      <c r="A3263" s="4" t="s">
        <v>2185</v>
      </c>
      <c r="B3263" s="37">
        <v>43697</v>
      </c>
      <c r="C3263" s="12">
        <v>21</v>
      </c>
      <c r="D3263" s="38" t="s">
        <v>1387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-79</v>
      </c>
    </row>
    <row r="3264" spans="1:10" hidden="1" x14ac:dyDescent="0.2">
      <c r="A3264" s="4" t="s">
        <v>2185</v>
      </c>
      <c r="B3264" s="37">
        <v>43697</v>
      </c>
      <c r="C3264" s="12">
        <v>22</v>
      </c>
      <c r="D3264" s="38" t="s">
        <v>305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-79</v>
      </c>
    </row>
    <row r="3265" spans="1:10" hidden="1" x14ac:dyDescent="0.2">
      <c r="A3265" s="4" t="s">
        <v>2223</v>
      </c>
      <c r="B3265" s="37">
        <v>43698</v>
      </c>
      <c r="C3265" s="12">
        <v>1</v>
      </c>
      <c r="D3265" s="38" t="s">
        <v>364</v>
      </c>
      <c r="E3265" s="39">
        <v>43686</v>
      </c>
      <c r="F3265" s="40" t="s">
        <v>2218</v>
      </c>
      <c r="G3265" s="12"/>
      <c r="H3265" s="12"/>
      <c r="J3265" s="41">
        <f ca="1">ROUNDDOWN(表3[[#This Row],[日期]]-TODAY(),1)</f>
        <v>-91</v>
      </c>
    </row>
    <row r="3266" spans="1:10" hidden="1" x14ac:dyDescent="0.2">
      <c r="A3266" s="4" t="s">
        <v>2223</v>
      </c>
      <c r="B3266" s="37">
        <v>43698</v>
      </c>
      <c r="C3266" s="12">
        <v>2</v>
      </c>
      <c r="D3266" s="38" t="s">
        <v>863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-85</v>
      </c>
    </row>
    <row r="3267" spans="1:10" hidden="1" x14ac:dyDescent="0.2">
      <c r="A3267" s="4" t="s">
        <v>2223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-85</v>
      </c>
    </row>
    <row r="3268" spans="1:10" hidden="1" x14ac:dyDescent="0.2">
      <c r="A3268" s="4" t="s">
        <v>2223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-84</v>
      </c>
    </row>
    <row r="3269" spans="1:10" hidden="1" x14ac:dyDescent="0.2">
      <c r="A3269" s="4" t="s">
        <v>2223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-84</v>
      </c>
    </row>
    <row r="3270" spans="1:10" hidden="1" x14ac:dyDescent="0.2">
      <c r="A3270" s="4" t="s">
        <v>2223</v>
      </c>
      <c r="B3270" s="37">
        <v>43698</v>
      </c>
      <c r="C3270" s="12">
        <v>6</v>
      </c>
      <c r="D3270" s="38" t="s">
        <v>864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-84</v>
      </c>
    </row>
    <row r="3271" spans="1:10" hidden="1" x14ac:dyDescent="0.2">
      <c r="A3271" s="4" t="s">
        <v>2223</v>
      </c>
      <c r="B3271" s="37">
        <v>43698</v>
      </c>
      <c r="C3271" s="12">
        <v>7</v>
      </c>
      <c r="D3271" s="38" t="s">
        <v>2353</v>
      </c>
      <c r="E3271" s="39">
        <v>43694</v>
      </c>
      <c r="F3271" s="40" t="s">
        <v>242</v>
      </c>
      <c r="G3271" s="12"/>
      <c r="H3271" s="12"/>
      <c r="I3271" s="4" t="s">
        <v>1131</v>
      </c>
      <c r="J3271" s="41">
        <f ca="1">ROUNDDOWN(表3[[#This Row],[日期]]-TODAY(),1)</f>
        <v>-83</v>
      </c>
    </row>
    <row r="3272" spans="1:10" hidden="1" x14ac:dyDescent="0.2">
      <c r="A3272" s="4" t="s">
        <v>2223</v>
      </c>
      <c r="B3272" s="37">
        <v>43698</v>
      </c>
      <c r="C3272" s="12">
        <v>8</v>
      </c>
      <c r="D3272" s="38" t="s">
        <v>307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-84</v>
      </c>
    </row>
    <row r="3273" spans="1:10" hidden="1" x14ac:dyDescent="0.2">
      <c r="A3273" s="4" t="s">
        <v>2223</v>
      </c>
      <c r="B3273" s="37">
        <v>43698</v>
      </c>
      <c r="C3273" s="12">
        <v>9</v>
      </c>
      <c r="D3273" s="38" t="s">
        <v>2342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-82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2354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-81</v>
      </c>
    </row>
    <row r="3275" spans="1:10" hidden="1" x14ac:dyDescent="0.2">
      <c r="A3275" s="4" t="s">
        <v>2223</v>
      </c>
      <c r="B3275" s="37">
        <v>43698</v>
      </c>
      <c r="C3275" s="12">
        <v>10</v>
      </c>
      <c r="D3275" s="38" t="s">
        <v>866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-81</v>
      </c>
    </row>
    <row r="3276" spans="1:10" hidden="1" x14ac:dyDescent="0.2">
      <c r="A3276" s="4" t="s">
        <v>2223</v>
      </c>
      <c r="B3276" s="37">
        <v>43698</v>
      </c>
      <c r="C3276" s="12">
        <v>11</v>
      </c>
      <c r="D3276" s="38" t="s">
        <v>867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-82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2343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-81</v>
      </c>
    </row>
    <row r="3278" spans="1:10" hidden="1" x14ac:dyDescent="0.2">
      <c r="A3278" s="4" t="s">
        <v>2223</v>
      </c>
      <c r="B3278" s="37">
        <v>43698</v>
      </c>
      <c r="C3278" s="12">
        <v>12</v>
      </c>
      <c r="D3278" s="38" t="s">
        <v>309</v>
      </c>
      <c r="E3278" s="39">
        <v>43695</v>
      </c>
      <c r="F3278" s="40" t="s">
        <v>242</v>
      </c>
      <c r="G3278" s="12"/>
      <c r="H3278" s="12"/>
      <c r="I3278" s="4" t="s">
        <v>310</v>
      </c>
      <c r="J3278" s="41">
        <f ca="1">ROUNDDOWN(表3[[#This Row],[日期]]-TODAY(),1)</f>
        <v>-82</v>
      </c>
    </row>
    <row r="3279" spans="1:10" hidden="1" x14ac:dyDescent="0.2">
      <c r="A3279" s="4" t="s">
        <v>2223</v>
      </c>
      <c r="B3279" s="37">
        <v>43698</v>
      </c>
      <c r="C3279" s="12">
        <v>13</v>
      </c>
      <c r="D3279" s="38" t="s">
        <v>2362</v>
      </c>
      <c r="E3279" s="39">
        <v>43697</v>
      </c>
      <c r="F3279" s="40" t="s">
        <v>242</v>
      </c>
      <c r="G3279" s="12"/>
      <c r="H3279" s="12"/>
      <c r="I3279" s="4" t="s">
        <v>310</v>
      </c>
      <c r="J3279" s="41">
        <f ca="1">ROUNDDOWN(表3[[#This Row],[日期]]-TODAY(),1)</f>
        <v>-80</v>
      </c>
    </row>
    <row r="3280" spans="1:10" hidden="1" x14ac:dyDescent="0.2">
      <c r="A3280" s="4" t="s">
        <v>2223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-81</v>
      </c>
    </row>
    <row r="3281" spans="1:10" hidden="1" x14ac:dyDescent="0.2">
      <c r="A3281" s="4" t="s">
        <v>2223</v>
      </c>
      <c r="B3281" s="37">
        <v>43698</v>
      </c>
      <c r="C3281" s="12">
        <v>15</v>
      </c>
      <c r="D3281" s="38" t="s">
        <v>868</v>
      </c>
      <c r="E3281" s="39">
        <v>43697</v>
      </c>
      <c r="F3281" s="40" t="s">
        <v>242</v>
      </c>
      <c r="G3281" s="12">
        <v>2</v>
      </c>
      <c r="H3281" s="12"/>
      <c r="I3281" s="4" t="s">
        <v>310</v>
      </c>
      <c r="J3281" s="41">
        <f ca="1">ROUNDDOWN(表3[[#This Row],[日期]]-TODAY(),1)</f>
        <v>-80</v>
      </c>
    </row>
    <row r="3282" spans="1:10" hidden="1" x14ac:dyDescent="0.2">
      <c r="A3282" s="4" t="s">
        <v>2223</v>
      </c>
      <c r="B3282" s="37">
        <v>43698</v>
      </c>
      <c r="C3282" s="12">
        <v>16</v>
      </c>
      <c r="D3282" s="38" t="s">
        <v>313</v>
      </c>
      <c r="E3282" s="39">
        <v>43697</v>
      </c>
      <c r="F3282" s="40" t="s">
        <v>242</v>
      </c>
      <c r="G3282" s="12">
        <v>2</v>
      </c>
      <c r="H3282" s="12"/>
      <c r="I3282" s="4" t="s">
        <v>310</v>
      </c>
      <c r="J3282" s="41">
        <f ca="1">ROUNDDOWN(表3[[#This Row],[日期]]-TODAY(),1)</f>
        <v>-80</v>
      </c>
    </row>
    <row r="3283" spans="1:10" hidden="1" x14ac:dyDescent="0.2">
      <c r="A3283" s="4" t="s">
        <v>2223</v>
      </c>
      <c r="B3283" s="37">
        <v>43698</v>
      </c>
      <c r="C3283" s="12">
        <v>17</v>
      </c>
      <c r="D3283" s="38" t="s">
        <v>271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-80</v>
      </c>
    </row>
    <row r="3284" spans="1:10" hidden="1" x14ac:dyDescent="0.2">
      <c r="A3284" s="4" t="s">
        <v>2223</v>
      </c>
      <c r="B3284" s="37">
        <v>43698</v>
      </c>
      <c r="C3284" s="12">
        <v>18</v>
      </c>
      <c r="D3284" s="38" t="s">
        <v>273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-78</v>
      </c>
    </row>
    <row r="3285" spans="1:10" hidden="1" x14ac:dyDescent="0.2">
      <c r="A3285" s="4" t="s">
        <v>2223</v>
      </c>
      <c r="B3285" s="37">
        <v>43698</v>
      </c>
      <c r="C3285" s="12">
        <v>19</v>
      </c>
      <c r="D3285" s="38" t="s">
        <v>275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-78</v>
      </c>
    </row>
    <row r="3286" spans="1:10" hidden="1" x14ac:dyDescent="0.2">
      <c r="A3286" s="4" t="s">
        <v>2223</v>
      </c>
      <c r="B3286" s="37">
        <v>43698</v>
      </c>
      <c r="C3286" s="12">
        <v>20</v>
      </c>
      <c r="D3286" s="38" t="s">
        <v>2427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-77</v>
      </c>
    </row>
    <row r="3287" spans="1:10" hidden="1" x14ac:dyDescent="0.2">
      <c r="A3287" s="4" t="s">
        <v>2223</v>
      </c>
      <c r="B3287" s="37">
        <v>43698</v>
      </c>
      <c r="C3287" s="12">
        <v>21</v>
      </c>
      <c r="D3287" s="38" t="s">
        <v>1387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-77</v>
      </c>
    </row>
    <row r="3288" spans="1:10" hidden="1" x14ac:dyDescent="0.2">
      <c r="A3288" s="4" t="s">
        <v>2223</v>
      </c>
      <c r="B3288" s="37">
        <v>43698</v>
      </c>
      <c r="C3288" s="12">
        <v>22</v>
      </c>
      <c r="D3288" s="38" t="s">
        <v>305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-77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927</v>
      </c>
      <c r="E3289" s="39">
        <v>43689</v>
      </c>
      <c r="F3289" s="40" t="s">
        <v>2251</v>
      </c>
      <c r="G3289" s="12"/>
      <c r="H3289" s="12"/>
      <c r="I3289" s="4" t="s">
        <v>27</v>
      </c>
      <c r="J3289" s="41">
        <f ca="1">ROUNDDOWN(表3[[#This Row],[日期]]-TODAY(),1)</f>
        <v>-88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2251</v>
      </c>
      <c r="G3290" s="12"/>
      <c r="H3290" s="12"/>
      <c r="J3290" s="41">
        <f ca="1">ROUNDDOWN(表3[[#This Row],[日期]]-TODAY(),1)</f>
        <v>-88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1210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-88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-88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-88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1576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-88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1577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-87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-87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928</v>
      </c>
      <c r="E3297" s="39">
        <v>43692</v>
      </c>
      <c r="F3297" s="40" t="s">
        <v>1184</v>
      </c>
      <c r="G3297" s="12">
        <v>2</v>
      </c>
      <c r="H3297" s="12"/>
      <c r="I3297" s="4" t="s">
        <v>32</v>
      </c>
      <c r="J3297" s="41">
        <f ca="1">ROUNDDOWN(表3[[#This Row],[日期]]-TODAY(),1)</f>
        <v>-85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1740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-85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1578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-85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1742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-85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1744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-85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1746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-85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1748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-85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1750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-85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2300</v>
      </c>
      <c r="E3305" s="39">
        <v>43692</v>
      </c>
      <c r="F3305" s="40" t="s">
        <v>2298</v>
      </c>
      <c r="G3305" s="12"/>
      <c r="H3305" s="12"/>
      <c r="J3305" s="41">
        <f ca="1">ROUNDDOWN(表3[[#This Row],[日期]]-TODAY(),1)</f>
        <v>-85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2301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-85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929</v>
      </c>
      <c r="E3307" s="39">
        <v>43693</v>
      </c>
      <c r="F3307" s="40" t="s">
        <v>2299</v>
      </c>
      <c r="G3307" s="12"/>
      <c r="H3307" s="12"/>
      <c r="I3307" s="4" t="s">
        <v>34</v>
      </c>
      <c r="J3307" s="41">
        <f ca="1">ROUNDDOWN(表3[[#This Row],[日期]]-TODAY(),1)</f>
        <v>-84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1752</v>
      </c>
      <c r="E3308" s="39">
        <v>43693</v>
      </c>
      <c r="F3308" s="40" t="s">
        <v>2299</v>
      </c>
      <c r="G3308" s="12"/>
      <c r="H3308" s="12"/>
      <c r="J3308" s="41">
        <f ca="1">ROUNDDOWN(表3[[#This Row],[日期]]-TODAY(),1)</f>
        <v>-84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2299</v>
      </c>
      <c r="G3309" s="12"/>
      <c r="H3309" s="12"/>
      <c r="J3309" s="41">
        <f ca="1">ROUNDDOWN(表3[[#This Row],[日期]]-TODAY(),1)</f>
        <v>-84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930</v>
      </c>
      <c r="E3310" s="39">
        <v>43693</v>
      </c>
      <c r="F3310" s="40" t="s">
        <v>2299</v>
      </c>
      <c r="G3310" s="12"/>
      <c r="H3310" s="12"/>
      <c r="I3310" s="4" t="s">
        <v>40</v>
      </c>
      <c r="J3310" s="41">
        <f ca="1">ROUNDDOWN(表3[[#This Row],[日期]]-TODAY(),1)</f>
        <v>-84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2299</v>
      </c>
      <c r="G3311" s="12"/>
      <c r="H3311" s="12"/>
      <c r="I3311" s="4" t="s">
        <v>192</v>
      </c>
      <c r="J3311" s="41">
        <f ca="1">ROUNDDOWN(表3[[#This Row],[日期]]-TODAY(),1)</f>
        <v>-84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931</v>
      </c>
      <c r="E3312" s="39">
        <v>43693</v>
      </c>
      <c r="F3312" s="40" t="s">
        <v>2299</v>
      </c>
      <c r="G3312" s="12"/>
      <c r="H3312" s="12"/>
      <c r="J3312" s="41">
        <f ca="1">ROUNDDOWN(表3[[#This Row],[日期]]-TODAY(),1)</f>
        <v>-84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759</v>
      </c>
      <c r="E3313" s="39">
        <v>43693</v>
      </c>
      <c r="F3313" s="40" t="s">
        <v>2299</v>
      </c>
      <c r="G3313" s="12"/>
      <c r="H3313" s="12"/>
      <c r="J3313" s="41">
        <f ca="1">ROUNDDOWN(表3[[#This Row],[日期]]-TODAY(),1)</f>
        <v>-84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1919</v>
      </c>
      <c r="E3314" s="39">
        <v>43693</v>
      </c>
      <c r="F3314" s="40" t="s">
        <v>2299</v>
      </c>
      <c r="G3314" s="12"/>
      <c r="H3314" s="12"/>
      <c r="J3314" s="41">
        <f ca="1">ROUNDDOWN(表3[[#This Row],[日期]]-TODAY(),1)</f>
        <v>-84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2299</v>
      </c>
      <c r="G3315" s="12"/>
      <c r="H3315" s="12"/>
      <c r="J3315" s="41">
        <f ca="1">ROUNDDOWN(表3[[#This Row],[日期]]-TODAY(),1)</f>
        <v>-84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2299</v>
      </c>
      <c r="G3316" s="12"/>
      <c r="H3316" s="12"/>
      <c r="J3316" s="41">
        <f ca="1">ROUNDDOWN(表3[[#This Row],[日期]]-TODAY(),1)</f>
        <v>-84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2299</v>
      </c>
      <c r="G3317" s="12"/>
      <c r="H3317" s="12"/>
      <c r="I3317" s="4" t="s">
        <v>40</v>
      </c>
      <c r="J3317" s="41">
        <f ca="1">ROUNDDOWN(表3[[#This Row],[日期]]-TODAY(),1)</f>
        <v>-84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2299</v>
      </c>
      <c r="G3318" s="12"/>
      <c r="H3318" s="12"/>
      <c r="J3318" s="41">
        <f ca="1">ROUNDDOWN(表3[[#This Row],[日期]]-TODAY(),1)</f>
        <v>-84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2299</v>
      </c>
      <c r="G3319" s="12"/>
      <c r="H3319" s="12"/>
      <c r="I3319" s="4" t="s">
        <v>61</v>
      </c>
      <c r="J3319" s="41">
        <f ca="1">ROUNDDOWN(表3[[#This Row],[日期]]-TODAY(),1)</f>
        <v>-84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2299</v>
      </c>
      <c r="G3320" s="12"/>
      <c r="H3320" s="12"/>
      <c r="J3320" s="41">
        <f ca="1">ROUNDDOWN(表3[[#This Row],[日期]]-TODAY(),1)</f>
        <v>-84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932</v>
      </c>
      <c r="E3321" s="39">
        <v>43693</v>
      </c>
      <c r="F3321" s="40" t="s">
        <v>2299</v>
      </c>
      <c r="G3321" s="12"/>
      <c r="H3321" s="12"/>
      <c r="I3321" s="4" t="s">
        <v>30</v>
      </c>
      <c r="J3321" s="41">
        <f ca="1">ROUNDDOWN(表3[[#This Row],[日期]]-TODAY(),1)</f>
        <v>-84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933</v>
      </c>
      <c r="E3322" s="39">
        <v>43693</v>
      </c>
      <c r="F3322" s="40" t="s">
        <v>2299</v>
      </c>
      <c r="G3322" s="12"/>
      <c r="H3322" s="12"/>
      <c r="I3322" s="4" t="s">
        <v>40</v>
      </c>
      <c r="J3322" s="41">
        <f ca="1">ROUNDDOWN(表3[[#This Row],[日期]]-TODAY(),1)</f>
        <v>-84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1071</v>
      </c>
      <c r="E3323" s="39">
        <v>43693</v>
      </c>
      <c r="F3323" s="40" t="s">
        <v>2299</v>
      </c>
      <c r="G3323" s="12"/>
      <c r="H3323" s="12"/>
      <c r="J3323" s="41">
        <f ca="1">ROUNDDOWN(表3[[#This Row],[日期]]-TODAY(),1)</f>
        <v>-84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2299</v>
      </c>
      <c r="G3324" s="12"/>
      <c r="H3324" s="12"/>
      <c r="I3324" s="4" t="s">
        <v>68</v>
      </c>
      <c r="J3324" s="41">
        <f ca="1">ROUNDDOWN(表3[[#This Row],[日期]]-TODAY(),1)</f>
        <v>-84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2299</v>
      </c>
      <c r="G3325" s="12"/>
      <c r="H3325" s="12"/>
      <c r="J3325" s="41">
        <f ca="1">ROUNDDOWN(表3[[#This Row],[日期]]-TODAY(),1)</f>
        <v>-84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1072</v>
      </c>
      <c r="E3326" s="39">
        <v>43694</v>
      </c>
      <c r="F3326" s="40" t="s">
        <v>2299</v>
      </c>
      <c r="G3326" s="12"/>
      <c r="H3326" s="12"/>
      <c r="J3326" s="41">
        <f ca="1">ROUNDDOWN(表3[[#This Row],[日期]]-TODAY(),1)</f>
        <v>-83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2299</v>
      </c>
      <c r="G3327" s="12"/>
      <c r="H3327" s="12"/>
      <c r="J3327" s="41">
        <f ca="1">ROUNDDOWN(表3[[#This Row],[日期]]-TODAY(),1)</f>
        <v>-83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2299</v>
      </c>
      <c r="G3328" s="12"/>
      <c r="H3328" s="12"/>
      <c r="J3328" s="41">
        <f ca="1">ROUNDDOWN(表3[[#This Row],[日期]]-TODAY(),1)</f>
        <v>-83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2299</v>
      </c>
      <c r="G3329" s="12"/>
      <c r="H3329" s="12"/>
      <c r="J3329" s="41">
        <f ca="1">ROUNDDOWN(表3[[#This Row],[日期]]-TODAY(),1)</f>
        <v>-80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2299</v>
      </c>
      <c r="G3330" s="12"/>
      <c r="H3330" s="12"/>
      <c r="J3330" s="41">
        <f ca="1">ROUNDDOWN(表3[[#This Row],[日期]]-TODAY(),1)</f>
        <v>-80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934</v>
      </c>
      <c r="E3331" s="39">
        <v>43697</v>
      </c>
      <c r="F3331" s="40" t="s">
        <v>2299</v>
      </c>
      <c r="G3331" s="12"/>
      <c r="H3331" s="12"/>
      <c r="J3331" s="41">
        <f ca="1">ROUNDDOWN(表3[[#This Row],[日期]]-TODAY(),1)</f>
        <v>-80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305</v>
      </c>
      <c r="E3332" s="39">
        <v>43698</v>
      </c>
      <c r="F3332" s="40" t="s">
        <v>2299</v>
      </c>
      <c r="G3332" s="12"/>
      <c r="H3332" s="12"/>
      <c r="J3332" s="41">
        <f ca="1">ROUNDDOWN(表3[[#This Row],[日期]]-TODAY(),1)</f>
        <v>-79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1580</v>
      </c>
      <c r="E3333" s="39">
        <v>43698</v>
      </c>
      <c r="F3333" s="40" t="s">
        <v>2299</v>
      </c>
      <c r="G3333" s="12"/>
      <c r="H3333" s="12"/>
      <c r="I3333" s="4" t="s">
        <v>126</v>
      </c>
      <c r="J3333" s="41">
        <f ca="1">ROUNDDOWN(表3[[#This Row],[日期]]-TODAY(),1)</f>
        <v>-79</v>
      </c>
    </row>
    <row r="3334" spans="1:10" hidden="1" x14ac:dyDescent="0.2">
      <c r="A3334" s="4" t="s">
        <v>2831</v>
      </c>
      <c r="B3334" s="37">
        <v>43698</v>
      </c>
      <c r="C3334" s="12">
        <v>1</v>
      </c>
      <c r="D3334" s="38" t="s">
        <v>507</v>
      </c>
      <c r="E3334" s="39">
        <v>43692</v>
      </c>
      <c r="F3334" s="40" t="s">
        <v>2298</v>
      </c>
      <c r="G3334" s="12"/>
      <c r="H3334" s="12"/>
      <c r="J3334" s="41">
        <f ca="1">ROUNDDOWN(表3[[#This Row],[日期]]-TODAY(),1)</f>
        <v>-85</v>
      </c>
    </row>
    <row r="3335" spans="1:10" hidden="1" x14ac:dyDescent="0.2">
      <c r="A3335" s="4" t="s">
        <v>2831</v>
      </c>
      <c r="B3335" s="37">
        <v>43698</v>
      </c>
      <c r="C3335" s="12">
        <v>2</v>
      </c>
      <c r="D3335" s="38" t="s">
        <v>1518</v>
      </c>
      <c r="E3335" s="39">
        <v>43692</v>
      </c>
      <c r="F3335" s="40" t="s">
        <v>2298</v>
      </c>
      <c r="G3335" s="12"/>
      <c r="H3335" s="12"/>
      <c r="I3335" s="4" t="s">
        <v>1521</v>
      </c>
      <c r="J3335" s="41">
        <f ca="1">ROUNDDOWN(表3[[#This Row],[日期]]-TODAY(),1)</f>
        <v>-85</v>
      </c>
    </row>
    <row r="3336" spans="1:10" hidden="1" x14ac:dyDescent="0.2">
      <c r="A3336" s="4" t="s">
        <v>2831</v>
      </c>
      <c r="B3336" s="37">
        <v>43698</v>
      </c>
      <c r="C3336" s="12">
        <v>3</v>
      </c>
      <c r="D3336" s="38" t="s">
        <v>1779</v>
      </c>
      <c r="E3336" s="39">
        <v>43692</v>
      </c>
      <c r="F3336" s="40" t="s">
        <v>2298</v>
      </c>
      <c r="G3336" s="12"/>
      <c r="H3336" s="12"/>
      <c r="I3336" s="4" t="s">
        <v>1523</v>
      </c>
      <c r="J3336" s="41">
        <f ca="1">ROUNDDOWN(表3[[#This Row],[日期]]-TODAY(),1)</f>
        <v>-85</v>
      </c>
    </row>
    <row r="3337" spans="1:10" hidden="1" x14ac:dyDescent="0.2">
      <c r="A3337" s="4" t="s">
        <v>2831</v>
      </c>
      <c r="B3337" s="37">
        <v>43698</v>
      </c>
      <c r="C3337" s="12">
        <v>4</v>
      </c>
      <c r="D3337" s="38" t="s">
        <v>1526</v>
      </c>
      <c r="E3337" s="39">
        <v>43692</v>
      </c>
      <c r="F3337" s="40" t="s">
        <v>2298</v>
      </c>
      <c r="G3337" s="12"/>
      <c r="H3337" s="12"/>
      <c r="I3337" s="4" t="s">
        <v>1528</v>
      </c>
      <c r="J3337" s="41">
        <f ca="1">ROUNDDOWN(表3[[#This Row],[日期]]-TODAY(),1)</f>
        <v>-85</v>
      </c>
    </row>
    <row r="3338" spans="1:10" hidden="1" x14ac:dyDescent="0.2">
      <c r="A3338" s="4" t="s">
        <v>2831</v>
      </c>
      <c r="B3338" s="37">
        <v>43698</v>
      </c>
      <c r="C3338" s="12">
        <v>5</v>
      </c>
      <c r="D3338" s="38" t="s">
        <v>1703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-85</v>
      </c>
    </row>
    <row r="3339" spans="1:10" hidden="1" x14ac:dyDescent="0.2">
      <c r="A3339" s="4" t="s">
        <v>2831</v>
      </c>
      <c r="B3339" s="37">
        <v>43698</v>
      </c>
      <c r="C3339" s="12">
        <v>6</v>
      </c>
      <c r="D3339" s="38" t="s">
        <v>1533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-85</v>
      </c>
    </row>
    <row r="3340" spans="1:10" hidden="1" x14ac:dyDescent="0.2">
      <c r="A3340" s="4" t="s">
        <v>2831</v>
      </c>
      <c r="B3340" s="37">
        <v>43698</v>
      </c>
      <c r="C3340" s="12">
        <v>7</v>
      </c>
      <c r="D3340" s="38" t="s">
        <v>1535</v>
      </c>
      <c r="E3340" s="39">
        <v>43692</v>
      </c>
      <c r="F3340" s="40" t="s">
        <v>1184</v>
      </c>
      <c r="G3340" s="12"/>
      <c r="H3340" s="12"/>
      <c r="I3340" s="4" t="s">
        <v>1537</v>
      </c>
      <c r="J3340" s="41">
        <f ca="1">ROUNDDOWN(表3[[#This Row],[日期]]-TODAY(),1)</f>
        <v>-85</v>
      </c>
    </row>
    <row r="3341" spans="1:10" hidden="1" x14ac:dyDescent="0.2">
      <c r="A3341" s="4" t="s">
        <v>2831</v>
      </c>
      <c r="B3341" s="37">
        <v>43698</v>
      </c>
      <c r="C3341" s="12">
        <v>8</v>
      </c>
      <c r="D3341" s="38" t="s">
        <v>1531</v>
      </c>
      <c r="E3341" s="39">
        <v>43692</v>
      </c>
      <c r="F3341" s="40" t="s">
        <v>1184</v>
      </c>
      <c r="G3341" s="12"/>
      <c r="H3341" s="12"/>
      <c r="J3341" s="41">
        <f ca="1">ROUNDDOWN(表3[[#This Row],[日期]]-TODAY(),1)</f>
        <v>-85</v>
      </c>
    </row>
    <row r="3342" spans="1:10" hidden="1" x14ac:dyDescent="0.2">
      <c r="A3342" s="4" t="s">
        <v>2831</v>
      </c>
      <c r="B3342" s="37">
        <v>43698</v>
      </c>
      <c r="C3342" s="12">
        <v>9</v>
      </c>
      <c r="D3342" s="38" t="s">
        <v>1539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-84</v>
      </c>
    </row>
    <row r="3343" spans="1:10" hidden="1" x14ac:dyDescent="0.2">
      <c r="A3343" s="4" t="s">
        <v>2831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-81</v>
      </c>
    </row>
    <row r="3344" spans="1:10" hidden="1" x14ac:dyDescent="0.2">
      <c r="A3344" s="4" t="s">
        <v>2831</v>
      </c>
      <c r="B3344" s="37">
        <v>43698</v>
      </c>
      <c r="C3344" s="12">
        <v>11</v>
      </c>
      <c r="D3344" s="38" t="s">
        <v>1878</v>
      </c>
      <c r="E3344" s="39">
        <v>43696</v>
      </c>
      <c r="F3344" s="40" t="s">
        <v>1184</v>
      </c>
      <c r="G3344" s="12"/>
      <c r="H3344" s="12"/>
      <c r="J3344" s="41">
        <f ca="1">ROUNDDOWN(表3[[#This Row],[日期]]-TODAY(),1)</f>
        <v>-81</v>
      </c>
    </row>
    <row r="3345" spans="1:10" hidden="1" x14ac:dyDescent="0.2">
      <c r="A3345" s="4" t="s">
        <v>2831</v>
      </c>
      <c r="B3345" s="37">
        <v>43698</v>
      </c>
      <c r="C3345" s="12">
        <v>12</v>
      </c>
      <c r="D3345" s="38" t="s">
        <v>1541</v>
      </c>
      <c r="E3345" s="39">
        <v>43696</v>
      </c>
      <c r="F3345" s="40" t="s">
        <v>242</v>
      </c>
      <c r="G3345" s="12">
        <v>1</v>
      </c>
      <c r="H3345" s="12"/>
      <c r="I3345" s="4" t="s">
        <v>529</v>
      </c>
      <c r="J3345" s="41">
        <f ca="1">ROUNDDOWN(表3[[#This Row],[日期]]-TODAY(),1)</f>
        <v>-81</v>
      </c>
    </row>
    <row r="3346" spans="1:10" hidden="1" x14ac:dyDescent="0.2">
      <c r="A3346" s="4" t="s">
        <v>2831</v>
      </c>
      <c r="B3346" s="37">
        <v>43698</v>
      </c>
      <c r="C3346" s="12">
        <v>13</v>
      </c>
      <c r="D3346" s="38" t="s">
        <v>1543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-81</v>
      </c>
    </row>
    <row r="3347" spans="1:10" hidden="1" x14ac:dyDescent="0.2">
      <c r="A3347" s="4" t="s">
        <v>2831</v>
      </c>
      <c r="B3347" s="37">
        <v>43698</v>
      </c>
      <c r="C3347" s="12">
        <v>14</v>
      </c>
      <c r="D3347" s="38" t="s">
        <v>1545</v>
      </c>
      <c r="E3347" s="39">
        <v>43696</v>
      </c>
      <c r="F3347" s="40" t="s">
        <v>242</v>
      </c>
      <c r="G3347" s="12">
        <v>1</v>
      </c>
      <c r="H3347" s="12"/>
      <c r="I3347" s="4" t="s">
        <v>1547</v>
      </c>
      <c r="J3347" s="41">
        <f ca="1">ROUNDDOWN(表3[[#This Row],[日期]]-TODAY(),1)</f>
        <v>-81</v>
      </c>
    </row>
    <row r="3348" spans="1:10" hidden="1" x14ac:dyDescent="0.2">
      <c r="A3348" s="4" t="s">
        <v>2831</v>
      </c>
      <c r="B3348" s="37">
        <v>43698</v>
      </c>
      <c r="C3348" s="12">
        <v>15</v>
      </c>
      <c r="D3348" s="38" t="s">
        <v>1549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-81</v>
      </c>
    </row>
    <row r="3349" spans="1:10" hidden="1" x14ac:dyDescent="0.2">
      <c r="A3349" s="4" t="s">
        <v>2831</v>
      </c>
      <c r="B3349" s="37">
        <v>43698</v>
      </c>
      <c r="C3349" s="12">
        <v>16</v>
      </c>
      <c r="D3349" s="38" t="s">
        <v>1556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-81</v>
      </c>
    </row>
    <row r="3350" spans="1:10" hidden="1" x14ac:dyDescent="0.2">
      <c r="A3350" s="4" t="s">
        <v>2831</v>
      </c>
      <c r="B3350" s="37">
        <v>43698</v>
      </c>
      <c r="C3350" s="12">
        <v>17</v>
      </c>
      <c r="D3350" s="38" t="s">
        <v>1298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-81</v>
      </c>
    </row>
    <row r="3351" spans="1:10" hidden="1" x14ac:dyDescent="0.2">
      <c r="A3351" s="4" t="s">
        <v>2831</v>
      </c>
      <c r="B3351" s="37">
        <v>43698</v>
      </c>
      <c r="C3351" s="12">
        <v>18</v>
      </c>
      <c r="D3351" s="38" t="s">
        <v>1552</v>
      </c>
      <c r="E3351" s="39">
        <v>43696</v>
      </c>
      <c r="F3351" s="40" t="s">
        <v>242</v>
      </c>
      <c r="G3351" s="12">
        <v>1</v>
      </c>
      <c r="H3351" s="12"/>
      <c r="I3351" s="4" t="s">
        <v>1554</v>
      </c>
      <c r="J3351" s="41">
        <f ca="1">ROUNDDOWN(表3[[#This Row],[日期]]-TODAY(),1)</f>
        <v>-81</v>
      </c>
    </row>
    <row r="3352" spans="1:10" hidden="1" x14ac:dyDescent="0.2">
      <c r="A3352" s="4" t="s">
        <v>2831</v>
      </c>
      <c r="B3352" s="37">
        <v>43698</v>
      </c>
      <c r="C3352" s="12">
        <v>19</v>
      </c>
      <c r="D3352" s="38" t="s">
        <v>1558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-81</v>
      </c>
    </row>
    <row r="3353" spans="1:10" hidden="1" x14ac:dyDescent="0.2">
      <c r="A3353" s="4" t="s">
        <v>2831</v>
      </c>
      <c r="B3353" s="37">
        <v>43698</v>
      </c>
      <c r="C3353" s="12">
        <v>20</v>
      </c>
      <c r="D3353" s="38" t="s">
        <v>1560</v>
      </c>
      <c r="E3353" s="39">
        <v>43696</v>
      </c>
      <c r="F3353" s="40" t="s">
        <v>1184</v>
      </c>
      <c r="G3353" s="12">
        <v>1</v>
      </c>
      <c r="H3353" s="12"/>
      <c r="J3353" s="41">
        <f ca="1">ROUNDDOWN(表3[[#This Row],[日期]]-TODAY(),1)</f>
        <v>-81</v>
      </c>
    </row>
    <row r="3354" spans="1:10" hidden="1" x14ac:dyDescent="0.2">
      <c r="A3354" s="4" t="s">
        <v>2831</v>
      </c>
      <c r="B3354" s="37">
        <v>43698</v>
      </c>
      <c r="C3354" s="12">
        <v>21</v>
      </c>
      <c r="D3354" s="38" t="s">
        <v>1562</v>
      </c>
      <c r="E3354" s="39">
        <v>43696</v>
      </c>
      <c r="F3354" s="40" t="s">
        <v>1184</v>
      </c>
      <c r="G3354" s="12">
        <v>1</v>
      </c>
      <c r="H3354" s="12"/>
      <c r="J3354" s="41">
        <f ca="1">ROUNDDOWN(表3[[#This Row],[日期]]-TODAY(),1)</f>
        <v>-81</v>
      </c>
    </row>
    <row r="3355" spans="1:10" hidden="1" x14ac:dyDescent="0.2">
      <c r="A3355" s="4" t="s">
        <v>2831</v>
      </c>
      <c r="B3355" s="37">
        <v>43698</v>
      </c>
      <c r="C3355" s="12">
        <v>22</v>
      </c>
      <c r="D3355" s="38" t="s">
        <v>1564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-81</v>
      </c>
    </row>
    <row r="3356" spans="1:10" hidden="1" x14ac:dyDescent="0.2">
      <c r="A3356" s="4" t="s">
        <v>2831</v>
      </c>
      <c r="B3356" s="37">
        <v>43698</v>
      </c>
      <c r="C3356" s="12">
        <v>23</v>
      </c>
      <c r="D3356" s="38" t="s">
        <v>1566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-81</v>
      </c>
    </row>
    <row r="3357" spans="1:10" hidden="1" x14ac:dyDescent="0.2">
      <c r="A3357" s="4" t="s">
        <v>2831</v>
      </c>
      <c r="B3357" s="37">
        <v>43698</v>
      </c>
      <c r="C3357" s="12">
        <v>24</v>
      </c>
      <c r="D3357" s="38" t="s">
        <v>1568</v>
      </c>
      <c r="E3357" s="39">
        <v>43696</v>
      </c>
      <c r="F3357" s="40" t="s">
        <v>242</v>
      </c>
      <c r="G3357" s="12">
        <v>1</v>
      </c>
      <c r="H3357" s="12"/>
      <c r="I3357" s="4" t="s">
        <v>1528</v>
      </c>
      <c r="J3357" s="41">
        <f ca="1">ROUNDDOWN(表3[[#This Row],[日期]]-TODAY(),1)</f>
        <v>-81</v>
      </c>
    </row>
    <row r="3358" spans="1:10" hidden="1" x14ac:dyDescent="0.2">
      <c r="A3358" s="4" t="s">
        <v>2831</v>
      </c>
      <c r="B3358" s="37">
        <v>43698</v>
      </c>
      <c r="C3358" s="12">
        <v>25</v>
      </c>
      <c r="D3358" s="38" t="s">
        <v>305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-78</v>
      </c>
    </row>
    <row r="3359" spans="1:10" hidden="1" x14ac:dyDescent="0.2">
      <c r="A3359" s="4" t="s">
        <v>2831</v>
      </c>
      <c r="B3359" s="37">
        <v>43698</v>
      </c>
      <c r="C3359" s="12">
        <v>26</v>
      </c>
      <c r="D3359" s="38" t="s">
        <v>1572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-78</v>
      </c>
    </row>
    <row r="3360" spans="1:10" hidden="1" x14ac:dyDescent="0.2">
      <c r="A3360" s="4" t="s">
        <v>2831</v>
      </c>
      <c r="B3360" s="37">
        <v>43698</v>
      </c>
      <c r="C3360" s="12">
        <v>27</v>
      </c>
      <c r="D3360" s="38" t="s">
        <v>1570</v>
      </c>
      <c r="E3360" s="39">
        <v>43699</v>
      </c>
      <c r="F3360" s="40" t="s">
        <v>242</v>
      </c>
      <c r="G3360" s="12">
        <v>4</v>
      </c>
      <c r="H3360" s="12"/>
      <c r="I3360" s="4" t="s">
        <v>1528</v>
      </c>
      <c r="J3360" s="41">
        <f ca="1">ROUNDDOWN(表3[[#This Row],[日期]]-TODAY(),1)</f>
        <v>-78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927</v>
      </c>
      <c r="E3361" s="39">
        <v>43689</v>
      </c>
      <c r="F3361" s="40" t="s">
        <v>2251</v>
      </c>
      <c r="G3361" s="12"/>
      <c r="H3361" s="12"/>
      <c r="I3361" s="4" t="s">
        <v>27</v>
      </c>
      <c r="J3361" s="41">
        <f ca="1">ROUNDDOWN(表3[[#This Row],[日期]]-TODAY(),1)</f>
        <v>-88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2251</v>
      </c>
      <c r="G3362" s="12"/>
      <c r="H3362" s="12"/>
      <c r="J3362" s="41">
        <f ca="1">ROUNDDOWN(表3[[#This Row],[日期]]-TODAY(),1)</f>
        <v>-88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1210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-88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-88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-88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1576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-88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1577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-87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-87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2363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-81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1740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-84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1578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-84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1742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-84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1744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-84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1746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-84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1748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-84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1750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-84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929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-81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1752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-81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-81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930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-81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-81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931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-81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759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-81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1919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-81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-81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-81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-81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-81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-81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-81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932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-81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933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-81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1071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-81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-81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-81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1072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-80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-80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-80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-78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-74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934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-73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305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-74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1580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-72</v>
      </c>
    </row>
    <row r="3404" spans="1:10" hidden="1" x14ac:dyDescent="0.2">
      <c r="A3404" s="4" t="s">
        <v>1371</v>
      </c>
      <c r="B3404" s="37">
        <v>43702</v>
      </c>
      <c r="C3404" s="12">
        <v>1</v>
      </c>
      <c r="D3404" s="38" t="s">
        <v>1805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-107</v>
      </c>
    </row>
    <row r="3405" spans="1:10" hidden="1" x14ac:dyDescent="0.2">
      <c r="A3405" s="4" t="s">
        <v>1371</v>
      </c>
      <c r="B3405" s="37">
        <v>43702</v>
      </c>
      <c r="C3405" s="12">
        <v>2</v>
      </c>
      <c r="D3405" s="38" t="s">
        <v>1806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-107</v>
      </c>
    </row>
    <row r="3406" spans="1:10" hidden="1" x14ac:dyDescent="0.2">
      <c r="A3406" s="4" t="s">
        <v>1371</v>
      </c>
      <c r="B3406" s="37">
        <v>43702</v>
      </c>
      <c r="C3406" s="12">
        <v>3</v>
      </c>
      <c r="D3406" s="38" t="s">
        <v>1807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-107</v>
      </c>
    </row>
    <row r="3407" spans="1:10" hidden="1" x14ac:dyDescent="0.2">
      <c r="A3407" s="4" t="s">
        <v>1371</v>
      </c>
      <c r="B3407" s="37">
        <v>43702</v>
      </c>
      <c r="C3407" s="12">
        <v>4</v>
      </c>
      <c r="D3407" s="38" t="s">
        <v>1808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-107</v>
      </c>
    </row>
    <row r="3408" spans="1:10" hidden="1" x14ac:dyDescent="0.2">
      <c r="A3408" s="4" t="s">
        <v>1371</v>
      </c>
      <c r="B3408" s="37">
        <v>43702</v>
      </c>
      <c r="C3408" s="12">
        <v>5</v>
      </c>
      <c r="D3408" s="38" t="s">
        <v>1653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-79</v>
      </c>
    </row>
    <row r="3409" spans="1:10" hidden="1" x14ac:dyDescent="0.2">
      <c r="A3409" s="4" t="s">
        <v>1371</v>
      </c>
      <c r="B3409" s="37">
        <v>43702</v>
      </c>
      <c r="C3409" s="12">
        <v>6</v>
      </c>
      <c r="D3409" s="38" t="s">
        <v>2011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-78</v>
      </c>
    </row>
    <row r="3410" spans="1:10" hidden="1" x14ac:dyDescent="0.2">
      <c r="A3410" s="4" t="s">
        <v>1371</v>
      </c>
      <c r="B3410" s="37">
        <v>43702</v>
      </c>
      <c r="C3410" s="12">
        <v>7</v>
      </c>
      <c r="D3410" s="38" t="s">
        <v>1653</v>
      </c>
      <c r="E3410" s="39">
        <v>43697</v>
      </c>
      <c r="F3410" s="40" t="s">
        <v>287</v>
      </c>
      <c r="G3410" s="12"/>
      <c r="H3410" s="12"/>
      <c r="J3410" s="41">
        <f ca="1">ROUNDDOWN(表3[[#This Row],[日期]]-TODAY(),1)</f>
        <v>-80</v>
      </c>
    </row>
    <row r="3411" spans="1:10" hidden="1" x14ac:dyDescent="0.2">
      <c r="A3411" s="4" t="s">
        <v>1371</v>
      </c>
      <c r="B3411" s="37">
        <v>43702</v>
      </c>
      <c r="C3411" s="12">
        <v>7</v>
      </c>
      <c r="D3411" s="38" t="s">
        <v>1655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-78</v>
      </c>
    </row>
    <row r="3412" spans="1:10" hidden="1" x14ac:dyDescent="0.2">
      <c r="A3412" s="4" t="s">
        <v>1371</v>
      </c>
      <c r="B3412" s="37">
        <v>43702</v>
      </c>
      <c r="C3412" s="12">
        <v>8</v>
      </c>
      <c r="D3412" s="38" t="s">
        <v>1655</v>
      </c>
      <c r="E3412" s="39">
        <v>43698</v>
      </c>
      <c r="F3412" s="40" t="s">
        <v>287</v>
      </c>
      <c r="G3412" s="12"/>
      <c r="H3412" s="12"/>
      <c r="J3412" s="41">
        <f ca="1">ROUNDDOWN(表3[[#This Row],[日期]]-TODAY(),1)</f>
        <v>-79</v>
      </c>
    </row>
    <row r="3413" spans="1:10" hidden="1" x14ac:dyDescent="0.2">
      <c r="A3413" s="4" t="s">
        <v>1371</v>
      </c>
      <c r="B3413" s="37">
        <v>43702</v>
      </c>
      <c r="C3413" s="12">
        <v>8</v>
      </c>
      <c r="D3413" s="38" t="s">
        <v>2012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-78</v>
      </c>
    </row>
    <row r="3414" spans="1:10" hidden="1" x14ac:dyDescent="0.2">
      <c r="A3414" s="4" t="s">
        <v>1371</v>
      </c>
      <c r="B3414" s="37">
        <v>43702</v>
      </c>
      <c r="C3414" s="12">
        <v>9</v>
      </c>
      <c r="D3414" s="38" t="s">
        <v>1498</v>
      </c>
      <c r="E3414" s="39">
        <v>43698</v>
      </c>
      <c r="F3414" s="40" t="s">
        <v>287</v>
      </c>
      <c r="G3414" s="12"/>
      <c r="H3414" s="12"/>
      <c r="J3414" s="41">
        <f ca="1">ROUNDDOWN(表3[[#This Row],[日期]]-TODAY(),1)</f>
        <v>-79</v>
      </c>
    </row>
    <row r="3415" spans="1:10" hidden="1" x14ac:dyDescent="0.2">
      <c r="A3415" s="4" t="s">
        <v>1371</v>
      </c>
      <c r="B3415" s="37">
        <v>43702</v>
      </c>
      <c r="C3415" s="12">
        <v>9</v>
      </c>
      <c r="D3415" s="38" t="s">
        <v>2013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-78</v>
      </c>
    </row>
    <row r="3416" spans="1:10" hidden="1" x14ac:dyDescent="0.2">
      <c r="A3416" s="4" t="s">
        <v>1371</v>
      </c>
      <c r="B3416" s="37">
        <v>43702</v>
      </c>
      <c r="C3416" s="12">
        <v>10</v>
      </c>
      <c r="D3416" s="38" t="s">
        <v>1657</v>
      </c>
      <c r="E3416" s="39">
        <v>43698</v>
      </c>
      <c r="F3416" s="40" t="s">
        <v>287</v>
      </c>
      <c r="G3416" s="12"/>
      <c r="H3416" s="12"/>
      <c r="J3416" s="41">
        <f ca="1">ROUNDDOWN(表3[[#This Row],[日期]]-TODAY(),1)</f>
        <v>-79</v>
      </c>
    </row>
    <row r="3417" spans="1:10" hidden="1" x14ac:dyDescent="0.2">
      <c r="A3417" s="4" t="s">
        <v>1371</v>
      </c>
      <c r="B3417" s="37">
        <v>43702</v>
      </c>
      <c r="C3417" s="12">
        <v>10</v>
      </c>
      <c r="D3417" s="38" t="s">
        <v>2014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-78</v>
      </c>
    </row>
    <row r="3418" spans="1:10" hidden="1" x14ac:dyDescent="0.2">
      <c r="A3418" s="4" t="s">
        <v>1371</v>
      </c>
      <c r="B3418" s="37">
        <v>43702</v>
      </c>
      <c r="C3418" s="12">
        <v>11</v>
      </c>
      <c r="D3418" s="38" t="s">
        <v>2015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-78</v>
      </c>
    </row>
    <row r="3419" spans="1:10" hidden="1" x14ac:dyDescent="0.2">
      <c r="A3419" s="4" t="s">
        <v>1371</v>
      </c>
      <c r="B3419" s="37">
        <v>43702</v>
      </c>
      <c r="C3419" s="12">
        <v>12</v>
      </c>
      <c r="D3419" s="38" t="s">
        <v>2016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-78</v>
      </c>
    </row>
    <row r="3420" spans="1:10" hidden="1" x14ac:dyDescent="0.2">
      <c r="A3420" s="4" t="s">
        <v>1371</v>
      </c>
      <c r="B3420" s="37">
        <v>43702</v>
      </c>
      <c r="C3420" s="12">
        <v>13</v>
      </c>
      <c r="D3420" s="38" t="s">
        <v>2017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-78</v>
      </c>
    </row>
    <row r="3421" spans="1:10" hidden="1" x14ac:dyDescent="0.2">
      <c r="A3421" s="4" t="s">
        <v>1371</v>
      </c>
      <c r="B3421" s="37">
        <v>43702</v>
      </c>
      <c r="C3421" s="12">
        <v>14</v>
      </c>
      <c r="D3421" s="38" t="s">
        <v>2018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-78</v>
      </c>
    </row>
    <row r="3422" spans="1:10" hidden="1" x14ac:dyDescent="0.2">
      <c r="A3422" s="4" t="s">
        <v>1371</v>
      </c>
      <c r="B3422" s="37">
        <v>43702</v>
      </c>
      <c r="C3422" s="12">
        <v>15</v>
      </c>
      <c r="D3422" s="38" t="s">
        <v>269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-77</v>
      </c>
    </row>
    <row r="3423" spans="1:10" hidden="1" x14ac:dyDescent="0.2">
      <c r="A3423" s="4" t="s">
        <v>1371</v>
      </c>
      <c r="B3423" s="37">
        <v>43702</v>
      </c>
      <c r="C3423" s="12">
        <v>16</v>
      </c>
      <c r="D3423" s="38" t="s">
        <v>271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-77</v>
      </c>
    </row>
    <row r="3424" spans="1:10" hidden="1" x14ac:dyDescent="0.2">
      <c r="A3424" s="4" t="s">
        <v>1371</v>
      </c>
      <c r="B3424" s="37">
        <v>43702</v>
      </c>
      <c r="C3424" s="12">
        <v>17</v>
      </c>
      <c r="D3424" s="38" t="s">
        <v>273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-74</v>
      </c>
    </row>
    <row r="3425" spans="1:10" hidden="1" x14ac:dyDescent="0.2">
      <c r="A3425" s="4" t="s">
        <v>1371</v>
      </c>
      <c r="B3425" s="37">
        <v>43702</v>
      </c>
      <c r="C3425" s="12">
        <v>18</v>
      </c>
      <c r="D3425" s="38" t="s">
        <v>275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-73</v>
      </c>
    </row>
    <row r="3426" spans="1:10" hidden="1" x14ac:dyDescent="0.2">
      <c r="A3426" s="4" t="s">
        <v>1371</v>
      </c>
      <c r="B3426" s="37">
        <v>43702</v>
      </c>
      <c r="C3426" s="12">
        <v>18.100000000000001</v>
      </c>
      <c r="D3426" s="38" t="s">
        <v>2438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-74</v>
      </c>
    </row>
    <row r="3427" spans="1:10" hidden="1" x14ac:dyDescent="0.2">
      <c r="A3427" s="4" t="s">
        <v>1371</v>
      </c>
      <c r="B3427" s="37">
        <v>43702</v>
      </c>
      <c r="C3427" s="12">
        <v>19</v>
      </c>
      <c r="D3427" s="38" t="s">
        <v>305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-72</v>
      </c>
    </row>
    <row r="3428" spans="1:10" hidden="1" x14ac:dyDescent="0.2">
      <c r="A3428" s="4" t="s">
        <v>1371</v>
      </c>
      <c r="B3428" s="37">
        <v>43702</v>
      </c>
      <c r="C3428" s="12">
        <v>20</v>
      </c>
      <c r="D3428" s="38" t="s">
        <v>2019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-72</v>
      </c>
    </row>
    <row r="3429" spans="1:10" hidden="1" x14ac:dyDescent="0.2">
      <c r="A3429" s="4" t="s">
        <v>1371</v>
      </c>
      <c r="B3429" s="37">
        <v>43702</v>
      </c>
      <c r="C3429" s="12">
        <v>21</v>
      </c>
      <c r="D3429" s="38" t="s">
        <v>1990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-66</v>
      </c>
    </row>
    <row r="3430" spans="1:10" hidden="1" x14ac:dyDescent="0.2">
      <c r="A3430" s="4" t="s">
        <v>1371</v>
      </c>
      <c r="B3430" s="37">
        <v>43702</v>
      </c>
      <c r="C3430" s="12">
        <v>22</v>
      </c>
      <c r="D3430" s="38" t="s">
        <v>2020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-62</v>
      </c>
    </row>
    <row r="3431" spans="1:10" hidden="1" x14ac:dyDescent="0.2">
      <c r="A3431" s="4" t="s">
        <v>1371</v>
      </c>
      <c r="B3431" s="37">
        <v>43702</v>
      </c>
      <c r="C3431" s="12">
        <v>22.1</v>
      </c>
      <c r="D3431" s="38" t="s">
        <v>2633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-62</v>
      </c>
    </row>
    <row r="3432" spans="1:10" hidden="1" x14ac:dyDescent="0.2">
      <c r="A3432" s="4" t="s">
        <v>1371</v>
      </c>
      <c r="B3432" s="37">
        <v>43702</v>
      </c>
      <c r="C3432" s="12">
        <v>23</v>
      </c>
      <c r="D3432" s="38" t="s">
        <v>2492</v>
      </c>
      <c r="E3432" s="39">
        <v>43706</v>
      </c>
      <c r="F3432" s="40" t="s">
        <v>2493</v>
      </c>
      <c r="G3432" s="12"/>
      <c r="H3432" s="12"/>
      <c r="J3432" s="41">
        <f ca="1">ROUNDDOWN(表3[[#This Row],[日期]]-TODAY(),1)</f>
        <v>-71</v>
      </c>
    </row>
    <row r="3433" spans="1:10" hidden="1" x14ac:dyDescent="0.2">
      <c r="A3433" s="4" t="s">
        <v>1371</v>
      </c>
      <c r="B3433" s="37">
        <v>43702</v>
      </c>
      <c r="C3433" s="12">
        <v>24</v>
      </c>
      <c r="D3433" s="38" t="s">
        <v>2494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-70</v>
      </c>
    </row>
    <row r="3434" spans="1:10" hidden="1" x14ac:dyDescent="0.2">
      <c r="A3434" s="4" t="s">
        <v>2831</v>
      </c>
      <c r="B3434" s="37">
        <v>43702</v>
      </c>
      <c r="C3434" s="12">
        <v>1</v>
      </c>
      <c r="D3434" s="38" t="s">
        <v>507</v>
      </c>
      <c r="E3434" s="39">
        <v>43693</v>
      </c>
      <c r="F3434" s="40" t="s">
        <v>2312</v>
      </c>
      <c r="G3434" s="12"/>
      <c r="H3434" s="12"/>
      <c r="J3434" s="41">
        <f ca="1">ROUNDDOWN(表3[[#This Row],[日期]]-TODAY(),1)</f>
        <v>-84</v>
      </c>
    </row>
    <row r="3435" spans="1:10" hidden="1" x14ac:dyDescent="0.2">
      <c r="A3435" s="4" t="s">
        <v>2831</v>
      </c>
      <c r="B3435" s="37">
        <v>43702</v>
      </c>
      <c r="C3435" s="12">
        <v>2</v>
      </c>
      <c r="D3435" s="38" t="s">
        <v>1518</v>
      </c>
      <c r="E3435" s="39">
        <v>43693</v>
      </c>
      <c r="F3435" s="40" t="s">
        <v>2312</v>
      </c>
      <c r="G3435" s="12"/>
      <c r="H3435" s="12"/>
      <c r="I3435" s="4" t="s">
        <v>1521</v>
      </c>
      <c r="J3435" s="41">
        <f ca="1">ROUNDDOWN(表3[[#This Row],[日期]]-TODAY(),1)</f>
        <v>-84</v>
      </c>
    </row>
    <row r="3436" spans="1:10" hidden="1" x14ac:dyDescent="0.2">
      <c r="A3436" s="4" t="s">
        <v>2831</v>
      </c>
      <c r="B3436" s="37">
        <v>43702</v>
      </c>
      <c r="C3436" s="12">
        <v>3</v>
      </c>
      <c r="D3436" s="38" t="s">
        <v>1779</v>
      </c>
      <c r="E3436" s="39">
        <v>43693</v>
      </c>
      <c r="F3436" s="40" t="s">
        <v>2312</v>
      </c>
      <c r="G3436" s="12"/>
      <c r="H3436" s="12"/>
      <c r="I3436" s="4" t="s">
        <v>1523</v>
      </c>
      <c r="J3436" s="41">
        <f ca="1">ROUNDDOWN(表3[[#This Row],[日期]]-TODAY(),1)</f>
        <v>-84</v>
      </c>
    </row>
    <row r="3437" spans="1:10" hidden="1" x14ac:dyDescent="0.2">
      <c r="A3437" s="4" t="s">
        <v>2831</v>
      </c>
      <c r="B3437" s="37">
        <v>43702</v>
      </c>
      <c r="C3437" s="12">
        <v>4</v>
      </c>
      <c r="D3437" s="38" t="s">
        <v>1526</v>
      </c>
      <c r="E3437" s="39">
        <v>43693</v>
      </c>
      <c r="F3437" s="40" t="s">
        <v>2312</v>
      </c>
      <c r="G3437" s="12"/>
      <c r="H3437" s="12"/>
      <c r="I3437" s="4" t="s">
        <v>1528</v>
      </c>
      <c r="J3437" s="41">
        <f ca="1">ROUNDDOWN(表3[[#This Row],[日期]]-TODAY(),1)</f>
        <v>-84</v>
      </c>
    </row>
    <row r="3438" spans="1:10" hidden="1" x14ac:dyDescent="0.2">
      <c r="A3438" s="4" t="s">
        <v>2831</v>
      </c>
      <c r="B3438" s="37">
        <v>43702</v>
      </c>
      <c r="C3438" s="12">
        <v>5</v>
      </c>
      <c r="D3438" s="38" t="s">
        <v>1703</v>
      </c>
      <c r="E3438" s="39">
        <v>43693</v>
      </c>
      <c r="F3438" s="40" t="s">
        <v>2312</v>
      </c>
      <c r="G3438" s="12"/>
      <c r="H3438" s="12"/>
      <c r="J3438" s="41">
        <f ca="1">ROUNDDOWN(表3[[#This Row],[日期]]-TODAY(),1)</f>
        <v>-84</v>
      </c>
    </row>
    <row r="3439" spans="1:10" hidden="1" x14ac:dyDescent="0.2">
      <c r="A3439" s="4" t="s">
        <v>2831</v>
      </c>
      <c r="B3439" s="37">
        <v>43702</v>
      </c>
      <c r="C3439" s="12">
        <v>6</v>
      </c>
      <c r="D3439" s="38" t="s">
        <v>1533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-84</v>
      </c>
    </row>
    <row r="3440" spans="1:10" hidden="1" x14ac:dyDescent="0.2">
      <c r="A3440" s="4" t="s">
        <v>2831</v>
      </c>
      <c r="B3440" s="37">
        <v>43702</v>
      </c>
      <c r="C3440" s="12">
        <v>7</v>
      </c>
      <c r="D3440" s="38" t="s">
        <v>1535</v>
      </c>
      <c r="E3440" s="39">
        <v>43693</v>
      </c>
      <c r="F3440" s="40" t="s">
        <v>1184</v>
      </c>
      <c r="G3440" s="12"/>
      <c r="H3440" s="12"/>
      <c r="I3440" s="4" t="s">
        <v>1537</v>
      </c>
      <c r="J3440" s="41">
        <f ca="1">ROUNDDOWN(表3[[#This Row],[日期]]-TODAY(),1)</f>
        <v>-84</v>
      </c>
    </row>
    <row r="3441" spans="1:10" hidden="1" x14ac:dyDescent="0.2">
      <c r="A3441" s="4" t="s">
        <v>2831</v>
      </c>
      <c r="B3441" s="37">
        <v>43702</v>
      </c>
      <c r="C3441" s="12">
        <v>8</v>
      </c>
      <c r="D3441" s="38" t="s">
        <v>1531</v>
      </c>
      <c r="E3441" s="39">
        <v>43693</v>
      </c>
      <c r="F3441" s="40" t="s">
        <v>1184</v>
      </c>
      <c r="G3441" s="12"/>
      <c r="H3441" s="12"/>
      <c r="J3441" s="41">
        <f ca="1">ROUNDDOWN(表3[[#This Row],[日期]]-TODAY(),1)</f>
        <v>-84</v>
      </c>
    </row>
    <row r="3442" spans="1:10" hidden="1" x14ac:dyDescent="0.2">
      <c r="A3442" s="4" t="s">
        <v>2831</v>
      </c>
      <c r="B3442" s="37">
        <v>43702</v>
      </c>
      <c r="C3442" s="12">
        <v>9</v>
      </c>
      <c r="D3442" s="38" t="s">
        <v>1539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-84</v>
      </c>
    </row>
    <row r="3443" spans="1:10" hidden="1" x14ac:dyDescent="0.2">
      <c r="A3443" s="4" t="s">
        <v>2831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-79</v>
      </c>
    </row>
    <row r="3444" spans="1:10" hidden="1" x14ac:dyDescent="0.2">
      <c r="A3444" s="4" t="s">
        <v>2831</v>
      </c>
      <c r="B3444" s="37">
        <v>43702</v>
      </c>
      <c r="C3444" s="12">
        <v>11</v>
      </c>
      <c r="D3444" s="38" t="s">
        <v>2406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-78</v>
      </c>
    </row>
    <row r="3445" spans="1:10" hidden="1" x14ac:dyDescent="0.2">
      <c r="A3445" s="4" t="s">
        <v>2831</v>
      </c>
      <c r="B3445" s="37">
        <v>43702</v>
      </c>
      <c r="C3445" s="12">
        <v>12</v>
      </c>
      <c r="D3445" s="38" t="s">
        <v>1541</v>
      </c>
      <c r="E3445" s="39">
        <v>43700</v>
      </c>
      <c r="F3445" s="40" t="s">
        <v>242</v>
      </c>
      <c r="G3445" s="12">
        <v>1</v>
      </c>
      <c r="H3445" s="12"/>
      <c r="I3445" s="4" t="s">
        <v>529</v>
      </c>
      <c r="J3445" s="41">
        <f ca="1">ROUNDDOWN(表3[[#This Row],[日期]]-TODAY(),1)</f>
        <v>-77</v>
      </c>
    </row>
    <row r="3446" spans="1:10" hidden="1" x14ac:dyDescent="0.2">
      <c r="A3446" s="4" t="s">
        <v>2831</v>
      </c>
      <c r="B3446" s="37">
        <v>43702</v>
      </c>
      <c r="C3446" s="12">
        <v>13</v>
      </c>
      <c r="D3446" s="38" t="s">
        <v>1543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-77</v>
      </c>
    </row>
    <row r="3447" spans="1:10" hidden="1" x14ac:dyDescent="0.2">
      <c r="A3447" s="4" t="s">
        <v>2831</v>
      </c>
      <c r="B3447" s="37">
        <v>43702</v>
      </c>
      <c r="C3447" s="12">
        <v>14</v>
      </c>
      <c r="D3447" s="38" t="s">
        <v>1545</v>
      </c>
      <c r="E3447" s="39">
        <v>43700</v>
      </c>
      <c r="F3447" s="40" t="s">
        <v>242</v>
      </c>
      <c r="G3447" s="12">
        <v>1</v>
      </c>
      <c r="H3447" s="12"/>
      <c r="I3447" s="4" t="s">
        <v>1547</v>
      </c>
      <c r="J3447" s="41">
        <f ca="1">ROUNDDOWN(表3[[#This Row],[日期]]-TODAY(),1)</f>
        <v>-77</v>
      </c>
    </row>
    <row r="3448" spans="1:10" hidden="1" x14ac:dyDescent="0.2">
      <c r="A3448" s="4" t="s">
        <v>2831</v>
      </c>
      <c r="B3448" s="37">
        <v>43702</v>
      </c>
      <c r="C3448" s="12">
        <v>15</v>
      </c>
      <c r="D3448" s="38" t="s">
        <v>1549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-77</v>
      </c>
    </row>
    <row r="3449" spans="1:10" hidden="1" x14ac:dyDescent="0.2">
      <c r="A3449" s="4" t="s">
        <v>2831</v>
      </c>
      <c r="B3449" s="37">
        <v>43702</v>
      </c>
      <c r="C3449" s="12">
        <v>16</v>
      </c>
      <c r="D3449" s="38" t="s">
        <v>1556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-77</v>
      </c>
    </row>
    <row r="3450" spans="1:10" hidden="1" x14ac:dyDescent="0.2">
      <c r="A3450" s="4" t="s">
        <v>2831</v>
      </c>
      <c r="B3450" s="37">
        <v>43702</v>
      </c>
      <c r="C3450" s="12">
        <v>17</v>
      </c>
      <c r="D3450" s="38" t="s">
        <v>1298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-77</v>
      </c>
    </row>
    <row r="3451" spans="1:10" hidden="1" x14ac:dyDescent="0.2">
      <c r="A3451" s="4" t="s">
        <v>2831</v>
      </c>
      <c r="B3451" s="37">
        <v>43702</v>
      </c>
      <c r="C3451" s="12">
        <v>18</v>
      </c>
      <c r="D3451" s="38" t="s">
        <v>1552</v>
      </c>
      <c r="E3451" s="39">
        <v>43700</v>
      </c>
      <c r="F3451" s="40" t="s">
        <v>242</v>
      </c>
      <c r="G3451" s="12">
        <v>1</v>
      </c>
      <c r="H3451" s="12"/>
      <c r="I3451" s="4" t="s">
        <v>1554</v>
      </c>
      <c r="J3451" s="41">
        <f ca="1">ROUNDDOWN(表3[[#This Row],[日期]]-TODAY(),1)</f>
        <v>-77</v>
      </c>
    </row>
    <row r="3452" spans="1:10" hidden="1" x14ac:dyDescent="0.2">
      <c r="A3452" s="4" t="s">
        <v>2831</v>
      </c>
      <c r="B3452" s="37">
        <v>43702</v>
      </c>
      <c r="C3452" s="12">
        <v>19</v>
      </c>
      <c r="D3452" s="38" t="s">
        <v>1558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-77</v>
      </c>
    </row>
    <row r="3453" spans="1:10" hidden="1" x14ac:dyDescent="0.2">
      <c r="A3453" s="4" t="s">
        <v>2831</v>
      </c>
      <c r="B3453" s="37">
        <v>43702</v>
      </c>
      <c r="C3453" s="12">
        <v>20</v>
      </c>
      <c r="D3453" s="38" t="s">
        <v>1560</v>
      </c>
      <c r="E3453" s="39">
        <v>43700</v>
      </c>
      <c r="F3453" s="40" t="s">
        <v>1184</v>
      </c>
      <c r="G3453" s="12">
        <v>1</v>
      </c>
      <c r="H3453" s="12"/>
      <c r="J3453" s="41">
        <f ca="1">ROUNDDOWN(表3[[#This Row],[日期]]-TODAY(),1)</f>
        <v>-77</v>
      </c>
    </row>
    <row r="3454" spans="1:10" hidden="1" x14ac:dyDescent="0.2">
      <c r="A3454" s="4" t="s">
        <v>2831</v>
      </c>
      <c r="B3454" s="37">
        <v>43702</v>
      </c>
      <c r="C3454" s="12">
        <v>21</v>
      </c>
      <c r="D3454" s="38" t="s">
        <v>1562</v>
      </c>
      <c r="E3454" s="39">
        <v>43700</v>
      </c>
      <c r="F3454" s="40" t="s">
        <v>1184</v>
      </c>
      <c r="G3454" s="12">
        <v>1</v>
      </c>
      <c r="H3454" s="12"/>
      <c r="J3454" s="41">
        <f ca="1">ROUNDDOWN(表3[[#This Row],[日期]]-TODAY(),1)</f>
        <v>-77</v>
      </c>
    </row>
    <row r="3455" spans="1:10" hidden="1" x14ac:dyDescent="0.2">
      <c r="A3455" s="4" t="s">
        <v>2831</v>
      </c>
      <c r="B3455" s="37">
        <v>43702</v>
      </c>
      <c r="C3455" s="12">
        <v>22</v>
      </c>
      <c r="D3455" s="38" t="s">
        <v>1564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-77</v>
      </c>
    </row>
    <row r="3456" spans="1:10" hidden="1" x14ac:dyDescent="0.2">
      <c r="A3456" s="4" t="s">
        <v>2831</v>
      </c>
      <c r="B3456" s="37">
        <v>43702</v>
      </c>
      <c r="C3456" s="12">
        <v>23</v>
      </c>
      <c r="D3456" s="38" t="s">
        <v>1566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-77</v>
      </c>
    </row>
    <row r="3457" spans="1:10" hidden="1" x14ac:dyDescent="0.2">
      <c r="A3457" s="4" t="s">
        <v>2831</v>
      </c>
      <c r="B3457" s="37">
        <v>43702</v>
      </c>
      <c r="C3457" s="12">
        <v>24</v>
      </c>
      <c r="D3457" s="38" t="s">
        <v>1568</v>
      </c>
      <c r="E3457" s="39">
        <v>43700</v>
      </c>
      <c r="F3457" s="40" t="s">
        <v>242</v>
      </c>
      <c r="G3457" s="12">
        <v>1</v>
      </c>
      <c r="H3457" s="12"/>
      <c r="I3457" s="4" t="s">
        <v>1528</v>
      </c>
      <c r="J3457" s="41">
        <f ca="1">ROUNDDOWN(表3[[#This Row],[日期]]-TODAY(),1)</f>
        <v>-77</v>
      </c>
    </row>
    <row r="3458" spans="1:10" hidden="1" x14ac:dyDescent="0.2">
      <c r="A3458" s="4" t="s">
        <v>2831</v>
      </c>
      <c r="B3458" s="37">
        <v>43702</v>
      </c>
      <c r="C3458" s="12">
        <v>25</v>
      </c>
      <c r="D3458" s="38" t="s">
        <v>305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-74</v>
      </c>
    </row>
    <row r="3459" spans="1:10" hidden="1" x14ac:dyDescent="0.2">
      <c r="A3459" s="4" t="s">
        <v>2831</v>
      </c>
      <c r="B3459" s="37">
        <v>43702</v>
      </c>
      <c r="C3459" s="12">
        <v>26</v>
      </c>
      <c r="D3459" s="38" t="s">
        <v>1572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-74</v>
      </c>
    </row>
    <row r="3460" spans="1:10" hidden="1" x14ac:dyDescent="0.2">
      <c r="A3460" s="4" t="s">
        <v>2831</v>
      </c>
      <c r="B3460" s="37">
        <v>43702</v>
      </c>
      <c r="C3460" s="12">
        <v>27</v>
      </c>
      <c r="D3460" s="38" t="s">
        <v>1570</v>
      </c>
      <c r="E3460" s="39">
        <v>43703</v>
      </c>
      <c r="F3460" s="40" t="s">
        <v>242</v>
      </c>
      <c r="G3460" s="12">
        <v>4</v>
      </c>
      <c r="H3460" s="12"/>
      <c r="I3460" s="4" t="s">
        <v>1528</v>
      </c>
      <c r="J3460" s="41">
        <f ca="1">ROUNDDOWN(表3[[#This Row],[日期]]-TODAY(),1)</f>
        <v>-74</v>
      </c>
    </row>
    <row r="3461" spans="1:10" hidden="1" x14ac:dyDescent="0.2">
      <c r="A3461" s="4" t="s">
        <v>1371</v>
      </c>
      <c r="B3461" s="37">
        <v>43702.041666666664</v>
      </c>
      <c r="C3461" s="12">
        <v>1</v>
      </c>
      <c r="D3461" s="38" t="s">
        <v>1805</v>
      </c>
      <c r="E3461" s="39">
        <v>43672</v>
      </c>
      <c r="F3461" s="40" t="s">
        <v>2002</v>
      </c>
      <c r="G3461" s="12"/>
      <c r="H3461" s="12"/>
      <c r="J3461" s="41">
        <f ca="1">ROUNDDOWN(表3[[#This Row],[日期]]-TODAY(),1)</f>
        <v>-105</v>
      </c>
    </row>
    <row r="3462" spans="1:10" hidden="1" x14ac:dyDescent="0.2">
      <c r="A3462" s="4" t="s">
        <v>1371</v>
      </c>
      <c r="B3462" s="37">
        <v>43702.041666666664</v>
      </c>
      <c r="C3462" s="12">
        <v>2</v>
      </c>
      <c r="D3462" s="38" t="s">
        <v>1806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-100</v>
      </c>
    </row>
    <row r="3463" spans="1:10" hidden="1" x14ac:dyDescent="0.2">
      <c r="A3463" s="4" t="s">
        <v>1371</v>
      </c>
      <c r="B3463" s="37">
        <v>43702.041666666664</v>
      </c>
      <c r="C3463" s="12">
        <v>3</v>
      </c>
      <c r="D3463" s="38" t="s">
        <v>1807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-100</v>
      </c>
    </row>
    <row r="3464" spans="1:10" hidden="1" x14ac:dyDescent="0.2">
      <c r="A3464" s="4" t="s">
        <v>1371</v>
      </c>
      <c r="B3464" s="37">
        <v>43702.041666666664</v>
      </c>
      <c r="C3464" s="12">
        <v>4</v>
      </c>
      <c r="D3464" s="38" t="s">
        <v>1808</v>
      </c>
      <c r="E3464" s="39">
        <v>43677</v>
      </c>
      <c r="F3464" s="40" t="s">
        <v>2002</v>
      </c>
      <c r="G3464" s="12"/>
      <c r="H3464" s="12"/>
      <c r="J3464" s="41">
        <f ca="1">ROUNDDOWN(表3[[#This Row],[日期]]-TODAY(),1)</f>
        <v>-100</v>
      </c>
    </row>
    <row r="3465" spans="1:10" hidden="1" x14ac:dyDescent="0.2">
      <c r="A3465" s="4" t="s">
        <v>1371</v>
      </c>
      <c r="B3465" s="37">
        <v>43702.041666666664</v>
      </c>
      <c r="C3465" s="12">
        <v>4.0999999999999996</v>
      </c>
      <c r="D3465" s="38" t="s">
        <v>2043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-100</v>
      </c>
    </row>
    <row r="3466" spans="1:10" hidden="1" x14ac:dyDescent="0.2">
      <c r="A3466" s="4" t="s">
        <v>1371</v>
      </c>
      <c r="B3466" s="37">
        <v>43702.041666666664</v>
      </c>
      <c r="C3466" s="12">
        <v>5</v>
      </c>
      <c r="D3466" s="38" t="s">
        <v>1653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-79</v>
      </c>
    </row>
    <row r="3467" spans="1:10" hidden="1" x14ac:dyDescent="0.2">
      <c r="A3467" s="4" t="s">
        <v>1371</v>
      </c>
      <c r="B3467" s="37">
        <v>43702.041666666664</v>
      </c>
      <c r="C3467" s="12">
        <v>6</v>
      </c>
      <c r="D3467" s="38" t="s">
        <v>2011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-78</v>
      </c>
    </row>
    <row r="3468" spans="1:10" hidden="1" x14ac:dyDescent="0.2">
      <c r="A3468" s="4" t="s">
        <v>1371</v>
      </c>
      <c r="B3468" s="37">
        <v>43702.041666666664</v>
      </c>
      <c r="C3468" s="12">
        <v>7</v>
      </c>
      <c r="D3468" s="38" t="s">
        <v>1655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-78</v>
      </c>
    </row>
    <row r="3469" spans="1:10" hidden="1" x14ac:dyDescent="0.2">
      <c r="A3469" s="4" t="s">
        <v>1371</v>
      </c>
      <c r="B3469" s="37">
        <v>43702.041666666664</v>
      </c>
      <c r="C3469" s="12">
        <v>8</v>
      </c>
      <c r="D3469" s="38" t="s">
        <v>2012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-78</v>
      </c>
    </row>
    <row r="3470" spans="1:10" hidden="1" x14ac:dyDescent="0.2">
      <c r="A3470" s="4" t="s">
        <v>1371</v>
      </c>
      <c r="B3470" s="37">
        <v>43702.041666666664</v>
      </c>
      <c r="C3470" s="12">
        <v>9</v>
      </c>
      <c r="D3470" s="38" t="s">
        <v>2013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-78</v>
      </c>
    </row>
    <row r="3471" spans="1:10" hidden="1" x14ac:dyDescent="0.2">
      <c r="A3471" s="4" t="s">
        <v>1371</v>
      </c>
      <c r="B3471" s="37">
        <v>43702.041666666664</v>
      </c>
      <c r="C3471" s="12">
        <v>10</v>
      </c>
      <c r="D3471" s="38" t="s">
        <v>2014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-78</v>
      </c>
    </row>
    <row r="3472" spans="1:10" hidden="1" x14ac:dyDescent="0.2">
      <c r="A3472" s="4" t="s">
        <v>1371</v>
      </c>
      <c r="B3472" s="37">
        <v>43702.041666666664</v>
      </c>
      <c r="C3472" s="12">
        <v>11</v>
      </c>
      <c r="D3472" s="38" t="s">
        <v>2015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-78</v>
      </c>
    </row>
    <row r="3473" spans="1:10" hidden="1" x14ac:dyDescent="0.2">
      <c r="A3473" s="4" t="s">
        <v>1371</v>
      </c>
      <c r="B3473" s="37">
        <v>43702.041666666664</v>
      </c>
      <c r="C3473" s="12">
        <v>12</v>
      </c>
      <c r="D3473" s="38" t="s">
        <v>2016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-78</v>
      </c>
    </row>
    <row r="3474" spans="1:10" hidden="1" x14ac:dyDescent="0.2">
      <c r="A3474" s="4" t="s">
        <v>1371</v>
      </c>
      <c r="B3474" s="37">
        <v>43702.041666666664</v>
      </c>
      <c r="C3474" s="12">
        <v>13</v>
      </c>
      <c r="D3474" s="38" t="s">
        <v>2017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-78</v>
      </c>
    </row>
    <row r="3475" spans="1:10" hidden="1" x14ac:dyDescent="0.2">
      <c r="A3475" s="4" t="s">
        <v>1371</v>
      </c>
      <c r="B3475" s="37">
        <v>43702.041666666664</v>
      </c>
      <c r="C3475" s="12">
        <v>14</v>
      </c>
      <c r="D3475" s="38" t="s">
        <v>2018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-78</v>
      </c>
    </row>
    <row r="3476" spans="1:10" hidden="1" x14ac:dyDescent="0.2">
      <c r="A3476" s="4" t="s">
        <v>1371</v>
      </c>
      <c r="B3476" s="37">
        <v>43702.041666666664</v>
      </c>
      <c r="C3476" s="12">
        <v>15</v>
      </c>
      <c r="D3476" s="38" t="s">
        <v>269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-77</v>
      </c>
    </row>
    <row r="3477" spans="1:10" hidden="1" x14ac:dyDescent="0.2">
      <c r="A3477" s="4" t="s">
        <v>1371</v>
      </c>
      <c r="B3477" s="37">
        <v>43702.041666666664</v>
      </c>
      <c r="C3477" s="12">
        <v>16</v>
      </c>
      <c r="D3477" s="38" t="s">
        <v>271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-77</v>
      </c>
    </row>
    <row r="3478" spans="1:10" hidden="1" x14ac:dyDescent="0.2">
      <c r="A3478" s="4" t="s">
        <v>1371</v>
      </c>
      <c r="B3478" s="37">
        <v>43702.041666666664</v>
      </c>
      <c r="C3478" s="12">
        <v>17</v>
      </c>
      <c r="D3478" s="38" t="s">
        <v>273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-74</v>
      </c>
    </row>
    <row r="3479" spans="1:10" hidden="1" x14ac:dyDescent="0.2">
      <c r="A3479" s="4" t="s">
        <v>1371</v>
      </c>
      <c r="B3479" s="37">
        <v>43702.041666666664</v>
      </c>
      <c r="C3479" s="12">
        <v>18</v>
      </c>
      <c r="D3479" s="38" t="s">
        <v>275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-73</v>
      </c>
    </row>
    <row r="3480" spans="1:10" hidden="1" x14ac:dyDescent="0.2">
      <c r="A3480" s="4" t="s">
        <v>1371</v>
      </c>
      <c r="B3480" s="37">
        <v>43702.041666666664</v>
      </c>
      <c r="C3480" s="12">
        <v>18.100000000000001</v>
      </c>
      <c r="D3480" s="38" t="s">
        <v>2438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-74</v>
      </c>
    </row>
    <row r="3481" spans="1:10" hidden="1" x14ac:dyDescent="0.2">
      <c r="A3481" s="4" t="s">
        <v>1371</v>
      </c>
      <c r="B3481" s="37">
        <v>43702.041666666664</v>
      </c>
      <c r="C3481" s="12">
        <v>19</v>
      </c>
      <c r="D3481" s="38" t="s">
        <v>305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-72</v>
      </c>
    </row>
    <row r="3482" spans="1:10" hidden="1" x14ac:dyDescent="0.2">
      <c r="A3482" s="4" t="s">
        <v>1371</v>
      </c>
      <c r="B3482" s="37">
        <v>43702.041666666664</v>
      </c>
      <c r="C3482" s="12">
        <v>20</v>
      </c>
      <c r="D3482" s="38" t="s">
        <v>2019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-72</v>
      </c>
    </row>
    <row r="3483" spans="1:10" hidden="1" x14ac:dyDescent="0.2">
      <c r="A3483" s="4" t="s">
        <v>1371</v>
      </c>
      <c r="B3483" s="37">
        <v>43702.041666666664</v>
      </c>
      <c r="C3483" s="12">
        <v>21</v>
      </c>
      <c r="D3483" s="38" t="s">
        <v>1990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-66</v>
      </c>
    </row>
    <row r="3484" spans="1:10" hidden="1" x14ac:dyDescent="0.2">
      <c r="A3484" s="4" t="s">
        <v>1371</v>
      </c>
      <c r="B3484" s="37">
        <v>43702.041666666664</v>
      </c>
      <c r="C3484" s="12">
        <v>22</v>
      </c>
      <c r="D3484" s="38" t="s">
        <v>2020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-62</v>
      </c>
    </row>
    <row r="3485" spans="1:10" hidden="1" x14ac:dyDescent="0.2">
      <c r="A3485" s="4" t="s">
        <v>1022</v>
      </c>
      <c r="B3485" s="37">
        <v>43703</v>
      </c>
      <c r="C3485" s="12">
        <v>1</v>
      </c>
      <c r="D3485" s="38" t="s">
        <v>2093</v>
      </c>
      <c r="E3485" s="39">
        <v>43678</v>
      </c>
      <c r="F3485" s="40" t="s">
        <v>2094</v>
      </c>
      <c r="G3485" s="12"/>
      <c r="H3485" s="12"/>
      <c r="J3485" s="41">
        <f ca="1">ROUNDDOWN(表3[[#This Row],[日期]]-TODAY(),1)</f>
        <v>-99</v>
      </c>
    </row>
    <row r="3486" spans="1:10" hidden="1" x14ac:dyDescent="0.2">
      <c r="A3486" s="4" t="s">
        <v>1022</v>
      </c>
      <c r="B3486" s="37">
        <v>43703</v>
      </c>
      <c r="C3486" s="12">
        <v>2</v>
      </c>
      <c r="D3486" s="38" t="s">
        <v>2095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-94</v>
      </c>
    </row>
    <row r="3487" spans="1:10" hidden="1" x14ac:dyDescent="0.2">
      <c r="A3487" s="4" t="s">
        <v>1022</v>
      </c>
      <c r="B3487" s="37">
        <v>43703</v>
      </c>
      <c r="C3487" s="12">
        <v>3</v>
      </c>
      <c r="D3487" s="38" t="s">
        <v>2096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-87</v>
      </c>
    </row>
    <row r="3488" spans="1:10" hidden="1" x14ac:dyDescent="0.2">
      <c r="A3488" s="4" t="s">
        <v>1022</v>
      </c>
      <c r="B3488" s="37">
        <v>43703</v>
      </c>
      <c r="C3488" s="12">
        <v>3.1</v>
      </c>
      <c r="D3488" s="38" t="s">
        <v>2313</v>
      </c>
      <c r="E3488" s="39">
        <v>43693</v>
      </c>
      <c r="F3488" s="40" t="s">
        <v>2312</v>
      </c>
      <c r="G3488" s="12"/>
      <c r="H3488" s="12"/>
      <c r="J3488" s="41">
        <f ca="1">ROUNDDOWN(表3[[#This Row],[日期]]-TODAY(),1)</f>
        <v>-84</v>
      </c>
    </row>
    <row r="3489" spans="1:10" hidden="1" x14ac:dyDescent="0.2">
      <c r="A3489" s="4" t="s">
        <v>1022</v>
      </c>
      <c r="B3489" s="37">
        <v>43703</v>
      </c>
      <c r="C3489" s="12">
        <v>4</v>
      </c>
      <c r="D3489" s="38" t="s">
        <v>2097</v>
      </c>
      <c r="E3489" s="39">
        <v>43693</v>
      </c>
      <c r="F3489" s="40" t="s">
        <v>287</v>
      </c>
      <c r="G3489" s="12">
        <v>1</v>
      </c>
      <c r="H3489" s="12"/>
      <c r="J3489" s="41">
        <f ca="1">ROUNDDOWN(表3[[#This Row],[日期]]-TODAY(),1)</f>
        <v>-84</v>
      </c>
    </row>
    <row r="3490" spans="1:10" hidden="1" x14ac:dyDescent="0.2">
      <c r="A3490" s="4" t="s">
        <v>1022</v>
      </c>
      <c r="B3490" s="37">
        <v>43703</v>
      </c>
      <c r="C3490" s="12">
        <v>5</v>
      </c>
      <c r="D3490" s="38" t="s">
        <v>2098</v>
      </c>
      <c r="E3490" s="39">
        <v>43696</v>
      </c>
      <c r="F3490" s="40" t="s">
        <v>287</v>
      </c>
      <c r="G3490" s="12"/>
      <c r="H3490" s="12"/>
      <c r="J3490" s="41">
        <f ca="1">ROUNDDOWN(表3[[#This Row],[日期]]-TODAY(),1)</f>
        <v>-81</v>
      </c>
    </row>
    <row r="3491" spans="1:10" hidden="1" x14ac:dyDescent="0.2">
      <c r="A3491" s="4" t="s">
        <v>1022</v>
      </c>
      <c r="B3491" s="37">
        <v>43703</v>
      </c>
      <c r="C3491" s="12">
        <v>6</v>
      </c>
      <c r="D3491" s="38" t="s">
        <v>2099</v>
      </c>
      <c r="E3491" s="39">
        <v>43696</v>
      </c>
      <c r="F3491" s="40" t="s">
        <v>287</v>
      </c>
      <c r="G3491" s="12"/>
      <c r="H3491" s="12"/>
      <c r="J3491" s="41">
        <f ca="1">ROUNDDOWN(表3[[#This Row],[日期]]-TODAY(),1)</f>
        <v>-81</v>
      </c>
    </row>
    <row r="3492" spans="1:10" hidden="1" x14ac:dyDescent="0.2">
      <c r="A3492" s="4" t="s">
        <v>1022</v>
      </c>
      <c r="B3492" s="37">
        <v>43703</v>
      </c>
      <c r="C3492" s="12">
        <v>7</v>
      </c>
      <c r="D3492" s="38" t="s">
        <v>867</v>
      </c>
      <c r="E3492" s="39">
        <v>43696</v>
      </c>
      <c r="F3492" s="40" t="s">
        <v>287</v>
      </c>
      <c r="G3492" s="12"/>
      <c r="H3492" s="12"/>
      <c r="J3492" s="41">
        <f ca="1">ROUNDDOWN(表3[[#This Row],[日期]]-TODAY(),1)</f>
        <v>-81</v>
      </c>
    </row>
    <row r="3493" spans="1:10" hidden="1" x14ac:dyDescent="0.2">
      <c r="A3493" s="4" t="s">
        <v>1022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287</v>
      </c>
      <c r="G3493" s="12"/>
      <c r="H3493" s="12"/>
      <c r="J3493" s="41">
        <f ca="1">ROUNDDOWN(表3[[#This Row],[日期]]-TODAY(),1)</f>
        <v>-81</v>
      </c>
    </row>
    <row r="3494" spans="1:10" hidden="1" x14ac:dyDescent="0.2">
      <c r="A3494" s="4" t="s">
        <v>1022</v>
      </c>
      <c r="B3494" s="37">
        <v>43703</v>
      </c>
      <c r="C3494" s="12">
        <v>9</v>
      </c>
      <c r="D3494" s="38" t="s">
        <v>309</v>
      </c>
      <c r="E3494" s="39">
        <v>43696</v>
      </c>
      <c r="F3494" s="40" t="s">
        <v>287</v>
      </c>
      <c r="G3494" s="12"/>
      <c r="H3494" s="12"/>
      <c r="J3494" s="41">
        <f ca="1">ROUNDDOWN(表3[[#This Row],[日期]]-TODAY(),1)</f>
        <v>-81</v>
      </c>
    </row>
    <row r="3495" spans="1:10" hidden="1" x14ac:dyDescent="0.2">
      <c r="A3495" s="4" t="s">
        <v>1022</v>
      </c>
      <c r="B3495" s="37">
        <v>43703</v>
      </c>
      <c r="C3495" s="12">
        <v>10</v>
      </c>
      <c r="D3495" s="38" t="s">
        <v>1720</v>
      </c>
      <c r="E3495" s="39">
        <v>43696</v>
      </c>
      <c r="F3495" s="40" t="s">
        <v>287</v>
      </c>
      <c r="G3495" s="12"/>
      <c r="H3495" s="12"/>
      <c r="J3495" s="41">
        <f ca="1">ROUNDDOWN(表3[[#This Row],[日期]]-TODAY(),1)</f>
        <v>-81</v>
      </c>
    </row>
    <row r="3496" spans="1:10" hidden="1" x14ac:dyDescent="0.2">
      <c r="A3496" s="4" t="s">
        <v>1022</v>
      </c>
      <c r="B3496" s="37">
        <v>43703</v>
      </c>
      <c r="C3496" s="12">
        <v>11</v>
      </c>
      <c r="D3496" s="38" t="s">
        <v>2100</v>
      </c>
      <c r="E3496" s="39">
        <v>43696</v>
      </c>
      <c r="F3496" s="40" t="s">
        <v>287</v>
      </c>
      <c r="G3496" s="12"/>
      <c r="H3496" s="12"/>
      <c r="J3496" s="41">
        <f ca="1">ROUNDDOWN(表3[[#This Row],[日期]]-TODAY(),1)</f>
        <v>-81</v>
      </c>
    </row>
    <row r="3497" spans="1:10" hidden="1" x14ac:dyDescent="0.2">
      <c r="A3497" s="4" t="s">
        <v>1022</v>
      </c>
      <c r="B3497" s="37">
        <v>43703</v>
      </c>
      <c r="C3497" s="12">
        <v>12</v>
      </c>
      <c r="D3497" s="38" t="s">
        <v>313</v>
      </c>
      <c r="E3497" s="39">
        <v>43696</v>
      </c>
      <c r="F3497" s="40" t="s">
        <v>287</v>
      </c>
      <c r="G3497" s="12"/>
      <c r="H3497" s="12"/>
      <c r="J3497" s="41">
        <f ca="1">ROUNDDOWN(表3[[#This Row],[日期]]-TODAY(),1)</f>
        <v>-81</v>
      </c>
    </row>
    <row r="3498" spans="1:10" hidden="1" x14ac:dyDescent="0.2">
      <c r="A3498" s="4" t="s">
        <v>1022</v>
      </c>
      <c r="B3498" s="37">
        <v>43703</v>
      </c>
      <c r="C3498" s="12">
        <v>13</v>
      </c>
      <c r="D3498" s="38" t="s">
        <v>271</v>
      </c>
      <c r="E3498" s="39">
        <v>43696</v>
      </c>
      <c r="F3498" s="40" t="s">
        <v>287</v>
      </c>
      <c r="G3498" s="12"/>
      <c r="H3498" s="12"/>
      <c r="J3498" s="41">
        <f ca="1">ROUNDDOWN(表3[[#This Row],[日期]]-TODAY(),1)</f>
        <v>-81</v>
      </c>
    </row>
    <row r="3499" spans="1:10" hidden="1" x14ac:dyDescent="0.2">
      <c r="A3499" s="4" t="s">
        <v>1022</v>
      </c>
      <c r="B3499" s="37">
        <v>43703</v>
      </c>
      <c r="C3499" s="12">
        <v>14</v>
      </c>
      <c r="D3499" s="38" t="s">
        <v>273</v>
      </c>
      <c r="E3499" s="39">
        <v>43696</v>
      </c>
      <c r="F3499" s="40" t="s">
        <v>287</v>
      </c>
      <c r="G3499" s="12"/>
      <c r="H3499" s="12"/>
      <c r="J3499" s="41">
        <f ca="1">ROUNDDOWN(表3[[#This Row],[日期]]-TODAY(),1)</f>
        <v>-81</v>
      </c>
    </row>
    <row r="3500" spans="1:10" hidden="1" x14ac:dyDescent="0.2">
      <c r="A3500" s="4" t="s">
        <v>1022</v>
      </c>
      <c r="B3500" s="37">
        <v>43703</v>
      </c>
      <c r="C3500" s="12">
        <v>15</v>
      </c>
      <c r="D3500" s="38" t="s">
        <v>275</v>
      </c>
      <c r="E3500" s="39">
        <v>43702</v>
      </c>
      <c r="F3500" s="40" t="s">
        <v>287</v>
      </c>
      <c r="G3500" s="12"/>
      <c r="H3500" s="12"/>
      <c r="J3500" s="41">
        <f ca="1">ROUNDDOWN(表3[[#This Row],[日期]]-TODAY(),1)</f>
        <v>-75</v>
      </c>
    </row>
    <row r="3501" spans="1:10" hidden="1" x14ac:dyDescent="0.2">
      <c r="A3501" s="4" t="s">
        <v>1022</v>
      </c>
      <c r="B3501" s="37">
        <v>43703</v>
      </c>
      <c r="C3501" s="12">
        <v>16</v>
      </c>
      <c r="D3501" s="38" t="s">
        <v>2101</v>
      </c>
      <c r="E3501" s="39">
        <v>43702</v>
      </c>
      <c r="F3501" s="40" t="s">
        <v>287</v>
      </c>
      <c r="G3501" s="12"/>
      <c r="H3501" s="12"/>
      <c r="J3501" s="41">
        <f ca="1">ROUNDDOWN(表3[[#This Row],[日期]]-TODAY(),1)</f>
        <v>-75</v>
      </c>
    </row>
    <row r="3502" spans="1:10" hidden="1" x14ac:dyDescent="0.2">
      <c r="A3502" s="4" t="s">
        <v>1022</v>
      </c>
      <c r="B3502" s="37">
        <v>43703</v>
      </c>
      <c r="C3502" s="12">
        <v>17</v>
      </c>
      <c r="D3502" s="38" t="s">
        <v>305</v>
      </c>
      <c r="E3502" s="39">
        <v>43703</v>
      </c>
      <c r="F3502" s="40" t="s">
        <v>287</v>
      </c>
      <c r="G3502" s="12"/>
      <c r="H3502" s="12"/>
      <c r="J3502" s="41">
        <f ca="1">ROUNDDOWN(表3[[#This Row],[日期]]-TODAY(),1)</f>
        <v>-74</v>
      </c>
    </row>
    <row r="3503" spans="1:10" hidden="1" x14ac:dyDescent="0.2">
      <c r="A3503" s="4" t="s">
        <v>2847</v>
      </c>
      <c r="B3503" s="37">
        <v>43703</v>
      </c>
      <c r="C3503" s="12">
        <v>1</v>
      </c>
      <c r="D3503" s="38" t="s">
        <v>745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-74</v>
      </c>
    </row>
    <row r="3504" spans="1:10" hidden="1" x14ac:dyDescent="0.2">
      <c r="A3504" s="4" t="s">
        <v>2847</v>
      </c>
      <c r="B3504" s="37">
        <v>43703</v>
      </c>
      <c r="C3504" s="12">
        <v>2</v>
      </c>
      <c r="D3504" s="38" t="s">
        <v>1475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-74</v>
      </c>
    </row>
    <row r="3505" spans="1:10" hidden="1" x14ac:dyDescent="0.2">
      <c r="A3505" s="4" t="s">
        <v>2847</v>
      </c>
      <c r="B3505" s="37">
        <v>43703</v>
      </c>
      <c r="C3505" s="12">
        <v>3</v>
      </c>
      <c r="D3505" s="38" t="s">
        <v>1477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-74</v>
      </c>
    </row>
    <row r="3506" spans="1:10" hidden="1" x14ac:dyDescent="0.2">
      <c r="A3506" s="4" t="s">
        <v>2847</v>
      </c>
      <c r="B3506" s="37">
        <v>43703</v>
      </c>
      <c r="C3506" s="12">
        <v>4</v>
      </c>
      <c r="D3506" s="38" t="s">
        <v>1478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-73</v>
      </c>
    </row>
    <row r="3507" spans="1:10" hidden="1" x14ac:dyDescent="0.2">
      <c r="A3507" s="4" t="s">
        <v>2847</v>
      </c>
      <c r="B3507" s="37">
        <v>43703</v>
      </c>
      <c r="C3507" s="12">
        <v>5</v>
      </c>
      <c r="D3507" s="38" t="s">
        <v>899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-74</v>
      </c>
    </row>
    <row r="3508" spans="1:10" hidden="1" x14ac:dyDescent="0.2">
      <c r="A3508" s="4" t="s">
        <v>2847</v>
      </c>
      <c r="B3508" s="37">
        <v>43703</v>
      </c>
      <c r="C3508" s="12">
        <v>6</v>
      </c>
      <c r="D3508" s="38" t="s">
        <v>2212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-74</v>
      </c>
    </row>
    <row r="3509" spans="1:10" hidden="1" x14ac:dyDescent="0.2">
      <c r="A3509" s="4" t="s">
        <v>2847</v>
      </c>
      <c r="B3509" s="37">
        <v>43703</v>
      </c>
      <c r="C3509" s="12">
        <v>7</v>
      </c>
      <c r="D3509" s="38" t="s">
        <v>738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-74</v>
      </c>
    </row>
    <row r="3510" spans="1:10" hidden="1" x14ac:dyDescent="0.2">
      <c r="A3510" s="4" t="s">
        <v>2847</v>
      </c>
      <c r="B3510" s="37">
        <v>43703</v>
      </c>
      <c r="C3510" s="12">
        <v>8</v>
      </c>
      <c r="D3510" s="38" t="s">
        <v>738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-72</v>
      </c>
    </row>
    <row r="3511" spans="1:10" hidden="1" x14ac:dyDescent="0.2">
      <c r="A3511" s="4" t="s">
        <v>2847</v>
      </c>
      <c r="B3511" s="37">
        <v>43703</v>
      </c>
      <c r="C3511" s="12">
        <v>9</v>
      </c>
      <c r="D3511" s="38" t="s">
        <v>1025</v>
      </c>
      <c r="E3511" s="39">
        <v>43706</v>
      </c>
      <c r="F3511" s="40" t="s">
        <v>242</v>
      </c>
      <c r="G3511" s="12">
        <v>1</v>
      </c>
      <c r="H3511" s="12"/>
      <c r="I3511" s="4" t="s">
        <v>743</v>
      </c>
      <c r="J3511" s="41">
        <f ca="1">ROUNDDOWN(表3[[#This Row],[日期]]-TODAY(),1)</f>
        <v>-71</v>
      </c>
    </row>
    <row r="3512" spans="1:10" hidden="1" x14ac:dyDescent="0.2">
      <c r="A3512" s="4" t="s">
        <v>2847</v>
      </c>
      <c r="B3512" s="37">
        <v>43703</v>
      </c>
      <c r="C3512" s="12">
        <v>10</v>
      </c>
      <c r="D3512" s="38" t="s">
        <v>899</v>
      </c>
      <c r="E3512" s="39">
        <v>43706</v>
      </c>
      <c r="F3512" s="40" t="s">
        <v>242</v>
      </c>
      <c r="G3512" s="12">
        <v>4</v>
      </c>
      <c r="H3512" s="12"/>
      <c r="I3512" s="4" t="s">
        <v>743</v>
      </c>
      <c r="J3512" s="41">
        <f ca="1">ROUNDDOWN(表3[[#This Row],[日期]]-TODAY(),1)</f>
        <v>-71</v>
      </c>
    </row>
    <row r="3513" spans="1:10" hidden="1" x14ac:dyDescent="0.2">
      <c r="A3513" s="4" t="s">
        <v>2847</v>
      </c>
      <c r="B3513" s="37">
        <v>43703</v>
      </c>
      <c r="C3513" s="12">
        <v>11</v>
      </c>
      <c r="D3513" s="38" t="s">
        <v>1734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-70</v>
      </c>
    </row>
    <row r="3514" spans="1:10" hidden="1" x14ac:dyDescent="0.2">
      <c r="A3514" s="4" t="s">
        <v>2847</v>
      </c>
      <c r="B3514" s="37">
        <v>43703</v>
      </c>
      <c r="C3514" s="12">
        <v>12</v>
      </c>
      <c r="D3514" s="38" t="s">
        <v>1031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-67</v>
      </c>
    </row>
    <row r="3515" spans="1:10" hidden="1" x14ac:dyDescent="0.2">
      <c r="A3515" s="4" t="s">
        <v>2847</v>
      </c>
      <c r="B3515" s="37">
        <v>43703</v>
      </c>
      <c r="C3515" s="12">
        <v>13</v>
      </c>
      <c r="D3515" s="38" t="s">
        <v>738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-70</v>
      </c>
    </row>
    <row r="3516" spans="1:10" hidden="1" x14ac:dyDescent="0.2">
      <c r="A3516" s="4" t="s">
        <v>2847</v>
      </c>
      <c r="B3516" s="37">
        <v>43703</v>
      </c>
      <c r="C3516" s="12">
        <v>14</v>
      </c>
      <c r="D3516" s="38" t="s">
        <v>2103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-70</v>
      </c>
    </row>
    <row r="3517" spans="1:10" hidden="1" x14ac:dyDescent="0.2">
      <c r="A3517" s="4" t="s">
        <v>2847</v>
      </c>
      <c r="B3517" s="37">
        <v>43703</v>
      </c>
      <c r="C3517" s="12">
        <v>15</v>
      </c>
      <c r="D3517" s="38" t="s">
        <v>900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-70</v>
      </c>
    </row>
    <row r="3518" spans="1:10" hidden="1" x14ac:dyDescent="0.2">
      <c r="A3518" s="4" t="s">
        <v>2847</v>
      </c>
      <c r="B3518" s="37">
        <v>43703</v>
      </c>
      <c r="C3518" s="12">
        <v>16</v>
      </c>
      <c r="D3518" s="38" t="s">
        <v>2104</v>
      </c>
      <c r="E3518" s="39">
        <v>43707</v>
      </c>
      <c r="F3518" s="40" t="s">
        <v>1184</v>
      </c>
      <c r="G3518" s="12"/>
      <c r="H3518" s="12"/>
      <c r="I3518" s="4" t="s">
        <v>220</v>
      </c>
      <c r="J3518" s="41">
        <f ca="1">ROUNDDOWN(表3[[#This Row],[日期]]-TODAY(),1)</f>
        <v>-70</v>
      </c>
    </row>
    <row r="3519" spans="1:10" hidden="1" x14ac:dyDescent="0.2">
      <c r="A3519" s="4" t="s">
        <v>2847</v>
      </c>
      <c r="B3519" s="37">
        <v>43703</v>
      </c>
      <c r="C3519" s="12"/>
      <c r="D3519" s="38" t="s">
        <v>2444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-74</v>
      </c>
    </row>
    <row r="3520" spans="1:10" hidden="1" x14ac:dyDescent="0.2">
      <c r="A3520" s="4" t="s">
        <v>2847</v>
      </c>
      <c r="B3520" s="37">
        <v>43703</v>
      </c>
      <c r="C3520" s="12"/>
      <c r="D3520" s="38" t="s">
        <v>2498</v>
      </c>
      <c r="E3520" s="39">
        <v>43707</v>
      </c>
      <c r="F3520" s="40" t="s">
        <v>1184</v>
      </c>
      <c r="G3520" s="12"/>
      <c r="H3520" s="12"/>
      <c r="J3520" s="41">
        <f ca="1">ROUNDDOWN(表3[[#This Row],[日期]]-TODAY(),1)</f>
        <v>-70</v>
      </c>
    </row>
    <row r="3521" spans="1:10" hidden="1" x14ac:dyDescent="0.2">
      <c r="A3521" s="4" t="s">
        <v>2326</v>
      </c>
      <c r="B3521" s="37">
        <v>43705</v>
      </c>
      <c r="C3521" s="12">
        <v>1</v>
      </c>
      <c r="D3521" s="38" t="s">
        <v>364</v>
      </c>
      <c r="E3521" s="39">
        <v>43693</v>
      </c>
      <c r="F3521" s="40" t="s">
        <v>2312</v>
      </c>
      <c r="G3521" s="12"/>
      <c r="H3521" s="12"/>
      <c r="J3521" s="41">
        <f ca="1">ROUNDDOWN(表3[[#This Row],[日期]]-TODAY(),1)</f>
        <v>-84</v>
      </c>
    </row>
    <row r="3522" spans="1:10" hidden="1" x14ac:dyDescent="0.2">
      <c r="A3522" s="4" t="s">
        <v>2326</v>
      </c>
      <c r="B3522" s="37">
        <v>43705</v>
      </c>
      <c r="C3522" s="12">
        <v>2</v>
      </c>
      <c r="D3522" s="38" t="s">
        <v>863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-78</v>
      </c>
    </row>
    <row r="3523" spans="1:10" hidden="1" x14ac:dyDescent="0.2">
      <c r="A3523" s="4" t="s">
        <v>2326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-78</v>
      </c>
    </row>
    <row r="3524" spans="1:10" hidden="1" x14ac:dyDescent="0.2">
      <c r="A3524" s="4" t="s">
        <v>2326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-78</v>
      </c>
    </row>
    <row r="3525" spans="1:10" hidden="1" x14ac:dyDescent="0.2">
      <c r="A3525" s="4" t="s">
        <v>2326</v>
      </c>
      <c r="B3525" s="37">
        <v>43705</v>
      </c>
      <c r="C3525" s="12">
        <v>5</v>
      </c>
      <c r="D3525" s="38" t="s">
        <v>864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-78</v>
      </c>
    </row>
    <row r="3526" spans="1:10" hidden="1" x14ac:dyDescent="0.2">
      <c r="A3526" s="4" t="s">
        <v>2326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-78</v>
      </c>
    </row>
    <row r="3527" spans="1:10" hidden="1" x14ac:dyDescent="0.2">
      <c r="A3527" s="4" t="s">
        <v>2326</v>
      </c>
      <c r="B3527" s="37">
        <v>43705</v>
      </c>
      <c r="C3527" s="12">
        <v>7</v>
      </c>
      <c r="D3527" s="38" t="s">
        <v>307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-77</v>
      </c>
    </row>
    <row r="3528" spans="1:10" hidden="1" x14ac:dyDescent="0.2">
      <c r="A3528" s="4" t="s">
        <v>2326</v>
      </c>
      <c r="B3528" s="37">
        <v>43705</v>
      </c>
      <c r="C3528" s="12">
        <v>8</v>
      </c>
      <c r="D3528" s="38" t="s">
        <v>865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-77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2435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-74</v>
      </c>
    </row>
    <row r="3530" spans="1:10" hidden="1" x14ac:dyDescent="0.2">
      <c r="A3530" s="4" t="s">
        <v>2326</v>
      </c>
      <c r="B3530" s="37">
        <v>43705</v>
      </c>
      <c r="C3530" s="12">
        <v>9</v>
      </c>
      <c r="D3530" s="38" t="s">
        <v>866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-74</v>
      </c>
    </row>
    <row r="3531" spans="1:10" hidden="1" x14ac:dyDescent="0.2">
      <c r="A3531" s="4" t="s">
        <v>2326</v>
      </c>
      <c r="B3531" s="37">
        <v>43705</v>
      </c>
      <c r="C3531" s="12">
        <v>10</v>
      </c>
      <c r="D3531" s="38" t="s">
        <v>309</v>
      </c>
      <c r="E3531" s="39">
        <v>43700</v>
      </c>
      <c r="F3531" s="40" t="s">
        <v>1184</v>
      </c>
      <c r="G3531" s="12"/>
      <c r="H3531" s="12"/>
      <c r="I3531" s="4" t="s">
        <v>310</v>
      </c>
      <c r="J3531" s="41">
        <f ca="1">ROUNDDOWN(表3[[#This Row],[日期]]-TODAY(),1)</f>
        <v>-77</v>
      </c>
    </row>
    <row r="3532" spans="1:10" hidden="1" x14ac:dyDescent="0.2">
      <c r="A3532" s="4" t="s">
        <v>2326</v>
      </c>
      <c r="B3532" s="37">
        <v>43705</v>
      </c>
      <c r="C3532" s="12">
        <v>11</v>
      </c>
      <c r="D3532" s="38" t="s">
        <v>1851</v>
      </c>
      <c r="E3532" s="39">
        <v>43703</v>
      </c>
      <c r="F3532" s="40" t="s">
        <v>242</v>
      </c>
      <c r="G3532" s="12"/>
      <c r="H3532" s="12"/>
      <c r="I3532" s="4" t="s">
        <v>1131</v>
      </c>
      <c r="J3532" s="41">
        <f ca="1">ROUNDDOWN(表3[[#This Row],[日期]]-TODAY(),1)</f>
        <v>-74</v>
      </c>
    </row>
    <row r="3533" spans="1:10" hidden="1" x14ac:dyDescent="0.2">
      <c r="A3533" s="4" t="s">
        <v>2326</v>
      </c>
      <c r="B3533" s="37">
        <v>43705</v>
      </c>
      <c r="C3533" s="12">
        <v>12</v>
      </c>
      <c r="D3533" s="38" t="s">
        <v>867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-74</v>
      </c>
    </row>
    <row r="3534" spans="1:10" hidden="1" x14ac:dyDescent="0.2">
      <c r="A3534" s="4" t="s">
        <v>2326</v>
      </c>
      <c r="B3534" s="37">
        <v>43705</v>
      </c>
      <c r="C3534" s="12">
        <v>13</v>
      </c>
      <c r="D3534" s="38" t="s">
        <v>311</v>
      </c>
      <c r="E3534" s="39">
        <v>43703</v>
      </c>
      <c r="F3534" s="40" t="s">
        <v>242</v>
      </c>
      <c r="G3534" s="12">
        <v>1</v>
      </c>
      <c r="H3534" s="12"/>
      <c r="I3534" s="4" t="s">
        <v>310</v>
      </c>
      <c r="J3534" s="41">
        <f ca="1">ROUNDDOWN(表3[[#This Row],[日期]]-TODAY(),1)</f>
        <v>-74</v>
      </c>
    </row>
    <row r="3535" spans="1:10" hidden="1" x14ac:dyDescent="0.2">
      <c r="A3535" s="4" t="s">
        <v>2326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-74</v>
      </c>
    </row>
    <row r="3536" spans="1:10" hidden="1" x14ac:dyDescent="0.2">
      <c r="A3536" s="4" t="s">
        <v>2326</v>
      </c>
      <c r="B3536" s="37">
        <v>43705</v>
      </c>
      <c r="C3536" s="12">
        <v>15</v>
      </c>
      <c r="D3536" s="38" t="s">
        <v>868</v>
      </c>
      <c r="E3536" s="39">
        <v>43703</v>
      </c>
      <c r="F3536" s="40" t="s">
        <v>242</v>
      </c>
      <c r="G3536" s="12">
        <v>2</v>
      </c>
      <c r="H3536" s="12"/>
      <c r="I3536" s="4" t="s">
        <v>310</v>
      </c>
      <c r="J3536" s="41">
        <f ca="1">ROUNDDOWN(表3[[#This Row],[日期]]-TODAY(),1)</f>
        <v>-74</v>
      </c>
    </row>
    <row r="3537" spans="1:10" hidden="1" x14ac:dyDescent="0.2">
      <c r="A3537" s="4" t="s">
        <v>2326</v>
      </c>
      <c r="B3537" s="37">
        <v>43705</v>
      </c>
      <c r="C3537" s="12">
        <v>16</v>
      </c>
      <c r="D3537" s="38" t="s">
        <v>313</v>
      </c>
      <c r="E3537" s="39">
        <v>43703</v>
      </c>
      <c r="F3537" s="40" t="s">
        <v>242</v>
      </c>
      <c r="G3537" s="12">
        <v>2</v>
      </c>
      <c r="H3537" s="12"/>
      <c r="I3537" s="4" t="s">
        <v>310</v>
      </c>
      <c r="J3537" s="41">
        <f ca="1">ROUNDDOWN(表3[[#This Row],[日期]]-TODAY(),1)</f>
        <v>-74</v>
      </c>
    </row>
    <row r="3538" spans="1:10" hidden="1" x14ac:dyDescent="0.2">
      <c r="A3538" s="4" t="s">
        <v>2326</v>
      </c>
      <c r="B3538" s="37">
        <v>43705</v>
      </c>
      <c r="C3538" s="12">
        <v>17</v>
      </c>
      <c r="D3538" s="38" t="s">
        <v>271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-74</v>
      </c>
    </row>
    <row r="3539" spans="1:10" hidden="1" x14ac:dyDescent="0.2">
      <c r="A3539" s="4" t="s">
        <v>2326</v>
      </c>
      <c r="B3539" s="37">
        <v>43705</v>
      </c>
      <c r="C3539" s="12">
        <v>18</v>
      </c>
      <c r="D3539" s="38" t="s">
        <v>273</v>
      </c>
      <c r="E3539" s="39">
        <v>43704</v>
      </c>
      <c r="F3539" s="40" t="s">
        <v>2456</v>
      </c>
      <c r="G3539" s="12">
        <v>4</v>
      </c>
      <c r="H3539" s="12"/>
      <c r="J3539" s="41">
        <f ca="1">ROUNDDOWN(表3[[#This Row],[日期]]-TODAY(),1)</f>
        <v>-73</v>
      </c>
    </row>
    <row r="3540" spans="1:10" hidden="1" x14ac:dyDescent="0.2">
      <c r="A3540" s="4" t="s">
        <v>2326</v>
      </c>
      <c r="B3540" s="37">
        <v>43705</v>
      </c>
      <c r="C3540" s="12">
        <v>19</v>
      </c>
      <c r="D3540" s="38" t="s">
        <v>275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-72</v>
      </c>
    </row>
    <row r="3541" spans="1:10" hidden="1" x14ac:dyDescent="0.2">
      <c r="A3541" s="4" t="s">
        <v>2326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-73</v>
      </c>
    </row>
    <row r="3542" spans="1:10" hidden="1" x14ac:dyDescent="0.2">
      <c r="A3542" s="4" t="s">
        <v>2326</v>
      </c>
      <c r="B3542" s="37">
        <v>43705</v>
      </c>
      <c r="C3542" s="12">
        <v>21</v>
      </c>
      <c r="D3542" s="38" t="s">
        <v>1387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-73</v>
      </c>
    </row>
    <row r="3543" spans="1:10" hidden="1" x14ac:dyDescent="0.2">
      <c r="A3543" s="4" t="s">
        <v>2326</v>
      </c>
      <c r="B3543" s="37">
        <v>43705</v>
      </c>
      <c r="C3543" s="12">
        <v>22</v>
      </c>
      <c r="D3543" s="38" t="s">
        <v>305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-71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927</v>
      </c>
      <c r="E3544" s="39">
        <v>43693</v>
      </c>
      <c r="F3544" s="40" t="s">
        <v>2312</v>
      </c>
      <c r="G3544" s="12"/>
      <c r="H3544" s="12"/>
      <c r="I3544" s="4" t="s">
        <v>27</v>
      </c>
      <c r="J3544" s="41">
        <f ca="1">ROUNDDOWN(表3[[#This Row],[日期]]-TODAY(),1)</f>
        <v>-84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2312</v>
      </c>
      <c r="G3545" s="12"/>
      <c r="H3545" s="12"/>
      <c r="J3545" s="41">
        <f ca="1">ROUNDDOWN(表3[[#This Row],[日期]]-TODAY(),1)</f>
        <v>-84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1210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-79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-79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-79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1576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-79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1577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-79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-79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2430</v>
      </c>
      <c r="E3552" s="39">
        <v>43700</v>
      </c>
      <c r="F3552" s="40" t="s">
        <v>2431</v>
      </c>
      <c r="G3552" s="12"/>
      <c r="H3552" s="12"/>
      <c r="J3552" s="41">
        <f ca="1">ROUNDDOWN(表3[[#This Row],[日期]]-TODAY(),1)</f>
        <v>-77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928</v>
      </c>
      <c r="E3553" s="39">
        <v>43700</v>
      </c>
      <c r="F3553" s="40" t="s">
        <v>2429</v>
      </c>
      <c r="G3553" s="12"/>
      <c r="H3553" s="12"/>
      <c r="I3553" s="4" t="s">
        <v>32</v>
      </c>
      <c r="J3553" s="41">
        <f ca="1">ROUNDDOWN(表3[[#This Row],[日期]]-TODAY(),1)</f>
        <v>-77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1740</v>
      </c>
      <c r="E3554" s="39">
        <v>43700</v>
      </c>
      <c r="F3554" s="40" t="s">
        <v>2429</v>
      </c>
      <c r="G3554" s="12"/>
      <c r="H3554" s="12"/>
      <c r="J3554" s="41">
        <f ca="1">ROUNDDOWN(表3[[#This Row],[日期]]-TODAY(),1)</f>
        <v>-77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1578</v>
      </c>
      <c r="E3555" s="39">
        <v>43700</v>
      </c>
      <c r="F3555" s="40" t="s">
        <v>2429</v>
      </c>
      <c r="G3555" s="12"/>
      <c r="H3555" s="12"/>
      <c r="J3555" s="41">
        <f ca="1">ROUNDDOWN(表3[[#This Row],[日期]]-TODAY(),1)</f>
        <v>-77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1742</v>
      </c>
      <c r="E3556" s="39">
        <v>43700</v>
      </c>
      <c r="F3556" s="40" t="s">
        <v>2429</v>
      </c>
      <c r="G3556" s="12"/>
      <c r="H3556" s="12"/>
      <c r="J3556" s="41">
        <f ca="1">ROUNDDOWN(表3[[#This Row],[日期]]-TODAY(),1)</f>
        <v>-77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1744</v>
      </c>
      <c r="E3557" s="39">
        <v>43700</v>
      </c>
      <c r="F3557" s="40" t="s">
        <v>2429</v>
      </c>
      <c r="G3557" s="12"/>
      <c r="H3557" s="12"/>
      <c r="J3557" s="41">
        <f ca="1">ROUNDDOWN(表3[[#This Row],[日期]]-TODAY(),1)</f>
        <v>-77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1746</v>
      </c>
      <c r="E3558" s="39">
        <v>43700</v>
      </c>
      <c r="F3558" s="40" t="s">
        <v>2429</v>
      </c>
      <c r="G3558" s="12"/>
      <c r="H3558" s="12"/>
      <c r="J3558" s="41">
        <f ca="1">ROUNDDOWN(表3[[#This Row],[日期]]-TODAY(),1)</f>
        <v>-77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1748</v>
      </c>
      <c r="E3559" s="39">
        <v>43700</v>
      </c>
      <c r="F3559" s="40" t="s">
        <v>2429</v>
      </c>
      <c r="G3559" s="12"/>
      <c r="H3559" s="12"/>
      <c r="J3559" s="41">
        <f ca="1">ROUNDDOWN(表3[[#This Row],[日期]]-TODAY(),1)</f>
        <v>-77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1750</v>
      </c>
      <c r="E3560" s="39">
        <v>43700</v>
      </c>
      <c r="F3560" s="40" t="s">
        <v>2429</v>
      </c>
      <c r="G3560" s="12"/>
      <c r="H3560" s="12"/>
      <c r="J3560" s="41">
        <f ca="1">ROUNDDOWN(表3[[#This Row],[日期]]-TODAY(),1)</f>
        <v>-77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929</v>
      </c>
      <c r="E3561" s="39">
        <v>43703</v>
      </c>
      <c r="F3561" s="40" t="s">
        <v>2429</v>
      </c>
      <c r="G3561" s="12"/>
      <c r="H3561" s="12"/>
      <c r="I3561" s="4" t="s">
        <v>34</v>
      </c>
      <c r="J3561" s="41">
        <f ca="1">ROUNDDOWN(表3[[#This Row],[日期]]-TODAY(),1)</f>
        <v>-74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1752</v>
      </c>
      <c r="E3562" s="39">
        <v>43703</v>
      </c>
      <c r="F3562" s="40" t="s">
        <v>2429</v>
      </c>
      <c r="G3562" s="12"/>
      <c r="H3562" s="12"/>
      <c r="J3562" s="41">
        <f ca="1">ROUNDDOWN(表3[[#This Row],[日期]]-TODAY(),1)</f>
        <v>-74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2429</v>
      </c>
      <c r="G3563" s="12"/>
      <c r="H3563" s="12"/>
      <c r="J3563" s="41">
        <f ca="1">ROUNDDOWN(表3[[#This Row],[日期]]-TODAY(),1)</f>
        <v>-74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930</v>
      </c>
      <c r="E3564" s="39">
        <v>43703</v>
      </c>
      <c r="F3564" s="40" t="s">
        <v>2429</v>
      </c>
      <c r="G3564" s="12"/>
      <c r="H3564" s="12"/>
      <c r="I3564" s="4" t="s">
        <v>40</v>
      </c>
      <c r="J3564" s="41">
        <f ca="1">ROUNDDOWN(表3[[#This Row],[日期]]-TODAY(),1)</f>
        <v>-74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2429</v>
      </c>
      <c r="G3565" s="12"/>
      <c r="H3565" s="12"/>
      <c r="I3565" s="4" t="s">
        <v>192</v>
      </c>
      <c r="J3565" s="41">
        <f ca="1">ROUNDDOWN(表3[[#This Row],[日期]]-TODAY(),1)</f>
        <v>-74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931</v>
      </c>
      <c r="E3566" s="39">
        <v>43703</v>
      </c>
      <c r="F3566" s="40" t="s">
        <v>2429</v>
      </c>
      <c r="G3566" s="12"/>
      <c r="H3566" s="12"/>
      <c r="J3566" s="41">
        <f ca="1">ROUNDDOWN(表3[[#This Row],[日期]]-TODAY(),1)</f>
        <v>-74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759</v>
      </c>
      <c r="E3567" s="39">
        <v>43703</v>
      </c>
      <c r="F3567" s="40" t="s">
        <v>2429</v>
      </c>
      <c r="G3567" s="12"/>
      <c r="H3567" s="12"/>
      <c r="J3567" s="41">
        <f ca="1">ROUNDDOWN(表3[[#This Row],[日期]]-TODAY(),1)</f>
        <v>-74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1919</v>
      </c>
      <c r="E3568" s="39">
        <v>43703</v>
      </c>
      <c r="F3568" s="40" t="s">
        <v>2429</v>
      </c>
      <c r="G3568" s="12"/>
      <c r="H3568" s="12"/>
      <c r="J3568" s="41">
        <f ca="1">ROUNDDOWN(表3[[#This Row],[日期]]-TODAY(),1)</f>
        <v>-74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2429</v>
      </c>
      <c r="G3569" s="12"/>
      <c r="H3569" s="12"/>
      <c r="J3569" s="41">
        <f ca="1">ROUNDDOWN(表3[[#This Row],[日期]]-TODAY(),1)</f>
        <v>-74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2429</v>
      </c>
      <c r="G3570" s="12"/>
      <c r="H3570" s="12"/>
      <c r="J3570" s="41">
        <f ca="1">ROUNDDOWN(表3[[#This Row],[日期]]-TODAY(),1)</f>
        <v>-74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2429</v>
      </c>
      <c r="G3571" s="12"/>
      <c r="H3571" s="12"/>
      <c r="I3571" s="4" t="s">
        <v>40</v>
      </c>
      <c r="J3571" s="41">
        <f ca="1">ROUNDDOWN(表3[[#This Row],[日期]]-TODAY(),1)</f>
        <v>-74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2429</v>
      </c>
      <c r="G3572" s="12"/>
      <c r="H3572" s="12"/>
      <c r="J3572" s="41">
        <f ca="1">ROUNDDOWN(表3[[#This Row],[日期]]-TODAY(),1)</f>
        <v>-74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2429</v>
      </c>
      <c r="G3573" s="12"/>
      <c r="H3573" s="12"/>
      <c r="I3573" s="4" t="s">
        <v>61</v>
      </c>
      <c r="J3573" s="41">
        <f ca="1">ROUNDDOWN(表3[[#This Row],[日期]]-TODAY(),1)</f>
        <v>-74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2429</v>
      </c>
      <c r="G3574" s="12"/>
      <c r="H3574" s="12"/>
      <c r="J3574" s="41">
        <f ca="1">ROUNDDOWN(表3[[#This Row],[日期]]-TODAY(),1)</f>
        <v>-74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932</v>
      </c>
      <c r="E3575" s="39">
        <v>43703</v>
      </c>
      <c r="F3575" s="40" t="s">
        <v>2429</v>
      </c>
      <c r="G3575" s="12"/>
      <c r="H3575" s="12"/>
      <c r="I3575" s="4" t="s">
        <v>30</v>
      </c>
      <c r="J3575" s="41">
        <f ca="1">ROUNDDOWN(表3[[#This Row],[日期]]-TODAY(),1)</f>
        <v>-74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933</v>
      </c>
      <c r="E3576" s="39">
        <v>43703</v>
      </c>
      <c r="F3576" s="40" t="s">
        <v>2429</v>
      </c>
      <c r="G3576" s="12"/>
      <c r="H3576" s="12"/>
      <c r="I3576" s="4" t="s">
        <v>40</v>
      </c>
      <c r="J3576" s="41">
        <f ca="1">ROUNDDOWN(表3[[#This Row],[日期]]-TODAY(),1)</f>
        <v>-74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2429</v>
      </c>
      <c r="G3577" s="12"/>
      <c r="H3577" s="12"/>
      <c r="J3577" s="41">
        <f ca="1">ROUNDDOWN(表3[[#This Row],[日期]]-TODAY(),1)</f>
        <v>-74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1072</v>
      </c>
      <c r="E3578" s="39">
        <v>43701</v>
      </c>
      <c r="F3578" s="40" t="s">
        <v>2429</v>
      </c>
      <c r="G3578" s="12"/>
      <c r="H3578" s="12"/>
      <c r="J3578" s="41">
        <f ca="1">ROUNDDOWN(表3[[#This Row],[日期]]-TODAY(),1)</f>
        <v>-76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2429</v>
      </c>
      <c r="G3579" s="12"/>
      <c r="H3579" s="12"/>
      <c r="J3579" s="41">
        <f ca="1">ROUNDDOWN(表3[[#This Row],[日期]]-TODAY(),1)</f>
        <v>-76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1071</v>
      </c>
      <c r="E3580" s="39">
        <v>43701</v>
      </c>
      <c r="F3580" s="40" t="s">
        <v>2429</v>
      </c>
      <c r="G3580" s="12"/>
      <c r="H3580" s="12"/>
      <c r="J3580" s="41">
        <f ca="1">ROUNDDOWN(表3[[#This Row],[日期]]-TODAY(),1)</f>
        <v>-76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2429</v>
      </c>
      <c r="G3581" s="12"/>
      <c r="H3581" s="12"/>
      <c r="I3581" s="4" t="s">
        <v>68</v>
      </c>
      <c r="J3581" s="41">
        <f ca="1">ROUNDDOWN(表3[[#This Row],[日期]]-TODAY(),1)</f>
        <v>-76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2429</v>
      </c>
      <c r="G3582" s="12"/>
      <c r="H3582" s="12"/>
      <c r="J3582" s="41">
        <f ca="1">ROUNDDOWN(表3[[#This Row],[日期]]-TODAY(),1)</f>
        <v>-76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2429</v>
      </c>
      <c r="G3583" s="12"/>
      <c r="H3583" s="12"/>
      <c r="J3583" s="41">
        <f ca="1">ROUNDDOWN(表3[[#This Row],[日期]]-TODAY(),1)</f>
        <v>-73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2429</v>
      </c>
      <c r="G3584" s="12"/>
      <c r="H3584" s="12"/>
      <c r="J3584" s="41">
        <f ca="1">ROUNDDOWN(表3[[#This Row],[日期]]-TODAY(),1)</f>
        <v>-73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2335</v>
      </c>
      <c r="E3585" s="39">
        <v>43704</v>
      </c>
      <c r="F3585" s="40" t="s">
        <v>2429</v>
      </c>
      <c r="G3585" s="12"/>
      <c r="H3585" s="12"/>
      <c r="J3585" s="41">
        <f ca="1">ROUNDDOWN(表3[[#This Row],[日期]]-TODAY(),1)</f>
        <v>-73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305</v>
      </c>
      <c r="E3586" s="39">
        <v>43705</v>
      </c>
      <c r="F3586" s="40" t="s">
        <v>2429</v>
      </c>
      <c r="G3586" s="12"/>
      <c r="H3586" s="12"/>
      <c r="J3586" s="41">
        <f ca="1">ROUNDDOWN(表3[[#This Row],[日期]]-TODAY(),1)</f>
        <v>-72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2336</v>
      </c>
      <c r="E3587" s="39">
        <v>43706</v>
      </c>
      <c r="F3587" s="40" t="s">
        <v>2429</v>
      </c>
      <c r="G3587" s="12"/>
      <c r="H3587" s="12"/>
      <c r="I3587" s="4" t="s">
        <v>126</v>
      </c>
      <c r="J3587" s="41">
        <f ca="1">ROUNDDOWN(表3[[#This Row],[日期]]-TODAY(),1)</f>
        <v>-71</v>
      </c>
    </row>
    <row r="3588" spans="1:10" hidden="1" x14ac:dyDescent="0.2">
      <c r="A3588" s="4" t="s">
        <v>2311</v>
      </c>
      <c r="B3588" s="37">
        <v>43705</v>
      </c>
      <c r="C3588" s="12">
        <v>1</v>
      </c>
      <c r="D3588" s="38" t="s">
        <v>364</v>
      </c>
      <c r="E3588" s="39">
        <v>43693</v>
      </c>
      <c r="F3588" s="40" t="s">
        <v>2312</v>
      </c>
      <c r="G3588" s="12"/>
      <c r="H3588" s="12"/>
      <c r="J3588" s="41">
        <f ca="1">ROUNDDOWN(表3[[#This Row],[日期]]-TODAY(),1)</f>
        <v>-84</v>
      </c>
    </row>
    <row r="3589" spans="1:10" hidden="1" x14ac:dyDescent="0.2">
      <c r="A3589" s="4" t="s">
        <v>2311</v>
      </c>
      <c r="B3589" s="37">
        <v>43705</v>
      </c>
      <c r="C3589" s="12">
        <v>2</v>
      </c>
      <c r="D3589" s="38" t="s">
        <v>863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-84</v>
      </c>
    </row>
    <row r="3590" spans="1:10" hidden="1" x14ac:dyDescent="0.2">
      <c r="A3590" s="4" t="s">
        <v>2311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-81</v>
      </c>
    </row>
    <row r="3591" spans="1:10" hidden="1" x14ac:dyDescent="0.2">
      <c r="A3591" s="4" t="s">
        <v>2311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-78</v>
      </c>
    </row>
    <row r="3592" spans="1:10" hidden="1" x14ac:dyDescent="0.2">
      <c r="A3592" s="4" t="s">
        <v>2311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-78</v>
      </c>
    </row>
    <row r="3593" spans="1:10" hidden="1" x14ac:dyDescent="0.2">
      <c r="A3593" s="4" t="s">
        <v>2311</v>
      </c>
      <c r="B3593" s="37">
        <v>43705</v>
      </c>
      <c r="C3593" s="12">
        <v>6</v>
      </c>
      <c r="D3593" s="38" t="s">
        <v>864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-78</v>
      </c>
    </row>
    <row r="3594" spans="1:10" hidden="1" x14ac:dyDescent="0.2">
      <c r="A3594" s="4" t="s">
        <v>2311</v>
      </c>
      <c r="B3594" s="37">
        <v>43705</v>
      </c>
      <c r="C3594" s="12">
        <v>7</v>
      </c>
      <c r="D3594" s="38" t="s">
        <v>1851</v>
      </c>
      <c r="E3594" s="39">
        <v>43703</v>
      </c>
      <c r="F3594" s="40" t="s">
        <v>1184</v>
      </c>
      <c r="G3594" s="12"/>
      <c r="H3594" s="12"/>
      <c r="I3594" s="4" t="s">
        <v>1131</v>
      </c>
      <c r="J3594" s="41">
        <f ca="1">ROUNDDOWN(表3[[#This Row],[日期]]-TODAY(),1)</f>
        <v>-74</v>
      </c>
    </row>
    <row r="3595" spans="1:10" hidden="1" x14ac:dyDescent="0.2">
      <c r="A3595" s="4" t="s">
        <v>2311</v>
      </c>
      <c r="B3595" s="37">
        <v>43705</v>
      </c>
      <c r="C3595" s="12">
        <v>8</v>
      </c>
      <c r="D3595" s="38" t="s">
        <v>307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-78</v>
      </c>
    </row>
    <row r="3596" spans="1:10" hidden="1" x14ac:dyDescent="0.2">
      <c r="A3596" s="4" t="s">
        <v>2311</v>
      </c>
      <c r="B3596" s="37">
        <v>43705</v>
      </c>
      <c r="C3596" s="12">
        <v>9</v>
      </c>
      <c r="D3596" s="38" t="s">
        <v>865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-78</v>
      </c>
    </row>
    <row r="3597" spans="1:10" hidden="1" x14ac:dyDescent="0.2">
      <c r="A3597" s="4" t="s">
        <v>2311</v>
      </c>
      <c r="B3597" s="37">
        <v>43705</v>
      </c>
      <c r="C3597" s="12">
        <v>10</v>
      </c>
      <c r="D3597" s="38" t="s">
        <v>866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-74</v>
      </c>
    </row>
    <row r="3598" spans="1:10" hidden="1" x14ac:dyDescent="0.2">
      <c r="A3598" s="4" t="s">
        <v>2311</v>
      </c>
      <c r="B3598" s="37">
        <v>43705</v>
      </c>
      <c r="C3598" s="12">
        <v>11</v>
      </c>
      <c r="D3598" s="38" t="s">
        <v>867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-77</v>
      </c>
    </row>
    <row r="3599" spans="1:10" hidden="1" x14ac:dyDescent="0.2">
      <c r="A3599" s="4" t="s">
        <v>2311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-77</v>
      </c>
    </row>
    <row r="3600" spans="1:10" hidden="1" x14ac:dyDescent="0.2">
      <c r="A3600" s="4" t="s">
        <v>2311</v>
      </c>
      <c r="B3600" s="37">
        <v>43705</v>
      </c>
      <c r="C3600" s="12">
        <v>13</v>
      </c>
      <c r="D3600" s="38" t="s">
        <v>868</v>
      </c>
      <c r="E3600" s="39">
        <v>43700</v>
      </c>
      <c r="F3600" s="40" t="s">
        <v>242</v>
      </c>
      <c r="G3600" s="12">
        <v>4</v>
      </c>
      <c r="H3600" s="12"/>
      <c r="I3600" s="4" t="s">
        <v>310</v>
      </c>
      <c r="J3600" s="41">
        <f ca="1">ROUNDDOWN(表3[[#This Row],[日期]]-TODAY(),1)</f>
        <v>-77</v>
      </c>
    </row>
    <row r="3601" spans="1:10" hidden="1" x14ac:dyDescent="0.2">
      <c r="A3601" s="4" t="s">
        <v>2311</v>
      </c>
      <c r="B3601" s="37">
        <v>43705</v>
      </c>
      <c r="C3601" s="12">
        <v>14</v>
      </c>
      <c r="D3601" s="38" t="s">
        <v>313</v>
      </c>
      <c r="E3601" s="39">
        <v>43700</v>
      </c>
      <c r="F3601" s="40" t="s">
        <v>242</v>
      </c>
      <c r="G3601" s="12">
        <v>4</v>
      </c>
      <c r="H3601" s="12"/>
      <c r="I3601" s="4" t="s">
        <v>310</v>
      </c>
      <c r="J3601" s="41">
        <f ca="1">ROUNDDOWN(表3[[#This Row],[日期]]-TODAY(),1)</f>
        <v>-77</v>
      </c>
    </row>
    <row r="3602" spans="1:10" hidden="1" x14ac:dyDescent="0.2">
      <c r="A3602" s="4" t="s">
        <v>2311</v>
      </c>
      <c r="B3602" s="37">
        <v>43705</v>
      </c>
      <c r="C3602" s="12">
        <v>15</v>
      </c>
      <c r="D3602" s="38" t="s">
        <v>309</v>
      </c>
      <c r="E3602" s="39">
        <v>43703</v>
      </c>
      <c r="F3602" s="40" t="s">
        <v>242</v>
      </c>
      <c r="G3602" s="12"/>
      <c r="H3602" s="12"/>
      <c r="I3602" s="4" t="s">
        <v>310</v>
      </c>
      <c r="J3602" s="41">
        <f ca="1">ROUNDDOWN(表3[[#This Row],[日期]]-TODAY(),1)</f>
        <v>-74</v>
      </c>
    </row>
    <row r="3603" spans="1:10" hidden="1" x14ac:dyDescent="0.2">
      <c r="A3603" s="4" t="s">
        <v>2311</v>
      </c>
      <c r="B3603" s="37">
        <v>43705</v>
      </c>
      <c r="C3603" s="12">
        <v>16</v>
      </c>
      <c r="D3603" s="38" t="s">
        <v>311</v>
      </c>
      <c r="E3603" s="39">
        <v>43703</v>
      </c>
      <c r="F3603" s="40" t="s">
        <v>242</v>
      </c>
      <c r="G3603" s="12">
        <v>1</v>
      </c>
      <c r="H3603" s="12"/>
      <c r="I3603" s="4" t="s">
        <v>310</v>
      </c>
      <c r="J3603" s="41">
        <f ca="1">ROUNDDOWN(表3[[#This Row],[日期]]-TODAY(),1)</f>
        <v>-74</v>
      </c>
    </row>
    <row r="3604" spans="1:10" hidden="1" x14ac:dyDescent="0.2">
      <c r="A3604" s="4" t="s">
        <v>2311</v>
      </c>
      <c r="B3604" s="37">
        <v>43705</v>
      </c>
      <c r="C3604" s="12">
        <v>17</v>
      </c>
      <c r="D3604" s="38" t="s">
        <v>271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-74</v>
      </c>
    </row>
    <row r="3605" spans="1:10" hidden="1" x14ac:dyDescent="0.2">
      <c r="A3605" s="4" t="s">
        <v>2311</v>
      </c>
      <c r="B3605" s="37">
        <v>43705</v>
      </c>
      <c r="C3605" s="12">
        <v>18</v>
      </c>
      <c r="D3605" s="38" t="s">
        <v>273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-73</v>
      </c>
    </row>
    <row r="3606" spans="1:10" hidden="1" x14ac:dyDescent="0.2">
      <c r="A3606" s="4" t="s">
        <v>2311</v>
      </c>
      <c r="B3606" s="37">
        <v>43705</v>
      </c>
      <c r="C3606" s="12">
        <v>19</v>
      </c>
      <c r="D3606" s="38" t="s">
        <v>275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-72</v>
      </c>
    </row>
    <row r="3607" spans="1:10" hidden="1" x14ac:dyDescent="0.2">
      <c r="A3607" s="4" t="s">
        <v>2311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-73</v>
      </c>
    </row>
    <row r="3608" spans="1:10" hidden="1" x14ac:dyDescent="0.2">
      <c r="A3608" s="4" t="s">
        <v>2311</v>
      </c>
      <c r="B3608" s="37">
        <v>43705</v>
      </c>
      <c r="C3608" s="12">
        <v>21</v>
      </c>
      <c r="D3608" s="38" t="s">
        <v>1387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-73</v>
      </c>
    </row>
    <row r="3609" spans="1:10" hidden="1" x14ac:dyDescent="0.2">
      <c r="A3609" s="4" t="s">
        <v>2311</v>
      </c>
      <c r="B3609" s="37">
        <v>43705</v>
      </c>
      <c r="C3609" s="12">
        <v>22</v>
      </c>
      <c r="D3609" s="38" t="s">
        <v>305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-71</v>
      </c>
    </row>
    <row r="3610" spans="1:10" hidden="1" x14ac:dyDescent="0.2">
      <c r="A3610" s="4" t="s">
        <v>2831</v>
      </c>
      <c r="B3610" s="37">
        <v>43705</v>
      </c>
      <c r="C3610" s="12">
        <v>1</v>
      </c>
      <c r="D3610" s="38" t="s">
        <v>507</v>
      </c>
      <c r="E3610" s="39">
        <v>43693</v>
      </c>
      <c r="F3610" s="40" t="s">
        <v>2312</v>
      </c>
      <c r="G3610" s="12"/>
      <c r="H3610" s="12"/>
      <c r="J3610" s="41">
        <f ca="1">ROUNDDOWN(表3[[#This Row],[日期]]-TODAY(),1)</f>
        <v>-84</v>
      </c>
    </row>
    <row r="3611" spans="1:10" hidden="1" x14ac:dyDescent="0.2">
      <c r="A3611" s="4" t="s">
        <v>2831</v>
      </c>
      <c r="B3611" s="37">
        <v>43705</v>
      </c>
      <c r="C3611" s="12">
        <v>2</v>
      </c>
      <c r="D3611" s="38" t="s">
        <v>1518</v>
      </c>
      <c r="E3611" s="39">
        <v>43693</v>
      </c>
      <c r="F3611" s="40" t="s">
        <v>2312</v>
      </c>
      <c r="G3611" s="12"/>
      <c r="H3611" s="12"/>
      <c r="I3611" s="4" t="s">
        <v>1521</v>
      </c>
      <c r="J3611" s="41">
        <f ca="1">ROUNDDOWN(表3[[#This Row],[日期]]-TODAY(),1)</f>
        <v>-84</v>
      </c>
    </row>
    <row r="3612" spans="1:10" hidden="1" x14ac:dyDescent="0.2">
      <c r="A3612" s="4" t="s">
        <v>2831</v>
      </c>
      <c r="B3612" s="37">
        <v>43705</v>
      </c>
      <c r="C3612" s="12">
        <v>3</v>
      </c>
      <c r="D3612" s="38" t="s">
        <v>1779</v>
      </c>
      <c r="E3612" s="39">
        <v>43693</v>
      </c>
      <c r="F3612" s="40" t="s">
        <v>2312</v>
      </c>
      <c r="G3612" s="12"/>
      <c r="H3612" s="12"/>
      <c r="I3612" s="4" t="s">
        <v>1523</v>
      </c>
      <c r="J3612" s="41">
        <f ca="1">ROUNDDOWN(表3[[#This Row],[日期]]-TODAY(),1)</f>
        <v>-84</v>
      </c>
    </row>
    <row r="3613" spans="1:10" hidden="1" x14ac:dyDescent="0.2">
      <c r="A3613" s="4" t="s">
        <v>2831</v>
      </c>
      <c r="B3613" s="37">
        <v>43705</v>
      </c>
      <c r="C3613" s="12">
        <v>4</v>
      </c>
      <c r="D3613" s="38" t="s">
        <v>1526</v>
      </c>
      <c r="E3613" s="39">
        <v>43693</v>
      </c>
      <c r="F3613" s="40" t="s">
        <v>2312</v>
      </c>
      <c r="G3613" s="12"/>
      <c r="H3613" s="12"/>
      <c r="I3613" s="4" t="s">
        <v>1528</v>
      </c>
      <c r="J3613" s="41">
        <f ca="1">ROUNDDOWN(表3[[#This Row],[日期]]-TODAY(),1)</f>
        <v>-84</v>
      </c>
    </row>
    <row r="3614" spans="1:10" hidden="1" x14ac:dyDescent="0.2">
      <c r="A3614" s="4" t="s">
        <v>2831</v>
      </c>
      <c r="B3614" s="37">
        <v>43705</v>
      </c>
      <c r="C3614" s="12">
        <v>5</v>
      </c>
      <c r="D3614" s="38" t="s">
        <v>1703</v>
      </c>
      <c r="E3614" s="39">
        <v>43693</v>
      </c>
      <c r="F3614" s="40" t="s">
        <v>2312</v>
      </c>
      <c r="G3614" s="12"/>
      <c r="H3614" s="12"/>
      <c r="J3614" s="41">
        <f ca="1">ROUNDDOWN(表3[[#This Row],[日期]]-TODAY(),1)</f>
        <v>-84</v>
      </c>
    </row>
    <row r="3615" spans="1:10" hidden="1" x14ac:dyDescent="0.2">
      <c r="A3615" s="4" t="s">
        <v>2831</v>
      </c>
      <c r="B3615" s="37">
        <v>43705</v>
      </c>
      <c r="C3615" s="12">
        <v>6</v>
      </c>
      <c r="D3615" s="38" t="s">
        <v>1533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-81</v>
      </c>
    </row>
    <row r="3616" spans="1:10" hidden="1" x14ac:dyDescent="0.2">
      <c r="A3616" s="4" t="s">
        <v>2831</v>
      </c>
      <c r="B3616" s="37">
        <v>43705</v>
      </c>
      <c r="C3616" s="12">
        <v>7</v>
      </c>
      <c r="D3616" s="38" t="s">
        <v>1535</v>
      </c>
      <c r="E3616" s="39">
        <v>43693</v>
      </c>
      <c r="F3616" s="40" t="s">
        <v>2313</v>
      </c>
      <c r="G3616" s="12"/>
      <c r="H3616" s="12"/>
      <c r="I3616" s="4" t="s">
        <v>1537</v>
      </c>
      <c r="J3616" s="41">
        <f ca="1">ROUNDDOWN(表3[[#This Row],[日期]]-TODAY(),1)</f>
        <v>-84</v>
      </c>
    </row>
    <row r="3617" spans="1:10" hidden="1" x14ac:dyDescent="0.2">
      <c r="A3617" s="4" t="s">
        <v>2831</v>
      </c>
      <c r="B3617" s="37">
        <v>43705</v>
      </c>
      <c r="C3617" s="12">
        <v>8</v>
      </c>
      <c r="D3617" s="38" t="s">
        <v>1531</v>
      </c>
      <c r="E3617" s="39">
        <v>43693</v>
      </c>
      <c r="F3617" s="40" t="s">
        <v>2313</v>
      </c>
      <c r="G3617" s="12"/>
      <c r="H3617" s="12"/>
      <c r="J3617" s="41">
        <f ca="1">ROUNDDOWN(表3[[#This Row],[日期]]-TODAY(),1)</f>
        <v>-84</v>
      </c>
    </row>
    <row r="3618" spans="1:10" hidden="1" x14ac:dyDescent="0.2">
      <c r="A3618" s="4" t="s">
        <v>2831</v>
      </c>
      <c r="B3618" s="37">
        <v>43705</v>
      </c>
      <c r="C3618" s="12">
        <v>9</v>
      </c>
      <c r="D3618" s="38" t="s">
        <v>1539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-84</v>
      </c>
    </row>
    <row r="3619" spans="1:10" hidden="1" x14ac:dyDescent="0.2">
      <c r="A3619" s="4" t="s">
        <v>2831</v>
      </c>
      <c r="B3619" s="37">
        <v>43705</v>
      </c>
      <c r="C3619" s="12">
        <v>10</v>
      </c>
      <c r="D3619" s="38" t="s">
        <v>2442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-73</v>
      </c>
    </row>
    <row r="3620" spans="1:10" hidden="1" x14ac:dyDescent="0.2">
      <c r="A3620" s="4" t="s">
        <v>2831</v>
      </c>
      <c r="B3620" s="37">
        <v>43705</v>
      </c>
      <c r="C3620" s="12">
        <v>11</v>
      </c>
      <c r="D3620" s="38" t="s">
        <v>1878</v>
      </c>
      <c r="E3620" s="39">
        <v>43700</v>
      </c>
      <c r="F3620" s="40" t="s">
        <v>1184</v>
      </c>
      <c r="G3620" s="12"/>
      <c r="H3620" s="12"/>
      <c r="J3620" s="41">
        <f ca="1">ROUNDDOWN(表3[[#This Row],[日期]]-TODAY(),1)</f>
        <v>-77</v>
      </c>
    </row>
    <row r="3621" spans="1:10" hidden="1" x14ac:dyDescent="0.2">
      <c r="A3621" s="4" t="s">
        <v>2831</v>
      </c>
      <c r="B3621" s="37">
        <v>43705</v>
      </c>
      <c r="C3621" s="12">
        <v>12</v>
      </c>
      <c r="D3621" s="38" t="s">
        <v>1541</v>
      </c>
      <c r="E3621" s="39">
        <v>43704</v>
      </c>
      <c r="F3621" s="40" t="s">
        <v>242</v>
      </c>
      <c r="G3621" s="12">
        <v>1</v>
      </c>
      <c r="H3621" s="12"/>
      <c r="I3621" s="4" t="s">
        <v>529</v>
      </c>
      <c r="J3621" s="41">
        <f ca="1">ROUNDDOWN(表3[[#This Row],[日期]]-TODAY(),1)</f>
        <v>-73</v>
      </c>
    </row>
    <row r="3622" spans="1:10" hidden="1" x14ac:dyDescent="0.2">
      <c r="A3622" s="4" t="s">
        <v>2831</v>
      </c>
      <c r="B3622" s="37">
        <v>43705</v>
      </c>
      <c r="C3622" s="12">
        <v>13</v>
      </c>
      <c r="D3622" s="38" t="s">
        <v>1543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-73</v>
      </c>
    </row>
    <row r="3623" spans="1:10" hidden="1" x14ac:dyDescent="0.2">
      <c r="A3623" s="4" t="s">
        <v>2831</v>
      </c>
      <c r="B3623" s="37">
        <v>43705</v>
      </c>
      <c r="C3623" s="12">
        <v>14</v>
      </c>
      <c r="D3623" s="38" t="s">
        <v>1545</v>
      </c>
      <c r="E3623" s="39">
        <v>43704</v>
      </c>
      <c r="F3623" s="40" t="s">
        <v>242</v>
      </c>
      <c r="G3623" s="12">
        <v>1</v>
      </c>
      <c r="H3623" s="12"/>
      <c r="I3623" s="4" t="s">
        <v>1547</v>
      </c>
      <c r="J3623" s="41">
        <f ca="1">ROUNDDOWN(表3[[#This Row],[日期]]-TODAY(),1)</f>
        <v>-73</v>
      </c>
    </row>
    <row r="3624" spans="1:10" hidden="1" x14ac:dyDescent="0.2">
      <c r="A3624" s="4" t="s">
        <v>2831</v>
      </c>
      <c r="B3624" s="37">
        <v>43705</v>
      </c>
      <c r="C3624" s="12">
        <v>15</v>
      </c>
      <c r="D3624" s="38" t="s">
        <v>1549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-73</v>
      </c>
    </row>
    <row r="3625" spans="1:10" hidden="1" x14ac:dyDescent="0.2">
      <c r="A3625" s="4" t="s">
        <v>2831</v>
      </c>
      <c r="B3625" s="37">
        <v>43705</v>
      </c>
      <c r="C3625" s="12">
        <v>16</v>
      </c>
      <c r="D3625" s="38" t="s">
        <v>1556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-73</v>
      </c>
    </row>
    <row r="3626" spans="1:10" hidden="1" x14ac:dyDescent="0.2">
      <c r="A3626" s="4" t="s">
        <v>2831</v>
      </c>
      <c r="B3626" s="37">
        <v>43705</v>
      </c>
      <c r="C3626" s="12">
        <v>17</v>
      </c>
      <c r="D3626" s="38" t="s">
        <v>1298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-73</v>
      </c>
    </row>
    <row r="3627" spans="1:10" hidden="1" x14ac:dyDescent="0.2">
      <c r="A3627" s="4" t="s">
        <v>2831</v>
      </c>
      <c r="B3627" s="37">
        <v>43705</v>
      </c>
      <c r="C3627" s="12">
        <v>18</v>
      </c>
      <c r="D3627" s="38" t="s">
        <v>1552</v>
      </c>
      <c r="E3627" s="39">
        <v>43704</v>
      </c>
      <c r="F3627" s="40" t="s">
        <v>242</v>
      </c>
      <c r="G3627" s="12">
        <v>1</v>
      </c>
      <c r="H3627" s="12"/>
      <c r="I3627" s="4" t="s">
        <v>1554</v>
      </c>
      <c r="J3627" s="41">
        <f ca="1">ROUNDDOWN(表3[[#This Row],[日期]]-TODAY(),1)</f>
        <v>-73</v>
      </c>
    </row>
    <row r="3628" spans="1:10" hidden="1" x14ac:dyDescent="0.2">
      <c r="A3628" s="4" t="s">
        <v>2831</v>
      </c>
      <c r="B3628" s="37">
        <v>43705</v>
      </c>
      <c r="C3628" s="12">
        <v>19</v>
      </c>
      <c r="D3628" s="38" t="s">
        <v>1558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-73</v>
      </c>
    </row>
    <row r="3629" spans="1:10" hidden="1" x14ac:dyDescent="0.2">
      <c r="A3629" s="4" t="s">
        <v>2831</v>
      </c>
      <c r="B3629" s="37">
        <v>43705</v>
      </c>
      <c r="C3629" s="12">
        <v>20</v>
      </c>
      <c r="D3629" s="38" t="s">
        <v>1560</v>
      </c>
      <c r="E3629" s="39">
        <v>43704</v>
      </c>
      <c r="F3629" s="40" t="s">
        <v>1184</v>
      </c>
      <c r="G3629" s="12">
        <v>1</v>
      </c>
      <c r="H3629" s="12"/>
      <c r="J3629" s="41">
        <f ca="1">ROUNDDOWN(表3[[#This Row],[日期]]-TODAY(),1)</f>
        <v>-73</v>
      </c>
    </row>
    <row r="3630" spans="1:10" hidden="1" x14ac:dyDescent="0.2">
      <c r="A3630" s="4" t="s">
        <v>2831</v>
      </c>
      <c r="B3630" s="37">
        <v>43705</v>
      </c>
      <c r="C3630" s="12">
        <v>21</v>
      </c>
      <c r="D3630" s="38" t="s">
        <v>1562</v>
      </c>
      <c r="E3630" s="39">
        <v>43704</v>
      </c>
      <c r="F3630" s="40" t="s">
        <v>1184</v>
      </c>
      <c r="G3630" s="12">
        <v>1</v>
      </c>
      <c r="H3630" s="12"/>
      <c r="J3630" s="41">
        <f ca="1">ROUNDDOWN(表3[[#This Row],[日期]]-TODAY(),1)</f>
        <v>-73</v>
      </c>
    </row>
    <row r="3631" spans="1:10" hidden="1" x14ac:dyDescent="0.2">
      <c r="A3631" s="4" t="s">
        <v>2831</v>
      </c>
      <c r="B3631" s="37">
        <v>43705</v>
      </c>
      <c r="C3631" s="12">
        <v>22</v>
      </c>
      <c r="D3631" s="38" t="s">
        <v>1564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-73</v>
      </c>
    </row>
    <row r="3632" spans="1:10" hidden="1" x14ac:dyDescent="0.2">
      <c r="A3632" s="4" t="s">
        <v>2831</v>
      </c>
      <c r="B3632" s="37">
        <v>43705</v>
      </c>
      <c r="C3632" s="12">
        <v>23</v>
      </c>
      <c r="D3632" s="38" t="s">
        <v>1566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-73</v>
      </c>
    </row>
    <row r="3633" spans="1:10" hidden="1" x14ac:dyDescent="0.2">
      <c r="A3633" s="4" t="s">
        <v>2831</v>
      </c>
      <c r="B3633" s="37">
        <v>43705</v>
      </c>
      <c r="C3633" s="12">
        <v>24</v>
      </c>
      <c r="D3633" s="38" t="s">
        <v>1568</v>
      </c>
      <c r="E3633" s="39">
        <v>43704</v>
      </c>
      <c r="F3633" s="40" t="s">
        <v>242</v>
      </c>
      <c r="G3633" s="12">
        <v>3</v>
      </c>
      <c r="H3633" s="12"/>
      <c r="I3633" s="4" t="s">
        <v>1528</v>
      </c>
      <c r="J3633" s="41">
        <f ca="1">ROUNDDOWN(表3[[#This Row],[日期]]-TODAY(),1)</f>
        <v>-73</v>
      </c>
    </row>
    <row r="3634" spans="1:10" hidden="1" x14ac:dyDescent="0.2">
      <c r="A3634" s="4" t="s">
        <v>2831</v>
      </c>
      <c r="B3634" s="37">
        <v>43705</v>
      </c>
      <c r="C3634" s="12">
        <v>25</v>
      </c>
      <c r="D3634" s="38" t="s">
        <v>305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-71</v>
      </c>
    </row>
    <row r="3635" spans="1:10" hidden="1" x14ac:dyDescent="0.2">
      <c r="A3635" s="4" t="s">
        <v>2831</v>
      </c>
      <c r="B3635" s="37">
        <v>43705</v>
      </c>
      <c r="C3635" s="12">
        <v>26</v>
      </c>
      <c r="D3635" s="38" t="s">
        <v>1572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-71</v>
      </c>
    </row>
    <row r="3636" spans="1:10" hidden="1" x14ac:dyDescent="0.2">
      <c r="A3636" s="4" t="s">
        <v>2831</v>
      </c>
      <c r="B3636" s="37">
        <v>43705</v>
      </c>
      <c r="C3636" s="12">
        <v>27</v>
      </c>
      <c r="D3636" s="38" t="s">
        <v>1570</v>
      </c>
      <c r="E3636" s="39">
        <v>43706</v>
      </c>
      <c r="F3636" s="40" t="s">
        <v>242</v>
      </c>
      <c r="G3636" s="12">
        <v>4</v>
      </c>
      <c r="H3636" s="12"/>
      <c r="I3636" s="4" t="s">
        <v>1528</v>
      </c>
      <c r="J3636" s="41">
        <f ca="1">ROUNDDOWN(表3[[#This Row],[日期]]-TODAY(),1)</f>
        <v>-71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927</v>
      </c>
      <c r="E3637" s="39">
        <v>43693</v>
      </c>
      <c r="F3637" s="40" t="s">
        <v>2312</v>
      </c>
      <c r="G3637" s="12"/>
      <c r="H3637" s="12"/>
      <c r="I3637" s="4" t="s">
        <v>27</v>
      </c>
      <c r="J3637" s="41">
        <f ca="1">ROUNDDOWN(表3[[#This Row],[日期]]-TODAY(),1)</f>
        <v>-84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2312</v>
      </c>
      <c r="G3638" s="12"/>
      <c r="H3638" s="12"/>
      <c r="J3638" s="41">
        <f ca="1">ROUNDDOWN(表3[[#This Row],[日期]]-TODAY(),1)</f>
        <v>-84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1210</v>
      </c>
      <c r="E3639" s="39">
        <v>43698</v>
      </c>
      <c r="F3639" s="40" t="s">
        <v>2394</v>
      </c>
      <c r="G3639" s="12"/>
      <c r="H3639" s="12"/>
      <c r="J3639" s="41">
        <f ca="1">ROUNDDOWN(表3[[#This Row],[日期]]-TODAY(),1)</f>
        <v>-79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2394</v>
      </c>
      <c r="G3640" s="12"/>
      <c r="H3640" s="12"/>
      <c r="J3640" s="41">
        <f ca="1">ROUNDDOWN(表3[[#This Row],[日期]]-TODAY(),1)</f>
        <v>-79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2394</v>
      </c>
      <c r="G3641" s="12"/>
      <c r="H3641" s="12"/>
      <c r="J3641" s="41">
        <f ca="1">ROUNDDOWN(表3[[#This Row],[日期]]-TODAY(),1)</f>
        <v>-79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1576</v>
      </c>
      <c r="E3642" s="39">
        <v>43698</v>
      </c>
      <c r="F3642" s="40" t="s">
        <v>2394</v>
      </c>
      <c r="G3642" s="12"/>
      <c r="H3642" s="12"/>
      <c r="J3642" s="41">
        <f ca="1">ROUNDDOWN(表3[[#This Row],[日期]]-TODAY(),1)</f>
        <v>-79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1577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-79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-79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928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-74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1740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-74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1578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-74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1742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-74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1744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-74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1746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-74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1748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-73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1750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-73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929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-73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1752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-73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-73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930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-73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-73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931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-73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759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-73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1919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-73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-73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-73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-73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-72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-73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-73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932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-73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933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-73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1071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-73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-73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-73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1072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-72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-72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-72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-71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-71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2335</v>
      </c>
      <c r="E3677" s="39">
        <v>43704</v>
      </c>
      <c r="F3677" s="40" t="s">
        <v>2456</v>
      </c>
      <c r="G3677" s="12"/>
      <c r="H3677" s="12"/>
      <c r="J3677" s="41">
        <f ca="1">ROUNDDOWN(表3[[#This Row],[日期]]-TODAY(),1)</f>
        <v>-73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305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-69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2336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-66</v>
      </c>
    </row>
    <row r="3680" spans="1:10" hidden="1" x14ac:dyDescent="0.2">
      <c r="A3680" s="4" t="s">
        <v>2848</v>
      </c>
      <c r="B3680" s="37">
        <v>43709</v>
      </c>
      <c r="C3680" s="12">
        <v>1</v>
      </c>
      <c r="D3680" s="38" t="s">
        <v>1153</v>
      </c>
      <c r="E3680" s="39">
        <v>43710</v>
      </c>
      <c r="F3680" s="40" t="s">
        <v>242</v>
      </c>
      <c r="G3680" s="12">
        <v>1</v>
      </c>
      <c r="H3680" s="12"/>
      <c r="I3680" s="4" t="s">
        <v>1154</v>
      </c>
      <c r="J3680" s="41">
        <f ca="1">ROUNDDOWN(表3[[#This Row],[日期]]-TODAY(),1)</f>
        <v>-67</v>
      </c>
    </row>
    <row r="3681" spans="1:10" hidden="1" x14ac:dyDescent="0.2">
      <c r="A3681" s="4" t="s">
        <v>2848</v>
      </c>
      <c r="B3681" s="37">
        <v>43709</v>
      </c>
      <c r="C3681" s="12">
        <v>2</v>
      </c>
      <c r="D3681" s="38" t="s">
        <v>2209</v>
      </c>
      <c r="E3681" s="39">
        <v>43710</v>
      </c>
      <c r="F3681" s="40" t="s">
        <v>242</v>
      </c>
      <c r="G3681" s="12">
        <v>1</v>
      </c>
      <c r="H3681" s="12"/>
      <c r="I3681" s="4" t="s">
        <v>1154</v>
      </c>
      <c r="J3681" s="41">
        <f ca="1">ROUNDDOWN(表3[[#This Row],[日期]]-TODAY(),1)</f>
        <v>-67</v>
      </c>
    </row>
    <row r="3682" spans="1:10" hidden="1" x14ac:dyDescent="0.2">
      <c r="A3682" s="4" t="s">
        <v>2848</v>
      </c>
      <c r="B3682" s="37">
        <v>43709</v>
      </c>
      <c r="C3682" s="12">
        <v>3</v>
      </c>
      <c r="D3682" s="38" t="s">
        <v>2526</v>
      </c>
      <c r="E3682" s="39">
        <v>43712</v>
      </c>
      <c r="F3682" s="40" t="s">
        <v>2685</v>
      </c>
      <c r="G3682" s="12"/>
      <c r="H3682" s="12"/>
      <c r="I3682" s="4" t="s">
        <v>2527</v>
      </c>
      <c r="J3682" s="41">
        <f ca="1">ROUNDDOWN(表3[[#This Row],[日期]]-TODAY(),1)</f>
        <v>-65</v>
      </c>
    </row>
    <row r="3683" spans="1:10" hidden="1" x14ac:dyDescent="0.2">
      <c r="A3683" s="4" t="s">
        <v>2848</v>
      </c>
      <c r="B3683" s="37">
        <v>43709</v>
      </c>
      <c r="C3683" s="12">
        <v>4</v>
      </c>
      <c r="D3683" s="38" t="s">
        <v>1974</v>
      </c>
      <c r="E3683" s="39">
        <v>43712</v>
      </c>
      <c r="F3683" s="40" t="s">
        <v>2685</v>
      </c>
      <c r="G3683" s="12"/>
      <c r="H3683" s="12"/>
      <c r="I3683" s="4" t="s">
        <v>2527</v>
      </c>
      <c r="J3683" s="41">
        <f ca="1">ROUNDDOWN(表3[[#This Row],[日期]]-TODAY(),1)</f>
        <v>-65</v>
      </c>
    </row>
    <row r="3684" spans="1:10" hidden="1" x14ac:dyDescent="0.2">
      <c r="A3684" s="4" t="s">
        <v>2848</v>
      </c>
      <c r="B3684" s="37">
        <v>43709</v>
      </c>
      <c r="C3684" s="12">
        <v>5</v>
      </c>
      <c r="D3684" s="38" t="s">
        <v>1975</v>
      </c>
      <c r="E3684" s="39">
        <v>43712</v>
      </c>
      <c r="F3684" s="40" t="s">
        <v>2685</v>
      </c>
      <c r="G3684" s="12"/>
      <c r="H3684" s="12"/>
      <c r="I3684" s="4" t="s">
        <v>2527</v>
      </c>
      <c r="J3684" s="41">
        <f ca="1">ROUNDDOWN(表3[[#This Row],[日期]]-TODAY(),1)</f>
        <v>-65</v>
      </c>
    </row>
    <row r="3685" spans="1:10" hidden="1" x14ac:dyDescent="0.2">
      <c r="A3685" s="4" t="s">
        <v>2848</v>
      </c>
      <c r="B3685" s="37">
        <v>43709</v>
      </c>
      <c r="C3685" s="12">
        <v>6</v>
      </c>
      <c r="D3685" s="38" t="s">
        <v>1976</v>
      </c>
      <c r="E3685" s="39">
        <v>43712</v>
      </c>
      <c r="F3685" s="40" t="s">
        <v>2685</v>
      </c>
      <c r="G3685" s="12"/>
      <c r="H3685" s="12"/>
      <c r="I3685" s="4" t="s">
        <v>2527</v>
      </c>
      <c r="J3685" s="41">
        <f ca="1">ROUNDDOWN(表3[[#This Row],[日期]]-TODAY(),1)</f>
        <v>-65</v>
      </c>
    </row>
    <row r="3686" spans="1:10" hidden="1" x14ac:dyDescent="0.2">
      <c r="A3686" s="4" t="s">
        <v>2848</v>
      </c>
      <c r="B3686" s="37">
        <v>43709</v>
      </c>
      <c r="C3686" s="12">
        <v>7</v>
      </c>
      <c r="D3686" s="38" t="s">
        <v>1977</v>
      </c>
      <c r="E3686" s="39">
        <v>43711</v>
      </c>
      <c r="F3686" s="40" t="s">
        <v>242</v>
      </c>
      <c r="G3686" s="12"/>
      <c r="H3686" s="12"/>
      <c r="I3686" s="4" t="s">
        <v>1978</v>
      </c>
      <c r="J3686" s="41">
        <f ca="1">ROUNDDOWN(表3[[#This Row],[日期]]-TODAY(),1)</f>
        <v>-66</v>
      </c>
    </row>
    <row r="3687" spans="1:10" hidden="1" x14ac:dyDescent="0.2">
      <c r="A3687" s="4" t="s">
        <v>2848</v>
      </c>
      <c r="B3687" s="37">
        <v>43709</v>
      </c>
      <c r="C3687" s="12">
        <v>8</v>
      </c>
      <c r="D3687" s="38" t="s">
        <v>1979</v>
      </c>
      <c r="E3687" s="39">
        <v>43735</v>
      </c>
      <c r="F3687" s="40" t="s">
        <v>242</v>
      </c>
      <c r="G3687" s="12"/>
      <c r="H3687" s="12"/>
      <c r="I3687" s="4" t="s">
        <v>1967</v>
      </c>
      <c r="J3687" s="41">
        <f ca="1">ROUNDDOWN(表3[[#This Row],[日期]]-TODAY(),1)</f>
        <v>-42</v>
      </c>
    </row>
    <row r="3688" spans="1:10" hidden="1" x14ac:dyDescent="0.2">
      <c r="A3688" s="4" t="s">
        <v>2848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1184</v>
      </c>
      <c r="G3688" s="12"/>
      <c r="H3688" s="12"/>
      <c r="I3688" s="4" t="s">
        <v>1973</v>
      </c>
      <c r="J3688" s="41">
        <f ca="1">ROUNDDOWN(表3[[#This Row],[日期]]-TODAY(),1)</f>
        <v>-44</v>
      </c>
    </row>
    <row r="3689" spans="1:10" hidden="1" x14ac:dyDescent="0.2">
      <c r="A3689" s="4" t="s">
        <v>2848</v>
      </c>
      <c r="B3689" s="37">
        <v>43709</v>
      </c>
      <c r="C3689" s="12">
        <v>10</v>
      </c>
      <c r="D3689" s="38" t="s">
        <v>1156</v>
      </c>
      <c r="E3689" s="39">
        <v>43734</v>
      </c>
      <c r="F3689" s="40" t="s">
        <v>242</v>
      </c>
      <c r="G3689" s="12"/>
      <c r="H3689" s="12"/>
      <c r="I3689" s="4" t="s">
        <v>1972</v>
      </c>
      <c r="J3689" s="41">
        <f ca="1">ROUNDDOWN(表3[[#This Row],[日期]]-TODAY(),1)</f>
        <v>-43</v>
      </c>
    </row>
    <row r="3690" spans="1:10" hidden="1" x14ac:dyDescent="0.2">
      <c r="A3690" s="4" t="s">
        <v>2848</v>
      </c>
      <c r="B3690" s="37">
        <v>43709</v>
      </c>
      <c r="C3690" s="12">
        <v>11</v>
      </c>
      <c r="D3690" s="38" t="s">
        <v>1980</v>
      </c>
      <c r="E3690" s="39">
        <v>43736</v>
      </c>
      <c r="F3690" s="40" t="s">
        <v>242</v>
      </c>
      <c r="G3690" s="12"/>
      <c r="H3690" s="12"/>
      <c r="I3690" s="4" t="s">
        <v>1968</v>
      </c>
      <c r="J3690" s="41">
        <f ca="1">ROUNDDOWN(表3[[#This Row],[日期]]-TODAY(),1)</f>
        <v>-41</v>
      </c>
    </row>
    <row r="3691" spans="1:10" hidden="1" x14ac:dyDescent="0.2">
      <c r="A3691" s="4" t="s">
        <v>2848</v>
      </c>
      <c r="B3691" s="37">
        <v>43709</v>
      </c>
      <c r="C3691" s="12">
        <v>12</v>
      </c>
      <c r="D3691" s="38" t="s">
        <v>1157</v>
      </c>
      <c r="E3691" s="39">
        <v>43738</v>
      </c>
      <c r="F3691" s="40" t="s">
        <v>242</v>
      </c>
      <c r="G3691" s="12"/>
      <c r="H3691" s="12"/>
      <c r="I3691" s="4" t="s">
        <v>1970</v>
      </c>
      <c r="J3691" s="41">
        <f ca="1">ROUNDDOWN(表3[[#This Row],[日期]]-TODAY(),1)</f>
        <v>-39</v>
      </c>
    </row>
    <row r="3692" spans="1:10" hidden="1" x14ac:dyDescent="0.2">
      <c r="A3692" s="4" t="s">
        <v>2848</v>
      </c>
      <c r="B3692" s="37">
        <v>43709</v>
      </c>
      <c r="C3692" s="12">
        <v>13</v>
      </c>
      <c r="D3692" s="38" t="s">
        <v>2528</v>
      </c>
      <c r="E3692" s="39">
        <v>43736</v>
      </c>
      <c r="F3692" s="40" t="s">
        <v>242</v>
      </c>
      <c r="G3692" s="12"/>
      <c r="H3692" s="12"/>
      <c r="I3692" s="4" t="s">
        <v>1968</v>
      </c>
      <c r="J3692" s="41">
        <f ca="1">ROUNDDOWN(表3[[#This Row],[日期]]-TODAY(),1)</f>
        <v>-41</v>
      </c>
    </row>
    <row r="3693" spans="1:10" hidden="1" x14ac:dyDescent="0.2">
      <c r="A3693" s="4" t="s">
        <v>2848</v>
      </c>
      <c r="B3693" s="37">
        <v>43709</v>
      </c>
      <c r="C3693" s="12">
        <v>14</v>
      </c>
      <c r="D3693" s="38" t="s">
        <v>2529</v>
      </c>
      <c r="E3693" s="39">
        <v>43737</v>
      </c>
      <c r="F3693" s="40" t="s">
        <v>242</v>
      </c>
      <c r="G3693" s="12">
        <v>3</v>
      </c>
      <c r="H3693" s="12"/>
      <c r="I3693" s="4" t="s">
        <v>1968</v>
      </c>
      <c r="J3693" s="41">
        <f ca="1">ROUNDDOWN(表3[[#This Row],[日期]]-TODAY(),1)</f>
        <v>-40</v>
      </c>
    </row>
    <row r="3694" spans="1:10" hidden="1" x14ac:dyDescent="0.2">
      <c r="A3694" s="4" t="s">
        <v>2848</v>
      </c>
      <c r="B3694" s="37">
        <v>43709</v>
      </c>
      <c r="C3694" s="12">
        <v>15</v>
      </c>
      <c r="D3694" s="38" t="s">
        <v>3215</v>
      </c>
      <c r="E3694" s="39">
        <v>43748</v>
      </c>
      <c r="F3694" s="40" t="s">
        <v>3250</v>
      </c>
      <c r="G3694" s="12"/>
      <c r="H3694" s="12"/>
      <c r="I3694" s="4" t="s">
        <v>1968</v>
      </c>
      <c r="J3694" s="41">
        <f ca="1">ROUNDDOWN(表3[[#This Row],[日期]]-TODAY(),1)</f>
        <v>-29</v>
      </c>
    </row>
    <row r="3695" spans="1:10" hidden="1" x14ac:dyDescent="0.2">
      <c r="A3695" s="4" t="s">
        <v>2848</v>
      </c>
      <c r="B3695" s="37">
        <v>43709</v>
      </c>
      <c r="C3695" s="12">
        <v>24</v>
      </c>
      <c r="D3695" s="38" t="s">
        <v>2530</v>
      </c>
      <c r="E3695" s="39">
        <v>43736</v>
      </c>
      <c r="F3695" s="40" t="s">
        <v>242</v>
      </c>
      <c r="G3695" s="12"/>
      <c r="H3695" s="12"/>
      <c r="I3695" s="4" t="s">
        <v>2531</v>
      </c>
      <c r="J3695" s="41">
        <f ca="1">ROUNDDOWN(表3[[#This Row],[日期]]-TODAY(),1)</f>
        <v>-41</v>
      </c>
    </row>
    <row r="3696" spans="1:10" hidden="1" x14ac:dyDescent="0.2">
      <c r="A3696" s="4" t="s">
        <v>3049</v>
      </c>
      <c r="B3696" s="37">
        <v>43709</v>
      </c>
      <c r="C3696" s="12"/>
      <c r="D3696" s="38" t="s">
        <v>3050</v>
      </c>
      <c r="E3696" s="39">
        <v>43735</v>
      </c>
      <c r="F3696" s="40" t="s">
        <v>3051</v>
      </c>
      <c r="G3696" s="12"/>
      <c r="H3696" s="12"/>
      <c r="J3696" s="41">
        <f ca="1">ROUNDDOWN(表3[[#This Row],[日期]]-TODAY(),1)</f>
        <v>-42</v>
      </c>
    </row>
    <row r="3697" spans="1:10" hidden="1" x14ac:dyDescent="0.2">
      <c r="A3697" s="4" t="s">
        <v>1371</v>
      </c>
      <c r="B3697" s="37">
        <v>43709</v>
      </c>
      <c r="C3697" s="12">
        <v>1</v>
      </c>
      <c r="D3697" s="38" t="s">
        <v>1805</v>
      </c>
      <c r="E3697" s="39">
        <v>43672</v>
      </c>
      <c r="F3697" s="40" t="s">
        <v>2002</v>
      </c>
      <c r="G3697" s="12"/>
      <c r="H3697" s="12"/>
      <c r="J3697" s="41">
        <f ca="1">ROUNDDOWN(表3[[#This Row],[日期]]-TODAY(),1)</f>
        <v>-105</v>
      </c>
    </row>
    <row r="3698" spans="1:10" hidden="1" x14ac:dyDescent="0.2">
      <c r="A3698" s="4" t="s">
        <v>1371</v>
      </c>
      <c r="B3698" s="37">
        <v>43709</v>
      </c>
      <c r="C3698" s="12">
        <v>2</v>
      </c>
      <c r="D3698" s="38" t="s">
        <v>1806</v>
      </c>
      <c r="E3698" s="39">
        <v>43677</v>
      </c>
      <c r="F3698" s="40" t="s">
        <v>2002</v>
      </c>
      <c r="G3698" s="12"/>
      <c r="H3698" s="12"/>
      <c r="J3698" s="41">
        <f ca="1">ROUNDDOWN(表3[[#This Row],[日期]]-TODAY(),1)</f>
        <v>-100</v>
      </c>
    </row>
    <row r="3699" spans="1:10" hidden="1" x14ac:dyDescent="0.2">
      <c r="A3699" s="4" t="s">
        <v>1371</v>
      </c>
      <c r="B3699" s="37">
        <v>43709</v>
      </c>
      <c r="C3699" s="12">
        <v>3</v>
      </c>
      <c r="D3699" s="38" t="s">
        <v>1807</v>
      </c>
      <c r="E3699" s="39">
        <v>43677</v>
      </c>
      <c r="F3699" s="40" t="s">
        <v>2002</v>
      </c>
      <c r="G3699" s="12"/>
      <c r="H3699" s="12"/>
      <c r="J3699" s="41">
        <f ca="1">ROUNDDOWN(表3[[#This Row],[日期]]-TODAY(),1)</f>
        <v>-100</v>
      </c>
    </row>
    <row r="3700" spans="1:10" hidden="1" x14ac:dyDescent="0.2">
      <c r="A3700" s="4" t="s">
        <v>1371</v>
      </c>
      <c r="B3700" s="37">
        <v>43709</v>
      </c>
      <c r="C3700" s="12">
        <v>4</v>
      </c>
      <c r="D3700" s="38" t="s">
        <v>1808</v>
      </c>
      <c r="E3700" s="39">
        <v>43677</v>
      </c>
      <c r="F3700" s="40" t="s">
        <v>2002</v>
      </c>
      <c r="G3700" s="12"/>
      <c r="H3700" s="12"/>
      <c r="J3700" s="41">
        <f ca="1">ROUNDDOWN(表3[[#This Row],[日期]]-TODAY(),1)</f>
        <v>-100</v>
      </c>
    </row>
    <row r="3701" spans="1:10" hidden="1" x14ac:dyDescent="0.2">
      <c r="A3701" s="4" t="s">
        <v>1371</v>
      </c>
      <c r="B3701" s="37">
        <v>43709</v>
      </c>
      <c r="C3701" s="12">
        <v>4.0999999999999996</v>
      </c>
      <c r="D3701" s="38" t="s">
        <v>2043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-100</v>
      </c>
    </row>
    <row r="3702" spans="1:10" hidden="1" x14ac:dyDescent="0.2">
      <c r="A3702" s="4" t="s">
        <v>1371</v>
      </c>
      <c r="B3702" s="37">
        <v>43709</v>
      </c>
      <c r="C3702" s="12">
        <v>5</v>
      </c>
      <c r="D3702" s="38" t="s">
        <v>2029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-73</v>
      </c>
    </row>
    <row r="3703" spans="1:10" hidden="1" x14ac:dyDescent="0.2">
      <c r="A3703" s="4" t="s">
        <v>1371</v>
      </c>
      <c r="B3703" s="37">
        <v>43709</v>
      </c>
      <c r="C3703" s="12">
        <v>6</v>
      </c>
      <c r="D3703" s="38" t="s">
        <v>1653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-73</v>
      </c>
    </row>
    <row r="3704" spans="1:10" hidden="1" x14ac:dyDescent="0.2">
      <c r="A3704" s="4" t="s">
        <v>1371</v>
      </c>
      <c r="B3704" s="37">
        <v>43709</v>
      </c>
      <c r="C3704" s="12">
        <v>7</v>
      </c>
      <c r="D3704" s="38" t="s">
        <v>2011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-71</v>
      </c>
    </row>
    <row r="3705" spans="1:10" hidden="1" x14ac:dyDescent="0.2">
      <c r="A3705" s="4" t="s">
        <v>1371</v>
      </c>
      <c r="B3705" s="37">
        <v>43709</v>
      </c>
      <c r="C3705" s="12">
        <v>8</v>
      </c>
      <c r="D3705" s="38" t="s">
        <v>1655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-71</v>
      </c>
    </row>
    <row r="3706" spans="1:10" hidden="1" x14ac:dyDescent="0.2">
      <c r="A3706" s="4" t="s">
        <v>1371</v>
      </c>
      <c r="B3706" s="37">
        <v>43709</v>
      </c>
      <c r="C3706" s="12">
        <v>9</v>
      </c>
      <c r="D3706" s="38" t="s">
        <v>2012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-71</v>
      </c>
    </row>
    <row r="3707" spans="1:10" hidden="1" x14ac:dyDescent="0.2">
      <c r="A3707" s="4" t="s">
        <v>1371</v>
      </c>
      <c r="B3707" s="37">
        <v>43709</v>
      </c>
      <c r="C3707" s="12">
        <v>10</v>
      </c>
      <c r="D3707" s="38" t="s">
        <v>2013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-71</v>
      </c>
    </row>
    <row r="3708" spans="1:10" hidden="1" x14ac:dyDescent="0.2">
      <c r="A3708" s="4" t="s">
        <v>1371</v>
      </c>
      <c r="B3708" s="37">
        <v>43709</v>
      </c>
      <c r="C3708" s="12">
        <v>11</v>
      </c>
      <c r="D3708" s="38" t="s">
        <v>2014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-71</v>
      </c>
    </row>
    <row r="3709" spans="1:10" hidden="1" x14ac:dyDescent="0.2">
      <c r="A3709" s="4" t="s">
        <v>1371</v>
      </c>
      <c r="B3709" s="37">
        <v>43709</v>
      </c>
      <c r="C3709" s="12">
        <v>12</v>
      </c>
      <c r="D3709" s="38" t="s">
        <v>2015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-71</v>
      </c>
    </row>
    <row r="3710" spans="1:10" hidden="1" x14ac:dyDescent="0.2">
      <c r="A3710" s="4" t="s">
        <v>1371</v>
      </c>
      <c r="B3710" s="37">
        <v>43709</v>
      </c>
      <c r="C3710" s="12">
        <v>13</v>
      </c>
      <c r="D3710" s="38" t="s">
        <v>2016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-71</v>
      </c>
    </row>
    <row r="3711" spans="1:10" hidden="1" x14ac:dyDescent="0.2">
      <c r="A3711" s="4" t="s">
        <v>1371</v>
      </c>
      <c r="B3711" s="37">
        <v>43709</v>
      </c>
      <c r="C3711" s="12">
        <v>14</v>
      </c>
      <c r="D3711" s="38" t="s">
        <v>2479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-71</v>
      </c>
    </row>
    <row r="3712" spans="1:10" hidden="1" x14ac:dyDescent="0.2">
      <c r="A3712" s="4" t="s">
        <v>1371</v>
      </c>
      <c r="B3712" s="37">
        <v>43709</v>
      </c>
      <c r="C3712" s="12">
        <v>15</v>
      </c>
      <c r="D3712" s="38" t="s">
        <v>2018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-71</v>
      </c>
    </row>
    <row r="3713" spans="1:10" hidden="1" x14ac:dyDescent="0.2">
      <c r="A3713" s="4" t="s">
        <v>1371</v>
      </c>
      <c r="B3713" s="37">
        <v>43709</v>
      </c>
      <c r="C3713" s="12">
        <v>16</v>
      </c>
      <c r="D3713" s="38" t="s">
        <v>269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-70</v>
      </c>
    </row>
    <row r="3714" spans="1:10" hidden="1" x14ac:dyDescent="0.2">
      <c r="A3714" s="4" t="s">
        <v>1371</v>
      </c>
      <c r="B3714" s="37">
        <v>43709</v>
      </c>
      <c r="C3714" s="12">
        <v>17</v>
      </c>
      <c r="D3714" s="38" t="s">
        <v>271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-70</v>
      </c>
    </row>
    <row r="3715" spans="1:10" hidden="1" x14ac:dyDescent="0.2">
      <c r="A3715" s="4" t="s">
        <v>1371</v>
      </c>
      <c r="B3715" s="37">
        <v>43709</v>
      </c>
      <c r="C3715" s="12">
        <v>18</v>
      </c>
      <c r="D3715" s="38" t="s">
        <v>273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-67</v>
      </c>
    </row>
    <row r="3716" spans="1:10" hidden="1" x14ac:dyDescent="0.2">
      <c r="A3716" s="4" t="s">
        <v>1371</v>
      </c>
      <c r="B3716" s="37">
        <v>43709</v>
      </c>
      <c r="C3716" s="12">
        <v>19</v>
      </c>
      <c r="D3716" s="38" t="s">
        <v>275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-66</v>
      </c>
    </row>
    <row r="3717" spans="1:10" hidden="1" x14ac:dyDescent="0.2">
      <c r="A3717" s="4" t="s">
        <v>1371</v>
      </c>
      <c r="B3717" s="37">
        <v>43709</v>
      </c>
      <c r="C3717" s="12">
        <v>20</v>
      </c>
      <c r="D3717" s="38" t="s">
        <v>305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-65</v>
      </c>
    </row>
    <row r="3718" spans="1:10" hidden="1" x14ac:dyDescent="0.2">
      <c r="A3718" s="4" t="s">
        <v>1371</v>
      </c>
      <c r="B3718" s="37">
        <v>43709</v>
      </c>
      <c r="C3718" s="12">
        <v>21</v>
      </c>
      <c r="D3718" s="38" t="s">
        <v>2019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-65</v>
      </c>
    </row>
    <row r="3719" spans="1:10" hidden="1" x14ac:dyDescent="0.2">
      <c r="A3719" s="4" t="s">
        <v>1371</v>
      </c>
      <c r="B3719" s="37">
        <v>43709</v>
      </c>
      <c r="C3719" s="12">
        <v>22</v>
      </c>
      <c r="D3719" s="38" t="s">
        <v>1990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-60</v>
      </c>
    </row>
    <row r="3720" spans="1:10" hidden="1" x14ac:dyDescent="0.2">
      <c r="A3720" s="4" t="s">
        <v>1371</v>
      </c>
      <c r="B3720" s="37">
        <v>43709</v>
      </c>
      <c r="C3720" s="12">
        <v>23</v>
      </c>
      <c r="D3720" s="38" t="s">
        <v>2020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-58</v>
      </c>
    </row>
    <row r="3721" spans="1:10" hidden="1" x14ac:dyDescent="0.2">
      <c r="A3721" s="4" t="s">
        <v>1371</v>
      </c>
      <c r="B3721" s="37">
        <v>43709</v>
      </c>
      <c r="C3721" s="12"/>
      <c r="D3721" s="38" t="s">
        <v>2478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-67</v>
      </c>
    </row>
    <row r="3722" spans="1:10" hidden="1" x14ac:dyDescent="0.2">
      <c r="A3722" s="4" t="s">
        <v>2831</v>
      </c>
      <c r="B3722" s="37">
        <v>43709</v>
      </c>
      <c r="C3722" s="12">
        <v>1</v>
      </c>
      <c r="D3722" s="38" t="s">
        <v>507</v>
      </c>
      <c r="E3722" s="39">
        <v>43693</v>
      </c>
      <c r="F3722" s="40" t="s">
        <v>2312</v>
      </c>
      <c r="G3722" s="12"/>
      <c r="H3722" s="12"/>
      <c r="J3722" s="41">
        <f ca="1">ROUNDDOWN(表3[[#This Row],[日期]]-TODAY(),1)</f>
        <v>-84</v>
      </c>
    </row>
    <row r="3723" spans="1:10" hidden="1" x14ac:dyDescent="0.2">
      <c r="A3723" s="4" t="s">
        <v>2831</v>
      </c>
      <c r="B3723" s="37">
        <v>43709</v>
      </c>
      <c r="C3723" s="12">
        <v>2</v>
      </c>
      <c r="D3723" s="38" t="s">
        <v>1518</v>
      </c>
      <c r="E3723" s="39">
        <v>43693</v>
      </c>
      <c r="F3723" s="40" t="s">
        <v>2312</v>
      </c>
      <c r="G3723" s="12"/>
      <c r="H3723" s="12"/>
      <c r="I3723" s="4" t="s">
        <v>1521</v>
      </c>
      <c r="J3723" s="41">
        <f ca="1">ROUNDDOWN(表3[[#This Row],[日期]]-TODAY(),1)</f>
        <v>-84</v>
      </c>
    </row>
    <row r="3724" spans="1:10" hidden="1" x14ac:dyDescent="0.2">
      <c r="A3724" s="4" t="s">
        <v>2831</v>
      </c>
      <c r="B3724" s="37">
        <v>43709</v>
      </c>
      <c r="C3724" s="12">
        <v>3</v>
      </c>
      <c r="D3724" s="38" t="s">
        <v>1779</v>
      </c>
      <c r="E3724" s="39">
        <v>43693</v>
      </c>
      <c r="F3724" s="40" t="s">
        <v>2312</v>
      </c>
      <c r="G3724" s="12"/>
      <c r="H3724" s="12"/>
      <c r="I3724" s="4" t="s">
        <v>1523</v>
      </c>
      <c r="J3724" s="41">
        <f ca="1">ROUNDDOWN(表3[[#This Row],[日期]]-TODAY(),1)</f>
        <v>-84</v>
      </c>
    </row>
    <row r="3725" spans="1:10" hidden="1" x14ac:dyDescent="0.2">
      <c r="A3725" s="4" t="s">
        <v>2831</v>
      </c>
      <c r="B3725" s="37">
        <v>43709</v>
      </c>
      <c r="C3725" s="12">
        <v>4</v>
      </c>
      <c r="D3725" s="38" t="s">
        <v>1526</v>
      </c>
      <c r="E3725" s="39">
        <v>43693</v>
      </c>
      <c r="F3725" s="40" t="s">
        <v>2312</v>
      </c>
      <c r="G3725" s="12"/>
      <c r="H3725" s="12"/>
      <c r="I3725" s="4" t="s">
        <v>1528</v>
      </c>
      <c r="J3725" s="41">
        <f ca="1">ROUNDDOWN(表3[[#This Row],[日期]]-TODAY(),1)</f>
        <v>-84</v>
      </c>
    </row>
    <row r="3726" spans="1:10" hidden="1" x14ac:dyDescent="0.2">
      <c r="A3726" s="4" t="s">
        <v>2831</v>
      </c>
      <c r="B3726" s="37">
        <v>43709</v>
      </c>
      <c r="C3726" s="12">
        <v>5</v>
      </c>
      <c r="D3726" s="38" t="s">
        <v>1703</v>
      </c>
      <c r="E3726" s="39">
        <v>43693</v>
      </c>
      <c r="F3726" s="40" t="s">
        <v>2312</v>
      </c>
      <c r="G3726" s="12"/>
      <c r="H3726" s="12"/>
      <c r="J3726" s="41">
        <f ca="1">ROUNDDOWN(表3[[#This Row],[日期]]-TODAY(),1)</f>
        <v>-84</v>
      </c>
    </row>
    <row r="3727" spans="1:10" hidden="1" x14ac:dyDescent="0.2">
      <c r="A3727" s="4" t="s">
        <v>2831</v>
      </c>
      <c r="B3727" s="37">
        <v>43709</v>
      </c>
      <c r="C3727" s="12">
        <v>6</v>
      </c>
      <c r="D3727" s="38" t="s">
        <v>1533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-81</v>
      </c>
    </row>
    <row r="3728" spans="1:10" hidden="1" x14ac:dyDescent="0.2">
      <c r="A3728" s="4" t="s">
        <v>2831</v>
      </c>
      <c r="B3728" s="37">
        <v>43709</v>
      </c>
      <c r="C3728" s="12">
        <v>7</v>
      </c>
      <c r="D3728" s="38" t="s">
        <v>1535</v>
      </c>
      <c r="E3728" s="39">
        <v>43693</v>
      </c>
      <c r="F3728" s="40" t="s">
        <v>2313</v>
      </c>
      <c r="G3728" s="12"/>
      <c r="H3728" s="12"/>
      <c r="I3728" s="4" t="s">
        <v>1537</v>
      </c>
      <c r="J3728" s="41">
        <f ca="1">ROUNDDOWN(表3[[#This Row],[日期]]-TODAY(),1)</f>
        <v>-84</v>
      </c>
    </row>
    <row r="3729" spans="1:10" hidden="1" x14ac:dyDescent="0.2">
      <c r="A3729" s="4" t="s">
        <v>2831</v>
      </c>
      <c r="B3729" s="37">
        <v>43709</v>
      </c>
      <c r="C3729" s="12">
        <v>8</v>
      </c>
      <c r="D3729" s="38" t="s">
        <v>1531</v>
      </c>
      <c r="E3729" s="39">
        <v>43693</v>
      </c>
      <c r="F3729" s="40" t="s">
        <v>2313</v>
      </c>
      <c r="G3729" s="12"/>
      <c r="H3729" s="12"/>
      <c r="J3729" s="41">
        <f ca="1">ROUNDDOWN(表3[[#This Row],[日期]]-TODAY(),1)</f>
        <v>-84</v>
      </c>
    </row>
    <row r="3730" spans="1:10" hidden="1" x14ac:dyDescent="0.2">
      <c r="A3730" s="4" t="s">
        <v>2831</v>
      </c>
      <c r="B3730" s="37">
        <v>43709</v>
      </c>
      <c r="C3730" s="12">
        <v>9</v>
      </c>
      <c r="D3730" s="38" t="s">
        <v>1539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-84</v>
      </c>
    </row>
    <row r="3731" spans="1:10" hidden="1" x14ac:dyDescent="0.2">
      <c r="A3731" s="4" t="s">
        <v>2831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-70</v>
      </c>
    </row>
    <row r="3732" spans="1:10" hidden="1" x14ac:dyDescent="0.2">
      <c r="A3732" s="4" t="s">
        <v>2831</v>
      </c>
      <c r="B3732" s="37">
        <v>43709</v>
      </c>
      <c r="C3732" s="12">
        <v>11</v>
      </c>
      <c r="D3732" s="38" t="s">
        <v>1878</v>
      </c>
      <c r="E3732" s="39">
        <v>43706</v>
      </c>
      <c r="F3732" s="40" t="s">
        <v>1184</v>
      </c>
      <c r="G3732" s="12"/>
      <c r="H3732" s="12"/>
      <c r="J3732" s="41">
        <f ca="1">ROUNDDOWN(表3[[#This Row],[日期]]-TODAY(),1)</f>
        <v>-71</v>
      </c>
    </row>
    <row r="3733" spans="1:10" hidden="1" x14ac:dyDescent="0.2">
      <c r="A3733" s="4" t="s">
        <v>2831</v>
      </c>
      <c r="B3733" s="37">
        <v>43709</v>
      </c>
      <c r="C3733" s="12">
        <v>12</v>
      </c>
      <c r="D3733" s="38" t="s">
        <v>1541</v>
      </c>
      <c r="E3733" s="39">
        <v>43707</v>
      </c>
      <c r="F3733" s="40" t="s">
        <v>242</v>
      </c>
      <c r="G3733" s="12">
        <v>1</v>
      </c>
      <c r="H3733" s="12"/>
      <c r="I3733" s="4" t="s">
        <v>529</v>
      </c>
      <c r="J3733" s="41">
        <f ca="1">ROUNDDOWN(表3[[#This Row],[日期]]-TODAY(),1)</f>
        <v>-70</v>
      </c>
    </row>
    <row r="3734" spans="1:10" hidden="1" x14ac:dyDescent="0.2">
      <c r="A3734" s="4" t="s">
        <v>2831</v>
      </c>
      <c r="B3734" s="37">
        <v>43709</v>
      </c>
      <c r="C3734" s="12">
        <v>13</v>
      </c>
      <c r="D3734" s="38" t="s">
        <v>1543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-70</v>
      </c>
    </row>
    <row r="3735" spans="1:10" hidden="1" x14ac:dyDescent="0.2">
      <c r="A3735" s="4" t="s">
        <v>2831</v>
      </c>
      <c r="B3735" s="37">
        <v>43709</v>
      </c>
      <c r="C3735" s="12">
        <v>14</v>
      </c>
      <c r="D3735" s="38" t="s">
        <v>1545</v>
      </c>
      <c r="E3735" s="39">
        <v>43707</v>
      </c>
      <c r="F3735" s="40" t="s">
        <v>242</v>
      </c>
      <c r="G3735" s="12">
        <v>1</v>
      </c>
      <c r="H3735" s="12"/>
      <c r="I3735" s="4" t="s">
        <v>1547</v>
      </c>
      <c r="J3735" s="41">
        <f ca="1">ROUNDDOWN(表3[[#This Row],[日期]]-TODAY(),1)</f>
        <v>-70</v>
      </c>
    </row>
    <row r="3736" spans="1:10" hidden="1" x14ac:dyDescent="0.2">
      <c r="A3736" s="4" t="s">
        <v>2831</v>
      </c>
      <c r="B3736" s="37">
        <v>43709</v>
      </c>
      <c r="C3736" s="12">
        <v>15</v>
      </c>
      <c r="D3736" s="38" t="s">
        <v>1549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-70</v>
      </c>
    </row>
    <row r="3737" spans="1:10" hidden="1" x14ac:dyDescent="0.2">
      <c r="A3737" s="4" t="s">
        <v>2831</v>
      </c>
      <c r="B3737" s="37">
        <v>43709</v>
      </c>
      <c r="C3737" s="12">
        <v>16</v>
      </c>
      <c r="D3737" s="38" t="s">
        <v>1556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-70</v>
      </c>
    </row>
    <row r="3738" spans="1:10" hidden="1" x14ac:dyDescent="0.2">
      <c r="A3738" s="4" t="s">
        <v>2831</v>
      </c>
      <c r="B3738" s="37">
        <v>43709</v>
      </c>
      <c r="C3738" s="12">
        <v>17</v>
      </c>
      <c r="D3738" s="38" t="s">
        <v>1298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-70</v>
      </c>
    </row>
    <row r="3739" spans="1:10" hidden="1" x14ac:dyDescent="0.2">
      <c r="A3739" s="4" t="s">
        <v>2831</v>
      </c>
      <c r="B3739" s="37">
        <v>43709</v>
      </c>
      <c r="C3739" s="12">
        <v>18</v>
      </c>
      <c r="D3739" s="38" t="s">
        <v>1552</v>
      </c>
      <c r="E3739" s="39">
        <v>43707</v>
      </c>
      <c r="F3739" s="40" t="s">
        <v>242</v>
      </c>
      <c r="G3739" s="12">
        <v>1</v>
      </c>
      <c r="H3739" s="12"/>
      <c r="I3739" s="4" t="s">
        <v>1554</v>
      </c>
      <c r="J3739" s="41">
        <f ca="1">ROUNDDOWN(表3[[#This Row],[日期]]-TODAY(),1)</f>
        <v>-70</v>
      </c>
    </row>
    <row r="3740" spans="1:10" hidden="1" x14ac:dyDescent="0.2">
      <c r="A3740" s="4" t="s">
        <v>2831</v>
      </c>
      <c r="B3740" s="37">
        <v>43709</v>
      </c>
      <c r="C3740" s="12">
        <v>19</v>
      </c>
      <c r="D3740" s="38" t="s">
        <v>1558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-70</v>
      </c>
    </row>
    <row r="3741" spans="1:10" hidden="1" x14ac:dyDescent="0.2">
      <c r="A3741" s="4" t="s">
        <v>2831</v>
      </c>
      <c r="B3741" s="37">
        <v>43709</v>
      </c>
      <c r="C3741" s="12">
        <v>20</v>
      </c>
      <c r="D3741" s="38" t="s">
        <v>1560</v>
      </c>
      <c r="E3741" s="39">
        <v>43707</v>
      </c>
      <c r="F3741" s="40" t="s">
        <v>1184</v>
      </c>
      <c r="G3741" s="12">
        <v>1</v>
      </c>
      <c r="H3741" s="12"/>
      <c r="J3741" s="41">
        <f ca="1">ROUNDDOWN(表3[[#This Row],[日期]]-TODAY(),1)</f>
        <v>-70</v>
      </c>
    </row>
    <row r="3742" spans="1:10" hidden="1" x14ac:dyDescent="0.2">
      <c r="A3742" s="4" t="s">
        <v>2831</v>
      </c>
      <c r="B3742" s="37">
        <v>43709</v>
      </c>
      <c r="C3742" s="12">
        <v>21</v>
      </c>
      <c r="D3742" s="38" t="s">
        <v>1562</v>
      </c>
      <c r="E3742" s="39">
        <v>43707</v>
      </c>
      <c r="F3742" s="40" t="s">
        <v>1184</v>
      </c>
      <c r="G3742" s="12">
        <v>1</v>
      </c>
      <c r="H3742" s="12"/>
      <c r="J3742" s="41">
        <f ca="1">ROUNDDOWN(表3[[#This Row],[日期]]-TODAY(),1)</f>
        <v>-70</v>
      </c>
    </row>
    <row r="3743" spans="1:10" hidden="1" x14ac:dyDescent="0.2">
      <c r="A3743" s="4" t="s">
        <v>2831</v>
      </c>
      <c r="B3743" s="37">
        <v>43709</v>
      </c>
      <c r="C3743" s="12">
        <v>22</v>
      </c>
      <c r="D3743" s="38" t="s">
        <v>1564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-70</v>
      </c>
    </row>
    <row r="3744" spans="1:10" hidden="1" x14ac:dyDescent="0.2">
      <c r="A3744" s="4" t="s">
        <v>2831</v>
      </c>
      <c r="B3744" s="37">
        <v>43709</v>
      </c>
      <c r="C3744" s="12">
        <v>23</v>
      </c>
      <c r="D3744" s="38" t="s">
        <v>1566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-70</v>
      </c>
    </row>
    <row r="3745" spans="1:10" hidden="1" x14ac:dyDescent="0.2">
      <c r="A3745" s="4" t="s">
        <v>2831</v>
      </c>
      <c r="B3745" s="37">
        <v>43709</v>
      </c>
      <c r="C3745" s="12">
        <v>24</v>
      </c>
      <c r="D3745" s="38" t="s">
        <v>2521</v>
      </c>
      <c r="E3745" s="39">
        <v>43707</v>
      </c>
      <c r="F3745" s="40" t="s">
        <v>242</v>
      </c>
      <c r="G3745" s="12">
        <v>1</v>
      </c>
      <c r="H3745" s="12"/>
      <c r="I3745" s="4" t="s">
        <v>1528</v>
      </c>
      <c r="J3745" s="41">
        <f ca="1">ROUNDDOWN(表3[[#This Row],[日期]]-TODAY(),1)</f>
        <v>-70</v>
      </c>
    </row>
    <row r="3746" spans="1:10" hidden="1" x14ac:dyDescent="0.2">
      <c r="A3746" s="4" t="s">
        <v>2831</v>
      </c>
      <c r="B3746" s="37">
        <v>43709</v>
      </c>
      <c r="C3746" s="12">
        <v>25</v>
      </c>
      <c r="D3746" s="38" t="s">
        <v>305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-67</v>
      </c>
    </row>
    <row r="3747" spans="1:10" hidden="1" x14ac:dyDescent="0.2">
      <c r="A3747" s="4" t="s">
        <v>2831</v>
      </c>
      <c r="B3747" s="37">
        <v>43709</v>
      </c>
      <c r="C3747" s="12">
        <v>26</v>
      </c>
      <c r="D3747" s="38" t="s">
        <v>1572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-67</v>
      </c>
    </row>
    <row r="3748" spans="1:10" hidden="1" x14ac:dyDescent="0.2">
      <c r="A3748" s="4" t="s">
        <v>2831</v>
      </c>
      <c r="B3748" s="37">
        <v>43709</v>
      </c>
      <c r="C3748" s="12">
        <v>27</v>
      </c>
      <c r="D3748" s="38" t="s">
        <v>1570</v>
      </c>
      <c r="E3748" s="39">
        <v>43710</v>
      </c>
      <c r="F3748" s="40" t="s">
        <v>242</v>
      </c>
      <c r="G3748" s="12">
        <v>4</v>
      </c>
      <c r="H3748" s="12"/>
      <c r="I3748" s="4" t="s">
        <v>1528</v>
      </c>
      <c r="J3748" s="41">
        <f ca="1">ROUNDDOWN(表3[[#This Row],[日期]]-TODAY(),1)</f>
        <v>-67</v>
      </c>
    </row>
    <row r="3749" spans="1:10" hidden="1" x14ac:dyDescent="0.2">
      <c r="A3749" s="4" t="s">
        <v>2831</v>
      </c>
      <c r="B3749" s="37">
        <v>43709</v>
      </c>
      <c r="C3749" s="12"/>
      <c r="D3749" s="38" t="s">
        <v>2462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-72</v>
      </c>
    </row>
    <row r="3750" spans="1:10" hidden="1" x14ac:dyDescent="0.2">
      <c r="A3750" s="4" t="s">
        <v>2831</v>
      </c>
      <c r="B3750" s="37">
        <v>43709</v>
      </c>
      <c r="C3750" s="12"/>
      <c r="D3750" s="38" t="s">
        <v>2517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-67</v>
      </c>
    </row>
    <row r="3751" spans="1:10" hidden="1" x14ac:dyDescent="0.2">
      <c r="A3751" s="4" t="s">
        <v>1371</v>
      </c>
      <c r="B3751" s="37">
        <v>43709.041666666664</v>
      </c>
      <c r="C3751" s="12">
        <v>1</v>
      </c>
      <c r="D3751" s="38" t="s">
        <v>1805</v>
      </c>
      <c r="E3751" s="39">
        <v>43672</v>
      </c>
      <c r="F3751" s="40" t="s">
        <v>2002</v>
      </c>
      <c r="G3751" s="12"/>
      <c r="H3751" s="12"/>
      <c r="J3751" s="41">
        <f ca="1">ROUNDDOWN(表3[[#This Row],[日期]]-TODAY(),1)</f>
        <v>-105</v>
      </c>
    </row>
    <row r="3752" spans="1:10" hidden="1" x14ac:dyDescent="0.2">
      <c r="A3752" s="4" t="s">
        <v>1371</v>
      </c>
      <c r="B3752" s="37">
        <v>43709.041666666664</v>
      </c>
      <c r="C3752" s="12">
        <v>2</v>
      </c>
      <c r="D3752" s="38" t="s">
        <v>1806</v>
      </c>
      <c r="E3752" s="39">
        <v>43677</v>
      </c>
      <c r="F3752" s="40" t="s">
        <v>2002</v>
      </c>
      <c r="G3752" s="12"/>
      <c r="H3752" s="12"/>
      <c r="J3752" s="41">
        <f ca="1">ROUNDDOWN(表3[[#This Row],[日期]]-TODAY(),1)</f>
        <v>-100</v>
      </c>
    </row>
    <row r="3753" spans="1:10" hidden="1" x14ac:dyDescent="0.2">
      <c r="A3753" s="4" t="s">
        <v>1371</v>
      </c>
      <c r="B3753" s="37">
        <v>43709.041666666664</v>
      </c>
      <c r="C3753" s="12">
        <v>3</v>
      </c>
      <c r="D3753" s="38" t="s">
        <v>1807</v>
      </c>
      <c r="E3753" s="39">
        <v>43677</v>
      </c>
      <c r="F3753" s="40" t="s">
        <v>2002</v>
      </c>
      <c r="G3753" s="12"/>
      <c r="H3753" s="12"/>
      <c r="J3753" s="41">
        <f ca="1">ROUNDDOWN(表3[[#This Row],[日期]]-TODAY(),1)</f>
        <v>-100</v>
      </c>
    </row>
    <row r="3754" spans="1:10" hidden="1" x14ac:dyDescent="0.2">
      <c r="A3754" s="4" t="s">
        <v>1371</v>
      </c>
      <c r="B3754" s="37">
        <v>43709.041666666664</v>
      </c>
      <c r="C3754" s="12">
        <v>4</v>
      </c>
      <c r="D3754" s="38" t="s">
        <v>1808</v>
      </c>
      <c r="E3754" s="39">
        <v>43677</v>
      </c>
      <c r="F3754" s="40" t="s">
        <v>2002</v>
      </c>
      <c r="G3754" s="12"/>
      <c r="H3754" s="12"/>
      <c r="J3754" s="41">
        <f ca="1">ROUNDDOWN(表3[[#This Row],[日期]]-TODAY(),1)</f>
        <v>-100</v>
      </c>
    </row>
    <row r="3755" spans="1:10" hidden="1" x14ac:dyDescent="0.2">
      <c r="A3755" s="4" t="s">
        <v>1371</v>
      </c>
      <c r="B3755" s="37">
        <v>43709.041666666664</v>
      </c>
      <c r="C3755" s="12">
        <v>4.0999999999999996</v>
      </c>
      <c r="D3755" s="38" t="s">
        <v>2043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-100</v>
      </c>
    </row>
    <row r="3756" spans="1:10" hidden="1" x14ac:dyDescent="0.2">
      <c r="A3756" s="4" t="s">
        <v>1371</v>
      </c>
      <c r="B3756" s="37">
        <v>43709.041666666664</v>
      </c>
      <c r="C3756" s="12">
        <v>5</v>
      </c>
      <c r="D3756" s="38" t="s">
        <v>2029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-73</v>
      </c>
    </row>
    <row r="3757" spans="1:10" hidden="1" x14ac:dyDescent="0.2">
      <c r="A3757" s="4" t="s">
        <v>1371</v>
      </c>
      <c r="B3757" s="37">
        <v>43709.041666666664</v>
      </c>
      <c r="C3757" s="12">
        <v>6</v>
      </c>
      <c r="D3757" s="38" t="s">
        <v>1653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-73</v>
      </c>
    </row>
    <row r="3758" spans="1:10" hidden="1" x14ac:dyDescent="0.2">
      <c r="A3758" s="4" t="s">
        <v>1371</v>
      </c>
      <c r="B3758" s="37">
        <v>43709.041666666664</v>
      </c>
      <c r="C3758" s="12">
        <v>7</v>
      </c>
      <c r="D3758" s="38" t="s">
        <v>2011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-71</v>
      </c>
    </row>
    <row r="3759" spans="1:10" hidden="1" x14ac:dyDescent="0.2">
      <c r="A3759" s="4" t="s">
        <v>1371</v>
      </c>
      <c r="B3759" s="37">
        <v>43709.041666666664</v>
      </c>
      <c r="C3759" s="12">
        <v>8</v>
      </c>
      <c r="D3759" s="38" t="s">
        <v>1655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-71</v>
      </c>
    </row>
    <row r="3760" spans="1:10" hidden="1" x14ac:dyDescent="0.2">
      <c r="A3760" s="4" t="s">
        <v>1371</v>
      </c>
      <c r="B3760" s="37">
        <v>43709.041666666664</v>
      </c>
      <c r="C3760" s="12">
        <v>9</v>
      </c>
      <c r="D3760" s="38" t="s">
        <v>2012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-71</v>
      </c>
    </row>
    <row r="3761" spans="1:10" hidden="1" x14ac:dyDescent="0.2">
      <c r="A3761" s="4" t="s">
        <v>1371</v>
      </c>
      <c r="B3761" s="37">
        <v>43709.041666666664</v>
      </c>
      <c r="C3761" s="12">
        <v>10</v>
      </c>
      <c r="D3761" s="38" t="s">
        <v>2013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-71</v>
      </c>
    </row>
    <row r="3762" spans="1:10" hidden="1" x14ac:dyDescent="0.2">
      <c r="A3762" s="4" t="s">
        <v>1371</v>
      </c>
      <c r="B3762" s="37">
        <v>43709.041666666664</v>
      </c>
      <c r="C3762" s="12">
        <v>11</v>
      </c>
      <c r="D3762" s="38" t="s">
        <v>2014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-71</v>
      </c>
    </row>
    <row r="3763" spans="1:10" hidden="1" x14ac:dyDescent="0.2">
      <c r="A3763" s="4" t="s">
        <v>1371</v>
      </c>
      <c r="B3763" s="37">
        <v>43709.041666666664</v>
      </c>
      <c r="C3763" s="12">
        <v>12</v>
      </c>
      <c r="D3763" s="38" t="s">
        <v>2015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-71</v>
      </c>
    </row>
    <row r="3764" spans="1:10" hidden="1" x14ac:dyDescent="0.2">
      <c r="A3764" s="4" t="s">
        <v>1371</v>
      </c>
      <c r="B3764" s="37">
        <v>43709.041666666664</v>
      </c>
      <c r="C3764" s="12">
        <v>13</v>
      </c>
      <c r="D3764" s="38" t="s">
        <v>2016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-71</v>
      </c>
    </row>
    <row r="3765" spans="1:10" hidden="1" x14ac:dyDescent="0.2">
      <c r="A3765" s="4" t="s">
        <v>1371</v>
      </c>
      <c r="B3765" s="37">
        <v>43709.041666666664</v>
      </c>
      <c r="C3765" s="12">
        <v>14</v>
      </c>
      <c r="D3765" s="38" t="s">
        <v>2479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-71</v>
      </c>
    </row>
    <row r="3766" spans="1:10" hidden="1" x14ac:dyDescent="0.2">
      <c r="A3766" s="4" t="s">
        <v>1371</v>
      </c>
      <c r="B3766" s="37">
        <v>43709.041666666664</v>
      </c>
      <c r="C3766" s="12">
        <v>15</v>
      </c>
      <c r="D3766" s="38" t="s">
        <v>2018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-71</v>
      </c>
    </row>
    <row r="3767" spans="1:10" hidden="1" x14ac:dyDescent="0.2">
      <c r="A3767" s="4" t="s">
        <v>1371</v>
      </c>
      <c r="B3767" s="37">
        <v>43709.041666666664</v>
      </c>
      <c r="C3767" s="12">
        <v>16</v>
      </c>
      <c r="D3767" s="38" t="s">
        <v>269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-70</v>
      </c>
    </row>
    <row r="3768" spans="1:10" hidden="1" x14ac:dyDescent="0.2">
      <c r="A3768" s="4" t="s">
        <v>1371</v>
      </c>
      <c r="B3768" s="37">
        <v>43709.041666666664</v>
      </c>
      <c r="C3768" s="12">
        <v>17</v>
      </c>
      <c r="D3768" s="38" t="s">
        <v>271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-70</v>
      </c>
    </row>
    <row r="3769" spans="1:10" hidden="1" x14ac:dyDescent="0.2">
      <c r="A3769" s="4" t="s">
        <v>1371</v>
      </c>
      <c r="B3769" s="37">
        <v>43709.041666666664</v>
      </c>
      <c r="C3769" s="12">
        <v>18</v>
      </c>
      <c r="D3769" s="38" t="s">
        <v>273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-67</v>
      </c>
    </row>
    <row r="3770" spans="1:10" hidden="1" x14ac:dyDescent="0.2">
      <c r="A3770" s="4" t="s">
        <v>1371</v>
      </c>
      <c r="B3770" s="37">
        <v>43709.041666666664</v>
      </c>
      <c r="C3770" s="12">
        <v>19</v>
      </c>
      <c r="D3770" s="38" t="s">
        <v>275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-66</v>
      </c>
    </row>
    <row r="3771" spans="1:10" hidden="1" x14ac:dyDescent="0.2">
      <c r="A3771" s="4" t="s">
        <v>1371</v>
      </c>
      <c r="B3771" s="37">
        <v>43709.041666666664</v>
      </c>
      <c r="C3771" s="12">
        <v>20</v>
      </c>
      <c r="D3771" s="38" t="s">
        <v>305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-65</v>
      </c>
    </row>
    <row r="3772" spans="1:10" hidden="1" x14ac:dyDescent="0.2">
      <c r="A3772" s="4" t="s">
        <v>1371</v>
      </c>
      <c r="B3772" s="37">
        <v>43709.041666666664</v>
      </c>
      <c r="C3772" s="12">
        <v>21</v>
      </c>
      <c r="D3772" s="38" t="s">
        <v>2019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-65</v>
      </c>
    </row>
    <row r="3773" spans="1:10" hidden="1" x14ac:dyDescent="0.2">
      <c r="A3773" s="4" t="s">
        <v>1371</v>
      </c>
      <c r="B3773" s="37">
        <v>43709.041666666664</v>
      </c>
      <c r="C3773" s="12">
        <v>22</v>
      </c>
      <c r="D3773" s="38" t="s">
        <v>1990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-60</v>
      </c>
    </row>
    <row r="3774" spans="1:10" hidden="1" x14ac:dyDescent="0.2">
      <c r="A3774" s="4" t="s">
        <v>1371</v>
      </c>
      <c r="B3774" s="37">
        <v>43709.041666666664</v>
      </c>
      <c r="C3774" s="12">
        <v>23</v>
      </c>
      <c r="D3774" s="38" t="s">
        <v>2020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-60</v>
      </c>
    </row>
    <row r="3775" spans="1:10" hidden="1" x14ac:dyDescent="0.2">
      <c r="A3775" s="4" t="s">
        <v>1371</v>
      </c>
      <c r="B3775" s="37">
        <v>43709.041666666664</v>
      </c>
      <c r="C3775" s="12"/>
      <c r="D3775" s="38" t="s">
        <v>2478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-67</v>
      </c>
    </row>
    <row r="3776" spans="1:10" hidden="1" x14ac:dyDescent="0.2">
      <c r="A3776" s="4" t="s">
        <v>1371</v>
      </c>
      <c r="B3776" s="37">
        <v>43709.041666666664</v>
      </c>
      <c r="C3776" s="12"/>
      <c r="D3776" s="38" t="s">
        <v>2533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-70</v>
      </c>
    </row>
    <row r="3777" spans="1:10" hidden="1" x14ac:dyDescent="0.2">
      <c r="A3777" s="4" t="s">
        <v>2831</v>
      </c>
      <c r="B3777" s="37">
        <v>43709.041666666664</v>
      </c>
      <c r="C3777" s="12">
        <v>1</v>
      </c>
      <c r="D3777" s="38" t="s">
        <v>2465</v>
      </c>
      <c r="E3777" s="39">
        <v>43705</v>
      </c>
      <c r="F3777" s="40" t="s">
        <v>2464</v>
      </c>
      <c r="G3777" s="12"/>
      <c r="H3777" s="12"/>
      <c r="J3777" s="41">
        <f ca="1">ROUNDDOWN(表3[[#This Row],[日期]]-TODAY(),1)</f>
        <v>-72</v>
      </c>
    </row>
    <row r="3778" spans="1:10" hidden="1" x14ac:dyDescent="0.2">
      <c r="A3778" s="4" t="s">
        <v>2831</v>
      </c>
      <c r="B3778" s="37">
        <v>43709.041666666664</v>
      </c>
      <c r="C3778" s="12">
        <v>2</v>
      </c>
      <c r="D3778" s="38" t="s">
        <v>2466</v>
      </c>
      <c r="E3778" s="39">
        <v>43705</v>
      </c>
      <c r="F3778" s="40" t="s">
        <v>2464</v>
      </c>
      <c r="G3778" s="12"/>
      <c r="H3778" s="12"/>
      <c r="J3778" s="41">
        <f ca="1">ROUNDDOWN(表3[[#This Row],[日期]]-TODAY(),1)</f>
        <v>-72</v>
      </c>
    </row>
    <row r="3779" spans="1:10" hidden="1" x14ac:dyDescent="0.2">
      <c r="A3779" s="4" t="s">
        <v>2831</v>
      </c>
      <c r="B3779" s="37">
        <v>43709.041666666664</v>
      </c>
      <c r="C3779" s="12">
        <v>3</v>
      </c>
      <c r="D3779" s="38" t="s">
        <v>2467</v>
      </c>
      <c r="E3779" s="39">
        <v>43705</v>
      </c>
      <c r="F3779" s="40" t="s">
        <v>2464</v>
      </c>
      <c r="G3779" s="12"/>
      <c r="H3779" s="12"/>
      <c r="J3779" s="41">
        <f ca="1">ROUNDDOWN(表3[[#This Row],[日期]]-TODAY(),1)</f>
        <v>-72</v>
      </c>
    </row>
    <row r="3780" spans="1:10" hidden="1" x14ac:dyDescent="0.2">
      <c r="A3780" s="4" t="s">
        <v>2831</v>
      </c>
      <c r="B3780" s="37">
        <v>43709.041666666664</v>
      </c>
      <c r="C3780" s="12">
        <v>4</v>
      </c>
      <c r="D3780" s="38" t="s">
        <v>2476</v>
      </c>
      <c r="E3780" s="39">
        <v>43705</v>
      </c>
      <c r="F3780" s="40" t="s">
        <v>2464</v>
      </c>
      <c r="G3780" s="12"/>
      <c r="H3780" s="12"/>
      <c r="J3780" s="41">
        <f ca="1">ROUNDDOWN(表3[[#This Row],[日期]]-TODAY(),1)</f>
        <v>-72</v>
      </c>
    </row>
    <row r="3781" spans="1:10" hidden="1" x14ac:dyDescent="0.2">
      <c r="A3781" s="4" t="s">
        <v>2831</v>
      </c>
      <c r="B3781" s="37">
        <v>43709.041666666664</v>
      </c>
      <c r="C3781" s="12">
        <v>5</v>
      </c>
      <c r="D3781" s="38" t="s">
        <v>2477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-71</v>
      </c>
    </row>
    <row r="3782" spans="1:10" hidden="1" x14ac:dyDescent="0.2">
      <c r="A3782" s="4" t="s">
        <v>2831</v>
      </c>
      <c r="B3782" s="37">
        <v>43709.041666666664</v>
      </c>
      <c r="C3782" s="12">
        <v>6</v>
      </c>
      <c r="D3782" s="38" t="s">
        <v>2468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-71</v>
      </c>
    </row>
    <row r="3783" spans="1:10" hidden="1" x14ac:dyDescent="0.2">
      <c r="A3783" s="4" t="s">
        <v>2831</v>
      </c>
      <c r="B3783" s="37">
        <v>43709.041666666664</v>
      </c>
      <c r="C3783" s="12"/>
      <c r="D3783" s="38" t="s">
        <v>2568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-65</v>
      </c>
    </row>
    <row r="3784" spans="1:10" hidden="1" x14ac:dyDescent="0.2">
      <c r="A3784" s="4" t="s">
        <v>2831</v>
      </c>
      <c r="B3784" s="37">
        <v>43709.041666666664</v>
      </c>
      <c r="C3784" s="12"/>
      <c r="D3784" s="38" t="s">
        <v>2603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-59</v>
      </c>
    </row>
    <row r="3785" spans="1:10" hidden="1" x14ac:dyDescent="0.2">
      <c r="A3785" s="4" t="s">
        <v>2831</v>
      </c>
      <c r="B3785" s="37">
        <v>43709.041666666664</v>
      </c>
      <c r="C3785" s="12"/>
      <c r="D3785" s="38" t="s">
        <v>2575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-65</v>
      </c>
    </row>
    <row r="3786" spans="1:10" hidden="1" x14ac:dyDescent="0.2">
      <c r="A3786" s="4" t="s">
        <v>2831</v>
      </c>
      <c r="B3786" s="37">
        <v>43709.041666666664</v>
      </c>
      <c r="C3786" s="12"/>
      <c r="D3786" s="38" t="s">
        <v>1771</v>
      </c>
      <c r="E3786" s="39">
        <v>43713</v>
      </c>
      <c r="F3786" s="40" t="s">
        <v>1184</v>
      </c>
      <c r="G3786" s="12"/>
      <c r="H3786" s="12"/>
      <c r="I3786" s="4" t="s">
        <v>2582</v>
      </c>
      <c r="J3786" s="41">
        <f ca="1">ROUNDDOWN(表3[[#This Row],[日期]]-TODAY(),1)</f>
        <v>-64</v>
      </c>
    </row>
    <row r="3787" spans="1:10" hidden="1" x14ac:dyDescent="0.2">
      <c r="A3787" s="4" t="s">
        <v>2847</v>
      </c>
      <c r="B3787" s="37">
        <v>43710</v>
      </c>
      <c r="C3787" s="12">
        <v>1</v>
      </c>
      <c r="D3787" s="38" t="s">
        <v>745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-67</v>
      </c>
    </row>
    <row r="3788" spans="1:10" hidden="1" x14ac:dyDescent="0.2">
      <c r="A3788" s="4" t="s">
        <v>2847</v>
      </c>
      <c r="B3788" s="37">
        <v>43710</v>
      </c>
      <c r="C3788" s="12">
        <v>2</v>
      </c>
      <c r="D3788" s="38" t="s">
        <v>1475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-67</v>
      </c>
    </row>
    <row r="3789" spans="1:10" hidden="1" x14ac:dyDescent="0.2">
      <c r="A3789" s="4" t="s">
        <v>2847</v>
      </c>
      <c r="B3789" s="37">
        <v>43710</v>
      </c>
      <c r="C3789" s="12">
        <v>3</v>
      </c>
      <c r="D3789" s="38" t="s">
        <v>1477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-67</v>
      </c>
    </row>
    <row r="3790" spans="1:10" hidden="1" x14ac:dyDescent="0.2">
      <c r="A3790" s="4" t="s">
        <v>2847</v>
      </c>
      <c r="B3790" s="37">
        <v>43710</v>
      </c>
      <c r="C3790" s="12">
        <v>4</v>
      </c>
      <c r="D3790" s="38" t="s">
        <v>1478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-67</v>
      </c>
    </row>
    <row r="3791" spans="1:10" hidden="1" x14ac:dyDescent="0.2">
      <c r="A3791" s="4" t="s">
        <v>2847</v>
      </c>
      <c r="B3791" s="37">
        <v>43710</v>
      </c>
      <c r="C3791" s="12">
        <v>5</v>
      </c>
      <c r="D3791" s="38" t="s">
        <v>899</v>
      </c>
      <c r="E3791" s="39">
        <v>43710</v>
      </c>
      <c r="F3791" s="40" t="s">
        <v>1184</v>
      </c>
      <c r="G3791" s="12">
        <v>4</v>
      </c>
      <c r="H3791" s="12"/>
      <c r="I3791" s="4" t="s">
        <v>222</v>
      </c>
      <c r="J3791" s="41">
        <f ca="1">ROUNDDOWN(表3[[#This Row],[日期]]-TODAY(),1)</f>
        <v>-67</v>
      </c>
    </row>
    <row r="3792" spans="1:10" hidden="1" x14ac:dyDescent="0.2">
      <c r="A3792" s="4" t="s">
        <v>2847</v>
      </c>
      <c r="B3792" s="37">
        <v>43710</v>
      </c>
      <c r="C3792" s="12">
        <v>6</v>
      </c>
      <c r="D3792" s="38" t="s">
        <v>2212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-67</v>
      </c>
    </row>
    <row r="3793" spans="1:10" hidden="1" x14ac:dyDescent="0.2">
      <c r="A3793" s="4" t="s">
        <v>2847</v>
      </c>
      <c r="B3793" s="37">
        <v>43710</v>
      </c>
      <c r="C3793" s="12">
        <v>7</v>
      </c>
      <c r="D3793" s="38" t="s">
        <v>738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-67</v>
      </c>
    </row>
    <row r="3794" spans="1:10" hidden="1" x14ac:dyDescent="0.2">
      <c r="A3794" s="4" t="s">
        <v>2847</v>
      </c>
      <c r="B3794" s="37">
        <v>43710</v>
      </c>
      <c r="C3794" s="12">
        <v>8</v>
      </c>
      <c r="D3794" s="38" t="s">
        <v>738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-65</v>
      </c>
    </row>
    <row r="3795" spans="1:10" hidden="1" x14ac:dyDescent="0.2">
      <c r="A3795" s="4" t="s">
        <v>2847</v>
      </c>
      <c r="B3795" s="37">
        <v>43710</v>
      </c>
      <c r="C3795" s="12">
        <v>9</v>
      </c>
      <c r="D3795" s="38" t="s">
        <v>1025</v>
      </c>
      <c r="E3795" s="39">
        <v>43714</v>
      </c>
      <c r="F3795" s="40" t="s">
        <v>242</v>
      </c>
      <c r="G3795" s="12">
        <v>3</v>
      </c>
      <c r="H3795" s="12"/>
      <c r="I3795" s="4" t="s">
        <v>743</v>
      </c>
      <c r="J3795" s="41">
        <f ca="1">ROUNDDOWN(表3[[#This Row],[日期]]-TODAY(),1)</f>
        <v>-63</v>
      </c>
    </row>
    <row r="3796" spans="1:10" hidden="1" x14ac:dyDescent="0.2">
      <c r="A3796" s="4" t="s">
        <v>2847</v>
      </c>
      <c r="B3796" s="37">
        <v>43710</v>
      </c>
      <c r="C3796" s="12">
        <v>10</v>
      </c>
      <c r="D3796" s="38" t="s">
        <v>899</v>
      </c>
      <c r="E3796" s="39">
        <v>43714</v>
      </c>
      <c r="F3796" s="40" t="s">
        <v>242</v>
      </c>
      <c r="G3796" s="12">
        <v>4</v>
      </c>
      <c r="H3796" s="12"/>
      <c r="I3796" s="4" t="s">
        <v>743</v>
      </c>
      <c r="J3796" s="41">
        <f ca="1">ROUNDDOWN(表3[[#This Row],[日期]]-TODAY(),1)</f>
        <v>-63</v>
      </c>
    </row>
    <row r="3797" spans="1:10" hidden="1" x14ac:dyDescent="0.2">
      <c r="A3797" s="4" t="s">
        <v>2847</v>
      </c>
      <c r="B3797" s="37">
        <v>43710</v>
      </c>
      <c r="C3797" s="12">
        <v>11</v>
      </c>
      <c r="D3797" s="38" t="s">
        <v>1734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-63</v>
      </c>
    </row>
    <row r="3798" spans="1:10" hidden="1" x14ac:dyDescent="0.2">
      <c r="A3798" s="4" t="s">
        <v>2847</v>
      </c>
      <c r="B3798" s="37">
        <v>43710</v>
      </c>
      <c r="C3798" s="12">
        <v>12</v>
      </c>
      <c r="D3798" s="38" t="s">
        <v>1031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-60</v>
      </c>
    </row>
    <row r="3799" spans="1:10" hidden="1" x14ac:dyDescent="0.2">
      <c r="A3799" s="4" t="s">
        <v>2847</v>
      </c>
      <c r="B3799" s="37">
        <v>43710</v>
      </c>
      <c r="C3799" s="12">
        <v>13</v>
      </c>
      <c r="D3799" s="38" t="s">
        <v>738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-63</v>
      </c>
    </row>
    <row r="3800" spans="1:10" hidden="1" x14ac:dyDescent="0.2">
      <c r="A3800" s="4" t="s">
        <v>2847</v>
      </c>
      <c r="B3800" s="37">
        <v>43710</v>
      </c>
      <c r="C3800" s="12">
        <v>14</v>
      </c>
      <c r="D3800" s="38" t="s">
        <v>2103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-63</v>
      </c>
    </row>
    <row r="3801" spans="1:10" hidden="1" x14ac:dyDescent="0.2">
      <c r="A3801" s="4" t="s">
        <v>2847</v>
      </c>
      <c r="B3801" s="37">
        <v>43710</v>
      </c>
      <c r="C3801" s="12">
        <v>15</v>
      </c>
      <c r="D3801" s="38" t="s">
        <v>900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-63</v>
      </c>
    </row>
    <row r="3802" spans="1:10" hidden="1" x14ac:dyDescent="0.2">
      <c r="A3802" s="4" t="s">
        <v>2847</v>
      </c>
      <c r="B3802" s="37">
        <v>43710</v>
      </c>
      <c r="C3802" s="12">
        <v>16</v>
      </c>
      <c r="D3802" s="38" t="s">
        <v>2104</v>
      </c>
      <c r="E3802" s="39">
        <v>43714</v>
      </c>
      <c r="F3802" s="40" t="s">
        <v>1184</v>
      </c>
      <c r="G3802" s="12"/>
      <c r="H3802" s="12"/>
      <c r="I3802" s="4" t="s">
        <v>220</v>
      </c>
      <c r="J3802" s="41">
        <f ca="1">ROUNDDOWN(表3[[#This Row],[日期]]-TODAY(),1)</f>
        <v>-63</v>
      </c>
    </row>
    <row r="3803" spans="1:10" hidden="1" x14ac:dyDescent="0.2">
      <c r="A3803" s="4" t="s">
        <v>2847</v>
      </c>
      <c r="B3803" s="62">
        <v>43710</v>
      </c>
      <c r="C3803" s="63"/>
      <c r="D3803" s="66" t="s">
        <v>2578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-65</v>
      </c>
    </row>
    <row r="3804" spans="1:10" hidden="1" x14ac:dyDescent="0.2">
      <c r="A3804" s="4" t="s">
        <v>2847</v>
      </c>
      <c r="B3804" s="37">
        <v>43710</v>
      </c>
      <c r="C3804" s="12"/>
      <c r="D3804" s="38" t="s">
        <v>2579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-64</v>
      </c>
    </row>
    <row r="3805" spans="1:10" hidden="1" x14ac:dyDescent="0.2">
      <c r="A3805" s="4" t="s">
        <v>2847</v>
      </c>
      <c r="B3805" s="37">
        <v>43710</v>
      </c>
      <c r="C3805" s="12"/>
      <c r="D3805" s="38" t="s">
        <v>2592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-63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-94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-94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2158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-93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1004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-93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1292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-93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2412</v>
      </c>
      <c r="E3811" s="39">
        <v>43703</v>
      </c>
      <c r="F3811" s="40" t="s">
        <v>242</v>
      </c>
      <c r="G3811" s="12">
        <v>3</v>
      </c>
      <c r="H3811" s="12"/>
      <c r="I3811" s="4" t="s">
        <v>1003</v>
      </c>
      <c r="J3811" s="41">
        <f ca="1">ROUNDDOWN(表3[[#This Row],[日期]]-TODAY(),1)</f>
        <v>-74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-73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877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-71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-71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1269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-71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-71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-71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-70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2163</v>
      </c>
      <c r="E3819" s="39">
        <v>43706</v>
      </c>
      <c r="F3819" s="40" t="s">
        <v>242</v>
      </c>
      <c r="G3819" s="12">
        <v>3</v>
      </c>
      <c r="H3819" s="12"/>
      <c r="I3819" s="4" t="s">
        <v>257</v>
      </c>
      <c r="J3819" s="41">
        <f ca="1">ROUNDDOWN(表3[[#This Row],[日期]]-TODAY(),1)</f>
        <v>-71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262</v>
      </c>
      <c r="E3820" s="39">
        <v>43707</v>
      </c>
      <c r="F3820" s="40" t="s">
        <v>242</v>
      </c>
      <c r="G3820" s="12"/>
      <c r="H3820" s="12"/>
      <c r="I3820" s="4" t="s">
        <v>260</v>
      </c>
      <c r="J3820" s="41">
        <f ca="1">ROUNDDOWN(表3[[#This Row],[日期]]-TODAY(),1)</f>
        <v>-70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264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-70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266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-70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280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-67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282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-67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284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-67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268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-70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270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-69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2162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-69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274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-66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276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-66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2542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-65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876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-63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413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-63</v>
      </c>
    </row>
    <row r="3834" spans="1:10" hidden="1" x14ac:dyDescent="0.2">
      <c r="A3834" s="4" t="s">
        <v>2432</v>
      </c>
      <c r="B3834" s="37">
        <v>43712</v>
      </c>
      <c r="C3834" s="12">
        <v>1</v>
      </c>
      <c r="D3834" s="38" t="s">
        <v>364</v>
      </c>
      <c r="E3834" s="39">
        <v>43700</v>
      </c>
      <c r="F3834" s="40" t="s">
        <v>2431</v>
      </c>
      <c r="G3834" s="12"/>
      <c r="H3834" s="12"/>
      <c r="J3834" s="41">
        <f ca="1">ROUNDDOWN(表3[[#This Row],[日期]]-TODAY(),1)</f>
        <v>-77</v>
      </c>
    </row>
    <row r="3835" spans="1:10" hidden="1" x14ac:dyDescent="0.2">
      <c r="A3835" s="4" t="s">
        <v>2432</v>
      </c>
      <c r="B3835" s="37">
        <v>43712</v>
      </c>
      <c r="C3835" s="12">
        <v>2</v>
      </c>
      <c r="D3835" s="38" t="s">
        <v>863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-71</v>
      </c>
    </row>
    <row r="3836" spans="1:10" hidden="1" x14ac:dyDescent="0.2">
      <c r="A3836" s="4" t="s">
        <v>2432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-71</v>
      </c>
    </row>
    <row r="3837" spans="1:10" hidden="1" x14ac:dyDescent="0.2">
      <c r="A3837" s="4" t="s">
        <v>2432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-71</v>
      </c>
    </row>
    <row r="3838" spans="1:10" hidden="1" x14ac:dyDescent="0.2">
      <c r="A3838" s="4" t="s">
        <v>2432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-71</v>
      </c>
    </row>
    <row r="3839" spans="1:10" hidden="1" x14ac:dyDescent="0.2">
      <c r="A3839" s="4" t="s">
        <v>2432</v>
      </c>
      <c r="B3839" s="37">
        <v>43712</v>
      </c>
      <c r="C3839" s="12">
        <v>6</v>
      </c>
      <c r="D3839" s="38" t="s">
        <v>864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-71</v>
      </c>
    </row>
    <row r="3840" spans="1:10" hidden="1" x14ac:dyDescent="0.2">
      <c r="A3840" s="4" t="s">
        <v>2432</v>
      </c>
      <c r="B3840" s="37">
        <v>43712</v>
      </c>
      <c r="C3840" s="12">
        <v>7</v>
      </c>
      <c r="D3840" s="38" t="s">
        <v>1851</v>
      </c>
      <c r="E3840" s="39">
        <v>43708</v>
      </c>
      <c r="F3840" s="40" t="s">
        <v>1184</v>
      </c>
      <c r="G3840" s="12"/>
      <c r="H3840" s="12"/>
      <c r="I3840" s="4" t="s">
        <v>2503</v>
      </c>
      <c r="J3840" s="41">
        <f ca="1">ROUNDDOWN(表3[[#This Row],[日期]]-TODAY(),1)</f>
        <v>-69</v>
      </c>
    </row>
    <row r="3841" spans="1:10" hidden="1" x14ac:dyDescent="0.2">
      <c r="A3841" s="4" t="s">
        <v>2432</v>
      </c>
      <c r="B3841" s="37">
        <v>43712</v>
      </c>
      <c r="C3841" s="12">
        <v>8</v>
      </c>
      <c r="D3841" s="38" t="s">
        <v>307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-70</v>
      </c>
    </row>
    <row r="3842" spans="1:10" hidden="1" x14ac:dyDescent="0.2">
      <c r="A3842" s="4" t="s">
        <v>2432</v>
      </c>
      <c r="B3842" s="37">
        <v>43712</v>
      </c>
      <c r="C3842" s="12">
        <v>8</v>
      </c>
      <c r="D3842" s="38" t="s">
        <v>2433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-70</v>
      </c>
    </row>
    <row r="3843" spans="1:10" hidden="1" x14ac:dyDescent="0.2">
      <c r="A3843" s="4" t="s">
        <v>2432</v>
      </c>
      <c r="B3843" s="37">
        <v>43712</v>
      </c>
      <c r="C3843" s="12">
        <v>9</v>
      </c>
      <c r="D3843" s="38" t="s">
        <v>866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-64</v>
      </c>
    </row>
    <row r="3844" spans="1:10" hidden="1" x14ac:dyDescent="0.2">
      <c r="A3844" s="4" t="s">
        <v>2432</v>
      </c>
      <c r="B3844" s="37">
        <v>43712</v>
      </c>
      <c r="C3844" s="12">
        <v>10</v>
      </c>
      <c r="D3844" s="38" t="s">
        <v>309</v>
      </c>
      <c r="E3844" s="39">
        <v>43707</v>
      </c>
      <c r="F3844" s="40" t="s">
        <v>1184</v>
      </c>
      <c r="G3844" s="12"/>
      <c r="H3844" s="12"/>
      <c r="I3844" s="4" t="s">
        <v>310</v>
      </c>
      <c r="J3844" s="41">
        <f ca="1">ROUNDDOWN(表3[[#This Row],[日期]]-TODAY(),1)</f>
        <v>-70</v>
      </c>
    </row>
    <row r="3845" spans="1:10" hidden="1" x14ac:dyDescent="0.2">
      <c r="A3845" s="4" t="s">
        <v>2432</v>
      </c>
      <c r="B3845" s="37">
        <v>43712</v>
      </c>
      <c r="C3845" s="12">
        <v>11</v>
      </c>
      <c r="D3845" s="38" t="s">
        <v>867</v>
      </c>
      <c r="E3845" s="39">
        <v>43707</v>
      </c>
      <c r="F3845" s="40" t="s">
        <v>2504</v>
      </c>
      <c r="G3845" s="12"/>
      <c r="H3845" s="12"/>
      <c r="I3845" s="4" t="s">
        <v>147</v>
      </c>
      <c r="J3845" s="41">
        <f ca="1">ROUNDDOWN(表3[[#This Row],[日期]]-TODAY(),1)</f>
        <v>-70</v>
      </c>
    </row>
    <row r="3846" spans="1:10" hidden="1" x14ac:dyDescent="0.2">
      <c r="A3846" s="4" t="s">
        <v>2432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-69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2505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-68</v>
      </c>
    </row>
    <row r="3848" spans="1:10" hidden="1" x14ac:dyDescent="0.2">
      <c r="A3848" s="4" t="s">
        <v>2432</v>
      </c>
      <c r="B3848" s="37">
        <v>43712</v>
      </c>
      <c r="C3848" s="12">
        <v>14</v>
      </c>
      <c r="D3848" s="38" t="s">
        <v>311</v>
      </c>
      <c r="E3848" s="39">
        <v>43709</v>
      </c>
      <c r="F3848" s="40" t="s">
        <v>242</v>
      </c>
      <c r="G3848" s="12"/>
      <c r="H3848" s="12"/>
      <c r="I3848" s="4" t="s">
        <v>310</v>
      </c>
      <c r="J3848" s="41">
        <f ca="1">ROUNDDOWN(表3[[#This Row],[日期]]-TODAY(),1)</f>
        <v>-68</v>
      </c>
    </row>
    <row r="3849" spans="1:10" hidden="1" x14ac:dyDescent="0.2">
      <c r="A3849" s="4" t="s">
        <v>2432</v>
      </c>
      <c r="B3849" s="37">
        <v>43712</v>
      </c>
      <c r="C3849" s="12">
        <v>15</v>
      </c>
      <c r="D3849" s="38" t="s">
        <v>868</v>
      </c>
      <c r="E3849" s="39">
        <v>43709</v>
      </c>
      <c r="F3849" s="40" t="s">
        <v>242</v>
      </c>
      <c r="G3849" s="12"/>
      <c r="H3849" s="12"/>
      <c r="I3849" s="4" t="s">
        <v>310</v>
      </c>
      <c r="J3849" s="41">
        <f ca="1">ROUNDDOWN(表3[[#This Row],[日期]]-TODAY(),1)</f>
        <v>-68</v>
      </c>
    </row>
    <row r="3850" spans="1:10" hidden="1" x14ac:dyDescent="0.2">
      <c r="A3850" s="4" t="s">
        <v>2432</v>
      </c>
      <c r="B3850" s="37">
        <v>43712</v>
      </c>
      <c r="C3850" s="12">
        <v>16</v>
      </c>
      <c r="D3850" s="38" t="s">
        <v>313</v>
      </c>
      <c r="E3850" s="39">
        <v>43710</v>
      </c>
      <c r="F3850" s="40" t="s">
        <v>242</v>
      </c>
      <c r="G3850" s="12"/>
      <c r="H3850" s="12"/>
      <c r="I3850" s="4" t="s">
        <v>310</v>
      </c>
      <c r="J3850" s="41">
        <f ca="1">ROUNDDOWN(表3[[#This Row],[日期]]-TODAY(),1)</f>
        <v>-67</v>
      </c>
    </row>
    <row r="3851" spans="1:10" hidden="1" x14ac:dyDescent="0.2">
      <c r="A3851" s="4" t="s">
        <v>2432</v>
      </c>
      <c r="B3851" s="37">
        <v>43712</v>
      </c>
      <c r="C3851" s="12">
        <v>17</v>
      </c>
      <c r="D3851" s="38" t="s">
        <v>271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-67</v>
      </c>
    </row>
    <row r="3852" spans="1:10" hidden="1" x14ac:dyDescent="0.2">
      <c r="A3852" s="4" t="s">
        <v>2432</v>
      </c>
      <c r="B3852" s="37">
        <v>43712</v>
      </c>
      <c r="C3852" s="12">
        <v>18</v>
      </c>
      <c r="D3852" s="38" t="s">
        <v>273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-66</v>
      </c>
    </row>
    <row r="3853" spans="1:10" hidden="1" x14ac:dyDescent="0.2">
      <c r="A3853" s="4" t="s">
        <v>2432</v>
      </c>
      <c r="B3853" s="37">
        <v>43712</v>
      </c>
      <c r="C3853" s="12">
        <v>19</v>
      </c>
      <c r="D3853" s="38" t="s">
        <v>275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-65</v>
      </c>
    </row>
    <row r="3854" spans="1:10" hidden="1" x14ac:dyDescent="0.2">
      <c r="A3854" s="4" t="s">
        <v>2432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-63</v>
      </c>
    </row>
    <row r="3855" spans="1:10" hidden="1" x14ac:dyDescent="0.2">
      <c r="A3855" s="4" t="s">
        <v>2432</v>
      </c>
      <c r="B3855" s="37">
        <v>43712</v>
      </c>
      <c r="C3855" s="12">
        <v>21</v>
      </c>
      <c r="D3855" s="38" t="s">
        <v>1387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-63</v>
      </c>
    </row>
    <row r="3856" spans="1:10" hidden="1" x14ac:dyDescent="0.2">
      <c r="A3856" s="4" t="s">
        <v>2432</v>
      </c>
      <c r="B3856" s="37">
        <v>43712</v>
      </c>
      <c r="C3856" s="12">
        <v>22</v>
      </c>
      <c r="D3856" s="38" t="s">
        <v>305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-64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927</v>
      </c>
      <c r="E3857" s="39">
        <v>43703</v>
      </c>
      <c r="F3857" s="40" t="s">
        <v>2464</v>
      </c>
      <c r="G3857" s="12"/>
      <c r="H3857" s="12"/>
      <c r="I3857" s="4" t="s">
        <v>27</v>
      </c>
      <c r="J3857" s="41">
        <f ca="1">ROUNDDOWN(表3[[#This Row],[日期]]-TODAY(),1)</f>
        <v>-74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2464</v>
      </c>
      <c r="G3858" s="12"/>
      <c r="H3858" s="12"/>
      <c r="J3858" s="41">
        <f ca="1">ROUNDDOWN(表3[[#This Row],[日期]]-TODAY(),1)</f>
        <v>-74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1210</v>
      </c>
      <c r="E3859" s="39">
        <v>43705</v>
      </c>
      <c r="F3859" s="40" t="s">
        <v>2495</v>
      </c>
      <c r="G3859" s="12"/>
      <c r="H3859" s="12"/>
      <c r="J3859" s="41">
        <f ca="1">ROUNDDOWN(表3[[#This Row],[日期]]-TODAY(),1)</f>
        <v>-72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2495</v>
      </c>
      <c r="G3860" s="12"/>
      <c r="H3860" s="12"/>
      <c r="J3860" s="41">
        <f ca="1">ROUNDDOWN(表3[[#This Row],[日期]]-TODAY(),1)</f>
        <v>-72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2495</v>
      </c>
      <c r="G3861" s="12"/>
      <c r="H3861" s="12"/>
      <c r="J3861" s="41">
        <f ca="1">ROUNDDOWN(表3[[#This Row],[日期]]-TODAY(),1)</f>
        <v>-72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1576</v>
      </c>
      <c r="E3862" s="39">
        <v>43705</v>
      </c>
      <c r="F3862" s="40" t="s">
        <v>2495</v>
      </c>
      <c r="G3862" s="12"/>
      <c r="H3862" s="12"/>
      <c r="J3862" s="41">
        <f ca="1">ROUNDDOWN(表3[[#This Row],[日期]]-TODAY(),1)</f>
        <v>-72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1577</v>
      </c>
      <c r="E3863" s="39">
        <v>43705</v>
      </c>
      <c r="F3863" s="40" t="s">
        <v>2495</v>
      </c>
      <c r="G3863" s="12"/>
      <c r="H3863" s="12"/>
      <c r="I3863" s="4" t="s">
        <v>30</v>
      </c>
      <c r="J3863" s="41">
        <f ca="1">ROUNDDOWN(表3[[#This Row],[日期]]-TODAY(),1)</f>
        <v>-72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2495</v>
      </c>
      <c r="G3864" s="12"/>
      <c r="H3864" s="12"/>
      <c r="J3864" s="41">
        <f ca="1">ROUNDDOWN(表3[[#This Row],[日期]]-TODAY(),1)</f>
        <v>-72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928</v>
      </c>
      <c r="E3865" s="39">
        <v>43705</v>
      </c>
      <c r="F3865" s="40" t="s">
        <v>2495</v>
      </c>
      <c r="G3865" s="12"/>
      <c r="H3865" s="12"/>
      <c r="I3865" s="4" t="s">
        <v>32</v>
      </c>
      <c r="J3865" s="41">
        <f ca="1">ROUNDDOWN(表3[[#This Row],[日期]]-TODAY(),1)</f>
        <v>-72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1740</v>
      </c>
      <c r="E3866" s="39">
        <v>43705</v>
      </c>
      <c r="F3866" s="40" t="s">
        <v>2495</v>
      </c>
      <c r="G3866" s="12"/>
      <c r="H3866" s="12"/>
      <c r="J3866" s="41">
        <f ca="1">ROUNDDOWN(表3[[#This Row],[日期]]-TODAY(),1)</f>
        <v>-72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1578</v>
      </c>
      <c r="E3867" s="39">
        <v>43705</v>
      </c>
      <c r="F3867" s="40" t="s">
        <v>2495</v>
      </c>
      <c r="G3867" s="12"/>
      <c r="H3867" s="12"/>
      <c r="J3867" s="41">
        <f ca="1">ROUNDDOWN(表3[[#This Row],[日期]]-TODAY(),1)</f>
        <v>-72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1742</v>
      </c>
      <c r="E3868" s="39">
        <v>43705</v>
      </c>
      <c r="F3868" s="40" t="s">
        <v>2495</v>
      </c>
      <c r="G3868" s="12"/>
      <c r="H3868" s="12"/>
      <c r="J3868" s="41">
        <f ca="1">ROUNDDOWN(表3[[#This Row],[日期]]-TODAY(),1)</f>
        <v>-72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1744</v>
      </c>
      <c r="E3869" s="39">
        <v>43705</v>
      </c>
      <c r="F3869" s="40" t="s">
        <v>2495</v>
      </c>
      <c r="G3869" s="12"/>
      <c r="H3869" s="12"/>
      <c r="J3869" s="41">
        <f ca="1">ROUNDDOWN(表3[[#This Row],[日期]]-TODAY(),1)</f>
        <v>-72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1746</v>
      </c>
      <c r="E3870" s="39">
        <v>43705</v>
      </c>
      <c r="F3870" s="40" t="s">
        <v>2495</v>
      </c>
      <c r="G3870" s="12"/>
      <c r="H3870" s="12"/>
      <c r="J3870" s="41">
        <f ca="1">ROUNDDOWN(表3[[#This Row],[日期]]-TODAY(),1)</f>
        <v>-72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1748</v>
      </c>
      <c r="E3871" s="39">
        <v>43705</v>
      </c>
      <c r="F3871" s="40" t="s">
        <v>2495</v>
      </c>
      <c r="G3871" s="12"/>
      <c r="H3871" s="12"/>
      <c r="J3871" s="41">
        <f ca="1">ROUNDDOWN(表3[[#This Row],[日期]]-TODAY(),1)</f>
        <v>-72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1750</v>
      </c>
      <c r="E3872" s="39">
        <v>43705</v>
      </c>
      <c r="F3872" s="40" t="s">
        <v>2495</v>
      </c>
      <c r="G3872" s="12"/>
      <c r="H3872" s="12"/>
      <c r="J3872" s="41">
        <f ca="1">ROUNDDOWN(表3[[#This Row],[日期]]-TODAY(),1)</f>
        <v>-72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929</v>
      </c>
      <c r="E3873" s="39">
        <v>43705</v>
      </c>
      <c r="F3873" s="40" t="s">
        <v>2495</v>
      </c>
      <c r="G3873" s="12"/>
      <c r="H3873" s="12"/>
      <c r="I3873" s="4" t="s">
        <v>34</v>
      </c>
      <c r="J3873" s="41">
        <f ca="1">ROUNDDOWN(表3[[#This Row],[日期]]-TODAY(),1)</f>
        <v>-72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1752</v>
      </c>
      <c r="E3874" s="39">
        <v>43705</v>
      </c>
      <c r="F3874" s="40" t="s">
        <v>2495</v>
      </c>
      <c r="G3874" s="12"/>
      <c r="H3874" s="12"/>
      <c r="J3874" s="41">
        <f ca="1">ROUNDDOWN(表3[[#This Row],[日期]]-TODAY(),1)</f>
        <v>-72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2495</v>
      </c>
      <c r="G3875" s="12"/>
      <c r="H3875" s="12"/>
      <c r="J3875" s="41">
        <f ca="1">ROUNDDOWN(表3[[#This Row],[日期]]-TODAY(),1)</f>
        <v>-72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930</v>
      </c>
      <c r="E3876" s="39">
        <v>43705</v>
      </c>
      <c r="F3876" s="40" t="s">
        <v>2495</v>
      </c>
      <c r="G3876" s="12"/>
      <c r="H3876" s="12"/>
      <c r="I3876" s="4" t="s">
        <v>40</v>
      </c>
      <c r="J3876" s="41">
        <f ca="1">ROUNDDOWN(表3[[#This Row],[日期]]-TODAY(),1)</f>
        <v>-72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2495</v>
      </c>
      <c r="G3877" s="12"/>
      <c r="H3877" s="12"/>
      <c r="I3877" s="4" t="s">
        <v>192</v>
      </c>
      <c r="J3877" s="41">
        <f ca="1">ROUNDDOWN(表3[[#This Row],[日期]]-TODAY(),1)</f>
        <v>-72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931</v>
      </c>
      <c r="E3878" s="39">
        <v>43705</v>
      </c>
      <c r="F3878" s="40" t="s">
        <v>2495</v>
      </c>
      <c r="G3878" s="12"/>
      <c r="H3878" s="12"/>
      <c r="J3878" s="41">
        <f ca="1">ROUNDDOWN(表3[[#This Row],[日期]]-TODAY(),1)</f>
        <v>-72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2472</v>
      </c>
      <c r="E3879" s="39">
        <v>43705</v>
      </c>
      <c r="F3879" s="40" t="s">
        <v>2495</v>
      </c>
      <c r="G3879" s="12"/>
      <c r="H3879" s="12"/>
      <c r="J3879" s="41">
        <f ca="1">ROUNDDOWN(表3[[#This Row],[日期]]-TODAY(),1)</f>
        <v>-72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1919</v>
      </c>
      <c r="E3880" s="39">
        <v>43705</v>
      </c>
      <c r="F3880" s="40" t="s">
        <v>2495</v>
      </c>
      <c r="G3880" s="12"/>
      <c r="H3880" s="12"/>
      <c r="J3880" s="41">
        <f ca="1">ROUNDDOWN(表3[[#This Row],[日期]]-TODAY(),1)</f>
        <v>-72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2495</v>
      </c>
      <c r="G3881" s="12"/>
      <c r="H3881" s="12"/>
      <c r="J3881" s="41">
        <f ca="1">ROUNDDOWN(表3[[#This Row],[日期]]-TODAY(),1)</f>
        <v>-72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2495</v>
      </c>
      <c r="G3882" s="12"/>
      <c r="H3882" s="12"/>
      <c r="J3882" s="41">
        <f ca="1">ROUNDDOWN(表3[[#This Row],[日期]]-TODAY(),1)</f>
        <v>-72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2495</v>
      </c>
      <c r="G3883" s="12"/>
      <c r="H3883" s="12"/>
      <c r="I3883" s="4" t="s">
        <v>40</v>
      </c>
      <c r="J3883" s="41">
        <f ca="1">ROUNDDOWN(表3[[#This Row],[日期]]-TODAY(),1)</f>
        <v>-72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2495</v>
      </c>
      <c r="G3884" s="12"/>
      <c r="H3884" s="12"/>
      <c r="J3884" s="41">
        <f ca="1">ROUNDDOWN(表3[[#This Row],[日期]]-TODAY(),1)</f>
        <v>-72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2495</v>
      </c>
      <c r="G3885" s="12"/>
      <c r="H3885" s="12"/>
      <c r="I3885" s="4" t="s">
        <v>61</v>
      </c>
      <c r="J3885" s="41">
        <f ca="1">ROUNDDOWN(表3[[#This Row],[日期]]-TODAY(),1)</f>
        <v>-72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2495</v>
      </c>
      <c r="G3886" s="12"/>
      <c r="H3886" s="12"/>
      <c r="J3886" s="41">
        <f ca="1">ROUNDDOWN(表3[[#This Row],[日期]]-TODAY(),1)</f>
        <v>-72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2473</v>
      </c>
      <c r="E3887" s="39">
        <v>43705</v>
      </c>
      <c r="F3887" s="40" t="s">
        <v>2495</v>
      </c>
      <c r="G3887" s="12"/>
      <c r="H3887" s="12"/>
      <c r="I3887" s="4" t="s">
        <v>30</v>
      </c>
      <c r="J3887" s="41">
        <f ca="1">ROUNDDOWN(表3[[#This Row],[日期]]-TODAY(),1)</f>
        <v>-72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933</v>
      </c>
      <c r="E3888" s="39">
        <v>43705</v>
      </c>
      <c r="F3888" s="40" t="s">
        <v>2495</v>
      </c>
      <c r="G3888" s="12"/>
      <c r="H3888" s="12"/>
      <c r="I3888" s="4" t="s">
        <v>40</v>
      </c>
      <c r="J3888" s="41">
        <f ca="1">ROUNDDOWN(表3[[#This Row],[日期]]-TODAY(),1)</f>
        <v>-72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2474</v>
      </c>
      <c r="E3889" s="39">
        <v>43705</v>
      </c>
      <c r="F3889" s="40" t="s">
        <v>2495</v>
      </c>
      <c r="G3889" s="12"/>
      <c r="H3889" s="12"/>
      <c r="J3889" s="41">
        <f ca="1">ROUNDDOWN(表3[[#This Row],[日期]]-TODAY(),1)</f>
        <v>-72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2495</v>
      </c>
      <c r="G3890" s="12"/>
      <c r="H3890" s="12"/>
      <c r="I3890" s="4" t="s">
        <v>68</v>
      </c>
      <c r="J3890" s="41">
        <f ca="1">ROUNDDOWN(表3[[#This Row],[日期]]-TODAY(),1)</f>
        <v>-72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2495</v>
      </c>
      <c r="G3891" s="12"/>
      <c r="H3891" s="12"/>
      <c r="J3891" s="41">
        <f ca="1">ROUNDDOWN(表3[[#This Row],[日期]]-TODAY(),1)</f>
        <v>-72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1072</v>
      </c>
      <c r="E3892" s="39">
        <v>43705</v>
      </c>
      <c r="F3892" s="40" t="s">
        <v>2495</v>
      </c>
      <c r="G3892" s="12"/>
      <c r="H3892" s="12"/>
      <c r="J3892" s="41">
        <f ca="1">ROUNDDOWN(表3[[#This Row],[日期]]-TODAY(),1)</f>
        <v>-72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2495</v>
      </c>
      <c r="G3893" s="12"/>
      <c r="H3893" s="12"/>
      <c r="J3893" s="41">
        <f ca="1">ROUNDDOWN(表3[[#This Row],[日期]]-TODAY(),1)</f>
        <v>-72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2495</v>
      </c>
      <c r="G3894" s="12"/>
      <c r="H3894" s="12"/>
      <c r="J3894" s="41">
        <f ca="1">ROUNDDOWN(表3[[#This Row],[日期]]-TODAY(),1)</f>
        <v>-72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2495</v>
      </c>
      <c r="G3895" s="12"/>
      <c r="H3895" s="12"/>
      <c r="J3895" s="41">
        <f ca="1">ROUNDDOWN(表3[[#This Row],[日期]]-TODAY(),1)</f>
        <v>-72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2495</v>
      </c>
      <c r="G3896" s="12"/>
      <c r="H3896" s="12"/>
      <c r="J3896" s="41">
        <f ca="1">ROUNDDOWN(表3[[#This Row],[日期]]-TODAY(),1)</f>
        <v>-72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2335</v>
      </c>
      <c r="E3897" s="39">
        <v>43705</v>
      </c>
      <c r="F3897" s="40" t="s">
        <v>2495</v>
      </c>
      <c r="G3897" s="12"/>
      <c r="H3897" s="12"/>
      <c r="J3897" s="41">
        <f ca="1">ROUNDDOWN(表3[[#This Row],[日期]]-TODAY(),1)</f>
        <v>-72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305</v>
      </c>
      <c r="E3898" s="39">
        <v>43705</v>
      </c>
      <c r="F3898" s="40" t="s">
        <v>2495</v>
      </c>
      <c r="G3898" s="12"/>
      <c r="H3898" s="12"/>
      <c r="J3898" s="41">
        <f ca="1">ROUNDDOWN(表3[[#This Row],[日期]]-TODAY(),1)</f>
        <v>-72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2475</v>
      </c>
      <c r="E3899" s="39">
        <v>43705</v>
      </c>
      <c r="F3899" s="40" t="s">
        <v>2495</v>
      </c>
      <c r="G3899" s="12"/>
      <c r="H3899" s="12"/>
      <c r="I3899" s="4" t="s">
        <v>126</v>
      </c>
      <c r="J3899" s="41">
        <f ca="1">ROUNDDOWN(表3[[#This Row],[日期]]-TODAY(),1)</f>
        <v>-72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316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-78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656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-70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-70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-71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-71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688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-70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1795</v>
      </c>
      <c r="E3906" s="39">
        <v>43706</v>
      </c>
      <c r="F3906" s="40" t="s">
        <v>1184</v>
      </c>
      <c r="G3906" s="12"/>
      <c r="H3906" s="12"/>
      <c r="I3906" s="4" t="s">
        <v>999</v>
      </c>
      <c r="J3906" s="41">
        <f ca="1">ROUNDDOWN(表3[[#This Row],[日期]]-TODAY(),1)</f>
        <v>-71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-70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2375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-70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662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-64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736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-70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-70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684</v>
      </c>
      <c r="E3912" s="39">
        <v>43707</v>
      </c>
      <c r="F3912" s="40" t="s">
        <v>242</v>
      </c>
      <c r="G3912" s="12">
        <v>3</v>
      </c>
      <c r="H3912" s="12"/>
      <c r="I3912" s="4" t="s">
        <v>294</v>
      </c>
      <c r="J3912" s="41">
        <f ca="1">ROUNDDOWN(表3[[#This Row],[日期]]-TODAY(),1)</f>
        <v>-70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293</v>
      </c>
      <c r="E3913" s="39">
        <v>43707</v>
      </c>
      <c r="F3913" s="40" t="s">
        <v>242</v>
      </c>
      <c r="G3913" s="12">
        <v>3</v>
      </c>
      <c r="H3913" s="12"/>
      <c r="I3913" s="4" t="s">
        <v>294</v>
      </c>
      <c r="J3913" s="41">
        <f ca="1">ROUNDDOWN(表3[[#This Row],[日期]]-TODAY(),1)</f>
        <v>-70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291</v>
      </c>
      <c r="E3914" s="39">
        <v>43707</v>
      </c>
      <c r="F3914" s="40" t="s">
        <v>242</v>
      </c>
      <c r="G3914" s="12">
        <v>3</v>
      </c>
      <c r="H3914" s="12"/>
      <c r="I3914" s="4" t="s">
        <v>294</v>
      </c>
      <c r="J3914" s="41">
        <f ca="1">ROUNDDOWN(表3[[#This Row],[日期]]-TODAY(),1)</f>
        <v>-70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292</v>
      </c>
      <c r="E3915" s="39">
        <v>43708</v>
      </c>
      <c r="F3915" s="40" t="s">
        <v>242</v>
      </c>
      <c r="G3915" s="12"/>
      <c r="H3915" s="12"/>
      <c r="I3915" s="4" t="s">
        <v>294</v>
      </c>
      <c r="J3915" s="41">
        <f ca="1">ROUNDDOWN(表3[[#This Row],[日期]]-TODAY(),1)</f>
        <v>-69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272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-69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274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-66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276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-66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-63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1215</v>
      </c>
      <c r="E3920" s="39">
        <v>43714</v>
      </c>
      <c r="F3920" s="40" t="s">
        <v>1184</v>
      </c>
      <c r="G3920" s="12">
        <v>3</v>
      </c>
      <c r="H3920" s="12"/>
      <c r="J3920" s="41">
        <f ca="1">ROUNDDOWN(表3[[#This Row],[日期]]-TODAY(),1)</f>
        <v>-63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-65</v>
      </c>
    </row>
    <row r="3922" spans="1:10" hidden="1" x14ac:dyDescent="0.2">
      <c r="A3922" s="4" t="s">
        <v>2831</v>
      </c>
      <c r="B3922" s="37">
        <v>43712</v>
      </c>
      <c r="C3922" s="12">
        <v>1</v>
      </c>
      <c r="D3922" s="38" t="s">
        <v>507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-84</v>
      </c>
    </row>
    <row r="3923" spans="1:10" hidden="1" x14ac:dyDescent="0.2">
      <c r="A3923" s="4" t="s">
        <v>2831</v>
      </c>
      <c r="B3923" s="37">
        <v>43712</v>
      </c>
      <c r="C3923" s="12">
        <v>1.1000000000000001</v>
      </c>
      <c r="D3923" s="38" t="s">
        <v>2325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-78</v>
      </c>
    </row>
    <row r="3924" spans="1:10" hidden="1" x14ac:dyDescent="0.2">
      <c r="A3924" s="4" t="s">
        <v>2831</v>
      </c>
      <c r="B3924" s="37">
        <v>43712</v>
      </c>
      <c r="C3924" s="12">
        <v>2</v>
      </c>
      <c r="D3924" s="38" t="s">
        <v>1519</v>
      </c>
      <c r="E3924" s="39">
        <v>43699</v>
      </c>
      <c r="F3924" s="40" t="s">
        <v>242</v>
      </c>
      <c r="G3924" s="12">
        <v>3</v>
      </c>
      <c r="H3924" s="12"/>
      <c r="I3924" s="4" t="s">
        <v>1522</v>
      </c>
      <c r="J3924" s="41">
        <f ca="1">ROUNDDOWN(表3[[#This Row],[日期]]-TODAY(),1)</f>
        <v>-78</v>
      </c>
    </row>
    <row r="3925" spans="1:10" hidden="1" x14ac:dyDescent="0.2">
      <c r="A3925" s="4" t="s">
        <v>2831</v>
      </c>
      <c r="B3925" s="37">
        <v>43712</v>
      </c>
      <c r="C3925" s="12">
        <v>3</v>
      </c>
      <c r="D3925" s="38" t="s">
        <v>1705</v>
      </c>
      <c r="E3925" s="39">
        <v>43699</v>
      </c>
      <c r="F3925" s="40" t="s">
        <v>242</v>
      </c>
      <c r="G3925" s="12">
        <v>3</v>
      </c>
      <c r="H3925" s="12"/>
      <c r="I3925" s="4" t="s">
        <v>1524</v>
      </c>
      <c r="J3925" s="41">
        <f ca="1">ROUNDDOWN(表3[[#This Row],[日期]]-TODAY(),1)</f>
        <v>-78</v>
      </c>
    </row>
    <row r="3926" spans="1:10" hidden="1" x14ac:dyDescent="0.2">
      <c r="A3926" s="4" t="s">
        <v>2831</v>
      </c>
      <c r="B3926" s="37">
        <v>43712</v>
      </c>
      <c r="C3926" s="12">
        <v>4</v>
      </c>
      <c r="D3926" s="38" t="s">
        <v>1527</v>
      </c>
      <c r="E3926" s="39">
        <v>43699</v>
      </c>
      <c r="F3926" s="40" t="s">
        <v>242</v>
      </c>
      <c r="G3926" s="12">
        <v>3</v>
      </c>
      <c r="H3926" s="12"/>
      <c r="I3926" s="4" t="s">
        <v>1529</v>
      </c>
      <c r="J3926" s="41">
        <f ca="1">ROUNDDOWN(表3[[#This Row],[日期]]-TODAY(),1)</f>
        <v>-78</v>
      </c>
    </row>
    <row r="3927" spans="1:10" hidden="1" x14ac:dyDescent="0.2">
      <c r="A3927" s="4" t="s">
        <v>2831</v>
      </c>
      <c r="B3927" s="37">
        <v>43712</v>
      </c>
      <c r="C3927" s="12">
        <v>5</v>
      </c>
      <c r="D3927" s="38" t="s">
        <v>1658</v>
      </c>
      <c r="E3927" s="39">
        <v>43699</v>
      </c>
      <c r="F3927" s="40" t="s">
        <v>1184</v>
      </c>
      <c r="G3927" s="12">
        <v>3</v>
      </c>
      <c r="H3927" s="12"/>
      <c r="J3927" s="41">
        <f ca="1">ROUNDDOWN(表3[[#This Row],[日期]]-TODAY(),1)</f>
        <v>-78</v>
      </c>
    </row>
    <row r="3928" spans="1:10" hidden="1" x14ac:dyDescent="0.2">
      <c r="A3928" s="4" t="s">
        <v>2831</v>
      </c>
      <c r="B3928" s="37">
        <v>43712</v>
      </c>
      <c r="C3928" s="12">
        <v>6</v>
      </c>
      <c r="D3928" s="38" t="s">
        <v>1534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-73</v>
      </c>
    </row>
    <row r="3929" spans="1:10" hidden="1" x14ac:dyDescent="0.2">
      <c r="A3929" s="4" t="s">
        <v>2831</v>
      </c>
      <c r="B3929" s="37">
        <v>43712</v>
      </c>
      <c r="C3929" s="12">
        <v>7</v>
      </c>
      <c r="D3929" s="38" t="s">
        <v>1536</v>
      </c>
      <c r="E3929" s="39">
        <v>43699</v>
      </c>
      <c r="F3929" s="40" t="s">
        <v>1184</v>
      </c>
      <c r="G3929" s="12">
        <v>3</v>
      </c>
      <c r="H3929" s="12"/>
      <c r="I3929" s="4" t="s">
        <v>1538</v>
      </c>
      <c r="J3929" s="41">
        <f ca="1">ROUNDDOWN(表3[[#This Row],[日期]]-TODAY(),1)</f>
        <v>-78</v>
      </c>
    </row>
    <row r="3930" spans="1:10" hidden="1" x14ac:dyDescent="0.2">
      <c r="A3930" s="4" t="s">
        <v>2831</v>
      </c>
      <c r="B3930" s="37">
        <v>43712</v>
      </c>
      <c r="C3930" s="12">
        <v>8</v>
      </c>
      <c r="D3930" s="38" t="s">
        <v>1532</v>
      </c>
      <c r="E3930" s="39">
        <v>43699</v>
      </c>
      <c r="F3930" s="40" t="s">
        <v>1184</v>
      </c>
      <c r="G3930" s="12">
        <v>3</v>
      </c>
      <c r="H3930" s="12"/>
      <c r="J3930" s="41">
        <f ca="1">ROUNDDOWN(表3[[#This Row],[日期]]-TODAY(),1)</f>
        <v>-78</v>
      </c>
    </row>
    <row r="3931" spans="1:10" hidden="1" x14ac:dyDescent="0.2">
      <c r="A3931" s="4" t="s">
        <v>2831</v>
      </c>
      <c r="B3931" s="37">
        <v>43712</v>
      </c>
      <c r="C3931" s="12">
        <v>9</v>
      </c>
      <c r="D3931" s="38" t="s">
        <v>1540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-78</v>
      </c>
    </row>
    <row r="3932" spans="1:10" hidden="1" x14ac:dyDescent="0.2">
      <c r="A3932" s="4" t="s">
        <v>2831</v>
      </c>
      <c r="B3932" s="37">
        <v>43712</v>
      </c>
      <c r="C3932" s="12">
        <v>10</v>
      </c>
      <c r="D3932" s="38" t="s">
        <v>2502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-67</v>
      </c>
    </row>
    <row r="3933" spans="1:10" hidden="1" x14ac:dyDescent="0.2">
      <c r="A3933" s="4" t="s">
        <v>2831</v>
      </c>
      <c r="B3933" s="37">
        <v>43712</v>
      </c>
      <c r="C3933" s="12">
        <v>12</v>
      </c>
      <c r="D3933" s="38" t="s">
        <v>1542</v>
      </c>
      <c r="E3933" s="39">
        <v>43710</v>
      </c>
      <c r="F3933" s="40" t="s">
        <v>242</v>
      </c>
      <c r="G3933" s="12">
        <v>1</v>
      </c>
      <c r="H3933" s="12"/>
      <c r="I3933" s="4" t="s">
        <v>530</v>
      </c>
      <c r="J3933" s="41">
        <f ca="1">ROUNDDOWN(表3[[#This Row],[日期]]-TODAY(),1)</f>
        <v>-67</v>
      </c>
    </row>
    <row r="3934" spans="1:10" hidden="1" x14ac:dyDescent="0.2">
      <c r="A3934" s="4" t="s">
        <v>2831</v>
      </c>
      <c r="B3934" s="37">
        <v>43712</v>
      </c>
      <c r="C3934" s="12">
        <v>13</v>
      </c>
      <c r="D3934" s="38" t="s">
        <v>1544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-67</v>
      </c>
    </row>
    <row r="3935" spans="1:10" hidden="1" x14ac:dyDescent="0.2">
      <c r="A3935" s="4" t="s">
        <v>2831</v>
      </c>
      <c r="B3935" s="37">
        <v>43712</v>
      </c>
      <c r="C3935" s="12">
        <v>14</v>
      </c>
      <c r="D3935" s="38" t="s">
        <v>1546</v>
      </c>
      <c r="E3935" s="39">
        <v>43710</v>
      </c>
      <c r="F3935" s="40" t="s">
        <v>242</v>
      </c>
      <c r="G3935" s="12">
        <v>1</v>
      </c>
      <c r="H3935" s="12"/>
      <c r="I3935" s="4" t="s">
        <v>1548</v>
      </c>
      <c r="J3935" s="41">
        <f ca="1">ROUNDDOWN(表3[[#This Row],[日期]]-TODAY(),1)</f>
        <v>-67</v>
      </c>
    </row>
    <row r="3936" spans="1:10" hidden="1" x14ac:dyDescent="0.2">
      <c r="A3936" s="4" t="s">
        <v>2831</v>
      </c>
      <c r="B3936" s="37">
        <v>43712</v>
      </c>
      <c r="C3936" s="12">
        <v>15</v>
      </c>
      <c r="D3936" s="38" t="s">
        <v>1550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-67</v>
      </c>
    </row>
    <row r="3937" spans="1:10" hidden="1" x14ac:dyDescent="0.2">
      <c r="A3937" s="4" t="s">
        <v>2831</v>
      </c>
      <c r="B3937" s="37">
        <v>43712</v>
      </c>
      <c r="C3937" s="12">
        <v>16</v>
      </c>
      <c r="D3937" s="38" t="s">
        <v>1557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-67</v>
      </c>
    </row>
    <row r="3938" spans="1:10" hidden="1" x14ac:dyDescent="0.2">
      <c r="A3938" s="4" t="s">
        <v>2831</v>
      </c>
      <c r="B3938" s="37">
        <v>43712</v>
      </c>
      <c r="C3938" s="12">
        <v>17</v>
      </c>
      <c r="D3938" s="38" t="s">
        <v>1551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-67</v>
      </c>
    </row>
    <row r="3939" spans="1:10" hidden="1" x14ac:dyDescent="0.2">
      <c r="A3939" s="4" t="s">
        <v>2831</v>
      </c>
      <c r="B3939" s="37">
        <v>43712</v>
      </c>
      <c r="C3939" s="12">
        <v>18</v>
      </c>
      <c r="D3939" s="38" t="s">
        <v>1553</v>
      </c>
      <c r="E3939" s="39">
        <v>43710</v>
      </c>
      <c r="F3939" s="40" t="s">
        <v>242</v>
      </c>
      <c r="G3939" s="12">
        <v>1</v>
      </c>
      <c r="H3939" s="12"/>
      <c r="I3939" s="4" t="s">
        <v>1555</v>
      </c>
      <c r="J3939" s="41">
        <f ca="1">ROUNDDOWN(表3[[#This Row],[日期]]-TODAY(),1)</f>
        <v>-67</v>
      </c>
    </row>
    <row r="3940" spans="1:10" hidden="1" x14ac:dyDescent="0.2">
      <c r="A3940" s="4" t="s">
        <v>2831</v>
      </c>
      <c r="B3940" s="37">
        <v>43712</v>
      </c>
      <c r="C3940" s="12">
        <v>19</v>
      </c>
      <c r="D3940" s="38" t="s">
        <v>1559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-67</v>
      </c>
    </row>
    <row r="3941" spans="1:10" hidden="1" x14ac:dyDescent="0.2">
      <c r="A3941" s="4" t="s">
        <v>2831</v>
      </c>
      <c r="B3941" s="37">
        <v>43712</v>
      </c>
      <c r="C3941" s="12">
        <v>20</v>
      </c>
      <c r="D3941" s="38" t="s">
        <v>1561</v>
      </c>
      <c r="E3941" s="39">
        <v>43710</v>
      </c>
      <c r="F3941" s="40" t="s">
        <v>1184</v>
      </c>
      <c r="G3941" s="12">
        <v>1</v>
      </c>
      <c r="H3941" s="12"/>
      <c r="J3941" s="41">
        <f ca="1">ROUNDDOWN(表3[[#This Row],[日期]]-TODAY(),1)</f>
        <v>-67</v>
      </c>
    </row>
    <row r="3942" spans="1:10" hidden="1" x14ac:dyDescent="0.2">
      <c r="A3942" s="4" t="s">
        <v>2831</v>
      </c>
      <c r="B3942" s="37">
        <v>43712</v>
      </c>
      <c r="C3942" s="12">
        <v>21</v>
      </c>
      <c r="D3942" s="38" t="s">
        <v>1563</v>
      </c>
      <c r="E3942" s="39">
        <v>43710</v>
      </c>
      <c r="F3942" s="40" t="s">
        <v>1184</v>
      </c>
      <c r="G3942" s="12">
        <v>1</v>
      </c>
      <c r="H3942" s="12"/>
      <c r="J3942" s="41">
        <f ca="1">ROUNDDOWN(表3[[#This Row],[日期]]-TODAY(),1)</f>
        <v>-67</v>
      </c>
    </row>
    <row r="3943" spans="1:10" hidden="1" x14ac:dyDescent="0.2">
      <c r="A3943" s="4" t="s">
        <v>2831</v>
      </c>
      <c r="B3943" s="37">
        <v>43712</v>
      </c>
      <c r="C3943" s="12">
        <v>22</v>
      </c>
      <c r="D3943" s="38" t="s">
        <v>1565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-67</v>
      </c>
    </row>
    <row r="3944" spans="1:10" hidden="1" x14ac:dyDescent="0.2">
      <c r="A3944" s="4" t="s">
        <v>2831</v>
      </c>
      <c r="B3944" s="37">
        <v>43712</v>
      </c>
      <c r="C3944" s="12">
        <v>23</v>
      </c>
      <c r="D3944" s="38" t="s">
        <v>1567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-67</v>
      </c>
    </row>
    <row r="3945" spans="1:10" hidden="1" x14ac:dyDescent="0.2">
      <c r="A3945" s="4" t="s">
        <v>2831</v>
      </c>
      <c r="B3945" s="37">
        <v>43712</v>
      </c>
      <c r="C3945" s="12">
        <v>24</v>
      </c>
      <c r="D3945" s="38" t="s">
        <v>1569</v>
      </c>
      <c r="E3945" s="39">
        <v>43710</v>
      </c>
      <c r="F3945" s="40" t="s">
        <v>242</v>
      </c>
      <c r="G3945" s="12">
        <v>1</v>
      </c>
      <c r="H3945" s="12"/>
      <c r="I3945" s="4" t="s">
        <v>1529</v>
      </c>
      <c r="J3945" s="41">
        <f ca="1">ROUNDDOWN(表3[[#This Row],[日期]]-TODAY(),1)</f>
        <v>-67</v>
      </c>
    </row>
    <row r="3946" spans="1:10" hidden="1" x14ac:dyDescent="0.2">
      <c r="A3946" s="4" t="s">
        <v>2831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-63</v>
      </c>
    </row>
    <row r="3947" spans="1:10" hidden="1" x14ac:dyDescent="0.2">
      <c r="A3947" s="4" t="s">
        <v>2831</v>
      </c>
      <c r="B3947" s="37">
        <v>43712</v>
      </c>
      <c r="C3947" s="12">
        <v>26</v>
      </c>
      <c r="D3947" s="38" t="s">
        <v>1573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-63</v>
      </c>
    </row>
    <row r="3948" spans="1:10" hidden="1" x14ac:dyDescent="0.2">
      <c r="A3948" s="4" t="s">
        <v>2831</v>
      </c>
      <c r="B3948" s="37">
        <v>43712</v>
      </c>
      <c r="C3948" s="12">
        <v>27</v>
      </c>
      <c r="D3948" s="38" t="s">
        <v>1571</v>
      </c>
      <c r="E3948" s="39">
        <v>43714</v>
      </c>
      <c r="F3948" s="40" t="s">
        <v>242</v>
      </c>
      <c r="G3948" s="12">
        <v>4</v>
      </c>
      <c r="H3948" s="12"/>
      <c r="I3948" s="4" t="s">
        <v>1529</v>
      </c>
      <c r="J3948" s="41">
        <f ca="1">ROUNDDOWN(表3[[#This Row],[日期]]-TODAY(),1)</f>
        <v>-63</v>
      </c>
    </row>
    <row r="3949" spans="1:10" hidden="1" x14ac:dyDescent="0.2">
      <c r="A3949" s="4" t="s">
        <v>2831</v>
      </c>
      <c r="B3949" s="37">
        <v>43712</v>
      </c>
      <c r="C3949" s="12"/>
      <c r="D3949" s="38" t="s">
        <v>2497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-70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927</v>
      </c>
      <c r="E3950" s="39">
        <v>43703</v>
      </c>
      <c r="F3950" s="40" t="s">
        <v>2464</v>
      </c>
      <c r="G3950" s="12"/>
      <c r="H3950" s="12"/>
      <c r="I3950" s="4" t="s">
        <v>27</v>
      </c>
      <c r="J3950" s="41">
        <f ca="1">ROUNDDOWN(表3[[#This Row],[日期]]-TODAY(),1)</f>
        <v>-74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2464</v>
      </c>
      <c r="G3951" s="12"/>
      <c r="H3951" s="12"/>
      <c r="J3951" s="41">
        <f ca="1">ROUNDDOWN(表3[[#This Row],[日期]]-TODAY(),1)</f>
        <v>-74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1210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-70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-70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-70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1576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-70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1577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-70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-70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928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-67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1740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-67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1578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-67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1742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-67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1744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-67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1746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-67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1748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-65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1750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-65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929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-66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1752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-66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-66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930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-66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-66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931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-66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2472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-66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1919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-66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-66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-66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-66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-66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-66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-66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2473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-65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933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-65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2474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-65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-65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-65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1072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-65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-65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-65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-64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-64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2335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-60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305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-62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2475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-60</v>
      </c>
    </row>
    <row r="3993" spans="1:10" hidden="1" x14ac:dyDescent="0.2">
      <c r="A3993" s="4" t="s">
        <v>2566</v>
      </c>
      <c r="B3993" s="37">
        <v>43716</v>
      </c>
      <c r="C3993" s="12">
        <v>1</v>
      </c>
      <c r="D3993" s="38" t="s">
        <v>2567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-64</v>
      </c>
    </row>
    <row r="3994" spans="1:10" hidden="1" x14ac:dyDescent="0.2">
      <c r="A3994" s="4" t="s">
        <v>2566</v>
      </c>
      <c r="B3994" s="37">
        <v>43716</v>
      </c>
      <c r="C3994" s="12">
        <v>2</v>
      </c>
      <c r="D3994" s="38" t="s">
        <v>2609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-60</v>
      </c>
    </row>
    <row r="3995" spans="1:10" hidden="1" x14ac:dyDescent="0.2">
      <c r="A3995" s="4" t="s">
        <v>2566</v>
      </c>
      <c r="B3995" s="37">
        <v>43716</v>
      </c>
      <c r="C3995" s="12">
        <v>3</v>
      </c>
      <c r="D3995" s="38" t="s">
        <v>2680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-58</v>
      </c>
    </row>
    <row r="3996" spans="1:10" hidden="1" x14ac:dyDescent="0.2">
      <c r="A3996" s="4" t="s">
        <v>2566</v>
      </c>
      <c r="B3996" s="37">
        <v>43716</v>
      </c>
      <c r="C3996" s="12">
        <v>4</v>
      </c>
      <c r="D3996" s="38" t="s">
        <v>2731</v>
      </c>
      <c r="E3996" s="39">
        <v>43724</v>
      </c>
      <c r="F3996" s="40" t="s">
        <v>2715</v>
      </c>
      <c r="G3996" s="12">
        <v>1</v>
      </c>
      <c r="H3996" s="12"/>
      <c r="J3996" s="41">
        <f ca="1">ROUNDDOWN(表3[[#This Row],[日期]]-TODAY(),1)</f>
        <v>-53</v>
      </c>
    </row>
    <row r="3997" spans="1:10" hidden="1" x14ac:dyDescent="0.2">
      <c r="A3997" s="4" t="s">
        <v>2566</v>
      </c>
      <c r="B3997" s="37">
        <v>43716</v>
      </c>
      <c r="C3997" s="12">
        <v>5</v>
      </c>
      <c r="D3997" s="38" t="s">
        <v>2727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-53</v>
      </c>
    </row>
    <row r="3998" spans="1:10" hidden="1" x14ac:dyDescent="0.2">
      <c r="A3998" s="4" t="s">
        <v>2566</v>
      </c>
      <c r="B3998" s="37">
        <v>43716</v>
      </c>
      <c r="C3998" s="12">
        <v>6</v>
      </c>
      <c r="D3998" s="38" t="s">
        <v>2728</v>
      </c>
      <c r="E3998" s="39">
        <v>43724</v>
      </c>
      <c r="F3998" s="40" t="s">
        <v>2715</v>
      </c>
      <c r="G3998" s="12"/>
      <c r="H3998" s="12"/>
      <c r="J3998" s="41">
        <f ca="1">ROUNDDOWN(表3[[#This Row],[日期]]-TODAY(),1)</f>
        <v>-53</v>
      </c>
    </row>
    <row r="3999" spans="1:10" hidden="1" x14ac:dyDescent="0.2">
      <c r="A3999" s="4" t="s">
        <v>2566</v>
      </c>
      <c r="B3999" s="37">
        <v>43716</v>
      </c>
      <c r="C3999" s="12">
        <v>7</v>
      </c>
      <c r="D3999" s="38" t="s">
        <v>2730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-53</v>
      </c>
    </row>
    <row r="4000" spans="1:10" hidden="1" x14ac:dyDescent="0.2">
      <c r="A4000" s="4" t="s">
        <v>2566</v>
      </c>
      <c r="B4000" s="37">
        <v>43716</v>
      </c>
      <c r="C4000" s="12">
        <v>8</v>
      </c>
      <c r="D4000" s="38" t="s">
        <v>2532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-46</v>
      </c>
    </row>
    <row r="4001" spans="1:10" hidden="1" x14ac:dyDescent="0.2">
      <c r="A4001" s="4" t="s">
        <v>2566</v>
      </c>
      <c r="B4001" s="37">
        <v>43716</v>
      </c>
      <c r="C4001" s="12">
        <v>9</v>
      </c>
      <c r="D4001" s="38" t="s">
        <v>2732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-52</v>
      </c>
    </row>
    <row r="4002" spans="1:10" hidden="1" x14ac:dyDescent="0.2">
      <c r="A4002" s="4" t="s">
        <v>2566</v>
      </c>
      <c r="B4002" s="37">
        <v>43716</v>
      </c>
      <c r="C4002" s="12">
        <v>10</v>
      </c>
      <c r="D4002" s="38" t="s">
        <v>2781</v>
      </c>
      <c r="E4002" s="39">
        <v>43727</v>
      </c>
      <c r="F4002" s="40" t="s">
        <v>2779</v>
      </c>
      <c r="G4002" s="12"/>
      <c r="H4002" s="12"/>
      <c r="J4002" s="41">
        <f ca="1">ROUNDDOWN(表3[[#This Row],[日期]]-TODAY(),1)</f>
        <v>-50</v>
      </c>
    </row>
    <row r="4003" spans="1:10" hidden="1" x14ac:dyDescent="0.2">
      <c r="A4003" s="4" t="s">
        <v>2566</v>
      </c>
      <c r="B4003" s="37">
        <v>43716</v>
      </c>
      <c r="C4003" s="12">
        <v>11</v>
      </c>
      <c r="D4003" s="38" t="s">
        <v>2770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-46</v>
      </c>
    </row>
    <row r="4004" spans="1:10" hidden="1" x14ac:dyDescent="0.2">
      <c r="A4004" s="4" t="s">
        <v>2566</v>
      </c>
      <c r="B4004" s="37">
        <v>43716</v>
      </c>
      <c r="C4004" s="12">
        <v>12</v>
      </c>
      <c r="D4004" s="38" t="s">
        <v>2780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-46</v>
      </c>
    </row>
    <row r="4005" spans="1:10" hidden="1" x14ac:dyDescent="0.2">
      <c r="A4005" s="4" t="s">
        <v>2566</v>
      </c>
      <c r="B4005" s="37">
        <v>43716</v>
      </c>
      <c r="C4005" s="12">
        <v>13</v>
      </c>
      <c r="D4005" s="38" t="s">
        <v>2809</v>
      </c>
      <c r="E4005" s="39">
        <v>43731</v>
      </c>
      <c r="F4005" s="40" t="s">
        <v>242</v>
      </c>
      <c r="G4005" s="12">
        <v>4</v>
      </c>
      <c r="H4005" s="12"/>
      <c r="I4005" s="4" t="s">
        <v>2862</v>
      </c>
      <c r="J4005" s="41">
        <f ca="1">ROUNDDOWN(表3[[#This Row],[日期]]-TODAY(),1)</f>
        <v>-46</v>
      </c>
    </row>
    <row r="4006" spans="1:10" hidden="1" x14ac:dyDescent="0.2">
      <c r="A4006" s="4" t="s">
        <v>2566</v>
      </c>
      <c r="B4006" s="37">
        <v>43716</v>
      </c>
      <c r="C4006" s="12">
        <v>14</v>
      </c>
      <c r="D4006" s="38" t="s">
        <v>2807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-49</v>
      </c>
    </row>
    <row r="4007" spans="1:10" hidden="1" x14ac:dyDescent="0.2">
      <c r="A4007" s="4" t="s">
        <v>2566</v>
      </c>
      <c r="B4007" s="37">
        <v>43716</v>
      </c>
      <c r="C4007" s="12">
        <v>15</v>
      </c>
      <c r="D4007" s="38" t="s">
        <v>2609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-38</v>
      </c>
    </row>
    <row r="4008" spans="1:10" hidden="1" x14ac:dyDescent="0.2">
      <c r="A4008" s="4" t="s">
        <v>1371</v>
      </c>
      <c r="B4008" s="37">
        <v>43716</v>
      </c>
      <c r="C4008" s="12">
        <v>1</v>
      </c>
      <c r="D4008" s="38" t="s">
        <v>1805</v>
      </c>
      <c r="E4008" s="39">
        <v>43672</v>
      </c>
      <c r="F4008" s="40" t="s">
        <v>2002</v>
      </c>
      <c r="G4008" s="12"/>
      <c r="H4008" s="12"/>
      <c r="J4008" s="41">
        <f ca="1">ROUNDDOWN(表3[[#This Row],[日期]]-TODAY(),1)</f>
        <v>-105</v>
      </c>
    </row>
    <row r="4009" spans="1:10" hidden="1" x14ac:dyDescent="0.2">
      <c r="A4009" s="4" t="s">
        <v>1371</v>
      </c>
      <c r="B4009" s="37">
        <v>43716</v>
      </c>
      <c r="C4009" s="12">
        <v>2</v>
      </c>
      <c r="D4009" s="38" t="s">
        <v>1806</v>
      </c>
      <c r="E4009" s="39">
        <v>43677</v>
      </c>
      <c r="F4009" s="40" t="s">
        <v>2002</v>
      </c>
      <c r="G4009" s="12"/>
      <c r="H4009" s="12"/>
      <c r="J4009" s="41">
        <f ca="1">ROUNDDOWN(表3[[#This Row],[日期]]-TODAY(),1)</f>
        <v>-100</v>
      </c>
    </row>
    <row r="4010" spans="1:10" hidden="1" x14ac:dyDescent="0.2">
      <c r="A4010" s="4" t="s">
        <v>1371</v>
      </c>
      <c r="B4010" s="37">
        <v>43716</v>
      </c>
      <c r="C4010" s="12">
        <v>3</v>
      </c>
      <c r="D4010" s="38" t="s">
        <v>1807</v>
      </c>
      <c r="E4010" s="39">
        <v>43677</v>
      </c>
      <c r="F4010" s="40" t="s">
        <v>2002</v>
      </c>
      <c r="G4010" s="12"/>
      <c r="H4010" s="12"/>
      <c r="J4010" s="41">
        <f ca="1">ROUNDDOWN(表3[[#This Row],[日期]]-TODAY(),1)</f>
        <v>-100</v>
      </c>
    </row>
    <row r="4011" spans="1:10" hidden="1" x14ac:dyDescent="0.2">
      <c r="A4011" s="4" t="s">
        <v>1371</v>
      </c>
      <c r="B4011" s="37">
        <v>43716</v>
      </c>
      <c r="C4011" s="12">
        <v>4</v>
      </c>
      <c r="D4011" s="38" t="s">
        <v>1808</v>
      </c>
      <c r="E4011" s="39">
        <v>43677</v>
      </c>
      <c r="F4011" s="40" t="s">
        <v>2002</v>
      </c>
      <c r="G4011" s="12"/>
      <c r="H4011" s="12"/>
      <c r="J4011" s="41">
        <f ca="1">ROUNDDOWN(表3[[#This Row],[日期]]-TODAY(),1)</f>
        <v>-100</v>
      </c>
    </row>
    <row r="4012" spans="1:10" hidden="1" x14ac:dyDescent="0.2">
      <c r="A4012" s="4" t="s">
        <v>1371</v>
      </c>
      <c r="B4012" s="37">
        <v>43716</v>
      </c>
      <c r="C4012" s="12">
        <v>4.0999999999999996</v>
      </c>
      <c r="D4012" s="38" t="s">
        <v>2043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-100</v>
      </c>
    </row>
    <row r="4013" spans="1:10" hidden="1" x14ac:dyDescent="0.2">
      <c r="A4013" s="4" t="s">
        <v>1371</v>
      </c>
      <c r="B4013" s="37">
        <v>43716</v>
      </c>
      <c r="C4013" s="12">
        <v>5</v>
      </c>
      <c r="D4013" s="38" t="s">
        <v>2029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-66</v>
      </c>
    </row>
    <row r="4014" spans="1:10" hidden="1" x14ac:dyDescent="0.2">
      <c r="A4014" s="4" t="s">
        <v>1371</v>
      </c>
      <c r="B4014" s="37">
        <v>43716</v>
      </c>
      <c r="C4014" s="12">
        <v>6</v>
      </c>
      <c r="D4014" s="38" t="s">
        <v>1653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-66</v>
      </c>
    </row>
    <row r="4015" spans="1:10" hidden="1" x14ac:dyDescent="0.2">
      <c r="A4015" s="4" t="s">
        <v>1371</v>
      </c>
      <c r="B4015" s="37">
        <v>43716</v>
      </c>
      <c r="C4015" s="12">
        <v>7</v>
      </c>
      <c r="D4015" s="38" t="s">
        <v>2011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-64</v>
      </c>
    </row>
    <row r="4016" spans="1:10" hidden="1" x14ac:dyDescent="0.2">
      <c r="A4016" s="4" t="s">
        <v>1371</v>
      </c>
      <c r="B4016" s="37">
        <v>43716</v>
      </c>
      <c r="C4016" s="12">
        <v>8</v>
      </c>
      <c r="D4016" s="38" t="s">
        <v>1655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-64</v>
      </c>
    </row>
    <row r="4017" spans="1:10" hidden="1" x14ac:dyDescent="0.2">
      <c r="A4017" s="4" t="s">
        <v>1371</v>
      </c>
      <c r="B4017" s="37">
        <v>43716</v>
      </c>
      <c r="C4017" s="12">
        <v>9</v>
      </c>
      <c r="D4017" s="38" t="s">
        <v>2012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-64</v>
      </c>
    </row>
    <row r="4018" spans="1:10" hidden="1" x14ac:dyDescent="0.2">
      <c r="A4018" s="4" t="s">
        <v>1371</v>
      </c>
      <c r="B4018" s="37">
        <v>43716</v>
      </c>
      <c r="C4018" s="12">
        <v>10</v>
      </c>
      <c r="D4018" s="38" t="s">
        <v>2013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-64</v>
      </c>
    </row>
    <row r="4019" spans="1:10" hidden="1" x14ac:dyDescent="0.2">
      <c r="A4019" s="4" t="s">
        <v>1371</v>
      </c>
      <c r="B4019" s="37">
        <v>43716</v>
      </c>
      <c r="C4019" s="12">
        <v>11</v>
      </c>
      <c r="D4019" s="38" t="s">
        <v>2014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-64</v>
      </c>
    </row>
    <row r="4020" spans="1:10" hidden="1" x14ac:dyDescent="0.2">
      <c r="A4020" s="4" t="s">
        <v>1371</v>
      </c>
      <c r="B4020" s="37">
        <v>43716</v>
      </c>
      <c r="C4020" s="12">
        <v>12</v>
      </c>
      <c r="D4020" s="38" t="s">
        <v>2015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-64</v>
      </c>
    </row>
    <row r="4021" spans="1:10" hidden="1" x14ac:dyDescent="0.2">
      <c r="A4021" s="4" t="s">
        <v>1371</v>
      </c>
      <c r="B4021" s="37">
        <v>43716</v>
      </c>
      <c r="C4021" s="12">
        <v>13</v>
      </c>
      <c r="D4021" s="38" t="s">
        <v>2016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-64</v>
      </c>
    </row>
    <row r="4022" spans="1:10" hidden="1" x14ac:dyDescent="0.2">
      <c r="A4022" s="4" t="s">
        <v>1371</v>
      </c>
      <c r="B4022" s="37">
        <v>43716</v>
      </c>
      <c r="C4022" s="12">
        <v>14</v>
      </c>
      <c r="D4022" s="38" t="s">
        <v>2017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-64</v>
      </c>
    </row>
    <row r="4023" spans="1:10" hidden="1" x14ac:dyDescent="0.2">
      <c r="A4023" s="4" t="s">
        <v>1371</v>
      </c>
      <c r="B4023" s="37">
        <v>43716</v>
      </c>
      <c r="C4023" s="12">
        <v>15</v>
      </c>
      <c r="D4023" s="38" t="s">
        <v>2018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-64</v>
      </c>
    </row>
    <row r="4024" spans="1:10" hidden="1" x14ac:dyDescent="0.2">
      <c r="A4024" s="4" t="s">
        <v>1371</v>
      </c>
      <c r="B4024" s="37">
        <v>43716</v>
      </c>
      <c r="C4024" s="12">
        <v>16</v>
      </c>
      <c r="D4024" s="38" t="s">
        <v>269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-63</v>
      </c>
    </row>
    <row r="4025" spans="1:10" hidden="1" x14ac:dyDescent="0.2">
      <c r="A4025" s="4" t="s">
        <v>1371</v>
      </c>
      <c r="B4025" s="37">
        <v>43716</v>
      </c>
      <c r="C4025" s="12">
        <v>17</v>
      </c>
      <c r="D4025" s="38" t="s">
        <v>271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-63</v>
      </c>
    </row>
    <row r="4026" spans="1:10" hidden="1" x14ac:dyDescent="0.2">
      <c r="A4026" s="4" t="s">
        <v>1371</v>
      </c>
      <c r="B4026" s="37">
        <v>43716</v>
      </c>
      <c r="C4026" s="12">
        <v>18</v>
      </c>
      <c r="D4026" s="38" t="s">
        <v>273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-62</v>
      </c>
    </row>
    <row r="4027" spans="1:10" hidden="1" x14ac:dyDescent="0.2">
      <c r="A4027" s="4" t="s">
        <v>1371</v>
      </c>
      <c r="B4027" s="37">
        <v>43716</v>
      </c>
      <c r="C4027" s="12">
        <v>19</v>
      </c>
      <c r="D4027" s="38" t="s">
        <v>275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-58</v>
      </c>
    </row>
    <row r="4028" spans="1:10" hidden="1" x14ac:dyDescent="0.2">
      <c r="A4028" s="4" t="s">
        <v>1371</v>
      </c>
      <c r="B4028" s="37">
        <v>43716</v>
      </c>
      <c r="C4028" s="12">
        <v>20</v>
      </c>
      <c r="D4028" s="38" t="s">
        <v>2653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-58</v>
      </c>
    </row>
    <row r="4029" spans="1:10" hidden="1" x14ac:dyDescent="0.2">
      <c r="A4029" s="4" t="s">
        <v>1371</v>
      </c>
      <c r="B4029" s="37">
        <v>43716</v>
      </c>
      <c r="C4029" s="12">
        <v>21</v>
      </c>
      <c r="D4029" s="38" t="s">
        <v>2019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-58</v>
      </c>
    </row>
    <row r="4030" spans="1:10" hidden="1" x14ac:dyDescent="0.2">
      <c r="A4030" s="4" t="s">
        <v>1371</v>
      </c>
      <c r="B4030" s="37">
        <v>43716</v>
      </c>
      <c r="C4030" s="12">
        <v>22</v>
      </c>
      <c r="D4030" s="38" t="s">
        <v>1990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-52</v>
      </c>
    </row>
    <row r="4031" spans="1:10" hidden="1" x14ac:dyDescent="0.2">
      <c r="A4031" s="4" t="s">
        <v>1371</v>
      </c>
      <c r="B4031" s="37">
        <v>43716</v>
      </c>
      <c r="C4031" s="12">
        <v>23</v>
      </c>
      <c r="D4031" s="38" t="s">
        <v>2020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-52</v>
      </c>
    </row>
    <row r="4032" spans="1:10" hidden="1" x14ac:dyDescent="0.2">
      <c r="A4032" s="4" t="s">
        <v>2831</v>
      </c>
      <c r="B4032" s="37">
        <v>43716</v>
      </c>
      <c r="C4032" s="12">
        <v>1</v>
      </c>
      <c r="D4032" s="38" t="s">
        <v>507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-67</v>
      </c>
    </row>
    <row r="4033" spans="1:10" hidden="1" x14ac:dyDescent="0.2">
      <c r="A4033" s="4" t="s">
        <v>2831</v>
      </c>
      <c r="B4033" s="37">
        <v>43716</v>
      </c>
      <c r="C4033" s="12">
        <v>2</v>
      </c>
      <c r="D4033" s="38" t="s">
        <v>1518</v>
      </c>
      <c r="E4033" s="39">
        <v>43711</v>
      </c>
      <c r="F4033" s="40" t="s">
        <v>242</v>
      </c>
      <c r="G4033" s="12"/>
      <c r="H4033" s="12"/>
      <c r="I4033" s="4" t="s">
        <v>1521</v>
      </c>
      <c r="J4033" s="41">
        <f ca="1">ROUNDDOWN(表3[[#This Row],[日期]]-TODAY(),1)</f>
        <v>-66</v>
      </c>
    </row>
    <row r="4034" spans="1:10" hidden="1" x14ac:dyDescent="0.2">
      <c r="A4034" s="4" t="s">
        <v>2831</v>
      </c>
      <c r="B4034" s="37">
        <v>43716</v>
      </c>
      <c r="C4034" s="12">
        <v>3</v>
      </c>
      <c r="D4034" s="38" t="s">
        <v>1779</v>
      </c>
      <c r="E4034" s="39">
        <v>43711</v>
      </c>
      <c r="F4034" s="40" t="s">
        <v>242</v>
      </c>
      <c r="G4034" s="12"/>
      <c r="H4034" s="12"/>
      <c r="I4034" s="4" t="s">
        <v>1523</v>
      </c>
      <c r="J4034" s="41">
        <f ca="1">ROUNDDOWN(表3[[#This Row],[日期]]-TODAY(),1)</f>
        <v>-66</v>
      </c>
    </row>
    <row r="4035" spans="1:10" hidden="1" x14ac:dyDescent="0.2">
      <c r="A4035" s="4" t="s">
        <v>2831</v>
      </c>
      <c r="B4035" s="37">
        <v>43716</v>
      </c>
      <c r="C4035" s="12">
        <v>4</v>
      </c>
      <c r="D4035" s="38" t="s">
        <v>1526</v>
      </c>
      <c r="E4035" s="39">
        <v>43711</v>
      </c>
      <c r="F4035" s="40" t="s">
        <v>242</v>
      </c>
      <c r="G4035" s="12"/>
      <c r="H4035" s="12"/>
      <c r="I4035" s="4" t="s">
        <v>1528</v>
      </c>
      <c r="J4035" s="41">
        <f ca="1">ROUNDDOWN(表3[[#This Row],[日期]]-TODAY(),1)</f>
        <v>-66</v>
      </c>
    </row>
    <row r="4036" spans="1:10" hidden="1" x14ac:dyDescent="0.2">
      <c r="A4036" s="4" t="s">
        <v>2831</v>
      </c>
      <c r="B4036" s="37">
        <v>43716</v>
      </c>
      <c r="C4036" s="12">
        <v>5</v>
      </c>
      <c r="D4036" s="38" t="s">
        <v>1703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-66</v>
      </c>
    </row>
    <row r="4037" spans="1:10" hidden="1" x14ac:dyDescent="0.2">
      <c r="A4037" s="4" t="s">
        <v>2831</v>
      </c>
      <c r="B4037" s="37">
        <v>43716</v>
      </c>
      <c r="C4037" s="12">
        <v>6</v>
      </c>
      <c r="D4037" s="38" t="s">
        <v>1533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-66</v>
      </c>
    </row>
    <row r="4038" spans="1:10" hidden="1" x14ac:dyDescent="0.2">
      <c r="A4038" s="4" t="s">
        <v>2831</v>
      </c>
      <c r="B4038" s="37">
        <v>43716</v>
      </c>
      <c r="C4038" s="12">
        <v>7</v>
      </c>
      <c r="D4038" s="38" t="s">
        <v>1535</v>
      </c>
      <c r="E4038" s="39">
        <v>43711</v>
      </c>
      <c r="F4038" s="40" t="s">
        <v>1184</v>
      </c>
      <c r="G4038" s="12"/>
      <c r="H4038" s="12"/>
      <c r="I4038" s="4" t="s">
        <v>1537</v>
      </c>
      <c r="J4038" s="41">
        <f ca="1">ROUNDDOWN(表3[[#This Row],[日期]]-TODAY(),1)</f>
        <v>-66</v>
      </c>
    </row>
    <row r="4039" spans="1:10" hidden="1" x14ac:dyDescent="0.2">
      <c r="A4039" s="4" t="s">
        <v>2831</v>
      </c>
      <c r="B4039" s="37">
        <v>43716</v>
      </c>
      <c r="C4039" s="12">
        <v>8</v>
      </c>
      <c r="D4039" s="38" t="s">
        <v>1531</v>
      </c>
      <c r="E4039" s="39">
        <v>43711</v>
      </c>
      <c r="F4039" s="40" t="s">
        <v>1184</v>
      </c>
      <c r="G4039" s="12"/>
      <c r="H4039" s="12"/>
      <c r="J4039" s="41">
        <f ca="1">ROUNDDOWN(表3[[#This Row],[日期]]-TODAY(),1)</f>
        <v>-66</v>
      </c>
    </row>
    <row r="4040" spans="1:10" hidden="1" x14ac:dyDescent="0.2">
      <c r="A4040" s="4" t="s">
        <v>2831</v>
      </c>
      <c r="B4040" s="37">
        <v>43716</v>
      </c>
      <c r="C4040" s="12">
        <v>9</v>
      </c>
      <c r="D4040" s="38" t="s">
        <v>1539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-66</v>
      </c>
    </row>
    <row r="4041" spans="1:10" hidden="1" x14ac:dyDescent="0.2">
      <c r="A4041" s="4" t="s">
        <v>2831</v>
      </c>
      <c r="B4041" s="37">
        <v>43716</v>
      </c>
      <c r="C4041" s="12">
        <v>10</v>
      </c>
      <c r="D4041" s="38" t="s">
        <v>2558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-66</v>
      </c>
    </row>
    <row r="4042" spans="1:10" hidden="1" x14ac:dyDescent="0.2">
      <c r="A4042" s="4" t="s">
        <v>2831</v>
      </c>
      <c r="B4042" s="37">
        <v>43716</v>
      </c>
      <c r="C4042" s="12">
        <v>12</v>
      </c>
      <c r="D4042" s="38" t="s">
        <v>1541</v>
      </c>
      <c r="E4042" s="39">
        <v>43714</v>
      </c>
      <c r="F4042" s="40" t="s">
        <v>242</v>
      </c>
      <c r="G4042" s="12"/>
      <c r="H4042" s="12"/>
      <c r="I4042" s="4" t="s">
        <v>529</v>
      </c>
      <c r="J4042" s="41">
        <f ca="1">ROUNDDOWN(表3[[#This Row],[日期]]-TODAY(),1)</f>
        <v>-63</v>
      </c>
    </row>
    <row r="4043" spans="1:10" hidden="1" x14ac:dyDescent="0.2">
      <c r="A4043" s="4" t="s">
        <v>2831</v>
      </c>
      <c r="B4043" s="37">
        <v>43716</v>
      </c>
      <c r="C4043" s="12">
        <v>13</v>
      </c>
      <c r="D4043" s="38" t="s">
        <v>1543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-63</v>
      </c>
    </row>
    <row r="4044" spans="1:10" hidden="1" x14ac:dyDescent="0.2">
      <c r="A4044" s="4" t="s">
        <v>2831</v>
      </c>
      <c r="B4044" s="37">
        <v>43716</v>
      </c>
      <c r="C4044" s="12">
        <v>14</v>
      </c>
      <c r="D4044" s="38" t="s">
        <v>1545</v>
      </c>
      <c r="E4044" s="39">
        <v>43714</v>
      </c>
      <c r="F4044" s="40" t="s">
        <v>242</v>
      </c>
      <c r="G4044" s="12"/>
      <c r="H4044" s="12"/>
      <c r="I4044" s="4" t="s">
        <v>1547</v>
      </c>
      <c r="J4044" s="41">
        <f ca="1">ROUNDDOWN(表3[[#This Row],[日期]]-TODAY(),1)</f>
        <v>-63</v>
      </c>
    </row>
    <row r="4045" spans="1:10" hidden="1" x14ac:dyDescent="0.2">
      <c r="A4045" s="4" t="s">
        <v>2831</v>
      </c>
      <c r="B4045" s="37">
        <v>43716</v>
      </c>
      <c r="C4045" s="12">
        <v>15</v>
      </c>
      <c r="D4045" s="38" t="s">
        <v>1549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-63</v>
      </c>
    </row>
    <row r="4046" spans="1:10" hidden="1" x14ac:dyDescent="0.2">
      <c r="A4046" s="4" t="s">
        <v>2831</v>
      </c>
      <c r="B4046" s="37">
        <v>43716</v>
      </c>
      <c r="C4046" s="12">
        <v>16</v>
      </c>
      <c r="D4046" s="38" t="s">
        <v>1556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-63</v>
      </c>
    </row>
    <row r="4047" spans="1:10" hidden="1" x14ac:dyDescent="0.2">
      <c r="A4047" s="4" t="s">
        <v>2831</v>
      </c>
      <c r="B4047" s="37">
        <v>43716</v>
      </c>
      <c r="C4047" s="12">
        <v>17</v>
      </c>
      <c r="D4047" s="38" t="s">
        <v>1298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-63</v>
      </c>
    </row>
    <row r="4048" spans="1:10" hidden="1" x14ac:dyDescent="0.2">
      <c r="A4048" s="4" t="s">
        <v>2831</v>
      </c>
      <c r="B4048" s="37">
        <v>43716</v>
      </c>
      <c r="C4048" s="12">
        <v>18</v>
      </c>
      <c r="D4048" s="38" t="s">
        <v>1552</v>
      </c>
      <c r="E4048" s="39">
        <v>43714</v>
      </c>
      <c r="F4048" s="40" t="s">
        <v>242</v>
      </c>
      <c r="G4048" s="12"/>
      <c r="H4048" s="12"/>
      <c r="I4048" s="4" t="s">
        <v>1554</v>
      </c>
      <c r="J4048" s="41">
        <f ca="1">ROUNDDOWN(表3[[#This Row],[日期]]-TODAY(),1)</f>
        <v>-63</v>
      </c>
    </row>
    <row r="4049" spans="1:10" hidden="1" x14ac:dyDescent="0.2">
      <c r="A4049" s="4" t="s">
        <v>2831</v>
      </c>
      <c r="B4049" s="37">
        <v>43716</v>
      </c>
      <c r="C4049" s="12">
        <v>19</v>
      </c>
      <c r="D4049" s="38" t="s">
        <v>1558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-63</v>
      </c>
    </row>
    <row r="4050" spans="1:10" hidden="1" x14ac:dyDescent="0.2">
      <c r="A4050" s="4" t="s">
        <v>2831</v>
      </c>
      <c r="B4050" s="37">
        <v>43716</v>
      </c>
      <c r="C4050" s="12">
        <v>20</v>
      </c>
      <c r="D4050" s="38" t="s">
        <v>1560</v>
      </c>
      <c r="E4050" s="39">
        <v>43714</v>
      </c>
      <c r="F4050" s="40" t="s">
        <v>1184</v>
      </c>
      <c r="G4050" s="12"/>
      <c r="H4050" s="12"/>
      <c r="J4050" s="41">
        <f ca="1">ROUNDDOWN(表3[[#This Row],[日期]]-TODAY(),1)</f>
        <v>-63</v>
      </c>
    </row>
    <row r="4051" spans="1:10" hidden="1" x14ac:dyDescent="0.2">
      <c r="A4051" s="4" t="s">
        <v>2831</v>
      </c>
      <c r="B4051" s="37">
        <v>43716</v>
      </c>
      <c r="C4051" s="12">
        <v>21</v>
      </c>
      <c r="D4051" s="38" t="s">
        <v>1562</v>
      </c>
      <c r="E4051" s="39">
        <v>43714</v>
      </c>
      <c r="F4051" s="40" t="s">
        <v>1184</v>
      </c>
      <c r="G4051" s="12"/>
      <c r="H4051" s="12"/>
      <c r="J4051" s="41">
        <f ca="1">ROUNDDOWN(表3[[#This Row],[日期]]-TODAY(),1)</f>
        <v>-63</v>
      </c>
    </row>
    <row r="4052" spans="1:10" hidden="1" x14ac:dyDescent="0.2">
      <c r="A4052" s="4" t="s">
        <v>2831</v>
      </c>
      <c r="B4052" s="37">
        <v>43716</v>
      </c>
      <c r="C4052" s="12">
        <v>22</v>
      </c>
      <c r="D4052" s="38" t="s">
        <v>1564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-63</v>
      </c>
    </row>
    <row r="4053" spans="1:10" hidden="1" x14ac:dyDescent="0.2">
      <c r="A4053" s="4" t="s">
        <v>2831</v>
      </c>
      <c r="B4053" s="37">
        <v>43716</v>
      </c>
      <c r="C4053" s="12">
        <v>23</v>
      </c>
      <c r="D4053" s="38" t="s">
        <v>1566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-63</v>
      </c>
    </row>
    <row r="4054" spans="1:10" hidden="1" x14ac:dyDescent="0.2">
      <c r="A4054" s="4" t="s">
        <v>2831</v>
      </c>
      <c r="B4054" s="37">
        <v>43716</v>
      </c>
      <c r="C4054" s="12">
        <v>24</v>
      </c>
      <c r="D4054" s="38" t="s">
        <v>1568</v>
      </c>
      <c r="E4054" s="39">
        <v>43714</v>
      </c>
      <c r="F4054" s="40" t="s">
        <v>242</v>
      </c>
      <c r="G4054" s="12"/>
      <c r="H4054" s="12"/>
      <c r="I4054" s="4" t="s">
        <v>1528</v>
      </c>
      <c r="J4054" s="41">
        <f ca="1">ROUNDDOWN(表3[[#This Row],[日期]]-TODAY(),1)</f>
        <v>-63</v>
      </c>
    </row>
    <row r="4055" spans="1:10" hidden="1" x14ac:dyDescent="0.2">
      <c r="A4055" s="4" t="s">
        <v>2831</v>
      </c>
      <c r="B4055" s="37">
        <v>43716</v>
      </c>
      <c r="C4055" s="12">
        <v>25</v>
      </c>
      <c r="D4055" s="38" t="s">
        <v>305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-59</v>
      </c>
    </row>
    <row r="4056" spans="1:10" hidden="1" x14ac:dyDescent="0.2">
      <c r="A4056" s="4" t="s">
        <v>2831</v>
      </c>
      <c r="B4056" s="37">
        <v>43716</v>
      </c>
      <c r="C4056" s="12">
        <v>26</v>
      </c>
      <c r="D4056" s="38" t="s">
        <v>1572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-59</v>
      </c>
    </row>
    <row r="4057" spans="1:10" hidden="1" x14ac:dyDescent="0.2">
      <c r="A4057" s="4" t="s">
        <v>2831</v>
      </c>
      <c r="B4057" s="37">
        <v>43716</v>
      </c>
      <c r="C4057" s="12">
        <v>27</v>
      </c>
      <c r="D4057" s="38" t="s">
        <v>1570</v>
      </c>
      <c r="E4057" s="39">
        <v>43718</v>
      </c>
      <c r="F4057" s="40" t="s">
        <v>242</v>
      </c>
      <c r="G4057" s="12">
        <v>4</v>
      </c>
      <c r="H4057" s="12"/>
      <c r="I4057" s="4" t="s">
        <v>1528</v>
      </c>
      <c r="J4057" s="41">
        <f ca="1">ROUNDDOWN(表3[[#This Row],[日期]]-TODAY(),1)</f>
        <v>-59</v>
      </c>
    </row>
    <row r="4058" spans="1:10" hidden="1" x14ac:dyDescent="0.2">
      <c r="A4058" s="4" t="s">
        <v>1371</v>
      </c>
      <c r="B4058" s="37">
        <v>43716.041666666664</v>
      </c>
      <c r="C4058" s="12">
        <v>1</v>
      </c>
      <c r="D4058" s="38" t="s">
        <v>1805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-105</v>
      </c>
    </row>
    <row r="4059" spans="1:10" hidden="1" x14ac:dyDescent="0.2">
      <c r="A4059" s="4" t="s">
        <v>1371</v>
      </c>
      <c r="B4059" s="37">
        <v>43716.041666666664</v>
      </c>
      <c r="C4059" s="12">
        <v>2</v>
      </c>
      <c r="D4059" s="38" t="s">
        <v>1806</v>
      </c>
      <c r="E4059" s="39">
        <v>43677</v>
      </c>
      <c r="F4059" s="40" t="s">
        <v>2002</v>
      </c>
      <c r="G4059" s="12"/>
      <c r="H4059" s="12"/>
      <c r="J4059" s="41">
        <f ca="1">ROUNDDOWN(表3[[#This Row],[日期]]-TODAY(),1)</f>
        <v>-100</v>
      </c>
    </row>
    <row r="4060" spans="1:10" hidden="1" x14ac:dyDescent="0.2">
      <c r="A4060" s="4" t="s">
        <v>1371</v>
      </c>
      <c r="B4060" s="37">
        <v>43716.041666666664</v>
      </c>
      <c r="C4060" s="12">
        <v>3</v>
      </c>
      <c r="D4060" s="38" t="s">
        <v>1807</v>
      </c>
      <c r="E4060" s="39">
        <v>43677</v>
      </c>
      <c r="F4060" s="40" t="s">
        <v>2002</v>
      </c>
      <c r="G4060" s="12"/>
      <c r="H4060" s="12"/>
      <c r="J4060" s="41">
        <f ca="1">ROUNDDOWN(表3[[#This Row],[日期]]-TODAY(),1)</f>
        <v>-100</v>
      </c>
    </row>
    <row r="4061" spans="1:10" hidden="1" x14ac:dyDescent="0.2">
      <c r="A4061" s="4" t="s">
        <v>1371</v>
      </c>
      <c r="B4061" s="37">
        <v>43716.041666666664</v>
      </c>
      <c r="C4061" s="12">
        <v>4</v>
      </c>
      <c r="D4061" s="38" t="s">
        <v>1808</v>
      </c>
      <c r="E4061" s="39">
        <v>43677</v>
      </c>
      <c r="F4061" s="40" t="s">
        <v>2002</v>
      </c>
      <c r="G4061" s="12"/>
      <c r="H4061" s="12"/>
      <c r="J4061" s="41">
        <f ca="1">ROUNDDOWN(表3[[#This Row],[日期]]-TODAY(),1)</f>
        <v>-100</v>
      </c>
    </row>
    <row r="4062" spans="1:10" hidden="1" x14ac:dyDescent="0.2">
      <c r="A4062" s="4" t="s">
        <v>1371</v>
      </c>
      <c r="B4062" s="37">
        <v>43716.041666666664</v>
      </c>
      <c r="C4062" s="12">
        <v>4.0999999999999996</v>
      </c>
      <c r="D4062" s="38" t="s">
        <v>2043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-100</v>
      </c>
    </row>
    <row r="4063" spans="1:10" hidden="1" x14ac:dyDescent="0.2">
      <c r="A4063" s="4" t="s">
        <v>1371</v>
      </c>
      <c r="B4063" s="37">
        <v>43716.041666666664</v>
      </c>
      <c r="C4063" s="12">
        <v>5</v>
      </c>
      <c r="D4063" s="38" t="s">
        <v>2029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-66</v>
      </c>
    </row>
    <row r="4064" spans="1:10" hidden="1" x14ac:dyDescent="0.2">
      <c r="A4064" s="4" t="s">
        <v>1371</v>
      </c>
      <c r="B4064" s="37">
        <v>43716.041666666664</v>
      </c>
      <c r="C4064" s="12">
        <v>6</v>
      </c>
      <c r="D4064" s="38" t="s">
        <v>1653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-66</v>
      </c>
    </row>
    <row r="4065" spans="1:10" hidden="1" x14ac:dyDescent="0.2">
      <c r="A4065" s="4" t="s">
        <v>1371</v>
      </c>
      <c r="B4065" s="37">
        <v>43716.041666666664</v>
      </c>
      <c r="C4065" s="12">
        <v>7</v>
      </c>
      <c r="D4065" s="38" t="s">
        <v>2011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-64</v>
      </c>
    </row>
    <row r="4066" spans="1:10" hidden="1" x14ac:dyDescent="0.2">
      <c r="A4066" s="4" t="s">
        <v>1371</v>
      </c>
      <c r="B4066" s="37">
        <v>43716.041666666664</v>
      </c>
      <c r="C4066" s="12">
        <v>8</v>
      </c>
      <c r="D4066" s="38" t="s">
        <v>1655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-64</v>
      </c>
    </row>
    <row r="4067" spans="1:10" hidden="1" x14ac:dyDescent="0.2">
      <c r="A4067" s="4" t="s">
        <v>1371</v>
      </c>
      <c r="B4067" s="37">
        <v>43716.041666666664</v>
      </c>
      <c r="C4067" s="12">
        <v>9</v>
      </c>
      <c r="D4067" s="38" t="s">
        <v>2012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-64</v>
      </c>
    </row>
    <row r="4068" spans="1:10" hidden="1" x14ac:dyDescent="0.2">
      <c r="A4068" s="4" t="s">
        <v>1371</v>
      </c>
      <c r="B4068" s="37">
        <v>43716.041666666664</v>
      </c>
      <c r="C4068" s="12">
        <v>10</v>
      </c>
      <c r="D4068" s="38" t="s">
        <v>2013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-64</v>
      </c>
    </row>
    <row r="4069" spans="1:10" hidden="1" x14ac:dyDescent="0.2">
      <c r="A4069" s="4" t="s">
        <v>1371</v>
      </c>
      <c r="B4069" s="37">
        <v>43716.041666666664</v>
      </c>
      <c r="C4069" s="12">
        <v>11</v>
      </c>
      <c r="D4069" s="38" t="s">
        <v>2014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-64</v>
      </c>
    </row>
    <row r="4070" spans="1:10" hidden="1" x14ac:dyDescent="0.2">
      <c r="A4070" s="4" t="s">
        <v>1371</v>
      </c>
      <c r="B4070" s="37">
        <v>43716.041666666664</v>
      </c>
      <c r="C4070" s="12">
        <v>12</v>
      </c>
      <c r="D4070" s="38" t="s">
        <v>2015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-64</v>
      </c>
    </row>
    <row r="4071" spans="1:10" hidden="1" x14ac:dyDescent="0.2">
      <c r="A4071" s="4" t="s">
        <v>1371</v>
      </c>
      <c r="B4071" s="37">
        <v>43716.041666666664</v>
      </c>
      <c r="C4071" s="12">
        <v>13</v>
      </c>
      <c r="D4071" s="38" t="s">
        <v>2016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-64</v>
      </c>
    </row>
    <row r="4072" spans="1:10" hidden="1" x14ac:dyDescent="0.2">
      <c r="A4072" s="4" t="s">
        <v>1371</v>
      </c>
      <c r="B4072" s="37">
        <v>43716.041666666664</v>
      </c>
      <c r="C4072" s="12">
        <v>14</v>
      </c>
      <c r="D4072" s="38" t="s">
        <v>2017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-64</v>
      </c>
    </row>
    <row r="4073" spans="1:10" hidden="1" x14ac:dyDescent="0.2">
      <c r="A4073" s="4" t="s">
        <v>1371</v>
      </c>
      <c r="B4073" s="37">
        <v>43716.041666666664</v>
      </c>
      <c r="C4073" s="12">
        <v>15</v>
      </c>
      <c r="D4073" s="38" t="s">
        <v>2018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-64</v>
      </c>
    </row>
    <row r="4074" spans="1:10" hidden="1" x14ac:dyDescent="0.2">
      <c r="A4074" s="4" t="s">
        <v>1371</v>
      </c>
      <c r="B4074" s="37">
        <v>43716.041666666664</v>
      </c>
      <c r="C4074" s="12">
        <v>16</v>
      </c>
      <c r="D4074" s="38" t="s">
        <v>269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-63</v>
      </c>
    </row>
    <row r="4075" spans="1:10" hidden="1" x14ac:dyDescent="0.2">
      <c r="A4075" s="4" t="s">
        <v>1371</v>
      </c>
      <c r="B4075" s="37">
        <v>43716.041666666664</v>
      </c>
      <c r="C4075" s="12">
        <v>17</v>
      </c>
      <c r="D4075" s="38" t="s">
        <v>271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-63</v>
      </c>
    </row>
    <row r="4076" spans="1:10" hidden="1" x14ac:dyDescent="0.2">
      <c r="A4076" s="4" t="s">
        <v>1371</v>
      </c>
      <c r="B4076" s="37">
        <v>43716.041666666664</v>
      </c>
      <c r="C4076" s="12">
        <v>18</v>
      </c>
      <c r="D4076" s="38" t="s">
        <v>273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-62</v>
      </c>
    </row>
    <row r="4077" spans="1:10" hidden="1" x14ac:dyDescent="0.2">
      <c r="A4077" s="4" t="s">
        <v>1371</v>
      </c>
      <c r="B4077" s="37">
        <v>43716.041666666664</v>
      </c>
      <c r="C4077" s="12">
        <v>19</v>
      </c>
      <c r="D4077" s="38" t="s">
        <v>275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-58</v>
      </c>
    </row>
    <row r="4078" spans="1:10" hidden="1" x14ac:dyDescent="0.2">
      <c r="A4078" s="4" t="s">
        <v>1371</v>
      </c>
      <c r="B4078" s="37">
        <v>43716.041666666664</v>
      </c>
      <c r="C4078" s="12">
        <v>20</v>
      </c>
      <c r="D4078" s="38" t="s">
        <v>2653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-58</v>
      </c>
    </row>
    <row r="4079" spans="1:10" hidden="1" x14ac:dyDescent="0.2">
      <c r="A4079" s="4" t="s">
        <v>1371</v>
      </c>
      <c r="B4079" s="37">
        <v>43716.041666666664</v>
      </c>
      <c r="C4079" s="12">
        <v>21</v>
      </c>
      <c r="D4079" s="38" t="s">
        <v>2019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-58</v>
      </c>
    </row>
    <row r="4080" spans="1:10" hidden="1" x14ac:dyDescent="0.2">
      <c r="A4080" s="4" t="s">
        <v>1371</v>
      </c>
      <c r="B4080" s="37">
        <v>43716.041666666664</v>
      </c>
      <c r="C4080" s="12">
        <v>22</v>
      </c>
      <c r="D4080" s="38" t="s">
        <v>1990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-52</v>
      </c>
    </row>
    <row r="4081" spans="1:10" hidden="1" x14ac:dyDescent="0.2">
      <c r="A4081" s="4" t="s">
        <v>1371</v>
      </c>
      <c r="B4081" s="37">
        <v>43716.041666666664</v>
      </c>
      <c r="C4081" s="12">
        <v>23</v>
      </c>
      <c r="D4081" s="38" t="s">
        <v>2020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-52</v>
      </c>
    </row>
    <row r="4082" spans="1:10" hidden="1" x14ac:dyDescent="0.2">
      <c r="A4082" s="4" t="s">
        <v>1371</v>
      </c>
      <c r="B4082" s="37">
        <v>43716.041666666664</v>
      </c>
      <c r="C4082" s="12"/>
      <c r="D4082" s="38" t="s">
        <v>2583</v>
      </c>
      <c r="E4082" s="39">
        <v>43713</v>
      </c>
      <c r="F4082" s="40" t="s">
        <v>1184</v>
      </c>
      <c r="G4082" s="12">
        <v>2</v>
      </c>
      <c r="H4082" s="12"/>
      <c r="J4082" s="41">
        <f ca="1">ROUNDDOWN(表3[[#This Row],[日期]]-TODAY(),1)</f>
        <v>-64</v>
      </c>
    </row>
    <row r="4083" spans="1:10" hidden="1" x14ac:dyDescent="0.2">
      <c r="A4083" s="4" t="s">
        <v>2847</v>
      </c>
      <c r="B4083" s="37">
        <v>43717</v>
      </c>
      <c r="C4083" s="12">
        <v>1</v>
      </c>
      <c r="D4083" s="38" t="s">
        <v>745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-59</v>
      </c>
    </row>
    <row r="4084" spans="1:10" hidden="1" x14ac:dyDescent="0.2">
      <c r="A4084" s="4" t="s">
        <v>2847</v>
      </c>
      <c r="B4084" s="37">
        <v>43717</v>
      </c>
      <c r="C4084" s="12">
        <v>2</v>
      </c>
      <c r="D4084" s="38" t="s">
        <v>1475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-60</v>
      </c>
    </row>
    <row r="4085" spans="1:10" hidden="1" x14ac:dyDescent="0.2">
      <c r="A4085" s="4" t="s">
        <v>2847</v>
      </c>
      <c r="B4085" s="37">
        <v>43717</v>
      </c>
      <c r="C4085" s="12">
        <v>3</v>
      </c>
      <c r="D4085" s="38" t="s">
        <v>1477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-60</v>
      </c>
    </row>
    <row r="4086" spans="1:10" hidden="1" x14ac:dyDescent="0.2">
      <c r="A4086" s="4" t="s">
        <v>2847</v>
      </c>
      <c r="B4086" s="37">
        <v>43717</v>
      </c>
      <c r="C4086" s="12">
        <v>4</v>
      </c>
      <c r="D4086" s="38" t="s">
        <v>1478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-60</v>
      </c>
    </row>
    <row r="4087" spans="1:10" hidden="1" x14ac:dyDescent="0.2">
      <c r="A4087" s="4" t="s">
        <v>2847</v>
      </c>
      <c r="B4087" s="37">
        <v>43717</v>
      </c>
      <c r="C4087" s="12">
        <v>5</v>
      </c>
      <c r="D4087" s="38" t="s">
        <v>899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-58</v>
      </c>
    </row>
    <row r="4088" spans="1:10" hidden="1" x14ac:dyDescent="0.2">
      <c r="A4088" s="4" t="s">
        <v>2847</v>
      </c>
      <c r="B4088" s="37">
        <v>43717</v>
      </c>
      <c r="C4088" s="12">
        <v>6</v>
      </c>
      <c r="D4088" s="38" t="s">
        <v>2641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-60</v>
      </c>
    </row>
    <row r="4089" spans="1:10" hidden="1" x14ac:dyDescent="0.2">
      <c r="A4089" s="4" t="s">
        <v>2847</v>
      </c>
      <c r="B4089" s="37">
        <v>43717</v>
      </c>
      <c r="C4089" s="12">
        <v>7</v>
      </c>
      <c r="D4089" s="38" t="s">
        <v>738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-60</v>
      </c>
    </row>
    <row r="4090" spans="1:10" hidden="1" x14ac:dyDescent="0.2">
      <c r="A4090" s="4" t="s">
        <v>2847</v>
      </c>
      <c r="B4090" s="37">
        <v>43717</v>
      </c>
      <c r="C4090" s="12">
        <v>8</v>
      </c>
      <c r="D4090" s="38" t="s">
        <v>738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-58</v>
      </c>
    </row>
    <row r="4091" spans="1:10" hidden="1" x14ac:dyDescent="0.2">
      <c r="A4091" s="4" t="s">
        <v>2847</v>
      </c>
      <c r="B4091" s="37">
        <v>43717</v>
      </c>
      <c r="C4091" s="12">
        <v>9</v>
      </c>
      <c r="D4091" s="38" t="s">
        <v>1025</v>
      </c>
      <c r="E4091" s="39">
        <v>43724</v>
      </c>
      <c r="F4091" s="40" t="s">
        <v>242</v>
      </c>
      <c r="G4091" s="12">
        <v>2</v>
      </c>
      <c r="H4091" s="12"/>
      <c r="I4091" s="4" t="s">
        <v>743</v>
      </c>
      <c r="J4091" s="41">
        <f ca="1">ROUNDDOWN(表3[[#This Row],[日期]]-TODAY(),1)</f>
        <v>-53</v>
      </c>
    </row>
    <row r="4092" spans="1:10" hidden="1" x14ac:dyDescent="0.2">
      <c r="A4092" s="4" t="s">
        <v>2847</v>
      </c>
      <c r="B4092" s="37">
        <v>43717</v>
      </c>
      <c r="C4092" s="12">
        <v>10</v>
      </c>
      <c r="D4092" s="38" t="s">
        <v>899</v>
      </c>
      <c r="E4092" s="39">
        <v>43724</v>
      </c>
      <c r="F4092" s="40" t="s">
        <v>242</v>
      </c>
      <c r="G4092" s="12">
        <v>4</v>
      </c>
      <c r="H4092" s="12"/>
      <c r="I4092" s="4" t="s">
        <v>743</v>
      </c>
      <c r="J4092" s="41">
        <f ca="1">ROUNDDOWN(表3[[#This Row],[日期]]-TODAY(),1)</f>
        <v>-53</v>
      </c>
    </row>
    <row r="4093" spans="1:10" hidden="1" x14ac:dyDescent="0.2">
      <c r="A4093" s="4" t="s">
        <v>2847</v>
      </c>
      <c r="B4093" s="37">
        <v>43717</v>
      </c>
      <c r="C4093" s="12">
        <v>11</v>
      </c>
      <c r="D4093" s="38" t="s">
        <v>1734</v>
      </c>
      <c r="E4093" s="39">
        <v>43720</v>
      </c>
      <c r="F4093" s="40" t="s">
        <v>1184</v>
      </c>
      <c r="G4093" s="12"/>
      <c r="H4093" s="12"/>
      <c r="I4093" s="4" t="s">
        <v>220</v>
      </c>
      <c r="J4093" s="41">
        <f ca="1">ROUNDDOWN(表3[[#This Row],[日期]]-TODAY(),1)</f>
        <v>-57</v>
      </c>
    </row>
    <row r="4094" spans="1:10" hidden="1" x14ac:dyDescent="0.2">
      <c r="A4094" s="4" t="s">
        <v>2847</v>
      </c>
      <c r="B4094" s="37">
        <v>43717</v>
      </c>
      <c r="C4094" s="12">
        <v>12</v>
      </c>
      <c r="D4094" s="38" t="s">
        <v>1031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-53</v>
      </c>
    </row>
    <row r="4095" spans="1:10" hidden="1" x14ac:dyDescent="0.2">
      <c r="A4095" s="4" t="s">
        <v>2847</v>
      </c>
      <c r="B4095" s="37">
        <v>43717</v>
      </c>
      <c r="C4095" s="12">
        <v>13</v>
      </c>
      <c r="D4095" s="38" t="s">
        <v>738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-57</v>
      </c>
    </row>
    <row r="4096" spans="1:10" hidden="1" x14ac:dyDescent="0.2">
      <c r="A4096" s="4" t="s">
        <v>2847</v>
      </c>
      <c r="B4096" s="37">
        <v>43717</v>
      </c>
      <c r="C4096" s="12">
        <v>14</v>
      </c>
      <c r="D4096" s="38" t="s">
        <v>2103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-57</v>
      </c>
    </row>
    <row r="4097" spans="1:10" hidden="1" x14ac:dyDescent="0.2">
      <c r="A4097" s="4" t="s">
        <v>2847</v>
      </c>
      <c r="B4097" s="37">
        <v>43717</v>
      </c>
      <c r="C4097" s="12">
        <v>15</v>
      </c>
      <c r="D4097" s="38" t="s">
        <v>900</v>
      </c>
      <c r="E4097" s="39">
        <v>43724</v>
      </c>
      <c r="F4097" s="40" t="s">
        <v>2715</v>
      </c>
      <c r="G4097" s="12"/>
      <c r="H4097" s="12"/>
      <c r="I4097" s="4" t="s">
        <v>220</v>
      </c>
      <c r="J4097" s="41">
        <f ca="1">ROUNDDOWN(表3[[#This Row],[日期]]-TODAY(),1)</f>
        <v>-53</v>
      </c>
    </row>
    <row r="4098" spans="1:10" hidden="1" x14ac:dyDescent="0.2">
      <c r="A4098" s="4" t="s">
        <v>2847</v>
      </c>
      <c r="B4098" s="37">
        <v>43717</v>
      </c>
      <c r="C4098" s="12">
        <v>16</v>
      </c>
      <c r="D4098" s="38" t="s">
        <v>2104</v>
      </c>
      <c r="E4098" s="39">
        <v>43720</v>
      </c>
      <c r="F4098" s="40" t="s">
        <v>1184</v>
      </c>
      <c r="G4098" s="12"/>
      <c r="H4098" s="12"/>
      <c r="I4098" s="4" t="s">
        <v>220</v>
      </c>
      <c r="J4098" s="41">
        <f ca="1">ROUNDDOWN(表3[[#This Row],[日期]]-TODAY(),1)</f>
        <v>-57</v>
      </c>
    </row>
    <row r="4099" spans="1:10" hidden="1" x14ac:dyDescent="0.2">
      <c r="A4099" s="4" t="s">
        <v>2847</v>
      </c>
      <c r="B4099" s="37">
        <v>43717</v>
      </c>
      <c r="C4099" s="12"/>
      <c r="D4099" s="38" t="s">
        <v>2637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-58</v>
      </c>
    </row>
    <row r="4100" spans="1:10" hidden="1" x14ac:dyDescent="0.2">
      <c r="A4100" s="4" t="s">
        <v>2847</v>
      </c>
      <c r="B4100" s="37">
        <v>43717</v>
      </c>
      <c r="C4100" s="12"/>
      <c r="D4100" s="38" t="s">
        <v>2679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-58</v>
      </c>
    </row>
    <row r="4101" spans="1:10" hidden="1" x14ac:dyDescent="0.2">
      <c r="A4101" s="4" t="s">
        <v>2847</v>
      </c>
      <c r="B4101" s="37">
        <v>43717</v>
      </c>
      <c r="C4101" s="12"/>
      <c r="D4101" s="38" t="s">
        <v>2693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-50</v>
      </c>
    </row>
    <row r="4102" spans="1:10" hidden="1" x14ac:dyDescent="0.2">
      <c r="A4102" s="4" t="s">
        <v>2847</v>
      </c>
      <c r="B4102" s="37">
        <v>43717</v>
      </c>
      <c r="C4102" s="12"/>
      <c r="D4102" s="38" t="s">
        <v>2694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-57</v>
      </c>
    </row>
    <row r="4103" spans="1:10" hidden="1" x14ac:dyDescent="0.2">
      <c r="A4103" s="4" t="s">
        <v>2573</v>
      </c>
      <c r="B4103" s="37">
        <v>43719</v>
      </c>
      <c r="C4103" s="12">
        <v>1</v>
      </c>
      <c r="D4103" s="38" t="s">
        <v>364</v>
      </c>
      <c r="E4103" s="39">
        <v>43706</v>
      </c>
      <c r="F4103" s="40" t="s">
        <v>2576</v>
      </c>
      <c r="G4103" s="12"/>
      <c r="H4103" s="12"/>
      <c r="J4103" s="41">
        <f ca="1">ROUNDDOWN(表3[[#This Row],[日期]]-TODAY(),1)</f>
        <v>-71</v>
      </c>
    </row>
    <row r="4104" spans="1:10" hidden="1" x14ac:dyDescent="0.2">
      <c r="A4104" s="4" t="s">
        <v>2573</v>
      </c>
      <c r="B4104" s="37">
        <v>43719</v>
      </c>
      <c r="C4104" s="12">
        <v>2</v>
      </c>
      <c r="D4104" s="38" t="s">
        <v>863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-64</v>
      </c>
    </row>
    <row r="4105" spans="1:10" hidden="1" x14ac:dyDescent="0.2">
      <c r="A4105" s="4" t="s">
        <v>2573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-65</v>
      </c>
    </row>
    <row r="4106" spans="1:10" hidden="1" x14ac:dyDescent="0.2">
      <c r="A4106" s="4" t="s">
        <v>2573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-64</v>
      </c>
    </row>
    <row r="4107" spans="1:10" hidden="1" x14ac:dyDescent="0.2">
      <c r="A4107" s="4" t="s">
        <v>2573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-64</v>
      </c>
    </row>
    <row r="4108" spans="1:10" hidden="1" x14ac:dyDescent="0.2">
      <c r="A4108" s="4" t="s">
        <v>2573</v>
      </c>
      <c r="B4108" s="37">
        <v>43719</v>
      </c>
      <c r="C4108" s="12">
        <v>6</v>
      </c>
      <c r="D4108" s="38" t="s">
        <v>864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-64</v>
      </c>
    </row>
    <row r="4109" spans="1:10" hidden="1" x14ac:dyDescent="0.2">
      <c r="A4109" s="4" t="s">
        <v>2573</v>
      </c>
      <c r="B4109" s="37">
        <v>43719</v>
      </c>
      <c r="C4109" s="12">
        <v>7</v>
      </c>
      <c r="D4109" s="38" t="s">
        <v>867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-63</v>
      </c>
    </row>
    <row r="4110" spans="1:10" hidden="1" x14ac:dyDescent="0.2">
      <c r="A4110" s="4" t="s">
        <v>2573</v>
      </c>
      <c r="B4110" s="37">
        <v>43719</v>
      </c>
      <c r="C4110" s="12">
        <v>8</v>
      </c>
      <c r="D4110" s="38" t="s">
        <v>307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-63</v>
      </c>
    </row>
    <row r="4111" spans="1:10" hidden="1" x14ac:dyDescent="0.2">
      <c r="A4111" s="4" t="s">
        <v>2573</v>
      </c>
      <c r="B4111" s="37">
        <v>43719</v>
      </c>
      <c r="C4111" s="12">
        <v>9</v>
      </c>
      <c r="D4111" s="38" t="s">
        <v>2433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-63</v>
      </c>
    </row>
    <row r="4112" spans="1:10" hidden="1" x14ac:dyDescent="0.2">
      <c r="A4112" s="4" t="s">
        <v>2573</v>
      </c>
      <c r="B4112" s="37">
        <v>43719</v>
      </c>
      <c r="C4112" s="12">
        <v>10</v>
      </c>
      <c r="D4112" s="38" t="s">
        <v>866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-63</v>
      </c>
    </row>
    <row r="4113" spans="1:10" hidden="1" x14ac:dyDescent="0.2">
      <c r="A4113" s="4" t="s">
        <v>2573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-63</v>
      </c>
    </row>
    <row r="4114" spans="1:10" hidden="1" x14ac:dyDescent="0.2">
      <c r="A4114" s="4" t="s">
        <v>2573</v>
      </c>
      <c r="B4114" s="37">
        <v>43719</v>
      </c>
      <c r="C4114" s="12">
        <v>12</v>
      </c>
      <c r="D4114" s="38" t="s">
        <v>309</v>
      </c>
      <c r="E4114" s="39">
        <v>43714</v>
      </c>
      <c r="F4114" s="40" t="s">
        <v>242</v>
      </c>
      <c r="G4114" s="12">
        <v>3</v>
      </c>
      <c r="H4114" s="12"/>
      <c r="I4114" s="4" t="s">
        <v>310</v>
      </c>
      <c r="J4114" s="41">
        <f ca="1">ROUNDDOWN(表3[[#This Row],[日期]]-TODAY(),1)</f>
        <v>-63</v>
      </c>
    </row>
    <row r="4115" spans="1:10" hidden="1" x14ac:dyDescent="0.2">
      <c r="A4115" s="4" t="s">
        <v>2573</v>
      </c>
      <c r="B4115" s="37">
        <v>43719</v>
      </c>
      <c r="C4115" s="12">
        <v>13</v>
      </c>
      <c r="D4115" s="38" t="s">
        <v>2572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-61</v>
      </c>
    </row>
    <row r="4116" spans="1:10" hidden="1" x14ac:dyDescent="0.2">
      <c r="A4116" s="4" t="s">
        <v>2573</v>
      </c>
      <c r="B4116" s="37">
        <v>43719</v>
      </c>
      <c r="C4116" s="12">
        <v>14</v>
      </c>
      <c r="D4116" s="38" t="s">
        <v>311</v>
      </c>
      <c r="E4116" s="39">
        <v>43716</v>
      </c>
      <c r="F4116" s="40" t="s">
        <v>242</v>
      </c>
      <c r="G4116" s="12"/>
      <c r="H4116" s="12"/>
      <c r="I4116" s="4" t="s">
        <v>310</v>
      </c>
      <c r="J4116" s="41">
        <f ca="1">ROUNDDOWN(表3[[#This Row],[日期]]-TODAY(),1)</f>
        <v>-61</v>
      </c>
    </row>
    <row r="4117" spans="1:10" hidden="1" x14ac:dyDescent="0.2">
      <c r="A4117" s="4" t="s">
        <v>2573</v>
      </c>
      <c r="B4117" s="37">
        <v>43719</v>
      </c>
      <c r="C4117" s="12">
        <v>15</v>
      </c>
      <c r="D4117" s="38" t="s">
        <v>868</v>
      </c>
      <c r="E4117" s="39">
        <v>43717</v>
      </c>
      <c r="F4117" s="40" t="s">
        <v>242</v>
      </c>
      <c r="G4117" s="12"/>
      <c r="H4117" s="12"/>
      <c r="I4117" s="4" t="s">
        <v>310</v>
      </c>
      <c r="J4117" s="41">
        <f ca="1">ROUNDDOWN(表3[[#This Row],[日期]]-TODAY(),1)</f>
        <v>-60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2640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-60</v>
      </c>
    </row>
    <row r="4119" spans="1:10" hidden="1" x14ac:dyDescent="0.2">
      <c r="A4119" s="4" t="s">
        <v>2573</v>
      </c>
      <c r="B4119" s="37">
        <v>43719</v>
      </c>
      <c r="C4119" s="12">
        <v>16</v>
      </c>
      <c r="D4119" s="38" t="s">
        <v>313</v>
      </c>
      <c r="E4119" s="39">
        <v>43717</v>
      </c>
      <c r="F4119" s="40" t="s">
        <v>242</v>
      </c>
      <c r="G4119" s="12"/>
      <c r="H4119" s="12"/>
      <c r="I4119" s="4" t="s">
        <v>310</v>
      </c>
      <c r="J4119" s="41">
        <f ca="1">ROUNDDOWN(表3[[#This Row],[日期]]-TODAY(),1)</f>
        <v>-60</v>
      </c>
    </row>
    <row r="4120" spans="1:10" hidden="1" x14ac:dyDescent="0.2">
      <c r="A4120" s="4" t="s">
        <v>2573</v>
      </c>
      <c r="B4120" s="37">
        <v>43719</v>
      </c>
      <c r="C4120" s="12">
        <v>17</v>
      </c>
      <c r="D4120" s="38" t="s">
        <v>271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-60</v>
      </c>
    </row>
    <row r="4121" spans="1:10" hidden="1" x14ac:dyDescent="0.2">
      <c r="A4121" s="4" t="s">
        <v>2573</v>
      </c>
      <c r="B4121" s="37">
        <v>43719</v>
      </c>
      <c r="C4121" s="12">
        <v>18</v>
      </c>
      <c r="D4121" s="38" t="s">
        <v>273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-58</v>
      </c>
    </row>
    <row r="4122" spans="1:10" hidden="1" x14ac:dyDescent="0.2">
      <c r="A4122" s="4" t="s">
        <v>2573</v>
      </c>
      <c r="B4122" s="37">
        <v>43719</v>
      </c>
      <c r="C4122" s="12">
        <v>19</v>
      </c>
      <c r="D4122" s="38" t="s">
        <v>275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-57</v>
      </c>
    </row>
    <row r="4123" spans="1:10" hidden="1" x14ac:dyDescent="0.2">
      <c r="A4123" s="4" t="s">
        <v>2573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-50</v>
      </c>
    </row>
    <row r="4124" spans="1:10" hidden="1" x14ac:dyDescent="0.2">
      <c r="A4124" s="4" t="s">
        <v>2573</v>
      </c>
      <c r="B4124" s="37">
        <v>43719</v>
      </c>
      <c r="C4124" s="12">
        <v>21</v>
      </c>
      <c r="D4124" s="38" t="s">
        <v>1387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-53</v>
      </c>
    </row>
    <row r="4125" spans="1:10" hidden="1" x14ac:dyDescent="0.2">
      <c r="A4125" s="4" t="s">
        <v>2573</v>
      </c>
      <c r="B4125" s="37">
        <v>43719</v>
      </c>
      <c r="C4125" s="12">
        <v>22</v>
      </c>
      <c r="D4125" s="38" t="s">
        <v>305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-57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2598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-63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927</v>
      </c>
      <c r="E4127" s="39">
        <v>43710</v>
      </c>
      <c r="F4127" s="40" t="s">
        <v>2547</v>
      </c>
      <c r="G4127" s="12"/>
      <c r="H4127" s="12"/>
      <c r="I4127" s="4" t="s">
        <v>27</v>
      </c>
      <c r="J4127" s="41">
        <f ca="1">ROUNDDOWN(表3[[#This Row],[日期]]-TODAY(),1)</f>
        <v>-67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-67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1210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-66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-66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-66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1576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-66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1577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-66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-66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928</v>
      </c>
      <c r="E4135" s="39">
        <v>43713</v>
      </c>
      <c r="F4135" s="40" t="s">
        <v>2585</v>
      </c>
      <c r="G4135" s="12">
        <v>3</v>
      </c>
      <c r="H4135" s="12"/>
      <c r="I4135" s="4" t="s">
        <v>32</v>
      </c>
      <c r="J4135" s="41">
        <f ca="1">ROUNDDOWN(表3[[#This Row],[日期]]-TODAY(),1)</f>
        <v>-64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1740</v>
      </c>
      <c r="E4136" s="39">
        <v>43713</v>
      </c>
      <c r="F4136" s="40" t="s">
        <v>2585</v>
      </c>
      <c r="G4136" s="12">
        <v>3</v>
      </c>
      <c r="H4136" s="12"/>
      <c r="J4136" s="41">
        <f ca="1">ROUNDDOWN(表3[[#This Row],[日期]]-TODAY(),1)</f>
        <v>-64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1578</v>
      </c>
      <c r="E4137" s="39">
        <v>43713</v>
      </c>
      <c r="F4137" s="40" t="s">
        <v>2585</v>
      </c>
      <c r="G4137" s="12">
        <v>3</v>
      </c>
      <c r="H4137" s="12"/>
      <c r="J4137" s="41">
        <f ca="1">ROUNDDOWN(表3[[#This Row],[日期]]-TODAY(),1)</f>
        <v>-64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1742</v>
      </c>
      <c r="E4138" s="39">
        <v>43713</v>
      </c>
      <c r="F4138" s="40" t="s">
        <v>2585</v>
      </c>
      <c r="G4138" s="12">
        <v>3</v>
      </c>
      <c r="H4138" s="12"/>
      <c r="J4138" s="41">
        <f ca="1">ROUNDDOWN(表3[[#This Row],[日期]]-TODAY(),1)</f>
        <v>-64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1744</v>
      </c>
      <c r="E4139" s="39">
        <v>43713</v>
      </c>
      <c r="F4139" s="40" t="s">
        <v>2585</v>
      </c>
      <c r="G4139" s="12">
        <v>3</v>
      </c>
      <c r="H4139" s="12"/>
      <c r="J4139" s="41">
        <f ca="1">ROUNDDOWN(表3[[#This Row],[日期]]-TODAY(),1)</f>
        <v>-64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1746</v>
      </c>
      <c r="E4140" s="39">
        <v>43713</v>
      </c>
      <c r="F4140" s="40" t="s">
        <v>2585</v>
      </c>
      <c r="G4140" s="12">
        <v>3</v>
      </c>
      <c r="H4140" s="12"/>
      <c r="J4140" s="41">
        <f ca="1">ROUNDDOWN(表3[[#This Row],[日期]]-TODAY(),1)</f>
        <v>-64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1748</v>
      </c>
      <c r="E4141" s="39">
        <v>43713</v>
      </c>
      <c r="F4141" s="40" t="s">
        <v>2585</v>
      </c>
      <c r="G4141" s="12">
        <v>3</v>
      </c>
      <c r="H4141" s="12"/>
      <c r="J4141" s="41">
        <f ca="1">ROUNDDOWN(表3[[#This Row],[日期]]-TODAY(),1)</f>
        <v>-64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1750</v>
      </c>
      <c r="E4142" s="39">
        <v>43713</v>
      </c>
      <c r="F4142" s="40" t="s">
        <v>2585</v>
      </c>
      <c r="G4142" s="12">
        <v>3</v>
      </c>
      <c r="H4142" s="12"/>
      <c r="J4142" s="41">
        <f ca="1">ROUNDDOWN(表3[[#This Row],[日期]]-TODAY(),1)</f>
        <v>-64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929</v>
      </c>
      <c r="E4143" s="39">
        <v>43714</v>
      </c>
      <c r="F4143" s="40" t="s">
        <v>2585</v>
      </c>
      <c r="G4143" s="12"/>
      <c r="H4143" s="12"/>
      <c r="I4143" s="4" t="s">
        <v>34</v>
      </c>
      <c r="J4143" s="41">
        <f ca="1">ROUNDDOWN(表3[[#This Row],[日期]]-TODAY(),1)</f>
        <v>-63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1752</v>
      </c>
      <c r="E4144" s="39">
        <v>43714</v>
      </c>
      <c r="F4144" s="40" t="s">
        <v>2585</v>
      </c>
      <c r="G4144" s="12"/>
      <c r="H4144" s="12"/>
      <c r="J4144" s="41">
        <f ca="1">ROUNDDOWN(表3[[#This Row],[日期]]-TODAY(),1)</f>
        <v>-63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2585</v>
      </c>
      <c r="G4145" s="12"/>
      <c r="H4145" s="12"/>
      <c r="J4145" s="41">
        <f ca="1">ROUNDDOWN(表3[[#This Row],[日期]]-TODAY(),1)</f>
        <v>-63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930</v>
      </c>
      <c r="E4146" s="39">
        <v>43714</v>
      </c>
      <c r="F4146" s="40" t="s">
        <v>2585</v>
      </c>
      <c r="G4146" s="12"/>
      <c r="H4146" s="12"/>
      <c r="I4146" s="4" t="s">
        <v>40</v>
      </c>
      <c r="J4146" s="41">
        <f ca="1">ROUNDDOWN(表3[[#This Row],[日期]]-TODAY(),1)</f>
        <v>-63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2585</v>
      </c>
      <c r="G4147" s="12"/>
      <c r="H4147" s="12"/>
      <c r="I4147" s="4" t="s">
        <v>192</v>
      </c>
      <c r="J4147" s="41">
        <f ca="1">ROUNDDOWN(表3[[#This Row],[日期]]-TODAY(),1)</f>
        <v>-63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931</v>
      </c>
      <c r="E4148" s="39">
        <v>43714</v>
      </c>
      <c r="F4148" s="40" t="s">
        <v>2585</v>
      </c>
      <c r="G4148" s="12"/>
      <c r="H4148" s="12"/>
      <c r="J4148" s="41">
        <f ca="1">ROUNDDOWN(表3[[#This Row],[日期]]-TODAY(),1)</f>
        <v>-63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2472</v>
      </c>
      <c r="E4149" s="39">
        <v>43714</v>
      </c>
      <c r="F4149" s="40" t="s">
        <v>2585</v>
      </c>
      <c r="G4149" s="12"/>
      <c r="H4149" s="12"/>
      <c r="J4149" s="41">
        <f ca="1">ROUNDDOWN(表3[[#This Row],[日期]]-TODAY(),1)</f>
        <v>-63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1919</v>
      </c>
      <c r="E4150" s="39">
        <v>43714</v>
      </c>
      <c r="F4150" s="40" t="s">
        <v>2585</v>
      </c>
      <c r="G4150" s="12"/>
      <c r="H4150" s="12"/>
      <c r="J4150" s="41">
        <f ca="1">ROUNDDOWN(表3[[#This Row],[日期]]-TODAY(),1)</f>
        <v>-63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2585</v>
      </c>
      <c r="G4151" s="12"/>
      <c r="H4151" s="12"/>
      <c r="J4151" s="41">
        <f ca="1">ROUNDDOWN(表3[[#This Row],[日期]]-TODAY(),1)</f>
        <v>-63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2585</v>
      </c>
      <c r="G4152" s="12"/>
      <c r="H4152" s="12"/>
      <c r="J4152" s="41">
        <f ca="1">ROUNDDOWN(表3[[#This Row],[日期]]-TODAY(),1)</f>
        <v>-63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2585</v>
      </c>
      <c r="G4153" s="12"/>
      <c r="H4153" s="12"/>
      <c r="I4153" s="4" t="s">
        <v>40</v>
      </c>
      <c r="J4153" s="41">
        <f ca="1">ROUNDDOWN(表3[[#This Row],[日期]]-TODAY(),1)</f>
        <v>-63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2585</v>
      </c>
      <c r="G4154" s="12"/>
      <c r="H4154" s="12"/>
      <c r="J4154" s="41">
        <f ca="1">ROUNDDOWN(表3[[#This Row],[日期]]-TODAY(),1)</f>
        <v>-63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2585</v>
      </c>
      <c r="G4155" s="12"/>
      <c r="H4155" s="12"/>
      <c r="I4155" s="4" t="s">
        <v>61</v>
      </c>
      <c r="J4155" s="41">
        <f ca="1">ROUNDDOWN(表3[[#This Row],[日期]]-TODAY(),1)</f>
        <v>-63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2585</v>
      </c>
      <c r="G4156" s="12"/>
      <c r="H4156" s="12"/>
      <c r="J4156" s="41">
        <f ca="1">ROUNDDOWN(表3[[#This Row],[日期]]-TODAY(),1)</f>
        <v>-63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2473</v>
      </c>
      <c r="E4157" s="39">
        <v>43714</v>
      </c>
      <c r="F4157" s="40" t="s">
        <v>2585</v>
      </c>
      <c r="G4157" s="12"/>
      <c r="H4157" s="12"/>
      <c r="I4157" s="4" t="s">
        <v>30</v>
      </c>
      <c r="J4157" s="41">
        <f ca="1">ROUNDDOWN(表3[[#This Row],[日期]]-TODAY(),1)</f>
        <v>-63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933</v>
      </c>
      <c r="E4158" s="39">
        <v>43714</v>
      </c>
      <c r="F4158" s="40" t="s">
        <v>2585</v>
      </c>
      <c r="G4158" s="12"/>
      <c r="H4158" s="12"/>
      <c r="I4158" s="4" t="s">
        <v>40</v>
      </c>
      <c r="J4158" s="41">
        <f ca="1">ROUNDDOWN(表3[[#This Row],[日期]]-TODAY(),1)</f>
        <v>-63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2474</v>
      </c>
      <c r="E4159" s="39">
        <v>43714</v>
      </c>
      <c r="F4159" s="40" t="s">
        <v>2585</v>
      </c>
      <c r="G4159" s="12"/>
      <c r="H4159" s="12"/>
      <c r="J4159" s="41">
        <f ca="1">ROUNDDOWN(表3[[#This Row],[日期]]-TODAY(),1)</f>
        <v>-63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2585</v>
      </c>
      <c r="G4160" s="12"/>
      <c r="H4160" s="12"/>
      <c r="I4160" s="4" t="s">
        <v>68</v>
      </c>
      <c r="J4160" s="41">
        <f ca="1">ROUNDDOWN(表3[[#This Row],[日期]]-TODAY(),1)</f>
        <v>-63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2585</v>
      </c>
      <c r="G4161" s="12"/>
      <c r="H4161" s="12"/>
      <c r="J4161" s="41">
        <f ca="1">ROUNDDOWN(表3[[#This Row],[日期]]-TODAY(),1)</f>
        <v>-63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1072</v>
      </c>
      <c r="E4162" s="39">
        <v>43714</v>
      </c>
      <c r="F4162" s="40" t="s">
        <v>2585</v>
      </c>
      <c r="G4162" s="12"/>
      <c r="H4162" s="12"/>
      <c r="J4162" s="41">
        <f ca="1">ROUNDDOWN(表3[[#This Row],[日期]]-TODAY(),1)</f>
        <v>-63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2585</v>
      </c>
      <c r="G4163" s="12"/>
      <c r="H4163" s="12"/>
      <c r="J4163" s="41">
        <f ca="1">ROUNDDOWN(表3[[#This Row],[日期]]-TODAY(),1)</f>
        <v>-63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2585</v>
      </c>
      <c r="G4164" s="12"/>
      <c r="H4164" s="12"/>
      <c r="J4164" s="41">
        <f ca="1">ROUNDDOWN(表3[[#This Row],[日期]]-TODAY(),1)</f>
        <v>-63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2585</v>
      </c>
      <c r="G4165" s="12"/>
      <c r="H4165" s="12"/>
      <c r="J4165" s="41">
        <f ca="1">ROUNDDOWN(表3[[#This Row],[日期]]-TODAY(),1)</f>
        <v>-63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2585</v>
      </c>
      <c r="G4166" s="12"/>
      <c r="H4166" s="12"/>
      <c r="J4166" s="41">
        <f ca="1">ROUNDDOWN(表3[[#This Row],[日期]]-TODAY(),1)</f>
        <v>-63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2335</v>
      </c>
      <c r="E4167" s="39">
        <v>43714</v>
      </c>
      <c r="F4167" s="40" t="s">
        <v>2585</v>
      </c>
      <c r="G4167" s="12"/>
      <c r="H4167" s="12"/>
      <c r="J4167" s="41">
        <f ca="1">ROUNDDOWN(表3[[#This Row],[日期]]-TODAY(),1)</f>
        <v>-63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305</v>
      </c>
      <c r="E4168" s="39">
        <v>43714</v>
      </c>
      <c r="F4168" s="40" t="s">
        <v>2585</v>
      </c>
      <c r="G4168" s="12"/>
      <c r="H4168" s="12"/>
      <c r="J4168" s="41">
        <f ca="1">ROUNDDOWN(表3[[#This Row],[日期]]-TODAY(),1)</f>
        <v>-63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2475</v>
      </c>
      <c r="E4169" s="39">
        <v>43714</v>
      </c>
      <c r="F4169" s="40" t="s">
        <v>2585</v>
      </c>
      <c r="G4169" s="12"/>
      <c r="H4169" s="12"/>
      <c r="I4169" s="4" t="s">
        <v>126</v>
      </c>
      <c r="J4169" s="41">
        <f ca="1">ROUNDDOWN(表3[[#This Row],[日期]]-TODAY(),1)</f>
        <v>-63</v>
      </c>
    </row>
    <row r="4170" spans="1:10" hidden="1" x14ac:dyDescent="0.2">
      <c r="A4170" s="4" t="s">
        <v>2574</v>
      </c>
      <c r="B4170" s="37">
        <v>43719</v>
      </c>
      <c r="C4170" s="12">
        <v>1</v>
      </c>
      <c r="D4170" s="38" t="s">
        <v>364</v>
      </c>
      <c r="E4170" s="39">
        <v>43706</v>
      </c>
      <c r="F4170" s="40" t="s">
        <v>2576</v>
      </c>
      <c r="G4170" s="12"/>
      <c r="H4170" s="12"/>
      <c r="J4170" s="41">
        <f ca="1">ROUNDDOWN(表3[[#This Row],[日期]]-TODAY(),1)</f>
        <v>-71</v>
      </c>
    </row>
    <row r="4171" spans="1:10" hidden="1" x14ac:dyDescent="0.2">
      <c r="A4171" s="4" t="s">
        <v>2574</v>
      </c>
      <c r="B4171" s="37">
        <v>43719</v>
      </c>
      <c r="C4171" s="12">
        <v>2</v>
      </c>
      <c r="D4171" s="38" t="s">
        <v>863</v>
      </c>
      <c r="E4171" s="39">
        <v>43707</v>
      </c>
      <c r="F4171" s="40" t="s">
        <v>2576</v>
      </c>
      <c r="G4171" s="12"/>
      <c r="H4171" s="12"/>
      <c r="J4171" s="41">
        <f ca="1">ROUNDDOWN(表3[[#This Row],[日期]]-TODAY(),1)</f>
        <v>-70</v>
      </c>
    </row>
    <row r="4172" spans="1:10" hidden="1" x14ac:dyDescent="0.2">
      <c r="A4172" s="4" t="s">
        <v>2574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-65</v>
      </c>
    </row>
    <row r="4173" spans="1:10" hidden="1" x14ac:dyDescent="0.2">
      <c r="A4173" s="4" t="s">
        <v>2574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-64</v>
      </c>
    </row>
    <row r="4174" spans="1:10" hidden="1" x14ac:dyDescent="0.2">
      <c r="A4174" s="4" t="s">
        <v>2574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-64</v>
      </c>
    </row>
    <row r="4175" spans="1:10" hidden="1" x14ac:dyDescent="0.2">
      <c r="A4175" s="4" t="s">
        <v>2574</v>
      </c>
      <c r="B4175" s="37">
        <v>43719</v>
      </c>
      <c r="C4175" s="12">
        <v>6</v>
      </c>
      <c r="D4175" s="38" t="s">
        <v>864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-64</v>
      </c>
    </row>
    <row r="4176" spans="1:10" hidden="1" x14ac:dyDescent="0.2">
      <c r="A4176" s="4" t="s">
        <v>2574</v>
      </c>
      <c r="B4176" s="37">
        <v>43719</v>
      </c>
      <c r="C4176" s="12">
        <v>7</v>
      </c>
      <c r="D4176" s="38" t="s">
        <v>867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-63</v>
      </c>
    </row>
    <row r="4177" spans="1:10" hidden="1" x14ac:dyDescent="0.2">
      <c r="A4177" s="4" t="s">
        <v>2574</v>
      </c>
      <c r="B4177" s="37">
        <v>43719</v>
      </c>
      <c r="C4177" s="12">
        <v>8</v>
      </c>
      <c r="D4177" s="38" t="s">
        <v>307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-64</v>
      </c>
    </row>
    <row r="4178" spans="1:10" hidden="1" x14ac:dyDescent="0.2">
      <c r="A4178" s="4" t="s">
        <v>2574</v>
      </c>
      <c r="B4178" s="37">
        <v>43719</v>
      </c>
      <c r="C4178" s="12">
        <v>9</v>
      </c>
      <c r="D4178" s="38" t="s">
        <v>2433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-64</v>
      </c>
    </row>
    <row r="4179" spans="1:10" hidden="1" x14ac:dyDescent="0.2">
      <c r="A4179" s="4" t="s">
        <v>2574</v>
      </c>
      <c r="B4179" s="37">
        <v>43719</v>
      </c>
      <c r="C4179" s="12">
        <v>10</v>
      </c>
      <c r="D4179" s="38" t="s">
        <v>866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-64</v>
      </c>
    </row>
    <row r="4180" spans="1:10" hidden="1" x14ac:dyDescent="0.2">
      <c r="A4180" s="4" t="s">
        <v>2574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-63</v>
      </c>
    </row>
    <row r="4181" spans="1:10" hidden="1" x14ac:dyDescent="0.2">
      <c r="A4181" s="4" t="s">
        <v>2574</v>
      </c>
      <c r="B4181" s="37">
        <v>43719</v>
      </c>
      <c r="C4181" s="12">
        <v>12</v>
      </c>
      <c r="D4181" s="38" t="s">
        <v>2572</v>
      </c>
      <c r="E4181" s="39">
        <v>43714</v>
      </c>
      <c r="F4181" s="40" t="s">
        <v>1184</v>
      </c>
      <c r="G4181" s="12"/>
      <c r="H4181" s="12"/>
      <c r="J4181" s="41">
        <f ca="1">ROUNDDOWN(表3[[#This Row],[日期]]-TODAY(),1)</f>
        <v>-63</v>
      </c>
    </row>
    <row r="4182" spans="1:10" hidden="1" x14ac:dyDescent="0.2">
      <c r="A4182" s="4" t="s">
        <v>2574</v>
      </c>
      <c r="B4182" s="37">
        <v>43719</v>
      </c>
      <c r="C4182" s="12">
        <v>13</v>
      </c>
      <c r="D4182" s="38" t="s">
        <v>868</v>
      </c>
      <c r="E4182" s="39">
        <v>43714</v>
      </c>
      <c r="F4182" s="40" t="s">
        <v>242</v>
      </c>
      <c r="G4182" s="12"/>
      <c r="H4182" s="12"/>
      <c r="I4182" s="4" t="s">
        <v>310</v>
      </c>
      <c r="J4182" s="41">
        <f ca="1">ROUNDDOWN(表3[[#This Row],[日期]]-TODAY(),1)</f>
        <v>-63</v>
      </c>
    </row>
    <row r="4183" spans="1:10" hidden="1" x14ac:dyDescent="0.2">
      <c r="A4183" s="4" t="s">
        <v>2574</v>
      </c>
      <c r="B4183" s="37">
        <v>43719</v>
      </c>
      <c r="C4183" s="12">
        <v>14</v>
      </c>
      <c r="D4183" s="38" t="s">
        <v>313</v>
      </c>
      <c r="E4183" s="39">
        <v>43714</v>
      </c>
      <c r="F4183" s="40" t="s">
        <v>242</v>
      </c>
      <c r="G4183" s="12">
        <v>4</v>
      </c>
      <c r="H4183" s="12"/>
      <c r="I4183" s="4" t="s">
        <v>310</v>
      </c>
      <c r="J4183" s="41">
        <f ca="1">ROUNDDOWN(表3[[#This Row],[日期]]-TODAY(),1)</f>
        <v>-63</v>
      </c>
    </row>
    <row r="4184" spans="1:10" hidden="1" x14ac:dyDescent="0.2">
      <c r="A4184" s="4" t="s">
        <v>2574</v>
      </c>
      <c r="B4184" s="37">
        <v>43719</v>
      </c>
      <c r="C4184" s="12">
        <v>15</v>
      </c>
      <c r="D4184" s="38" t="s">
        <v>309</v>
      </c>
      <c r="E4184" s="39">
        <v>43714</v>
      </c>
      <c r="F4184" s="40" t="s">
        <v>242</v>
      </c>
      <c r="G4184" s="12">
        <v>4</v>
      </c>
      <c r="H4184" s="12"/>
      <c r="I4184" s="4" t="s">
        <v>310</v>
      </c>
      <c r="J4184" s="41">
        <f ca="1">ROUNDDOWN(表3[[#This Row],[日期]]-TODAY(),1)</f>
        <v>-63</v>
      </c>
    </row>
    <row r="4185" spans="1:10" hidden="1" x14ac:dyDescent="0.2">
      <c r="A4185" s="4" t="s">
        <v>2574</v>
      </c>
      <c r="B4185" s="37">
        <v>43719</v>
      </c>
      <c r="C4185" s="12">
        <v>16</v>
      </c>
      <c r="D4185" s="38" t="s">
        <v>311</v>
      </c>
      <c r="E4185" s="39">
        <v>43715</v>
      </c>
      <c r="F4185" s="40" t="s">
        <v>242</v>
      </c>
      <c r="G4185" s="12"/>
      <c r="H4185" s="12"/>
      <c r="I4185" s="4" t="s">
        <v>310</v>
      </c>
      <c r="J4185" s="41">
        <f ca="1">ROUNDDOWN(表3[[#This Row],[日期]]-TODAY(),1)</f>
        <v>-62</v>
      </c>
    </row>
    <row r="4186" spans="1:10" hidden="1" x14ac:dyDescent="0.2">
      <c r="A4186" s="4" t="s">
        <v>2574</v>
      </c>
      <c r="B4186" s="37">
        <v>43719</v>
      </c>
      <c r="C4186" s="12">
        <v>17</v>
      </c>
      <c r="D4186" s="38" t="s">
        <v>271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-62</v>
      </c>
    </row>
    <row r="4187" spans="1:10" hidden="1" x14ac:dyDescent="0.2">
      <c r="A4187" s="4" t="s">
        <v>2574</v>
      </c>
      <c r="B4187" s="37">
        <v>43719</v>
      </c>
      <c r="C4187" s="12">
        <v>18</v>
      </c>
      <c r="D4187" s="38" t="s">
        <v>273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-57</v>
      </c>
    </row>
    <row r="4188" spans="1:10" hidden="1" x14ac:dyDescent="0.2">
      <c r="A4188" s="4" t="s">
        <v>2574</v>
      </c>
      <c r="B4188" s="37">
        <v>43719</v>
      </c>
      <c r="C4188" s="12">
        <v>19</v>
      </c>
      <c r="D4188" s="38" t="s">
        <v>275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-57</v>
      </c>
    </row>
    <row r="4189" spans="1:10" hidden="1" x14ac:dyDescent="0.2">
      <c r="A4189" s="4" t="s">
        <v>2574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-50</v>
      </c>
    </row>
    <row r="4190" spans="1:10" hidden="1" x14ac:dyDescent="0.2">
      <c r="A4190" s="4" t="s">
        <v>2574</v>
      </c>
      <c r="B4190" s="37">
        <v>43719</v>
      </c>
      <c r="C4190" s="12">
        <v>21</v>
      </c>
      <c r="D4190" s="38" t="s">
        <v>1387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-53</v>
      </c>
    </row>
    <row r="4191" spans="1:10" hidden="1" x14ac:dyDescent="0.2">
      <c r="A4191" s="4" t="s">
        <v>2574</v>
      </c>
      <c r="B4191" s="37">
        <v>43719</v>
      </c>
      <c r="C4191" s="12">
        <v>22</v>
      </c>
      <c r="D4191" s="38" t="s">
        <v>305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-57</v>
      </c>
    </row>
    <row r="4192" spans="1:10" hidden="1" x14ac:dyDescent="0.2">
      <c r="A4192" s="4" t="s">
        <v>2831</v>
      </c>
      <c r="B4192" s="37">
        <v>43719</v>
      </c>
      <c r="C4192" s="12">
        <v>1</v>
      </c>
      <c r="D4192" s="38" t="s">
        <v>507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-64</v>
      </c>
    </row>
    <row r="4193" spans="1:10" hidden="1" x14ac:dyDescent="0.2">
      <c r="A4193" s="4" t="s">
        <v>2831</v>
      </c>
      <c r="B4193" s="37">
        <v>43719</v>
      </c>
      <c r="C4193" s="12">
        <v>2</v>
      </c>
      <c r="D4193" s="38" t="s">
        <v>1518</v>
      </c>
      <c r="E4193" s="39">
        <v>43713</v>
      </c>
      <c r="F4193" s="40" t="s">
        <v>242</v>
      </c>
      <c r="G4193" s="12"/>
      <c r="H4193" s="12"/>
      <c r="I4193" s="4" t="s">
        <v>1521</v>
      </c>
      <c r="J4193" s="41">
        <f ca="1">ROUNDDOWN(表3[[#This Row],[日期]]-TODAY(),1)</f>
        <v>-64</v>
      </c>
    </row>
    <row r="4194" spans="1:10" hidden="1" x14ac:dyDescent="0.2">
      <c r="A4194" s="4" t="s">
        <v>2831</v>
      </c>
      <c r="B4194" s="37">
        <v>43719</v>
      </c>
      <c r="C4194" s="12">
        <v>3</v>
      </c>
      <c r="D4194" s="38" t="s">
        <v>1779</v>
      </c>
      <c r="E4194" s="39">
        <v>43713</v>
      </c>
      <c r="F4194" s="40" t="s">
        <v>242</v>
      </c>
      <c r="G4194" s="12"/>
      <c r="H4194" s="12"/>
      <c r="I4194" s="4" t="s">
        <v>1523</v>
      </c>
      <c r="J4194" s="41">
        <f ca="1">ROUNDDOWN(表3[[#This Row],[日期]]-TODAY(),1)</f>
        <v>-64</v>
      </c>
    </row>
    <row r="4195" spans="1:10" hidden="1" x14ac:dyDescent="0.2">
      <c r="A4195" s="4" t="s">
        <v>2831</v>
      </c>
      <c r="B4195" s="37">
        <v>43719</v>
      </c>
      <c r="C4195" s="12">
        <v>4</v>
      </c>
      <c r="D4195" s="38" t="s">
        <v>1526</v>
      </c>
      <c r="E4195" s="39">
        <v>43713</v>
      </c>
      <c r="F4195" s="40" t="s">
        <v>242</v>
      </c>
      <c r="G4195" s="12"/>
      <c r="H4195" s="12"/>
      <c r="I4195" s="4" t="s">
        <v>1528</v>
      </c>
      <c r="J4195" s="41">
        <f ca="1">ROUNDDOWN(表3[[#This Row],[日期]]-TODAY(),1)</f>
        <v>-64</v>
      </c>
    </row>
    <row r="4196" spans="1:10" hidden="1" x14ac:dyDescent="0.2">
      <c r="A4196" s="4" t="s">
        <v>2831</v>
      </c>
      <c r="B4196" s="37">
        <v>43719</v>
      </c>
      <c r="C4196" s="12">
        <v>5</v>
      </c>
      <c r="D4196" s="38" t="s">
        <v>1703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-64</v>
      </c>
    </row>
    <row r="4197" spans="1:10" hidden="1" x14ac:dyDescent="0.2">
      <c r="A4197" s="4" t="s">
        <v>2831</v>
      </c>
      <c r="B4197" s="37">
        <v>43719</v>
      </c>
      <c r="C4197" s="12">
        <v>6</v>
      </c>
      <c r="D4197" s="38" t="s">
        <v>1533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-63</v>
      </c>
    </row>
    <row r="4198" spans="1:10" hidden="1" x14ac:dyDescent="0.2">
      <c r="A4198" s="4" t="s">
        <v>2831</v>
      </c>
      <c r="B4198" s="37">
        <v>43719</v>
      </c>
      <c r="C4198" s="12">
        <v>7</v>
      </c>
      <c r="D4198" s="38" t="s">
        <v>1535</v>
      </c>
      <c r="E4198" s="39">
        <v>43713</v>
      </c>
      <c r="F4198" s="40" t="s">
        <v>1184</v>
      </c>
      <c r="G4198" s="12"/>
      <c r="H4198" s="12"/>
      <c r="I4198" s="4" t="s">
        <v>1537</v>
      </c>
      <c r="J4198" s="41">
        <f ca="1">ROUNDDOWN(表3[[#This Row],[日期]]-TODAY(),1)</f>
        <v>-64</v>
      </c>
    </row>
    <row r="4199" spans="1:10" hidden="1" x14ac:dyDescent="0.2">
      <c r="A4199" s="4" t="s">
        <v>2831</v>
      </c>
      <c r="B4199" s="37">
        <v>43719</v>
      </c>
      <c r="C4199" s="12">
        <v>8</v>
      </c>
      <c r="D4199" s="38" t="s">
        <v>1531</v>
      </c>
      <c r="E4199" s="39">
        <v>43713</v>
      </c>
      <c r="F4199" s="40" t="s">
        <v>1184</v>
      </c>
      <c r="G4199" s="12"/>
      <c r="H4199" s="12"/>
      <c r="J4199" s="41">
        <f ca="1">ROUNDDOWN(表3[[#This Row],[日期]]-TODAY(),1)</f>
        <v>-64</v>
      </c>
    </row>
    <row r="4200" spans="1:10" hidden="1" x14ac:dyDescent="0.2">
      <c r="A4200" s="4" t="s">
        <v>2831</v>
      </c>
      <c r="B4200" s="37">
        <v>43719</v>
      </c>
      <c r="C4200" s="12">
        <v>9</v>
      </c>
      <c r="D4200" s="38" t="s">
        <v>1539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-63</v>
      </c>
    </row>
    <row r="4201" spans="1:10" hidden="1" x14ac:dyDescent="0.2">
      <c r="A4201" s="4" t="s">
        <v>2831</v>
      </c>
      <c r="B4201" s="37">
        <v>43719</v>
      </c>
      <c r="C4201" s="12">
        <v>10</v>
      </c>
      <c r="D4201" s="38" t="s">
        <v>2558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-60</v>
      </c>
    </row>
    <row r="4202" spans="1:10" hidden="1" x14ac:dyDescent="0.2">
      <c r="A4202" s="4" t="s">
        <v>2831</v>
      </c>
      <c r="B4202" s="37">
        <v>43719</v>
      </c>
      <c r="C4202" s="12">
        <v>12</v>
      </c>
      <c r="D4202" s="38" t="s">
        <v>1541</v>
      </c>
      <c r="E4202" s="39">
        <v>43717</v>
      </c>
      <c r="F4202" s="40" t="s">
        <v>242</v>
      </c>
      <c r="G4202" s="12"/>
      <c r="H4202" s="12"/>
      <c r="I4202" s="4" t="s">
        <v>529</v>
      </c>
      <c r="J4202" s="41">
        <f ca="1">ROUNDDOWN(表3[[#This Row],[日期]]-TODAY(),1)</f>
        <v>-60</v>
      </c>
    </row>
    <row r="4203" spans="1:10" hidden="1" x14ac:dyDescent="0.2">
      <c r="A4203" s="4" t="s">
        <v>2831</v>
      </c>
      <c r="B4203" s="37">
        <v>43719</v>
      </c>
      <c r="C4203" s="12">
        <v>13</v>
      </c>
      <c r="D4203" s="38" t="s">
        <v>1543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-60</v>
      </c>
    </row>
    <row r="4204" spans="1:10" hidden="1" x14ac:dyDescent="0.2">
      <c r="A4204" s="4" t="s">
        <v>2831</v>
      </c>
      <c r="B4204" s="37">
        <v>43719</v>
      </c>
      <c r="C4204" s="12">
        <v>14</v>
      </c>
      <c r="D4204" s="38" t="s">
        <v>1545</v>
      </c>
      <c r="E4204" s="39">
        <v>43717</v>
      </c>
      <c r="F4204" s="40" t="s">
        <v>242</v>
      </c>
      <c r="G4204" s="12"/>
      <c r="H4204" s="12"/>
      <c r="I4204" s="4" t="s">
        <v>1547</v>
      </c>
      <c r="J4204" s="41">
        <f ca="1">ROUNDDOWN(表3[[#This Row],[日期]]-TODAY(),1)</f>
        <v>-60</v>
      </c>
    </row>
    <row r="4205" spans="1:10" hidden="1" x14ac:dyDescent="0.2">
      <c r="A4205" s="4" t="s">
        <v>2831</v>
      </c>
      <c r="B4205" s="37">
        <v>43719</v>
      </c>
      <c r="C4205" s="12">
        <v>15</v>
      </c>
      <c r="D4205" s="38" t="s">
        <v>1549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-60</v>
      </c>
    </row>
    <row r="4206" spans="1:10" hidden="1" x14ac:dyDescent="0.2">
      <c r="A4206" s="4" t="s">
        <v>2831</v>
      </c>
      <c r="B4206" s="37">
        <v>43719</v>
      </c>
      <c r="C4206" s="12">
        <v>16</v>
      </c>
      <c r="D4206" s="38" t="s">
        <v>1556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-60</v>
      </c>
    </row>
    <row r="4207" spans="1:10" hidden="1" x14ac:dyDescent="0.2">
      <c r="A4207" s="4" t="s">
        <v>2831</v>
      </c>
      <c r="B4207" s="37">
        <v>43719</v>
      </c>
      <c r="C4207" s="12">
        <v>17</v>
      </c>
      <c r="D4207" s="38" t="s">
        <v>1298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-60</v>
      </c>
    </row>
    <row r="4208" spans="1:10" hidden="1" x14ac:dyDescent="0.2">
      <c r="A4208" s="4" t="s">
        <v>2831</v>
      </c>
      <c r="B4208" s="37">
        <v>43719</v>
      </c>
      <c r="C4208" s="12">
        <v>18</v>
      </c>
      <c r="D4208" s="38" t="s">
        <v>1552</v>
      </c>
      <c r="E4208" s="39">
        <v>43717</v>
      </c>
      <c r="F4208" s="40" t="s">
        <v>242</v>
      </c>
      <c r="G4208" s="12"/>
      <c r="H4208" s="12"/>
      <c r="I4208" s="4" t="s">
        <v>1554</v>
      </c>
      <c r="J4208" s="41">
        <f ca="1">ROUNDDOWN(表3[[#This Row],[日期]]-TODAY(),1)</f>
        <v>-60</v>
      </c>
    </row>
    <row r="4209" spans="1:10" hidden="1" x14ac:dyDescent="0.2">
      <c r="A4209" s="4" t="s">
        <v>2831</v>
      </c>
      <c r="B4209" s="37">
        <v>43719</v>
      </c>
      <c r="C4209" s="12">
        <v>19</v>
      </c>
      <c r="D4209" s="38" t="s">
        <v>1558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-60</v>
      </c>
    </row>
    <row r="4210" spans="1:10" hidden="1" x14ac:dyDescent="0.2">
      <c r="A4210" s="4" t="s">
        <v>2831</v>
      </c>
      <c r="B4210" s="37">
        <v>43719</v>
      </c>
      <c r="C4210" s="12">
        <v>20</v>
      </c>
      <c r="D4210" s="38" t="s">
        <v>1560</v>
      </c>
      <c r="E4210" s="39">
        <v>43717</v>
      </c>
      <c r="F4210" s="40" t="s">
        <v>1184</v>
      </c>
      <c r="G4210" s="12"/>
      <c r="H4210" s="12"/>
      <c r="J4210" s="41">
        <f ca="1">ROUNDDOWN(表3[[#This Row],[日期]]-TODAY(),1)</f>
        <v>-60</v>
      </c>
    </row>
    <row r="4211" spans="1:10" hidden="1" x14ac:dyDescent="0.2">
      <c r="A4211" s="4" t="s">
        <v>2831</v>
      </c>
      <c r="B4211" s="37">
        <v>43719</v>
      </c>
      <c r="C4211" s="12">
        <v>21</v>
      </c>
      <c r="D4211" s="38" t="s">
        <v>1562</v>
      </c>
      <c r="E4211" s="39">
        <v>43717</v>
      </c>
      <c r="F4211" s="40" t="s">
        <v>1184</v>
      </c>
      <c r="G4211" s="12"/>
      <c r="H4211" s="12"/>
      <c r="J4211" s="41">
        <f ca="1">ROUNDDOWN(表3[[#This Row],[日期]]-TODAY(),1)</f>
        <v>-60</v>
      </c>
    </row>
    <row r="4212" spans="1:10" hidden="1" x14ac:dyDescent="0.2">
      <c r="A4212" s="4" t="s">
        <v>2831</v>
      </c>
      <c r="B4212" s="37">
        <v>43719</v>
      </c>
      <c r="C4212" s="12">
        <v>22</v>
      </c>
      <c r="D4212" s="38" t="s">
        <v>1564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-60</v>
      </c>
    </row>
    <row r="4213" spans="1:10" hidden="1" x14ac:dyDescent="0.2">
      <c r="A4213" s="4" t="s">
        <v>2831</v>
      </c>
      <c r="B4213" s="37">
        <v>43719</v>
      </c>
      <c r="C4213" s="12">
        <v>23</v>
      </c>
      <c r="D4213" s="38" t="s">
        <v>1566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-60</v>
      </c>
    </row>
    <row r="4214" spans="1:10" hidden="1" x14ac:dyDescent="0.2">
      <c r="A4214" s="4" t="s">
        <v>2831</v>
      </c>
      <c r="B4214" s="37">
        <v>43719</v>
      </c>
      <c r="C4214" s="12">
        <v>24</v>
      </c>
      <c r="D4214" s="38" t="s">
        <v>1568</v>
      </c>
      <c r="E4214" s="39">
        <v>43717</v>
      </c>
      <c r="F4214" s="40" t="s">
        <v>242</v>
      </c>
      <c r="G4214" s="12"/>
      <c r="H4214" s="12"/>
      <c r="I4214" s="4" t="s">
        <v>1528</v>
      </c>
      <c r="J4214" s="41">
        <f ca="1">ROUNDDOWN(表3[[#This Row],[日期]]-TODAY(),1)</f>
        <v>-60</v>
      </c>
    </row>
    <row r="4215" spans="1:10" hidden="1" x14ac:dyDescent="0.2">
      <c r="A4215" s="4" t="s">
        <v>2831</v>
      </c>
      <c r="B4215" s="37">
        <v>43719</v>
      </c>
      <c r="C4215" s="12">
        <v>25</v>
      </c>
      <c r="D4215" s="38" t="s">
        <v>305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-55</v>
      </c>
    </row>
    <row r="4216" spans="1:10" hidden="1" x14ac:dyDescent="0.2">
      <c r="A4216" s="4" t="s">
        <v>2831</v>
      </c>
      <c r="B4216" s="37">
        <v>43719</v>
      </c>
      <c r="C4216" s="12">
        <v>26</v>
      </c>
      <c r="D4216" s="38" t="s">
        <v>1572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-53</v>
      </c>
    </row>
    <row r="4217" spans="1:10" hidden="1" x14ac:dyDescent="0.2">
      <c r="A4217" s="4" t="s">
        <v>2831</v>
      </c>
      <c r="B4217" s="37">
        <v>43719</v>
      </c>
      <c r="C4217" s="12">
        <v>27</v>
      </c>
      <c r="D4217" s="38" t="s">
        <v>1570</v>
      </c>
      <c r="E4217" s="39">
        <v>43724</v>
      </c>
      <c r="F4217" s="40" t="s">
        <v>242</v>
      </c>
      <c r="G4217" s="12">
        <v>4</v>
      </c>
      <c r="H4217" s="12"/>
      <c r="I4217" s="4" t="s">
        <v>1528</v>
      </c>
      <c r="J4217" s="41">
        <f ca="1">ROUNDDOWN(表3[[#This Row],[日期]]-TODAY(),1)</f>
        <v>-53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893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-67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-67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1137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-66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-66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-66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1261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-66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1282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-66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-66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894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-60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1741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-60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1289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-60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1743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-60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1745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-60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1747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-60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1749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-60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1751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-60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895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-59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1753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-59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-59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896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-59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-59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903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-59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2372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-59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1880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-59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-59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-59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-59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-59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-59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-59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2373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-59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898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-59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2374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-59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-59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-59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1023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-58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-58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-58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-57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-56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1793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-53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-53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1623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-52</v>
      </c>
    </row>
    <row r="4261" spans="1:10" hidden="1" x14ac:dyDescent="0.2">
      <c r="A4261" s="4" t="s">
        <v>1371</v>
      </c>
      <c r="B4261" s="37">
        <v>43723</v>
      </c>
      <c r="C4261" s="12">
        <v>1</v>
      </c>
      <c r="D4261" s="38" t="s">
        <v>1805</v>
      </c>
      <c r="E4261" s="39">
        <v>43672</v>
      </c>
      <c r="F4261" s="40" t="s">
        <v>2002</v>
      </c>
      <c r="G4261" s="12"/>
      <c r="H4261" s="12"/>
      <c r="J4261" s="41">
        <f ca="1">ROUNDDOWN(表3[[#This Row],[日期]]-TODAY(),1)</f>
        <v>-105</v>
      </c>
    </row>
    <row r="4262" spans="1:10" hidden="1" x14ac:dyDescent="0.2">
      <c r="A4262" s="4" t="s">
        <v>1371</v>
      </c>
      <c r="B4262" s="37">
        <v>43723</v>
      </c>
      <c r="C4262" s="12">
        <v>2</v>
      </c>
      <c r="D4262" s="38" t="s">
        <v>1806</v>
      </c>
      <c r="E4262" s="39">
        <v>43677</v>
      </c>
      <c r="F4262" s="40" t="s">
        <v>2002</v>
      </c>
      <c r="G4262" s="12"/>
      <c r="H4262" s="12"/>
      <c r="J4262" s="41">
        <f ca="1">ROUNDDOWN(表3[[#This Row],[日期]]-TODAY(),1)</f>
        <v>-100</v>
      </c>
    </row>
    <row r="4263" spans="1:10" hidden="1" x14ac:dyDescent="0.2">
      <c r="A4263" s="4" t="s">
        <v>1371</v>
      </c>
      <c r="B4263" s="37">
        <v>43723</v>
      </c>
      <c r="C4263" s="12">
        <v>3</v>
      </c>
      <c r="D4263" s="38" t="s">
        <v>1807</v>
      </c>
      <c r="E4263" s="39">
        <v>43677</v>
      </c>
      <c r="F4263" s="40" t="s">
        <v>2002</v>
      </c>
      <c r="G4263" s="12"/>
      <c r="H4263" s="12"/>
      <c r="J4263" s="41">
        <f ca="1">ROUNDDOWN(表3[[#This Row],[日期]]-TODAY(),1)</f>
        <v>-100</v>
      </c>
    </row>
    <row r="4264" spans="1:10" hidden="1" x14ac:dyDescent="0.2">
      <c r="A4264" s="4" t="s">
        <v>1371</v>
      </c>
      <c r="B4264" s="37">
        <v>43723</v>
      </c>
      <c r="C4264" s="12">
        <v>4</v>
      </c>
      <c r="D4264" s="38" t="s">
        <v>1808</v>
      </c>
      <c r="E4264" s="39">
        <v>43677</v>
      </c>
      <c r="F4264" s="40" t="s">
        <v>2002</v>
      </c>
      <c r="G4264" s="12"/>
      <c r="H4264" s="12"/>
      <c r="J4264" s="41">
        <f ca="1">ROUNDDOWN(表3[[#This Row],[日期]]-TODAY(),1)</f>
        <v>-100</v>
      </c>
    </row>
    <row r="4265" spans="1:10" hidden="1" x14ac:dyDescent="0.2">
      <c r="A4265" s="4" t="s">
        <v>1371</v>
      </c>
      <c r="B4265" s="37">
        <v>43723</v>
      </c>
      <c r="C4265" s="12">
        <v>4.0999999999999996</v>
      </c>
      <c r="D4265" s="38" t="s">
        <v>2043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-100</v>
      </c>
    </row>
    <row r="4266" spans="1:10" hidden="1" x14ac:dyDescent="0.2">
      <c r="A4266" s="4" t="s">
        <v>1371</v>
      </c>
      <c r="B4266" s="37">
        <v>43723</v>
      </c>
      <c r="C4266" s="12">
        <v>5</v>
      </c>
      <c r="D4266" s="38" t="s">
        <v>2031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-59</v>
      </c>
    </row>
    <row r="4267" spans="1:10" hidden="1" x14ac:dyDescent="0.2">
      <c r="A4267" s="4" t="s">
        <v>1371</v>
      </c>
      <c r="B4267" s="37">
        <v>43723</v>
      </c>
      <c r="C4267" s="12">
        <v>6</v>
      </c>
      <c r="D4267" s="38" t="s">
        <v>2011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-57</v>
      </c>
    </row>
    <row r="4268" spans="1:10" hidden="1" x14ac:dyDescent="0.2">
      <c r="A4268" s="4" t="s">
        <v>1371</v>
      </c>
      <c r="B4268" s="37">
        <v>43723</v>
      </c>
      <c r="C4268" s="12">
        <v>7</v>
      </c>
      <c r="D4268" s="38" t="s">
        <v>1655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-57</v>
      </c>
    </row>
    <row r="4269" spans="1:10" hidden="1" x14ac:dyDescent="0.2">
      <c r="A4269" s="4" t="s">
        <v>1371</v>
      </c>
      <c r="B4269" s="37">
        <v>43723</v>
      </c>
      <c r="C4269" s="12">
        <v>8</v>
      </c>
      <c r="D4269" s="38" t="s">
        <v>2012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-57</v>
      </c>
    </row>
    <row r="4270" spans="1:10" hidden="1" x14ac:dyDescent="0.2">
      <c r="A4270" s="4" t="s">
        <v>1371</v>
      </c>
      <c r="B4270" s="37">
        <v>43723</v>
      </c>
      <c r="C4270" s="12">
        <v>9</v>
      </c>
      <c r="D4270" s="38" t="s">
        <v>2013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-57</v>
      </c>
    </row>
    <row r="4271" spans="1:10" hidden="1" x14ac:dyDescent="0.2">
      <c r="A4271" s="4" t="s">
        <v>1371</v>
      </c>
      <c r="B4271" s="37">
        <v>43723</v>
      </c>
      <c r="C4271" s="12">
        <v>10</v>
      </c>
      <c r="D4271" s="38" t="s">
        <v>2014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-57</v>
      </c>
    </row>
    <row r="4272" spans="1:10" hidden="1" x14ac:dyDescent="0.2">
      <c r="A4272" s="4" t="s">
        <v>1371</v>
      </c>
      <c r="B4272" s="37">
        <v>43723</v>
      </c>
      <c r="C4272" s="12">
        <v>11</v>
      </c>
      <c r="D4272" s="38" t="s">
        <v>2015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-57</v>
      </c>
    </row>
    <row r="4273" spans="1:10" hidden="1" x14ac:dyDescent="0.2">
      <c r="A4273" s="4" t="s">
        <v>1371</v>
      </c>
      <c r="B4273" s="37">
        <v>43723</v>
      </c>
      <c r="C4273" s="12">
        <v>12</v>
      </c>
      <c r="D4273" s="38" t="s">
        <v>2016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-57</v>
      </c>
    </row>
    <row r="4274" spans="1:10" hidden="1" x14ac:dyDescent="0.2">
      <c r="A4274" s="4" t="s">
        <v>1371</v>
      </c>
      <c r="B4274" s="37">
        <v>43723</v>
      </c>
      <c r="C4274" s="12">
        <v>13</v>
      </c>
      <c r="D4274" s="38" t="s">
        <v>2017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-57</v>
      </c>
    </row>
    <row r="4275" spans="1:10" hidden="1" x14ac:dyDescent="0.2">
      <c r="A4275" s="4" t="s">
        <v>1371</v>
      </c>
      <c r="B4275" s="37">
        <v>43723</v>
      </c>
      <c r="C4275" s="12">
        <v>14</v>
      </c>
      <c r="D4275" s="38" t="s">
        <v>2018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-57</v>
      </c>
    </row>
    <row r="4276" spans="1:10" hidden="1" x14ac:dyDescent="0.2">
      <c r="A4276" s="4" t="s">
        <v>1371</v>
      </c>
      <c r="B4276" s="37">
        <v>43723</v>
      </c>
      <c r="C4276" s="12">
        <v>15</v>
      </c>
      <c r="D4276" s="38" t="s">
        <v>269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-56</v>
      </c>
    </row>
    <row r="4277" spans="1:10" hidden="1" x14ac:dyDescent="0.2">
      <c r="A4277" s="4" t="s">
        <v>1371</v>
      </c>
      <c r="B4277" s="37">
        <v>43723</v>
      </c>
      <c r="C4277" s="12">
        <v>16</v>
      </c>
      <c r="D4277" s="38" t="s">
        <v>271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-56</v>
      </c>
    </row>
    <row r="4278" spans="1:10" hidden="1" x14ac:dyDescent="0.2">
      <c r="A4278" s="4" t="s">
        <v>1371</v>
      </c>
      <c r="B4278" s="37">
        <v>43723</v>
      </c>
      <c r="C4278" s="12">
        <v>17</v>
      </c>
      <c r="D4278" s="38" t="s">
        <v>273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-55</v>
      </c>
    </row>
    <row r="4279" spans="1:10" hidden="1" x14ac:dyDescent="0.2">
      <c r="A4279" s="4" t="s">
        <v>1371</v>
      </c>
      <c r="B4279" s="37">
        <v>43723</v>
      </c>
      <c r="C4279" s="12">
        <v>18</v>
      </c>
      <c r="D4279" s="38" t="s">
        <v>275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-55</v>
      </c>
    </row>
    <row r="4280" spans="1:10" hidden="1" x14ac:dyDescent="0.2">
      <c r="A4280" s="4" t="s">
        <v>1371</v>
      </c>
      <c r="B4280" s="37">
        <v>43723</v>
      </c>
      <c r="C4280" s="12">
        <v>19</v>
      </c>
      <c r="D4280" s="38" t="s">
        <v>305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-52</v>
      </c>
    </row>
    <row r="4281" spans="1:10" hidden="1" x14ac:dyDescent="0.2">
      <c r="A4281" s="4" t="s">
        <v>1371</v>
      </c>
      <c r="B4281" s="37">
        <v>43723</v>
      </c>
      <c r="C4281" s="12">
        <v>20</v>
      </c>
      <c r="D4281" s="38" t="s">
        <v>2019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-52</v>
      </c>
    </row>
    <row r="4282" spans="1:10" hidden="1" x14ac:dyDescent="0.2">
      <c r="A4282" s="4" t="s">
        <v>1371</v>
      </c>
      <c r="B4282" s="37">
        <v>43723</v>
      </c>
      <c r="C4282" s="12">
        <v>21</v>
      </c>
      <c r="D4282" s="38" t="s">
        <v>1990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-49</v>
      </c>
    </row>
    <row r="4283" spans="1:10" hidden="1" x14ac:dyDescent="0.2">
      <c r="A4283" s="4" t="s">
        <v>1371</v>
      </c>
      <c r="B4283" s="37">
        <v>43723</v>
      </c>
      <c r="C4283" s="12">
        <v>22</v>
      </c>
      <c r="D4283" s="38" t="s">
        <v>2020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-49</v>
      </c>
    </row>
    <row r="4284" spans="1:10" hidden="1" x14ac:dyDescent="0.2">
      <c r="A4284" s="4" t="s">
        <v>702</v>
      </c>
      <c r="B4284" s="37">
        <v>43723</v>
      </c>
      <c r="C4284" s="12">
        <v>1</v>
      </c>
      <c r="D4284" s="38" t="s">
        <v>1805</v>
      </c>
      <c r="E4284" s="39">
        <v>43690</v>
      </c>
      <c r="F4284" s="40" t="s">
        <v>2673</v>
      </c>
      <c r="G4284" s="12"/>
      <c r="H4284" s="12"/>
      <c r="J4284" s="41">
        <f ca="1">ROUNDDOWN(表3[[#This Row],[日期]]-TODAY(),1)</f>
        <v>-87</v>
      </c>
    </row>
    <row r="4285" spans="1:10" hidden="1" x14ac:dyDescent="0.2">
      <c r="A4285" s="4" t="s">
        <v>702</v>
      </c>
      <c r="B4285" s="37">
        <v>43723</v>
      </c>
      <c r="C4285" s="12">
        <v>2</v>
      </c>
      <c r="D4285" s="38" t="s">
        <v>1994</v>
      </c>
      <c r="E4285" s="39">
        <v>43718</v>
      </c>
      <c r="F4285" s="40" t="s">
        <v>2673</v>
      </c>
      <c r="G4285" s="12"/>
      <c r="H4285" s="12"/>
      <c r="J4285" s="41">
        <f ca="1">ROUNDDOWN(表3[[#This Row],[日期]]-TODAY(),1)</f>
        <v>-59</v>
      </c>
    </row>
    <row r="4286" spans="1:10" hidden="1" x14ac:dyDescent="0.2">
      <c r="A4286" s="4" t="s">
        <v>702</v>
      </c>
      <c r="B4286" s="37">
        <v>43723</v>
      </c>
      <c r="C4286" s="12">
        <v>3</v>
      </c>
      <c r="D4286" s="38" t="s">
        <v>1996</v>
      </c>
      <c r="E4286" s="39">
        <v>43718</v>
      </c>
      <c r="F4286" s="40" t="s">
        <v>2673</v>
      </c>
      <c r="G4286" s="12"/>
      <c r="H4286" s="12"/>
      <c r="J4286" s="41">
        <f ca="1">ROUNDDOWN(表3[[#This Row],[日期]]-TODAY(),1)</f>
        <v>-59</v>
      </c>
    </row>
    <row r="4287" spans="1:10" hidden="1" x14ac:dyDescent="0.2">
      <c r="A4287" s="4" t="s">
        <v>702</v>
      </c>
      <c r="B4287" s="37">
        <v>43723</v>
      </c>
      <c r="C4287" s="12">
        <v>4</v>
      </c>
      <c r="D4287" s="38" t="s">
        <v>1997</v>
      </c>
      <c r="E4287" s="39">
        <v>43718</v>
      </c>
      <c r="F4287" s="40" t="s">
        <v>1184</v>
      </c>
      <c r="G4287" s="12"/>
      <c r="H4287" s="12"/>
      <c r="J4287" s="41">
        <f ca="1">ROUNDDOWN(表3[[#This Row],[日期]]-TODAY(),1)</f>
        <v>-59</v>
      </c>
    </row>
    <row r="4288" spans="1:10" hidden="1" x14ac:dyDescent="0.2">
      <c r="A4288" s="4" t="s">
        <v>702</v>
      </c>
      <c r="B4288" s="37">
        <v>43723</v>
      </c>
      <c r="C4288" s="12">
        <v>5</v>
      </c>
      <c r="D4288" s="38" t="s">
        <v>1998</v>
      </c>
      <c r="E4288" s="39">
        <v>43718</v>
      </c>
      <c r="F4288" s="40" t="s">
        <v>1184</v>
      </c>
      <c r="G4288" s="12"/>
      <c r="H4288" s="12"/>
      <c r="J4288" s="41">
        <f ca="1">ROUNDDOWN(表3[[#This Row],[日期]]-TODAY(),1)</f>
        <v>-59</v>
      </c>
    </row>
    <row r="4289" spans="1:10" hidden="1" x14ac:dyDescent="0.2">
      <c r="A4289" s="4" t="s">
        <v>702</v>
      </c>
      <c r="B4289" s="37">
        <v>43723</v>
      </c>
      <c r="C4289" s="12">
        <v>7</v>
      </c>
      <c r="D4289" s="38" t="s">
        <v>1999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-59</v>
      </c>
    </row>
    <row r="4290" spans="1:10" hidden="1" x14ac:dyDescent="0.2">
      <c r="A4290" s="4" t="s">
        <v>702</v>
      </c>
      <c r="B4290" s="37">
        <v>43723</v>
      </c>
      <c r="C4290" s="12">
        <v>8</v>
      </c>
      <c r="D4290" s="38" t="s">
        <v>2667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-57</v>
      </c>
    </row>
    <row r="4291" spans="1:10" hidden="1" x14ac:dyDescent="0.2">
      <c r="A4291" s="4" t="s">
        <v>702</v>
      </c>
      <c r="B4291" s="37">
        <v>43723</v>
      </c>
      <c r="C4291" s="12">
        <v>13</v>
      </c>
      <c r="D4291" s="38" t="s">
        <v>2674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-57</v>
      </c>
    </row>
    <row r="4292" spans="1:10" hidden="1" x14ac:dyDescent="0.2">
      <c r="A4292" s="4" t="s">
        <v>702</v>
      </c>
      <c r="B4292" s="37">
        <v>43723</v>
      </c>
      <c r="C4292" s="12">
        <v>15</v>
      </c>
      <c r="D4292" s="38" t="s">
        <v>2000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-57</v>
      </c>
    </row>
    <row r="4293" spans="1:10" hidden="1" x14ac:dyDescent="0.2">
      <c r="A4293" s="4" t="s">
        <v>702</v>
      </c>
      <c r="B4293" s="37">
        <v>43723</v>
      </c>
      <c r="C4293" s="12">
        <v>16</v>
      </c>
      <c r="D4293" s="38" t="s">
        <v>1496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-57</v>
      </c>
    </row>
    <row r="4294" spans="1:10" hidden="1" x14ac:dyDescent="0.2">
      <c r="A4294" s="4" t="s">
        <v>702</v>
      </c>
      <c r="B4294" s="37">
        <v>43723</v>
      </c>
      <c r="C4294" s="12">
        <v>16.100000000000001</v>
      </c>
      <c r="D4294" s="38" t="s">
        <v>2668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-57</v>
      </c>
    </row>
    <row r="4295" spans="1:10" hidden="1" x14ac:dyDescent="0.2">
      <c r="A4295" s="4" t="s">
        <v>702</v>
      </c>
      <c r="B4295" s="37">
        <v>43723</v>
      </c>
      <c r="C4295" s="12">
        <v>17</v>
      </c>
      <c r="D4295" s="38" t="s">
        <v>2669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-57</v>
      </c>
    </row>
    <row r="4296" spans="1:10" hidden="1" x14ac:dyDescent="0.2">
      <c r="A4296" s="4" t="s">
        <v>702</v>
      </c>
      <c r="B4296" s="37">
        <v>43723</v>
      </c>
      <c r="C4296" s="12">
        <v>18</v>
      </c>
      <c r="D4296" s="38" t="s">
        <v>2670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-57</v>
      </c>
    </row>
    <row r="4297" spans="1:10" hidden="1" x14ac:dyDescent="0.2">
      <c r="A4297" s="4" t="s">
        <v>702</v>
      </c>
      <c r="B4297" s="37">
        <v>43723</v>
      </c>
      <c r="C4297" s="12">
        <v>19</v>
      </c>
      <c r="D4297" s="38" t="s">
        <v>2700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-57</v>
      </c>
    </row>
    <row r="4298" spans="1:10" hidden="1" x14ac:dyDescent="0.2">
      <c r="A4298" s="4" t="s">
        <v>702</v>
      </c>
      <c r="B4298" s="37">
        <v>43723</v>
      </c>
      <c r="C4298" s="12">
        <v>20</v>
      </c>
      <c r="D4298" s="38" t="s">
        <v>2671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-53</v>
      </c>
    </row>
    <row r="4299" spans="1:10" hidden="1" x14ac:dyDescent="0.2">
      <c r="A4299" s="4" t="s">
        <v>702</v>
      </c>
      <c r="B4299" s="37">
        <v>43723</v>
      </c>
      <c r="C4299" s="12">
        <v>21</v>
      </c>
      <c r="D4299" s="38" t="s">
        <v>2672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-57</v>
      </c>
    </row>
    <row r="4300" spans="1:10" hidden="1" x14ac:dyDescent="0.2">
      <c r="A4300" s="4" t="s">
        <v>702</v>
      </c>
      <c r="B4300" s="37">
        <v>43723</v>
      </c>
      <c r="C4300" s="12">
        <v>22</v>
      </c>
      <c r="D4300" s="38" t="s">
        <v>1502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-57</v>
      </c>
    </row>
    <row r="4301" spans="1:10" hidden="1" x14ac:dyDescent="0.2">
      <c r="A4301" s="4" t="s">
        <v>702</v>
      </c>
      <c r="B4301" s="37">
        <v>43723</v>
      </c>
      <c r="C4301" s="12">
        <v>23</v>
      </c>
      <c r="D4301" s="38" t="s">
        <v>576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-56</v>
      </c>
    </row>
    <row r="4302" spans="1:10" hidden="1" x14ac:dyDescent="0.2">
      <c r="A4302" s="4" t="s">
        <v>702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-56</v>
      </c>
    </row>
    <row r="4303" spans="1:10" hidden="1" x14ac:dyDescent="0.2">
      <c r="A4303" s="4" t="s">
        <v>702</v>
      </c>
      <c r="B4303" s="37">
        <v>43723</v>
      </c>
      <c r="C4303" s="12">
        <v>25</v>
      </c>
      <c r="D4303" s="38" t="s">
        <v>312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-57</v>
      </c>
    </row>
    <row r="4304" spans="1:10" hidden="1" x14ac:dyDescent="0.2">
      <c r="A4304" s="4" t="s">
        <v>702</v>
      </c>
      <c r="B4304" s="37">
        <v>43723</v>
      </c>
      <c r="C4304" s="12">
        <v>26</v>
      </c>
      <c r="D4304" s="38" t="s">
        <v>271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-56</v>
      </c>
    </row>
    <row r="4305" spans="1:10" hidden="1" x14ac:dyDescent="0.2">
      <c r="A4305" s="4" t="s">
        <v>702</v>
      </c>
      <c r="B4305" s="37">
        <v>43723</v>
      </c>
      <c r="C4305" s="12">
        <v>27</v>
      </c>
      <c r="D4305" s="38" t="s">
        <v>273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-55</v>
      </c>
    </row>
    <row r="4306" spans="1:10" hidden="1" x14ac:dyDescent="0.2">
      <c r="A4306" s="4" t="s">
        <v>702</v>
      </c>
      <c r="B4306" s="37">
        <v>43723</v>
      </c>
      <c r="C4306" s="12">
        <v>28</v>
      </c>
      <c r="D4306" s="38" t="s">
        <v>275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-55</v>
      </c>
    </row>
    <row r="4307" spans="1:10" hidden="1" x14ac:dyDescent="0.2">
      <c r="A4307" s="4" t="s">
        <v>702</v>
      </c>
      <c r="B4307" s="37">
        <v>43723</v>
      </c>
      <c r="C4307" s="12">
        <v>29</v>
      </c>
      <c r="D4307" s="38" t="s">
        <v>1503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-53</v>
      </c>
    </row>
    <row r="4308" spans="1:10" hidden="1" x14ac:dyDescent="0.2">
      <c r="A4308" s="4" t="s">
        <v>702</v>
      </c>
      <c r="B4308" s="37">
        <v>43723</v>
      </c>
      <c r="C4308" s="12">
        <v>30</v>
      </c>
      <c r="D4308" s="38" t="s">
        <v>2737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-51</v>
      </c>
    </row>
    <row r="4309" spans="1:10" hidden="1" x14ac:dyDescent="0.2">
      <c r="A4309" s="4" t="s">
        <v>702</v>
      </c>
      <c r="B4309" s="37">
        <v>43723</v>
      </c>
      <c r="C4309" s="12">
        <v>31</v>
      </c>
      <c r="D4309" s="38" t="s">
        <v>2771</v>
      </c>
      <c r="E4309" s="39">
        <v>43731</v>
      </c>
      <c r="F4309" s="40" t="s">
        <v>242</v>
      </c>
      <c r="G4309" s="12">
        <v>4</v>
      </c>
      <c r="H4309" s="12" t="s">
        <v>2863</v>
      </c>
      <c r="J4309" s="41">
        <f ca="1">ROUNDDOWN(表3[[#This Row],[日期]]-TODAY(),1)</f>
        <v>-46</v>
      </c>
    </row>
    <row r="4310" spans="1:10" hidden="1" x14ac:dyDescent="0.2">
      <c r="A4310" s="4" t="s">
        <v>702</v>
      </c>
      <c r="B4310" s="37">
        <v>43723</v>
      </c>
      <c r="C4310" s="12">
        <v>31.1</v>
      </c>
      <c r="D4310" s="38" t="s">
        <v>2782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-50</v>
      </c>
    </row>
    <row r="4311" spans="1:10" hidden="1" x14ac:dyDescent="0.2">
      <c r="A4311" s="4" t="s">
        <v>702</v>
      </c>
      <c r="B4311" s="37">
        <v>43723</v>
      </c>
      <c r="C4311" s="12">
        <v>31.2</v>
      </c>
      <c r="D4311" s="38" t="s">
        <v>2734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-50</v>
      </c>
    </row>
    <row r="4312" spans="1:10" hidden="1" x14ac:dyDescent="0.2">
      <c r="A4312" s="4" t="s">
        <v>702</v>
      </c>
      <c r="B4312" s="37">
        <v>43723</v>
      </c>
      <c r="C4312" s="12">
        <v>32</v>
      </c>
      <c r="D4312" s="38" t="s">
        <v>2783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-46</v>
      </c>
    </row>
    <row r="4313" spans="1:10" hidden="1" x14ac:dyDescent="0.2">
      <c r="A4313" s="4" t="s">
        <v>2831</v>
      </c>
      <c r="B4313" s="37">
        <v>43723</v>
      </c>
      <c r="C4313" s="12">
        <v>1</v>
      </c>
      <c r="D4313" s="38" t="s">
        <v>507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-59</v>
      </c>
    </row>
    <row r="4314" spans="1:10" hidden="1" x14ac:dyDescent="0.2">
      <c r="A4314" s="4" t="s">
        <v>2831</v>
      </c>
      <c r="B4314" s="37">
        <v>43723</v>
      </c>
      <c r="C4314" s="12">
        <v>2</v>
      </c>
      <c r="D4314" s="38" t="s">
        <v>1519</v>
      </c>
      <c r="E4314" s="39">
        <v>43718</v>
      </c>
      <c r="F4314" s="40" t="s">
        <v>1</v>
      </c>
      <c r="G4314" s="12"/>
      <c r="H4314" s="12"/>
      <c r="I4314" s="4" t="s">
        <v>1522</v>
      </c>
      <c r="J4314" s="41">
        <f ca="1">ROUNDDOWN(表3[[#This Row],[日期]]-TODAY(),1)</f>
        <v>-59</v>
      </c>
    </row>
    <row r="4315" spans="1:10" hidden="1" x14ac:dyDescent="0.2">
      <c r="A4315" s="4" t="s">
        <v>2831</v>
      </c>
      <c r="B4315" s="37">
        <v>43723</v>
      </c>
      <c r="C4315" s="12">
        <v>3</v>
      </c>
      <c r="D4315" s="38" t="s">
        <v>1705</v>
      </c>
      <c r="E4315" s="39">
        <v>43718</v>
      </c>
      <c r="F4315" s="40" t="s">
        <v>1</v>
      </c>
      <c r="G4315" s="12"/>
      <c r="H4315" s="12"/>
      <c r="I4315" s="4" t="s">
        <v>1524</v>
      </c>
      <c r="J4315" s="41">
        <f ca="1">ROUNDDOWN(表3[[#This Row],[日期]]-TODAY(),1)</f>
        <v>-59</v>
      </c>
    </row>
    <row r="4316" spans="1:10" hidden="1" x14ac:dyDescent="0.2">
      <c r="A4316" s="4" t="s">
        <v>2831</v>
      </c>
      <c r="B4316" s="37">
        <v>43723</v>
      </c>
      <c r="C4316" s="12">
        <v>4</v>
      </c>
      <c r="D4316" s="38" t="s">
        <v>1527</v>
      </c>
      <c r="E4316" s="39">
        <v>43718</v>
      </c>
      <c r="F4316" s="40" t="s">
        <v>242</v>
      </c>
      <c r="G4316" s="12"/>
      <c r="H4316" s="12"/>
      <c r="I4316" s="4" t="s">
        <v>1529</v>
      </c>
      <c r="J4316" s="41">
        <f ca="1">ROUNDDOWN(表3[[#This Row],[日期]]-TODAY(),1)</f>
        <v>-59</v>
      </c>
    </row>
    <row r="4317" spans="1:10" hidden="1" x14ac:dyDescent="0.2">
      <c r="A4317" s="4" t="s">
        <v>2831</v>
      </c>
      <c r="B4317" s="37">
        <v>43723</v>
      </c>
      <c r="C4317" s="12">
        <v>5</v>
      </c>
      <c r="D4317" s="38" t="s">
        <v>1658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-59</v>
      </c>
    </row>
    <row r="4318" spans="1:10" hidden="1" x14ac:dyDescent="0.2">
      <c r="A4318" s="4" t="s">
        <v>2831</v>
      </c>
      <c r="B4318" s="37">
        <v>43723</v>
      </c>
      <c r="C4318" s="12">
        <v>6</v>
      </c>
      <c r="D4318" s="38" t="s">
        <v>1534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-58</v>
      </c>
    </row>
    <row r="4319" spans="1:10" hidden="1" x14ac:dyDescent="0.2">
      <c r="A4319" s="4" t="s">
        <v>2831</v>
      </c>
      <c r="B4319" s="37">
        <v>43723</v>
      </c>
      <c r="C4319" s="12">
        <v>7</v>
      </c>
      <c r="D4319" s="38" t="s">
        <v>1536</v>
      </c>
      <c r="E4319" s="39">
        <v>43718</v>
      </c>
      <c r="F4319" s="40" t="s">
        <v>1184</v>
      </c>
      <c r="G4319" s="12"/>
      <c r="H4319" s="12"/>
      <c r="I4319" s="4" t="s">
        <v>1538</v>
      </c>
      <c r="J4319" s="41">
        <f ca="1">ROUNDDOWN(表3[[#This Row],[日期]]-TODAY(),1)</f>
        <v>-59</v>
      </c>
    </row>
    <row r="4320" spans="1:10" hidden="1" x14ac:dyDescent="0.2">
      <c r="A4320" s="4" t="s">
        <v>2831</v>
      </c>
      <c r="B4320" s="37">
        <v>43723</v>
      </c>
      <c r="C4320" s="12">
        <v>8</v>
      </c>
      <c r="D4320" s="38" t="s">
        <v>1532</v>
      </c>
      <c r="E4320" s="39">
        <v>43718</v>
      </c>
      <c r="F4320" s="40" t="s">
        <v>1184</v>
      </c>
      <c r="G4320" s="12"/>
      <c r="H4320" s="12"/>
      <c r="J4320" s="41">
        <f ca="1">ROUNDDOWN(表3[[#This Row],[日期]]-TODAY(),1)</f>
        <v>-59</v>
      </c>
    </row>
    <row r="4321" spans="1:10" hidden="1" x14ac:dyDescent="0.2">
      <c r="A4321" s="4" t="s">
        <v>2831</v>
      </c>
      <c r="B4321" s="37">
        <v>43723</v>
      </c>
      <c r="C4321" s="12">
        <v>9</v>
      </c>
      <c r="D4321" s="38" t="s">
        <v>1540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-58</v>
      </c>
    </row>
    <row r="4322" spans="1:10" hidden="1" x14ac:dyDescent="0.2">
      <c r="A4322" s="4" t="s">
        <v>2831</v>
      </c>
      <c r="B4322" s="37">
        <v>43723</v>
      </c>
      <c r="C4322" s="12">
        <v>10</v>
      </c>
      <c r="D4322" s="38" t="s">
        <v>2502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-58</v>
      </c>
    </row>
    <row r="4323" spans="1:10" hidden="1" x14ac:dyDescent="0.2">
      <c r="A4323" s="4" t="s">
        <v>2831</v>
      </c>
      <c r="B4323" s="37">
        <v>43723</v>
      </c>
      <c r="C4323" s="12">
        <v>12</v>
      </c>
      <c r="D4323" s="38" t="s">
        <v>1542</v>
      </c>
      <c r="E4323" s="39">
        <v>43720</v>
      </c>
      <c r="F4323" s="40" t="s">
        <v>242</v>
      </c>
      <c r="G4323" s="12"/>
      <c r="H4323" s="12"/>
      <c r="I4323" s="4" t="s">
        <v>530</v>
      </c>
      <c r="J4323" s="41">
        <f ca="1">ROUNDDOWN(表3[[#This Row],[日期]]-TODAY(),1)</f>
        <v>-57</v>
      </c>
    </row>
    <row r="4324" spans="1:10" hidden="1" x14ac:dyDescent="0.2">
      <c r="A4324" s="4" t="s">
        <v>2831</v>
      </c>
      <c r="B4324" s="37">
        <v>43723</v>
      </c>
      <c r="C4324" s="12">
        <v>13</v>
      </c>
      <c r="D4324" s="38" t="s">
        <v>1544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-57</v>
      </c>
    </row>
    <row r="4325" spans="1:10" hidden="1" x14ac:dyDescent="0.2">
      <c r="A4325" s="4" t="s">
        <v>2831</v>
      </c>
      <c r="B4325" s="37">
        <v>43723</v>
      </c>
      <c r="C4325" s="12">
        <v>14</v>
      </c>
      <c r="D4325" s="38" t="s">
        <v>1546</v>
      </c>
      <c r="E4325" s="39">
        <v>43720</v>
      </c>
      <c r="F4325" s="40" t="s">
        <v>242</v>
      </c>
      <c r="G4325" s="12">
        <v>3</v>
      </c>
      <c r="H4325" s="12"/>
      <c r="I4325" s="4" t="s">
        <v>1548</v>
      </c>
      <c r="J4325" s="41">
        <f ca="1">ROUNDDOWN(表3[[#This Row],[日期]]-TODAY(),1)</f>
        <v>-57</v>
      </c>
    </row>
    <row r="4326" spans="1:10" hidden="1" x14ac:dyDescent="0.2">
      <c r="A4326" s="4" t="s">
        <v>2831</v>
      </c>
      <c r="B4326" s="37">
        <v>43723</v>
      </c>
      <c r="C4326" s="12">
        <v>15</v>
      </c>
      <c r="D4326" s="38" t="s">
        <v>1550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-57</v>
      </c>
    </row>
    <row r="4327" spans="1:10" hidden="1" x14ac:dyDescent="0.2">
      <c r="A4327" s="4" t="s">
        <v>2831</v>
      </c>
      <c r="B4327" s="37">
        <v>43723</v>
      </c>
      <c r="C4327" s="12">
        <v>16</v>
      </c>
      <c r="D4327" s="38" t="s">
        <v>1557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-57</v>
      </c>
    </row>
    <row r="4328" spans="1:10" hidden="1" x14ac:dyDescent="0.2">
      <c r="A4328" s="4" t="s">
        <v>2831</v>
      </c>
      <c r="B4328" s="37">
        <v>43723</v>
      </c>
      <c r="C4328" s="12">
        <v>17</v>
      </c>
      <c r="D4328" s="38" t="s">
        <v>1551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-57</v>
      </c>
    </row>
    <row r="4329" spans="1:10" hidden="1" x14ac:dyDescent="0.2">
      <c r="A4329" s="4" t="s">
        <v>2831</v>
      </c>
      <c r="B4329" s="37">
        <v>43723</v>
      </c>
      <c r="C4329" s="12">
        <v>18</v>
      </c>
      <c r="D4329" s="38" t="s">
        <v>1553</v>
      </c>
      <c r="E4329" s="39">
        <v>43720</v>
      </c>
      <c r="F4329" s="40" t="s">
        <v>242</v>
      </c>
      <c r="G4329" s="12">
        <v>3</v>
      </c>
      <c r="H4329" s="12"/>
      <c r="I4329" s="4" t="s">
        <v>1555</v>
      </c>
      <c r="J4329" s="41">
        <f ca="1">ROUNDDOWN(表3[[#This Row],[日期]]-TODAY(),1)</f>
        <v>-57</v>
      </c>
    </row>
    <row r="4330" spans="1:10" hidden="1" x14ac:dyDescent="0.2">
      <c r="A4330" s="4" t="s">
        <v>2831</v>
      </c>
      <c r="B4330" s="37">
        <v>43723</v>
      </c>
      <c r="C4330" s="12">
        <v>19</v>
      </c>
      <c r="D4330" s="38" t="s">
        <v>1559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-57</v>
      </c>
    </row>
    <row r="4331" spans="1:10" hidden="1" x14ac:dyDescent="0.2">
      <c r="A4331" s="4" t="s">
        <v>2831</v>
      </c>
      <c r="B4331" s="37">
        <v>43723</v>
      </c>
      <c r="C4331" s="12">
        <v>20</v>
      </c>
      <c r="D4331" s="38" t="s">
        <v>1561</v>
      </c>
      <c r="E4331" s="39">
        <v>43720</v>
      </c>
      <c r="F4331" s="40" t="s">
        <v>1184</v>
      </c>
      <c r="G4331" s="12">
        <v>3</v>
      </c>
      <c r="H4331" s="12"/>
      <c r="J4331" s="41">
        <f ca="1">ROUNDDOWN(表3[[#This Row],[日期]]-TODAY(),1)</f>
        <v>-57</v>
      </c>
    </row>
    <row r="4332" spans="1:10" hidden="1" x14ac:dyDescent="0.2">
      <c r="A4332" s="4" t="s">
        <v>2831</v>
      </c>
      <c r="B4332" s="37">
        <v>43723</v>
      </c>
      <c r="C4332" s="12">
        <v>21</v>
      </c>
      <c r="D4332" s="38" t="s">
        <v>1563</v>
      </c>
      <c r="E4332" s="39">
        <v>43720</v>
      </c>
      <c r="F4332" s="40" t="s">
        <v>1184</v>
      </c>
      <c r="G4332" s="12">
        <v>3</v>
      </c>
      <c r="H4332" s="12"/>
      <c r="J4332" s="41">
        <f ca="1">ROUNDDOWN(表3[[#This Row],[日期]]-TODAY(),1)</f>
        <v>-57</v>
      </c>
    </row>
    <row r="4333" spans="1:10" hidden="1" x14ac:dyDescent="0.2">
      <c r="A4333" s="4" t="s">
        <v>2831</v>
      </c>
      <c r="B4333" s="37">
        <v>43723</v>
      </c>
      <c r="C4333" s="12">
        <v>22</v>
      </c>
      <c r="D4333" s="38" t="s">
        <v>1565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-57</v>
      </c>
    </row>
    <row r="4334" spans="1:10" hidden="1" x14ac:dyDescent="0.2">
      <c r="A4334" s="4" t="s">
        <v>2831</v>
      </c>
      <c r="B4334" s="37">
        <v>43723</v>
      </c>
      <c r="C4334" s="12">
        <v>23</v>
      </c>
      <c r="D4334" s="38" t="s">
        <v>1567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-57</v>
      </c>
    </row>
    <row r="4335" spans="1:10" hidden="1" x14ac:dyDescent="0.2">
      <c r="A4335" s="4" t="s">
        <v>2831</v>
      </c>
      <c r="B4335" s="37">
        <v>43723</v>
      </c>
      <c r="C4335" s="12">
        <v>24</v>
      </c>
      <c r="D4335" s="38" t="s">
        <v>1569</v>
      </c>
      <c r="E4335" s="39">
        <v>43720</v>
      </c>
      <c r="F4335" s="40" t="s">
        <v>242</v>
      </c>
      <c r="G4335" s="12">
        <v>3</v>
      </c>
      <c r="H4335" s="12"/>
      <c r="I4335" s="4" t="s">
        <v>1529</v>
      </c>
      <c r="J4335" s="41">
        <f ca="1">ROUNDDOWN(表3[[#This Row],[日期]]-TODAY(),1)</f>
        <v>-57</v>
      </c>
    </row>
    <row r="4336" spans="1:10" hidden="1" x14ac:dyDescent="0.2">
      <c r="A4336" s="4" t="s">
        <v>2831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-52</v>
      </c>
    </row>
    <row r="4337" spans="1:10" hidden="1" x14ac:dyDescent="0.2">
      <c r="A4337" s="4" t="s">
        <v>2831</v>
      </c>
      <c r="B4337" s="37">
        <v>43723</v>
      </c>
      <c r="C4337" s="12">
        <v>26</v>
      </c>
      <c r="D4337" s="38" t="s">
        <v>1573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-52</v>
      </c>
    </row>
    <row r="4338" spans="1:10" hidden="1" x14ac:dyDescent="0.2">
      <c r="A4338" s="4" t="s">
        <v>2831</v>
      </c>
      <c r="B4338" s="37">
        <v>43723</v>
      </c>
      <c r="C4338" s="12">
        <v>27</v>
      </c>
      <c r="D4338" s="38" t="s">
        <v>1571</v>
      </c>
      <c r="E4338" s="39">
        <v>43725</v>
      </c>
      <c r="F4338" s="40" t="s">
        <v>242</v>
      </c>
      <c r="G4338" s="12">
        <v>4</v>
      </c>
      <c r="H4338" s="12"/>
      <c r="I4338" s="4" t="s">
        <v>1529</v>
      </c>
      <c r="J4338" s="41">
        <f ca="1">ROUNDDOWN(表3[[#This Row],[日期]]-TODAY(),1)</f>
        <v>-52</v>
      </c>
    </row>
    <row r="4339" spans="1:10" hidden="1" x14ac:dyDescent="0.2">
      <c r="A4339" s="4" t="s">
        <v>2847</v>
      </c>
      <c r="B4339" s="37">
        <v>43724</v>
      </c>
      <c r="C4339" s="12">
        <v>1</v>
      </c>
      <c r="D4339" s="38" t="s">
        <v>745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-52</v>
      </c>
    </row>
    <row r="4340" spans="1:10" hidden="1" x14ac:dyDescent="0.2">
      <c r="A4340" s="4" t="s">
        <v>2847</v>
      </c>
      <c r="B4340" s="37">
        <v>43724</v>
      </c>
      <c r="C4340" s="12">
        <v>2</v>
      </c>
      <c r="D4340" s="38" t="s">
        <v>1475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-53</v>
      </c>
    </row>
    <row r="4341" spans="1:10" hidden="1" x14ac:dyDescent="0.2">
      <c r="A4341" s="4" t="s">
        <v>2847</v>
      </c>
      <c r="B4341" s="37">
        <v>43724</v>
      </c>
      <c r="C4341" s="12">
        <v>3</v>
      </c>
      <c r="D4341" s="38" t="s">
        <v>1477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-53</v>
      </c>
    </row>
    <row r="4342" spans="1:10" hidden="1" x14ac:dyDescent="0.2">
      <c r="A4342" s="4" t="s">
        <v>2847</v>
      </c>
      <c r="B4342" s="37">
        <v>43724</v>
      </c>
      <c r="C4342" s="12">
        <v>4</v>
      </c>
      <c r="D4342" s="38" t="s">
        <v>1478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-52</v>
      </c>
    </row>
    <row r="4343" spans="1:10" hidden="1" x14ac:dyDescent="0.2">
      <c r="A4343" s="4" t="s">
        <v>2847</v>
      </c>
      <c r="B4343" s="37">
        <v>43724</v>
      </c>
      <c r="C4343" s="12">
        <v>5</v>
      </c>
      <c r="D4343" s="38" t="s">
        <v>899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-52</v>
      </c>
    </row>
    <row r="4344" spans="1:10" hidden="1" x14ac:dyDescent="0.2">
      <c r="A4344" s="4" t="s">
        <v>2847</v>
      </c>
      <c r="B4344" s="37">
        <v>43724</v>
      </c>
      <c r="C4344" s="12">
        <v>6</v>
      </c>
      <c r="D4344" s="38" t="s">
        <v>2212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-53</v>
      </c>
    </row>
    <row r="4345" spans="1:10" hidden="1" x14ac:dyDescent="0.2">
      <c r="A4345" s="4" t="s">
        <v>2847</v>
      </c>
      <c r="B4345" s="37">
        <v>43724</v>
      </c>
      <c r="C4345" s="12">
        <v>7</v>
      </c>
      <c r="D4345" s="38" t="s">
        <v>738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-53</v>
      </c>
    </row>
    <row r="4346" spans="1:10" hidden="1" x14ac:dyDescent="0.2">
      <c r="A4346" s="4" t="s">
        <v>2847</v>
      </c>
      <c r="B4346" s="37">
        <v>43724</v>
      </c>
      <c r="C4346" s="12">
        <v>8</v>
      </c>
      <c r="D4346" s="38" t="s">
        <v>738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-51</v>
      </c>
    </row>
    <row r="4347" spans="1:10" hidden="1" x14ac:dyDescent="0.2">
      <c r="A4347" s="4" t="s">
        <v>2847</v>
      </c>
      <c r="B4347" s="37">
        <v>43724</v>
      </c>
      <c r="C4347" s="12">
        <v>9</v>
      </c>
      <c r="D4347" s="38" t="s">
        <v>1025</v>
      </c>
      <c r="E4347" s="39">
        <v>43727</v>
      </c>
      <c r="F4347" s="40" t="s">
        <v>242</v>
      </c>
      <c r="G4347" s="12"/>
      <c r="H4347" s="12"/>
      <c r="I4347" s="4" t="s">
        <v>743</v>
      </c>
      <c r="J4347" s="41">
        <f ca="1">ROUNDDOWN(表3[[#This Row],[日期]]-TODAY(),1)</f>
        <v>-50</v>
      </c>
    </row>
    <row r="4348" spans="1:10" hidden="1" x14ac:dyDescent="0.2">
      <c r="A4348" s="4" t="s">
        <v>2847</v>
      </c>
      <c r="B4348" s="37">
        <v>43724</v>
      </c>
      <c r="C4348" s="12">
        <v>10</v>
      </c>
      <c r="D4348" s="38" t="s">
        <v>899</v>
      </c>
      <c r="E4348" s="39">
        <v>43727</v>
      </c>
      <c r="F4348" s="40" t="s">
        <v>242</v>
      </c>
      <c r="G4348" s="12">
        <v>4</v>
      </c>
      <c r="H4348" s="12"/>
      <c r="I4348" s="4" t="s">
        <v>743</v>
      </c>
      <c r="J4348" s="41">
        <f ca="1">ROUNDDOWN(表3[[#This Row],[日期]]-TODAY(),1)</f>
        <v>-50</v>
      </c>
    </row>
    <row r="4349" spans="1:10" hidden="1" x14ac:dyDescent="0.2">
      <c r="A4349" s="4" t="s">
        <v>2847</v>
      </c>
      <c r="B4349" s="37">
        <v>43724</v>
      </c>
      <c r="C4349" s="12">
        <v>11</v>
      </c>
      <c r="D4349" s="38" t="s">
        <v>1734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-49</v>
      </c>
    </row>
    <row r="4350" spans="1:10" hidden="1" x14ac:dyDescent="0.2">
      <c r="A4350" s="4" t="s">
        <v>2847</v>
      </c>
      <c r="B4350" s="37">
        <v>43724</v>
      </c>
      <c r="C4350" s="12">
        <v>13</v>
      </c>
      <c r="D4350" s="38" t="s">
        <v>738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-49</v>
      </c>
    </row>
    <row r="4351" spans="1:10" hidden="1" x14ac:dyDescent="0.2">
      <c r="A4351" s="4" t="s">
        <v>2847</v>
      </c>
      <c r="B4351" s="37">
        <v>43724</v>
      </c>
      <c r="C4351" s="12">
        <v>14</v>
      </c>
      <c r="D4351" s="38" t="s">
        <v>2103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-49</v>
      </c>
    </row>
    <row r="4352" spans="1:10" hidden="1" x14ac:dyDescent="0.2">
      <c r="A4352" s="4" t="s">
        <v>2847</v>
      </c>
      <c r="B4352" s="37">
        <v>43724</v>
      </c>
      <c r="C4352" s="12">
        <v>15</v>
      </c>
      <c r="D4352" s="38" t="s">
        <v>900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-49</v>
      </c>
    </row>
    <row r="4353" spans="1:10" hidden="1" x14ac:dyDescent="0.2">
      <c r="A4353" s="4" t="s">
        <v>2847</v>
      </c>
      <c r="B4353" s="37">
        <v>43724</v>
      </c>
      <c r="C4353" s="12"/>
      <c r="D4353" s="38" t="s">
        <v>2729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-52</v>
      </c>
    </row>
    <row r="4354" spans="1:10" hidden="1" x14ac:dyDescent="0.2">
      <c r="A4354" s="4" t="s">
        <v>2847</v>
      </c>
      <c r="B4354" s="37">
        <v>43724</v>
      </c>
      <c r="C4354" s="12"/>
      <c r="D4354" s="38" t="s">
        <v>2733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-52</v>
      </c>
    </row>
    <row r="4355" spans="1:10" hidden="1" x14ac:dyDescent="0.2">
      <c r="A4355" s="4" t="s">
        <v>2847</v>
      </c>
      <c r="B4355" s="37">
        <v>43724</v>
      </c>
      <c r="C4355" s="12"/>
      <c r="D4355" s="38" t="s">
        <v>2752</v>
      </c>
      <c r="E4355" s="39">
        <v>43730</v>
      </c>
      <c r="F4355" s="40" t="s">
        <v>1184</v>
      </c>
      <c r="G4355" s="12"/>
      <c r="H4355" s="12"/>
      <c r="J4355" s="41">
        <f ca="1">ROUNDDOWN(表3[[#This Row],[日期]]-TODAY(),1)</f>
        <v>-47</v>
      </c>
    </row>
    <row r="4356" spans="1:10" hidden="1" x14ac:dyDescent="0.2">
      <c r="A4356" s="4" t="s">
        <v>2847</v>
      </c>
      <c r="B4356" s="37">
        <v>43724</v>
      </c>
      <c r="C4356" s="12"/>
      <c r="D4356" s="38" t="s">
        <v>2774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-50</v>
      </c>
    </row>
    <row r="4357" spans="1:10" hidden="1" x14ac:dyDescent="0.2">
      <c r="A4357" s="4" t="s">
        <v>2847</v>
      </c>
      <c r="B4357" s="37">
        <v>43724</v>
      </c>
      <c r="C4357" s="12"/>
      <c r="D4357" s="38" t="s">
        <v>2784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-49</v>
      </c>
    </row>
    <row r="4358" spans="1:10" hidden="1" x14ac:dyDescent="0.2">
      <c r="A4358" s="4" t="s">
        <v>2847</v>
      </c>
      <c r="B4358" s="37">
        <v>43724</v>
      </c>
      <c r="C4358" s="12"/>
      <c r="D4358" s="38" t="s">
        <v>2808</v>
      </c>
      <c r="E4358" s="39">
        <v>43746</v>
      </c>
      <c r="F4358" s="40" t="s">
        <v>1184</v>
      </c>
      <c r="G4358" s="12"/>
      <c r="H4358" s="12"/>
      <c r="J4358" s="41">
        <f ca="1">ROUNDDOWN(表3[[#This Row],[日期]]-TODAY(),1)</f>
        <v>-31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-94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-94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2158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-79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1004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-79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1292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-79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1267</v>
      </c>
      <c r="E4364" s="39">
        <v>43719</v>
      </c>
      <c r="F4364" s="40" t="s">
        <v>242</v>
      </c>
      <c r="G4364" s="12"/>
      <c r="H4364" s="12"/>
      <c r="I4364" s="4" t="s">
        <v>1003</v>
      </c>
      <c r="J4364" s="41">
        <f ca="1">ROUNDDOWN(表3[[#This Row],[日期]]-TODAY(),1)</f>
        <v>-58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-59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877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-58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-58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1269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-58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-58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2378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-57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-57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301</v>
      </c>
      <c r="E4372" s="39">
        <v>43720</v>
      </c>
      <c r="F4372" s="40" t="s">
        <v>242</v>
      </c>
      <c r="G4372" s="12"/>
      <c r="H4372" s="12"/>
      <c r="I4372" s="4" t="s">
        <v>257</v>
      </c>
      <c r="J4372" s="41">
        <f ca="1">ROUNDDOWN(表3[[#This Row],[日期]]-TODAY(),1)</f>
        <v>-57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262</v>
      </c>
      <c r="E4373" s="39">
        <v>43720</v>
      </c>
      <c r="F4373" s="40" t="s">
        <v>242</v>
      </c>
      <c r="G4373" s="12"/>
      <c r="H4373" s="12"/>
      <c r="I4373" s="4" t="s">
        <v>260</v>
      </c>
      <c r="J4373" s="41">
        <f ca="1">ROUNDDOWN(表3[[#This Row],[日期]]-TODAY(),1)</f>
        <v>-57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264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-57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266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-57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280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-53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282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-53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284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-53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268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-57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270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-56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272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-56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274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-52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276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-51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278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-50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876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-50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413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-50</v>
      </c>
    </row>
    <row r="4387" spans="1:10" hidden="1" x14ac:dyDescent="0.2">
      <c r="A4387" s="4" t="s">
        <v>2624</v>
      </c>
      <c r="B4387" s="37">
        <v>43726</v>
      </c>
      <c r="C4387" s="12">
        <v>1</v>
      </c>
      <c r="D4387" s="38" t="s">
        <v>364</v>
      </c>
      <c r="E4387" s="39">
        <v>43714</v>
      </c>
      <c r="F4387" s="40" t="s">
        <v>2625</v>
      </c>
      <c r="G4387" s="12"/>
      <c r="H4387" s="12"/>
      <c r="J4387" s="41">
        <f ca="1">ROUNDDOWN(表3[[#This Row],[日期]]-TODAY(),1)</f>
        <v>-63</v>
      </c>
    </row>
    <row r="4388" spans="1:10" hidden="1" x14ac:dyDescent="0.2">
      <c r="A4388" s="4" t="s">
        <v>2624</v>
      </c>
      <c r="B4388" s="37">
        <v>43726</v>
      </c>
      <c r="C4388" s="12">
        <v>2</v>
      </c>
      <c r="D4388" s="38" t="s">
        <v>863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-59</v>
      </c>
    </row>
    <row r="4389" spans="1:10" hidden="1" x14ac:dyDescent="0.2">
      <c r="A4389" s="4" t="s">
        <v>2624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2652</v>
      </c>
      <c r="G4389" s="12"/>
      <c r="H4389" s="12"/>
      <c r="J4389" s="41">
        <f ca="1">ROUNDDOWN(表3[[#This Row],[日期]]-TODAY(),1)</f>
        <v>-60</v>
      </c>
    </row>
    <row r="4390" spans="1:10" hidden="1" x14ac:dyDescent="0.2">
      <c r="A4390" s="4" t="s">
        <v>2624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-59</v>
      </c>
    </row>
    <row r="4391" spans="1:10" hidden="1" x14ac:dyDescent="0.2">
      <c r="A4391" s="4" t="s">
        <v>2624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-59</v>
      </c>
    </row>
    <row r="4392" spans="1:10" hidden="1" x14ac:dyDescent="0.2">
      <c r="A4392" s="4" t="s">
        <v>2624</v>
      </c>
      <c r="B4392" s="37">
        <v>43726</v>
      </c>
      <c r="C4392" s="12">
        <v>6</v>
      </c>
      <c r="D4392" s="38" t="s">
        <v>864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-59</v>
      </c>
    </row>
    <row r="4393" spans="1:10" hidden="1" x14ac:dyDescent="0.2">
      <c r="A4393" s="4" t="s">
        <v>2624</v>
      </c>
      <c r="B4393" s="37">
        <v>43726</v>
      </c>
      <c r="C4393" s="12">
        <v>7</v>
      </c>
      <c r="D4393" s="38" t="s">
        <v>867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-58</v>
      </c>
    </row>
    <row r="4394" spans="1:10" hidden="1" x14ac:dyDescent="0.2">
      <c r="A4394" s="4" t="s">
        <v>2624</v>
      </c>
      <c r="B4394" s="37">
        <v>43726</v>
      </c>
      <c r="C4394" s="12">
        <v>8</v>
      </c>
      <c r="D4394" s="38" t="s">
        <v>307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-57</v>
      </c>
    </row>
    <row r="4395" spans="1:10" hidden="1" x14ac:dyDescent="0.2">
      <c r="A4395" s="4" t="s">
        <v>2624</v>
      </c>
      <c r="B4395" s="37">
        <v>43726</v>
      </c>
      <c r="C4395" s="12">
        <v>9</v>
      </c>
      <c r="D4395" s="38" t="s">
        <v>2433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-57</v>
      </c>
    </row>
    <row r="4396" spans="1:10" hidden="1" x14ac:dyDescent="0.2">
      <c r="A4396" s="4" t="s">
        <v>2624</v>
      </c>
      <c r="B4396" s="37">
        <v>43726</v>
      </c>
      <c r="C4396" s="12">
        <v>10</v>
      </c>
      <c r="D4396" s="38" t="s">
        <v>2622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-53</v>
      </c>
    </row>
    <row r="4397" spans="1:10" hidden="1" x14ac:dyDescent="0.2">
      <c r="A4397" s="4" t="s">
        <v>2624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-57</v>
      </c>
    </row>
    <row r="4398" spans="1:10" hidden="1" x14ac:dyDescent="0.2">
      <c r="A4398" s="4" t="s">
        <v>2624</v>
      </c>
      <c r="B4398" s="37">
        <v>43726</v>
      </c>
      <c r="C4398" s="12">
        <v>12</v>
      </c>
      <c r="D4398" s="38" t="s">
        <v>309</v>
      </c>
      <c r="E4398" s="39">
        <v>43720</v>
      </c>
      <c r="F4398" s="40" t="s">
        <v>242</v>
      </c>
      <c r="G4398" s="12"/>
      <c r="H4398" s="12"/>
      <c r="I4398" s="4" t="s">
        <v>310</v>
      </c>
      <c r="J4398" s="41">
        <f ca="1">ROUNDDOWN(表3[[#This Row],[日期]]-TODAY(),1)</f>
        <v>-57</v>
      </c>
    </row>
    <row r="4399" spans="1:10" hidden="1" x14ac:dyDescent="0.2">
      <c r="A4399" s="4" t="s">
        <v>2624</v>
      </c>
      <c r="B4399" s="37">
        <v>43726</v>
      </c>
      <c r="C4399" s="12">
        <v>13</v>
      </c>
      <c r="D4399" s="38" t="s">
        <v>2572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-54</v>
      </c>
    </row>
    <row r="4400" spans="1:10" hidden="1" x14ac:dyDescent="0.2">
      <c r="A4400" s="4" t="s">
        <v>2624</v>
      </c>
      <c r="B4400" s="37">
        <v>43726</v>
      </c>
      <c r="C4400" s="12">
        <v>14</v>
      </c>
      <c r="D4400" s="38" t="s">
        <v>311</v>
      </c>
      <c r="E4400" s="39">
        <v>43723</v>
      </c>
      <c r="F4400" s="40" t="s">
        <v>242</v>
      </c>
      <c r="G4400" s="12"/>
      <c r="H4400" s="12"/>
      <c r="I4400" s="4" t="s">
        <v>310</v>
      </c>
      <c r="J4400" s="41">
        <f ca="1">ROUNDDOWN(表3[[#This Row],[日期]]-TODAY(),1)</f>
        <v>-54</v>
      </c>
    </row>
    <row r="4401" spans="1:10" hidden="1" x14ac:dyDescent="0.2">
      <c r="A4401" s="4" t="s">
        <v>2624</v>
      </c>
      <c r="B4401" s="37">
        <v>43726</v>
      </c>
      <c r="C4401" s="12">
        <v>15</v>
      </c>
      <c r="D4401" s="38" t="s">
        <v>868</v>
      </c>
      <c r="E4401" s="39">
        <v>43724</v>
      </c>
      <c r="F4401" s="40" t="s">
        <v>242</v>
      </c>
      <c r="G4401" s="12"/>
      <c r="H4401" s="12"/>
      <c r="I4401" s="4" t="s">
        <v>310</v>
      </c>
      <c r="J4401" s="41">
        <f ca="1">ROUNDDOWN(表3[[#This Row],[日期]]-TODAY(),1)</f>
        <v>-53</v>
      </c>
    </row>
    <row r="4402" spans="1:10" hidden="1" x14ac:dyDescent="0.2">
      <c r="A4402" s="4" t="s">
        <v>2624</v>
      </c>
      <c r="B4402" s="37">
        <v>43726</v>
      </c>
      <c r="C4402" s="12">
        <v>16</v>
      </c>
      <c r="D4402" s="38" t="s">
        <v>313</v>
      </c>
      <c r="E4402" s="39">
        <v>43724</v>
      </c>
      <c r="F4402" s="40" t="s">
        <v>242</v>
      </c>
      <c r="G4402" s="12">
        <v>3</v>
      </c>
      <c r="H4402" s="12"/>
      <c r="I4402" s="4" t="s">
        <v>310</v>
      </c>
      <c r="J4402" s="41">
        <f ca="1">ROUNDDOWN(表3[[#This Row],[日期]]-TODAY(),1)</f>
        <v>-53</v>
      </c>
    </row>
    <row r="4403" spans="1:10" hidden="1" x14ac:dyDescent="0.2">
      <c r="A4403" s="4" t="s">
        <v>2624</v>
      </c>
      <c r="B4403" s="37">
        <v>43726</v>
      </c>
      <c r="C4403" s="12">
        <v>17</v>
      </c>
      <c r="D4403" s="38" t="s">
        <v>271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-53</v>
      </c>
    </row>
    <row r="4404" spans="1:10" hidden="1" x14ac:dyDescent="0.2">
      <c r="A4404" s="4" t="s">
        <v>2624</v>
      </c>
      <c r="B4404" s="37">
        <v>43726</v>
      </c>
      <c r="C4404" s="12">
        <v>18</v>
      </c>
      <c r="D4404" s="38" t="s">
        <v>273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-52</v>
      </c>
    </row>
    <row r="4405" spans="1:10" hidden="1" x14ac:dyDescent="0.2">
      <c r="A4405" s="4" t="s">
        <v>2624</v>
      </c>
      <c r="B4405" s="37">
        <v>43726</v>
      </c>
      <c r="C4405" s="12">
        <v>19</v>
      </c>
      <c r="D4405" s="38" t="s">
        <v>275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-52</v>
      </c>
    </row>
    <row r="4406" spans="1:10" hidden="1" x14ac:dyDescent="0.2">
      <c r="A4406" s="4" t="s">
        <v>2624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-50</v>
      </c>
    </row>
    <row r="4407" spans="1:10" hidden="1" x14ac:dyDescent="0.2">
      <c r="A4407" s="4" t="s">
        <v>2624</v>
      </c>
      <c r="B4407" s="37">
        <v>43726</v>
      </c>
      <c r="C4407" s="12">
        <v>21</v>
      </c>
      <c r="D4407" s="38" t="s">
        <v>1387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-52</v>
      </c>
    </row>
    <row r="4408" spans="1:10" hidden="1" x14ac:dyDescent="0.2">
      <c r="A4408" s="4" t="s">
        <v>2624</v>
      </c>
      <c r="B4408" s="37">
        <v>43726</v>
      </c>
      <c r="C4408" s="12">
        <v>22</v>
      </c>
      <c r="D4408" s="38" t="s">
        <v>305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-51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927</v>
      </c>
      <c r="E4409" s="39">
        <v>43717</v>
      </c>
      <c r="F4409" s="40" t="s">
        <v>2652</v>
      </c>
      <c r="G4409" s="12"/>
      <c r="H4409" s="12"/>
      <c r="I4409" s="4" t="s">
        <v>27</v>
      </c>
      <c r="J4409" s="41">
        <f ca="1">ROUNDDOWN(表3[[#This Row],[日期]]-TODAY(),1)</f>
        <v>-60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1210</v>
      </c>
      <c r="E4410" s="39">
        <v>43717</v>
      </c>
      <c r="F4410" s="40" t="s">
        <v>2652</v>
      </c>
      <c r="G4410" s="12"/>
      <c r="H4410" s="12"/>
      <c r="J4410" s="41">
        <f ca="1">ROUNDDOWN(表3[[#This Row],[日期]]-TODAY(),1)</f>
        <v>-60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2652</v>
      </c>
      <c r="G4411" s="12"/>
      <c r="H4411" s="12"/>
      <c r="J4411" s="41">
        <f ca="1">ROUNDDOWN(表3[[#This Row],[日期]]-TODAY(),1)</f>
        <v>-60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2652</v>
      </c>
      <c r="G4412" s="12"/>
      <c r="H4412" s="12"/>
      <c r="J4412" s="41">
        <f ca="1">ROUNDDOWN(表3[[#This Row],[日期]]-TODAY(),1)</f>
        <v>-60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1576</v>
      </c>
      <c r="E4413" s="39">
        <v>43717</v>
      </c>
      <c r="F4413" s="40" t="s">
        <v>2652</v>
      </c>
      <c r="G4413" s="12"/>
      <c r="H4413" s="12"/>
      <c r="J4413" s="41">
        <f ca="1">ROUNDDOWN(表3[[#This Row],[日期]]-TODAY(),1)</f>
        <v>-60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1577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-60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-60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2646</v>
      </c>
      <c r="E4416" s="39">
        <v>43719</v>
      </c>
      <c r="F4416" s="40" t="s">
        <v>2681</v>
      </c>
      <c r="G4416" s="12"/>
      <c r="H4416" s="12"/>
      <c r="I4416" s="4" t="s">
        <v>32</v>
      </c>
      <c r="J4416" s="41">
        <f ca="1">ROUNDDOWN(表3[[#This Row],[日期]]-TODAY(),1)</f>
        <v>-58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1740</v>
      </c>
      <c r="E4417" s="39">
        <v>43719</v>
      </c>
      <c r="F4417" s="40" t="s">
        <v>2681</v>
      </c>
      <c r="G4417" s="12"/>
      <c r="H4417" s="12"/>
      <c r="J4417" s="41">
        <f ca="1">ROUNDDOWN(表3[[#This Row],[日期]]-TODAY(),1)</f>
        <v>-58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2657</v>
      </c>
      <c r="E4418" s="39">
        <v>43719</v>
      </c>
      <c r="F4418" s="40" t="s">
        <v>2681</v>
      </c>
      <c r="G4418" s="12"/>
      <c r="H4418" s="12"/>
      <c r="J4418" s="41">
        <f ca="1">ROUNDDOWN(表3[[#This Row],[日期]]-TODAY(),1)</f>
        <v>-58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1742</v>
      </c>
      <c r="E4419" s="39">
        <v>43719</v>
      </c>
      <c r="F4419" s="40" t="s">
        <v>2681</v>
      </c>
      <c r="G4419" s="12"/>
      <c r="H4419" s="12"/>
      <c r="J4419" s="41">
        <f ca="1">ROUNDDOWN(表3[[#This Row],[日期]]-TODAY(),1)</f>
        <v>-58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1744</v>
      </c>
      <c r="E4420" s="39">
        <v>43719</v>
      </c>
      <c r="F4420" s="40" t="s">
        <v>2681</v>
      </c>
      <c r="G4420" s="12"/>
      <c r="H4420" s="12"/>
      <c r="J4420" s="41">
        <f ca="1">ROUNDDOWN(表3[[#This Row],[日期]]-TODAY(),1)</f>
        <v>-58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1746</v>
      </c>
      <c r="E4421" s="39">
        <v>43719</v>
      </c>
      <c r="F4421" s="40" t="s">
        <v>2681</v>
      </c>
      <c r="G4421" s="12"/>
      <c r="H4421" s="12"/>
      <c r="J4421" s="41">
        <f ca="1">ROUNDDOWN(表3[[#This Row],[日期]]-TODAY(),1)</f>
        <v>-58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1748</v>
      </c>
      <c r="E4422" s="39">
        <v>43719</v>
      </c>
      <c r="F4422" s="40" t="s">
        <v>2681</v>
      </c>
      <c r="G4422" s="12"/>
      <c r="H4422" s="12"/>
      <c r="J4422" s="41">
        <f ca="1">ROUNDDOWN(表3[[#This Row],[日期]]-TODAY(),1)</f>
        <v>-58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1750</v>
      </c>
      <c r="E4423" s="39">
        <v>43719</v>
      </c>
      <c r="F4423" s="40" t="s">
        <v>2681</v>
      </c>
      <c r="G4423" s="12"/>
      <c r="H4423" s="12"/>
      <c r="J4423" s="41">
        <f ca="1">ROUNDDOWN(表3[[#This Row],[日期]]-TODAY(),1)</f>
        <v>-58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929</v>
      </c>
      <c r="E4424" s="39">
        <v>43720</v>
      </c>
      <c r="F4424" s="40" t="s">
        <v>2681</v>
      </c>
      <c r="G4424" s="12"/>
      <c r="H4424" s="12"/>
      <c r="I4424" s="4" t="s">
        <v>34</v>
      </c>
      <c r="J4424" s="41">
        <f ca="1">ROUNDDOWN(表3[[#This Row],[日期]]-TODAY(),1)</f>
        <v>-57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1752</v>
      </c>
      <c r="E4425" s="39">
        <v>43720</v>
      </c>
      <c r="F4425" s="40" t="s">
        <v>2681</v>
      </c>
      <c r="G4425" s="12"/>
      <c r="H4425" s="12"/>
      <c r="J4425" s="41">
        <f ca="1">ROUNDDOWN(表3[[#This Row],[日期]]-TODAY(),1)</f>
        <v>-57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2681</v>
      </c>
      <c r="G4426" s="12"/>
      <c r="H4426" s="12"/>
      <c r="J4426" s="41">
        <f ca="1">ROUNDDOWN(表3[[#This Row],[日期]]-TODAY(),1)</f>
        <v>-57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930</v>
      </c>
      <c r="E4427" s="39">
        <v>43720</v>
      </c>
      <c r="F4427" s="40" t="s">
        <v>2681</v>
      </c>
      <c r="G4427" s="12"/>
      <c r="H4427" s="12"/>
      <c r="I4427" s="4" t="s">
        <v>40</v>
      </c>
      <c r="J4427" s="41">
        <f ca="1">ROUNDDOWN(表3[[#This Row],[日期]]-TODAY(),1)</f>
        <v>-57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2681</v>
      </c>
      <c r="G4428" s="12"/>
      <c r="H4428" s="12"/>
      <c r="I4428" s="4" t="s">
        <v>192</v>
      </c>
      <c r="J4428" s="41">
        <f ca="1">ROUNDDOWN(表3[[#This Row],[日期]]-TODAY(),1)</f>
        <v>-57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931</v>
      </c>
      <c r="E4429" s="39">
        <v>43720</v>
      </c>
      <c r="F4429" s="40" t="s">
        <v>2681</v>
      </c>
      <c r="G4429" s="12"/>
      <c r="H4429" s="12"/>
      <c r="J4429" s="41">
        <f ca="1">ROUNDDOWN(表3[[#This Row],[日期]]-TODAY(),1)</f>
        <v>-57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2472</v>
      </c>
      <c r="E4430" s="39">
        <v>43720</v>
      </c>
      <c r="F4430" s="40" t="s">
        <v>2681</v>
      </c>
      <c r="G4430" s="12"/>
      <c r="H4430" s="12"/>
      <c r="J4430" s="41">
        <f ca="1">ROUNDDOWN(表3[[#This Row],[日期]]-TODAY(),1)</f>
        <v>-57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1919</v>
      </c>
      <c r="E4431" s="39">
        <v>43720</v>
      </c>
      <c r="F4431" s="40" t="s">
        <v>2681</v>
      </c>
      <c r="G4431" s="12"/>
      <c r="H4431" s="12"/>
      <c r="J4431" s="41">
        <f ca="1">ROUNDDOWN(表3[[#This Row],[日期]]-TODAY(),1)</f>
        <v>-57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2681</v>
      </c>
      <c r="G4432" s="12"/>
      <c r="H4432" s="12"/>
      <c r="J4432" s="41">
        <f ca="1">ROUNDDOWN(表3[[#This Row],[日期]]-TODAY(),1)</f>
        <v>-57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2681</v>
      </c>
      <c r="G4433" s="12"/>
      <c r="H4433" s="12"/>
      <c r="J4433" s="41">
        <f ca="1">ROUNDDOWN(表3[[#This Row],[日期]]-TODAY(),1)</f>
        <v>-57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2681</v>
      </c>
      <c r="G4434" s="12"/>
      <c r="H4434" s="12"/>
      <c r="I4434" s="4" t="s">
        <v>40</v>
      </c>
      <c r="J4434" s="41">
        <f ca="1">ROUNDDOWN(表3[[#This Row],[日期]]-TODAY(),1)</f>
        <v>-57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2681</v>
      </c>
      <c r="G4435" s="12"/>
      <c r="H4435" s="12"/>
      <c r="J4435" s="41">
        <f ca="1">ROUNDDOWN(表3[[#This Row],[日期]]-TODAY(),1)</f>
        <v>-57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2681</v>
      </c>
      <c r="G4436" s="12"/>
      <c r="H4436" s="12"/>
      <c r="I4436" s="4" t="s">
        <v>61</v>
      </c>
      <c r="J4436" s="41">
        <f ca="1">ROUNDDOWN(表3[[#This Row],[日期]]-TODAY(),1)</f>
        <v>-57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2681</v>
      </c>
      <c r="G4437" s="12"/>
      <c r="H4437" s="12"/>
      <c r="J4437" s="41">
        <f ca="1">ROUNDDOWN(表3[[#This Row],[日期]]-TODAY(),1)</f>
        <v>-57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2473</v>
      </c>
      <c r="E4438" s="39">
        <v>43720</v>
      </c>
      <c r="F4438" s="40" t="s">
        <v>2681</v>
      </c>
      <c r="G4438" s="12"/>
      <c r="H4438" s="12"/>
      <c r="I4438" s="4" t="s">
        <v>30</v>
      </c>
      <c r="J4438" s="41">
        <f ca="1">ROUNDDOWN(表3[[#This Row],[日期]]-TODAY(),1)</f>
        <v>-57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933</v>
      </c>
      <c r="E4439" s="39">
        <v>43720</v>
      </c>
      <c r="F4439" s="40" t="s">
        <v>2681</v>
      </c>
      <c r="G4439" s="12"/>
      <c r="H4439" s="12"/>
      <c r="I4439" s="4" t="s">
        <v>40</v>
      </c>
      <c r="J4439" s="41">
        <f ca="1">ROUNDDOWN(表3[[#This Row],[日期]]-TODAY(),1)</f>
        <v>-57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2474</v>
      </c>
      <c r="E4440" s="39">
        <v>43720</v>
      </c>
      <c r="F4440" s="40" t="s">
        <v>2681</v>
      </c>
      <c r="G4440" s="12"/>
      <c r="H4440" s="12"/>
      <c r="J4440" s="41">
        <f ca="1">ROUNDDOWN(表3[[#This Row],[日期]]-TODAY(),1)</f>
        <v>-57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2681</v>
      </c>
      <c r="G4441" s="12"/>
      <c r="H4441" s="12"/>
      <c r="I4441" s="4" t="s">
        <v>68</v>
      </c>
      <c r="J4441" s="41">
        <f ca="1">ROUNDDOWN(表3[[#This Row],[日期]]-TODAY(),1)</f>
        <v>-57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2681</v>
      </c>
      <c r="G4442" s="12"/>
      <c r="H4442" s="12"/>
      <c r="J4442" s="41">
        <f ca="1">ROUNDDOWN(表3[[#This Row],[日期]]-TODAY(),1)</f>
        <v>-57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1072</v>
      </c>
      <c r="E4443" s="39">
        <v>43720</v>
      </c>
      <c r="F4443" s="40" t="s">
        <v>2681</v>
      </c>
      <c r="G4443" s="12"/>
      <c r="H4443" s="12"/>
      <c r="J4443" s="41">
        <f ca="1">ROUNDDOWN(表3[[#This Row],[日期]]-TODAY(),1)</f>
        <v>-57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2681</v>
      </c>
      <c r="G4444" s="12"/>
      <c r="H4444" s="12"/>
      <c r="J4444" s="41">
        <f ca="1">ROUNDDOWN(表3[[#This Row],[日期]]-TODAY(),1)</f>
        <v>-57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2681</v>
      </c>
      <c r="G4445" s="12"/>
      <c r="H4445" s="12"/>
      <c r="J4445" s="41">
        <f ca="1">ROUNDDOWN(表3[[#This Row],[日期]]-TODAY(),1)</f>
        <v>-57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2681</v>
      </c>
      <c r="G4446" s="12"/>
      <c r="H4446" s="12"/>
      <c r="J4446" s="41">
        <f ca="1">ROUNDDOWN(表3[[#This Row],[日期]]-TODAY(),1)</f>
        <v>-57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2681</v>
      </c>
      <c r="G4447" s="12"/>
      <c r="H4447" s="12"/>
      <c r="J4447" s="41">
        <f ca="1">ROUNDDOWN(表3[[#This Row],[日期]]-TODAY(),1)</f>
        <v>-57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2335</v>
      </c>
      <c r="E4448" s="39">
        <v>43720</v>
      </c>
      <c r="F4448" s="40" t="s">
        <v>2681</v>
      </c>
      <c r="G4448" s="12"/>
      <c r="H4448" s="12"/>
      <c r="J4448" s="41">
        <f ca="1">ROUNDDOWN(表3[[#This Row],[日期]]-TODAY(),1)</f>
        <v>-57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305</v>
      </c>
      <c r="E4449" s="39">
        <v>43720</v>
      </c>
      <c r="F4449" s="40" t="s">
        <v>2681</v>
      </c>
      <c r="G4449" s="12"/>
      <c r="H4449" s="12"/>
      <c r="J4449" s="41">
        <f ca="1">ROUNDDOWN(表3[[#This Row],[日期]]-TODAY(),1)</f>
        <v>-57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2475</v>
      </c>
      <c r="E4450" s="39">
        <v>43720</v>
      </c>
      <c r="F4450" s="40" t="s">
        <v>2681</v>
      </c>
      <c r="G4450" s="12"/>
      <c r="H4450" s="12"/>
      <c r="I4450" s="4" t="s">
        <v>126</v>
      </c>
      <c r="J4450" s="41">
        <f ca="1">ROUNDDOWN(表3[[#This Row],[日期]]-TODAY(),1)</f>
        <v>-57</v>
      </c>
    </row>
    <row r="4451" spans="1:10" hidden="1" x14ac:dyDescent="0.2">
      <c r="A4451" s="4" t="s">
        <v>2574</v>
      </c>
      <c r="B4451" s="37">
        <v>43726</v>
      </c>
      <c r="C4451" s="12">
        <v>1</v>
      </c>
      <c r="D4451" s="38" t="s">
        <v>364</v>
      </c>
      <c r="E4451" s="39">
        <v>43712</v>
      </c>
      <c r="F4451" s="40" t="s">
        <v>2576</v>
      </c>
      <c r="G4451" s="12"/>
      <c r="H4451" s="12"/>
      <c r="J4451" s="41">
        <f ca="1">ROUNDDOWN(表3[[#This Row],[日期]]-TODAY(),1)</f>
        <v>-65</v>
      </c>
    </row>
    <row r="4452" spans="1:10" hidden="1" x14ac:dyDescent="0.2">
      <c r="A4452" s="4" t="s">
        <v>2574</v>
      </c>
      <c r="B4452" s="37">
        <v>43726</v>
      </c>
      <c r="C4452" s="12">
        <v>2</v>
      </c>
      <c r="D4452" s="38" t="s">
        <v>863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-60</v>
      </c>
    </row>
    <row r="4453" spans="1:10" hidden="1" x14ac:dyDescent="0.2">
      <c r="A4453" s="4" t="s">
        <v>2574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-64</v>
      </c>
    </row>
    <row r="4454" spans="1:10" hidden="1" x14ac:dyDescent="0.2">
      <c r="A4454" s="4" t="s">
        <v>2574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-59</v>
      </c>
    </row>
    <row r="4455" spans="1:10" hidden="1" x14ac:dyDescent="0.2">
      <c r="A4455" s="4" t="s">
        <v>2574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-59</v>
      </c>
    </row>
    <row r="4456" spans="1:10" hidden="1" x14ac:dyDescent="0.2">
      <c r="A4456" s="4" t="s">
        <v>2574</v>
      </c>
      <c r="B4456" s="37">
        <v>43726</v>
      </c>
      <c r="C4456" s="12">
        <v>6</v>
      </c>
      <c r="D4456" s="38" t="s">
        <v>864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-59</v>
      </c>
    </row>
    <row r="4457" spans="1:10" hidden="1" x14ac:dyDescent="0.2">
      <c r="A4457" s="4" t="s">
        <v>2574</v>
      </c>
      <c r="B4457" s="37">
        <v>43726</v>
      </c>
      <c r="C4457" s="12">
        <v>7</v>
      </c>
      <c r="D4457" s="38" t="s">
        <v>867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-58</v>
      </c>
    </row>
    <row r="4458" spans="1:10" hidden="1" x14ac:dyDescent="0.2">
      <c r="A4458" s="4" t="s">
        <v>2574</v>
      </c>
      <c r="B4458" s="37">
        <v>43726</v>
      </c>
      <c r="C4458" s="12">
        <v>8</v>
      </c>
      <c r="D4458" s="38" t="s">
        <v>307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-59</v>
      </c>
    </row>
    <row r="4459" spans="1:10" hidden="1" x14ac:dyDescent="0.2">
      <c r="A4459" s="4" t="s">
        <v>2574</v>
      </c>
      <c r="B4459" s="37">
        <v>43726</v>
      </c>
      <c r="C4459" s="12">
        <v>9</v>
      </c>
      <c r="D4459" s="38" t="s">
        <v>2433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-59</v>
      </c>
    </row>
    <row r="4460" spans="1:10" hidden="1" x14ac:dyDescent="0.2">
      <c r="A4460" s="4" t="s">
        <v>2574</v>
      </c>
      <c r="B4460" s="37">
        <v>43726</v>
      </c>
      <c r="C4460" s="12">
        <v>10</v>
      </c>
      <c r="D4460" s="38" t="s">
        <v>2623</v>
      </c>
      <c r="E4460" s="39">
        <v>43718</v>
      </c>
      <c r="F4460" s="40" t="s">
        <v>1184</v>
      </c>
      <c r="G4460" s="12"/>
      <c r="H4460" s="12"/>
      <c r="J4460" s="41">
        <f ca="1">ROUNDDOWN(表3[[#This Row],[日期]]-TODAY(),1)</f>
        <v>-59</v>
      </c>
    </row>
    <row r="4461" spans="1:10" hidden="1" x14ac:dyDescent="0.2">
      <c r="A4461" s="4" t="s">
        <v>2574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-58</v>
      </c>
    </row>
    <row r="4462" spans="1:10" hidden="1" x14ac:dyDescent="0.2">
      <c r="A4462" s="4" t="s">
        <v>2574</v>
      </c>
      <c r="B4462" s="37">
        <v>43726</v>
      </c>
      <c r="C4462" s="12">
        <v>12</v>
      </c>
      <c r="D4462" s="38" t="s">
        <v>2572</v>
      </c>
      <c r="E4462" s="39">
        <v>43719</v>
      </c>
      <c r="F4462" s="40" t="s">
        <v>1184</v>
      </c>
      <c r="G4462" s="12"/>
      <c r="H4462" s="12"/>
      <c r="J4462" s="41">
        <f ca="1">ROUNDDOWN(表3[[#This Row],[日期]]-TODAY(),1)</f>
        <v>-58</v>
      </c>
    </row>
    <row r="4463" spans="1:10" hidden="1" x14ac:dyDescent="0.2">
      <c r="A4463" s="4" t="s">
        <v>2574</v>
      </c>
      <c r="B4463" s="37">
        <v>43726</v>
      </c>
      <c r="C4463" s="12">
        <v>13</v>
      </c>
      <c r="D4463" s="38" t="s">
        <v>868</v>
      </c>
      <c r="E4463" s="39">
        <v>43719</v>
      </c>
      <c r="F4463" s="40" t="s">
        <v>242</v>
      </c>
      <c r="G4463" s="12"/>
      <c r="H4463" s="12"/>
      <c r="I4463" s="4" t="s">
        <v>310</v>
      </c>
      <c r="J4463" s="41">
        <f ca="1">ROUNDDOWN(表3[[#This Row],[日期]]-TODAY(),1)</f>
        <v>-58</v>
      </c>
    </row>
    <row r="4464" spans="1:10" hidden="1" x14ac:dyDescent="0.2">
      <c r="A4464" s="4" t="s">
        <v>2574</v>
      </c>
      <c r="B4464" s="37">
        <v>43726</v>
      </c>
      <c r="C4464" s="12">
        <v>14</v>
      </c>
      <c r="D4464" s="38" t="s">
        <v>313</v>
      </c>
      <c r="E4464" s="39">
        <v>43719</v>
      </c>
      <c r="F4464" s="40" t="s">
        <v>242</v>
      </c>
      <c r="G4464" s="12"/>
      <c r="H4464" s="12"/>
      <c r="I4464" s="4" t="s">
        <v>310</v>
      </c>
      <c r="J4464" s="41">
        <f ca="1">ROUNDDOWN(表3[[#This Row],[日期]]-TODAY(),1)</f>
        <v>-58</v>
      </c>
    </row>
    <row r="4465" spans="1:10" hidden="1" x14ac:dyDescent="0.2">
      <c r="A4465" s="4" t="s">
        <v>2574</v>
      </c>
      <c r="B4465" s="37">
        <v>43726</v>
      </c>
      <c r="C4465" s="12">
        <v>15</v>
      </c>
      <c r="D4465" s="38" t="s">
        <v>309</v>
      </c>
      <c r="E4465" s="39">
        <v>43720</v>
      </c>
      <c r="F4465" s="40" t="s">
        <v>242</v>
      </c>
      <c r="G4465" s="12"/>
      <c r="H4465" s="12"/>
      <c r="I4465" s="4" t="s">
        <v>310</v>
      </c>
      <c r="J4465" s="41">
        <f ca="1">ROUNDDOWN(表3[[#This Row],[日期]]-TODAY(),1)</f>
        <v>-57</v>
      </c>
    </row>
    <row r="4466" spans="1:10" hidden="1" x14ac:dyDescent="0.2">
      <c r="A4466" s="4" t="s">
        <v>2574</v>
      </c>
      <c r="B4466" s="37">
        <v>43726</v>
      </c>
      <c r="C4466" s="12">
        <v>16</v>
      </c>
      <c r="D4466" s="38" t="s">
        <v>311</v>
      </c>
      <c r="E4466" s="39">
        <v>43721</v>
      </c>
      <c r="F4466" s="40" t="s">
        <v>242</v>
      </c>
      <c r="G4466" s="12"/>
      <c r="H4466" s="12"/>
      <c r="I4466" s="4" t="s">
        <v>310</v>
      </c>
      <c r="J4466" s="41">
        <f ca="1">ROUNDDOWN(表3[[#This Row],[日期]]-TODAY(),1)</f>
        <v>-56</v>
      </c>
    </row>
    <row r="4467" spans="1:10" hidden="1" x14ac:dyDescent="0.2">
      <c r="A4467" s="4" t="s">
        <v>2574</v>
      </c>
      <c r="B4467" s="37">
        <v>43726</v>
      </c>
      <c r="C4467" s="12">
        <v>17</v>
      </c>
      <c r="D4467" s="38" t="s">
        <v>271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-56</v>
      </c>
    </row>
    <row r="4468" spans="1:10" hidden="1" x14ac:dyDescent="0.2">
      <c r="A4468" s="4" t="s">
        <v>2574</v>
      </c>
      <c r="B4468" s="37">
        <v>43726</v>
      </c>
      <c r="C4468" s="12">
        <v>18</v>
      </c>
      <c r="D4468" s="38" t="s">
        <v>273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-52</v>
      </c>
    </row>
    <row r="4469" spans="1:10" hidden="1" x14ac:dyDescent="0.2">
      <c r="A4469" s="4" t="s">
        <v>2574</v>
      </c>
      <c r="B4469" s="37">
        <v>43726</v>
      </c>
      <c r="C4469" s="12">
        <v>19</v>
      </c>
      <c r="D4469" s="38" t="s">
        <v>275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-51</v>
      </c>
    </row>
    <row r="4470" spans="1:10" hidden="1" x14ac:dyDescent="0.2">
      <c r="A4470" s="4" t="s">
        <v>2574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-50</v>
      </c>
    </row>
    <row r="4471" spans="1:10" hidden="1" x14ac:dyDescent="0.2">
      <c r="A4471" s="4" t="s">
        <v>2574</v>
      </c>
      <c r="B4471" s="37">
        <v>43726</v>
      </c>
      <c r="C4471" s="12">
        <v>21</v>
      </c>
      <c r="D4471" s="38" t="s">
        <v>1387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-53</v>
      </c>
    </row>
    <row r="4472" spans="1:10" hidden="1" x14ac:dyDescent="0.2">
      <c r="A4472" s="4" t="s">
        <v>2574</v>
      </c>
      <c r="B4472" s="37">
        <v>43726</v>
      </c>
      <c r="C4472" s="12">
        <v>22</v>
      </c>
      <c r="D4472" s="38" t="s">
        <v>305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-50</v>
      </c>
    </row>
    <row r="4473" spans="1:10" hidden="1" x14ac:dyDescent="0.2">
      <c r="A4473" s="4" t="s">
        <v>2831</v>
      </c>
      <c r="B4473" s="37">
        <v>43726</v>
      </c>
      <c r="C4473" s="12">
        <v>1</v>
      </c>
      <c r="D4473" s="38" t="s">
        <v>507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-59</v>
      </c>
    </row>
    <row r="4474" spans="1:10" hidden="1" x14ac:dyDescent="0.2">
      <c r="A4474" s="4" t="s">
        <v>2831</v>
      </c>
      <c r="B4474" s="37">
        <v>43726</v>
      </c>
      <c r="C4474" s="12">
        <v>2</v>
      </c>
      <c r="D4474" s="38" t="s">
        <v>1519</v>
      </c>
      <c r="E4474" s="39">
        <v>43718</v>
      </c>
      <c r="F4474" s="40" t="s">
        <v>242</v>
      </c>
      <c r="G4474" s="12"/>
      <c r="H4474" s="12"/>
      <c r="I4474" s="4" t="s">
        <v>1522</v>
      </c>
      <c r="J4474" s="41">
        <f ca="1">ROUNDDOWN(表3[[#This Row],[日期]]-TODAY(),1)</f>
        <v>-59</v>
      </c>
    </row>
    <row r="4475" spans="1:10" hidden="1" x14ac:dyDescent="0.2">
      <c r="A4475" s="4" t="s">
        <v>2831</v>
      </c>
      <c r="B4475" s="37">
        <v>43726</v>
      </c>
      <c r="C4475" s="12">
        <v>3</v>
      </c>
      <c r="D4475" s="38" t="s">
        <v>1705</v>
      </c>
      <c r="E4475" s="39">
        <v>43718</v>
      </c>
      <c r="F4475" s="40" t="s">
        <v>242</v>
      </c>
      <c r="G4475" s="12"/>
      <c r="H4475" s="12"/>
      <c r="I4475" s="4" t="s">
        <v>1524</v>
      </c>
      <c r="J4475" s="41">
        <f ca="1">ROUNDDOWN(表3[[#This Row],[日期]]-TODAY(),1)</f>
        <v>-59</v>
      </c>
    </row>
    <row r="4476" spans="1:10" hidden="1" x14ac:dyDescent="0.2">
      <c r="A4476" s="4" t="s">
        <v>2831</v>
      </c>
      <c r="B4476" s="37">
        <v>43726</v>
      </c>
      <c r="C4476" s="12">
        <v>4</v>
      </c>
      <c r="D4476" s="38" t="s">
        <v>1527</v>
      </c>
      <c r="E4476" s="39">
        <v>43718</v>
      </c>
      <c r="F4476" s="40" t="s">
        <v>242</v>
      </c>
      <c r="G4476" s="12"/>
      <c r="H4476" s="12"/>
      <c r="I4476" s="4" t="s">
        <v>1529</v>
      </c>
      <c r="J4476" s="41">
        <f ca="1">ROUNDDOWN(表3[[#This Row],[日期]]-TODAY(),1)</f>
        <v>-59</v>
      </c>
    </row>
    <row r="4477" spans="1:10" hidden="1" x14ac:dyDescent="0.2">
      <c r="A4477" s="4" t="s">
        <v>2831</v>
      </c>
      <c r="B4477" s="37">
        <v>43726</v>
      </c>
      <c r="C4477" s="12">
        <v>5</v>
      </c>
      <c r="D4477" s="38" t="s">
        <v>1658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-59</v>
      </c>
    </row>
    <row r="4478" spans="1:10" hidden="1" x14ac:dyDescent="0.2">
      <c r="A4478" s="4" t="s">
        <v>2831</v>
      </c>
      <c r="B4478" s="37">
        <v>43726</v>
      </c>
      <c r="C4478" s="12">
        <v>6</v>
      </c>
      <c r="D4478" s="38" t="s">
        <v>1534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-58</v>
      </c>
    </row>
    <row r="4479" spans="1:10" hidden="1" x14ac:dyDescent="0.2">
      <c r="A4479" s="4" t="s">
        <v>2831</v>
      </c>
      <c r="B4479" s="37">
        <v>43726</v>
      </c>
      <c r="C4479" s="12">
        <v>7</v>
      </c>
      <c r="D4479" s="38" t="s">
        <v>1536</v>
      </c>
      <c r="E4479" s="39">
        <v>43718</v>
      </c>
      <c r="F4479" s="40" t="s">
        <v>1184</v>
      </c>
      <c r="G4479" s="12"/>
      <c r="H4479" s="12"/>
      <c r="I4479" s="4" t="s">
        <v>1538</v>
      </c>
      <c r="J4479" s="41">
        <f ca="1">ROUNDDOWN(表3[[#This Row],[日期]]-TODAY(),1)</f>
        <v>-59</v>
      </c>
    </row>
    <row r="4480" spans="1:10" hidden="1" x14ac:dyDescent="0.2">
      <c r="A4480" s="4" t="s">
        <v>2831</v>
      </c>
      <c r="B4480" s="37">
        <v>43726</v>
      </c>
      <c r="C4480" s="12">
        <v>8</v>
      </c>
      <c r="D4480" s="38" t="s">
        <v>1532</v>
      </c>
      <c r="E4480" s="39">
        <v>43718</v>
      </c>
      <c r="F4480" s="40" t="s">
        <v>1184</v>
      </c>
      <c r="G4480" s="12"/>
      <c r="H4480" s="12"/>
      <c r="J4480" s="41">
        <f ca="1">ROUNDDOWN(表3[[#This Row],[日期]]-TODAY(),1)</f>
        <v>-59</v>
      </c>
    </row>
    <row r="4481" spans="1:10" hidden="1" x14ac:dyDescent="0.2">
      <c r="A4481" s="4" t="s">
        <v>2831</v>
      </c>
      <c r="B4481" s="37">
        <v>43726</v>
      </c>
      <c r="C4481" s="12">
        <v>9</v>
      </c>
      <c r="D4481" s="38" t="s">
        <v>1540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-53</v>
      </c>
    </row>
    <row r="4482" spans="1:10" hidden="1" x14ac:dyDescent="0.2">
      <c r="A4482" s="4" t="s">
        <v>2831</v>
      </c>
      <c r="B4482" s="37">
        <v>43726</v>
      </c>
      <c r="C4482" s="12">
        <v>10</v>
      </c>
      <c r="D4482" s="38" t="s">
        <v>2502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-53</v>
      </c>
    </row>
    <row r="4483" spans="1:10" hidden="1" x14ac:dyDescent="0.2">
      <c r="A4483" s="4" t="s">
        <v>2831</v>
      </c>
      <c r="B4483" s="37">
        <v>43726</v>
      </c>
      <c r="C4483" s="12">
        <v>12</v>
      </c>
      <c r="D4483" s="38" t="s">
        <v>1542</v>
      </c>
      <c r="E4483" s="39">
        <v>43724</v>
      </c>
      <c r="F4483" s="40" t="s">
        <v>242</v>
      </c>
      <c r="G4483" s="12">
        <v>1</v>
      </c>
      <c r="H4483" s="12"/>
      <c r="I4483" s="4" t="s">
        <v>530</v>
      </c>
      <c r="J4483" s="41">
        <f ca="1">ROUNDDOWN(表3[[#This Row],[日期]]-TODAY(),1)</f>
        <v>-53</v>
      </c>
    </row>
    <row r="4484" spans="1:10" hidden="1" x14ac:dyDescent="0.2">
      <c r="A4484" s="4" t="s">
        <v>2831</v>
      </c>
      <c r="B4484" s="37">
        <v>43726</v>
      </c>
      <c r="C4484" s="12">
        <v>13</v>
      </c>
      <c r="D4484" s="38" t="s">
        <v>1544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-53</v>
      </c>
    </row>
    <row r="4485" spans="1:10" hidden="1" x14ac:dyDescent="0.2">
      <c r="A4485" s="4" t="s">
        <v>2831</v>
      </c>
      <c r="B4485" s="37">
        <v>43726</v>
      </c>
      <c r="C4485" s="12">
        <v>14</v>
      </c>
      <c r="D4485" s="38" t="s">
        <v>1546</v>
      </c>
      <c r="E4485" s="39">
        <v>43724</v>
      </c>
      <c r="F4485" s="40" t="s">
        <v>242</v>
      </c>
      <c r="G4485" s="12">
        <v>1</v>
      </c>
      <c r="H4485" s="12"/>
      <c r="I4485" s="4" t="s">
        <v>1548</v>
      </c>
      <c r="J4485" s="41">
        <f ca="1">ROUNDDOWN(表3[[#This Row],[日期]]-TODAY(),1)</f>
        <v>-53</v>
      </c>
    </row>
    <row r="4486" spans="1:10" hidden="1" x14ac:dyDescent="0.2">
      <c r="A4486" s="4" t="s">
        <v>2831</v>
      </c>
      <c r="B4486" s="37">
        <v>43726</v>
      </c>
      <c r="C4486" s="12">
        <v>15</v>
      </c>
      <c r="D4486" s="38" t="s">
        <v>1550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-53</v>
      </c>
    </row>
    <row r="4487" spans="1:10" hidden="1" x14ac:dyDescent="0.2">
      <c r="A4487" s="4" t="s">
        <v>2831</v>
      </c>
      <c r="B4487" s="37">
        <v>43726</v>
      </c>
      <c r="C4487" s="12">
        <v>16</v>
      </c>
      <c r="D4487" s="38" t="s">
        <v>1557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-53</v>
      </c>
    </row>
    <row r="4488" spans="1:10" hidden="1" x14ac:dyDescent="0.2">
      <c r="A4488" s="4" t="s">
        <v>2831</v>
      </c>
      <c r="B4488" s="37">
        <v>43726</v>
      </c>
      <c r="C4488" s="12">
        <v>17</v>
      </c>
      <c r="D4488" s="38" t="s">
        <v>1551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-53</v>
      </c>
    </row>
    <row r="4489" spans="1:10" hidden="1" x14ac:dyDescent="0.2">
      <c r="A4489" s="4" t="s">
        <v>2831</v>
      </c>
      <c r="B4489" s="37">
        <v>43726</v>
      </c>
      <c r="C4489" s="12">
        <v>18</v>
      </c>
      <c r="D4489" s="38" t="s">
        <v>1553</v>
      </c>
      <c r="E4489" s="39">
        <v>43724</v>
      </c>
      <c r="F4489" s="40" t="s">
        <v>242</v>
      </c>
      <c r="G4489" s="12">
        <v>1</v>
      </c>
      <c r="H4489" s="12"/>
      <c r="I4489" s="4" t="s">
        <v>1555</v>
      </c>
      <c r="J4489" s="41">
        <f ca="1">ROUNDDOWN(表3[[#This Row],[日期]]-TODAY(),1)</f>
        <v>-53</v>
      </c>
    </row>
    <row r="4490" spans="1:10" hidden="1" x14ac:dyDescent="0.2">
      <c r="A4490" s="4" t="s">
        <v>2831</v>
      </c>
      <c r="B4490" s="37">
        <v>43726</v>
      </c>
      <c r="C4490" s="12">
        <v>19</v>
      </c>
      <c r="D4490" s="38" t="s">
        <v>1559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-53</v>
      </c>
    </row>
    <row r="4491" spans="1:10" hidden="1" x14ac:dyDescent="0.2">
      <c r="A4491" s="4" t="s">
        <v>2831</v>
      </c>
      <c r="B4491" s="37">
        <v>43726</v>
      </c>
      <c r="C4491" s="12">
        <v>20</v>
      </c>
      <c r="D4491" s="38" t="s">
        <v>1561</v>
      </c>
      <c r="E4491" s="39">
        <v>43724</v>
      </c>
      <c r="F4491" s="40" t="s">
        <v>1184</v>
      </c>
      <c r="G4491" s="12">
        <v>1</v>
      </c>
      <c r="H4491" s="12"/>
      <c r="J4491" s="41">
        <f ca="1">ROUNDDOWN(表3[[#This Row],[日期]]-TODAY(),1)</f>
        <v>-53</v>
      </c>
    </row>
    <row r="4492" spans="1:10" hidden="1" x14ac:dyDescent="0.2">
      <c r="A4492" s="4" t="s">
        <v>2831</v>
      </c>
      <c r="B4492" s="37">
        <v>43726</v>
      </c>
      <c r="C4492" s="12">
        <v>21</v>
      </c>
      <c r="D4492" s="38" t="s">
        <v>1563</v>
      </c>
      <c r="E4492" s="39">
        <v>43724</v>
      </c>
      <c r="F4492" s="40" t="s">
        <v>1184</v>
      </c>
      <c r="G4492" s="12">
        <v>1</v>
      </c>
      <c r="H4492" s="12"/>
      <c r="J4492" s="41">
        <f ca="1">ROUNDDOWN(表3[[#This Row],[日期]]-TODAY(),1)</f>
        <v>-53</v>
      </c>
    </row>
    <row r="4493" spans="1:10" hidden="1" x14ac:dyDescent="0.2">
      <c r="A4493" s="4" t="s">
        <v>2831</v>
      </c>
      <c r="B4493" s="37">
        <v>43726</v>
      </c>
      <c r="C4493" s="12">
        <v>22</v>
      </c>
      <c r="D4493" s="38" t="s">
        <v>1565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-53</v>
      </c>
    </row>
    <row r="4494" spans="1:10" hidden="1" x14ac:dyDescent="0.2">
      <c r="A4494" s="4" t="s">
        <v>2831</v>
      </c>
      <c r="B4494" s="37">
        <v>43726</v>
      </c>
      <c r="C4494" s="12">
        <v>23</v>
      </c>
      <c r="D4494" s="38" t="s">
        <v>1567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-53</v>
      </c>
    </row>
    <row r="4495" spans="1:10" hidden="1" x14ac:dyDescent="0.2">
      <c r="A4495" s="4" t="s">
        <v>2831</v>
      </c>
      <c r="B4495" s="37">
        <v>43726</v>
      </c>
      <c r="C4495" s="12">
        <v>24</v>
      </c>
      <c r="D4495" s="38" t="s">
        <v>1569</v>
      </c>
      <c r="E4495" s="39">
        <v>43724</v>
      </c>
      <c r="F4495" s="40" t="s">
        <v>242</v>
      </c>
      <c r="G4495" s="12">
        <v>1</v>
      </c>
      <c r="H4495" s="12"/>
      <c r="I4495" s="4" t="s">
        <v>1529</v>
      </c>
      <c r="J4495" s="41">
        <f ca="1">ROUNDDOWN(表3[[#This Row],[日期]]-TODAY(),1)</f>
        <v>-53</v>
      </c>
    </row>
    <row r="4496" spans="1:10" hidden="1" x14ac:dyDescent="0.2">
      <c r="A4496" s="4" t="s">
        <v>2831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-50</v>
      </c>
    </row>
    <row r="4497" spans="1:10" hidden="1" x14ac:dyDescent="0.2">
      <c r="A4497" s="4" t="s">
        <v>2831</v>
      </c>
      <c r="B4497" s="37">
        <v>43726</v>
      </c>
      <c r="C4497" s="12">
        <v>26</v>
      </c>
      <c r="D4497" s="38" t="s">
        <v>1573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-50</v>
      </c>
    </row>
    <row r="4498" spans="1:10" hidden="1" x14ac:dyDescent="0.2">
      <c r="A4498" s="4" t="s">
        <v>2831</v>
      </c>
      <c r="B4498" s="37">
        <v>43726</v>
      </c>
      <c r="C4498" s="12">
        <v>27</v>
      </c>
      <c r="D4498" s="38" t="s">
        <v>1571</v>
      </c>
      <c r="E4498" s="39">
        <v>43727</v>
      </c>
      <c r="F4498" s="40" t="s">
        <v>242</v>
      </c>
      <c r="G4498" s="12">
        <v>4</v>
      </c>
      <c r="H4498" s="12"/>
      <c r="I4498" s="4" t="s">
        <v>1529</v>
      </c>
      <c r="J4498" s="41">
        <f ca="1">ROUNDDOWN(表3[[#This Row],[日期]]-TODAY(),1)</f>
        <v>-50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927</v>
      </c>
      <c r="E4499" s="39">
        <v>43717</v>
      </c>
      <c r="F4499" s="40" t="s">
        <v>2652</v>
      </c>
      <c r="G4499" s="12"/>
      <c r="H4499" s="12"/>
      <c r="I4499" s="4" t="s">
        <v>27</v>
      </c>
      <c r="J4499" s="41">
        <f ca="1">ROUNDDOWN(表3[[#This Row],[日期]]-TODAY(),1)</f>
        <v>-60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1210</v>
      </c>
      <c r="E4500" s="39">
        <v>43717</v>
      </c>
      <c r="F4500" s="40" t="s">
        <v>2652</v>
      </c>
      <c r="G4500" s="12"/>
      <c r="H4500" s="12"/>
      <c r="J4500" s="41">
        <f ca="1">ROUNDDOWN(表3[[#This Row],[日期]]-TODAY(),1)</f>
        <v>-60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2652</v>
      </c>
      <c r="G4501" s="12"/>
      <c r="H4501" s="12"/>
      <c r="J4501" s="41">
        <f ca="1">ROUNDDOWN(表3[[#This Row],[日期]]-TODAY(),1)</f>
        <v>-60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2652</v>
      </c>
      <c r="G4502" s="12"/>
      <c r="H4502" s="12"/>
      <c r="J4502" s="41">
        <f ca="1">ROUNDDOWN(表3[[#This Row],[日期]]-TODAY(),1)</f>
        <v>-60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1576</v>
      </c>
      <c r="E4503" s="39">
        <v>43717</v>
      </c>
      <c r="F4503" s="40" t="s">
        <v>2652</v>
      </c>
      <c r="G4503" s="12"/>
      <c r="H4503" s="12"/>
      <c r="J4503" s="41">
        <f ca="1">ROUNDDOWN(表3[[#This Row],[日期]]-TODAY(),1)</f>
        <v>-60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1577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-53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-53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928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-53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1740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-53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1578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-53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1742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-53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1744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-53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1746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-53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1748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-53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1750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-53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929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-52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1752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-52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-52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930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-52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-52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931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-52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2472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-52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1919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-52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-52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-52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-52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-52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-52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-52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2473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-52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933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-52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2474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-52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-52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-52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1072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-51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-51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-51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-50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-50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2335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-50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305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-49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2475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-46</v>
      </c>
    </row>
    <row r="4541" spans="1:10" hidden="1" x14ac:dyDescent="0.2">
      <c r="A4541" s="4" t="s">
        <v>1371</v>
      </c>
      <c r="B4541" s="37">
        <v>43730</v>
      </c>
      <c r="C4541" s="12">
        <v>1</v>
      </c>
      <c r="D4541" s="38" t="s">
        <v>1805</v>
      </c>
      <c r="E4541" s="39">
        <v>43672</v>
      </c>
      <c r="F4541" s="40" t="s">
        <v>2002</v>
      </c>
      <c r="G4541" s="12"/>
      <c r="H4541" s="12"/>
      <c r="J4541" s="41">
        <f ca="1">ROUNDDOWN(表3[[#This Row],[日期]]-TODAY(),1)</f>
        <v>-105</v>
      </c>
    </row>
    <row r="4542" spans="1:10" hidden="1" x14ac:dyDescent="0.2">
      <c r="A4542" s="4" t="s">
        <v>1371</v>
      </c>
      <c r="B4542" s="37">
        <v>43730</v>
      </c>
      <c r="C4542" s="12">
        <v>2</v>
      </c>
      <c r="D4542" s="38" t="s">
        <v>1806</v>
      </c>
      <c r="E4542" s="39">
        <v>43677</v>
      </c>
      <c r="F4542" s="40" t="s">
        <v>2002</v>
      </c>
      <c r="G4542" s="12"/>
      <c r="H4542" s="12"/>
      <c r="J4542" s="41">
        <f ca="1">ROUNDDOWN(表3[[#This Row],[日期]]-TODAY(),1)</f>
        <v>-100</v>
      </c>
    </row>
    <row r="4543" spans="1:10" hidden="1" x14ac:dyDescent="0.2">
      <c r="A4543" s="4" t="s">
        <v>1371</v>
      </c>
      <c r="B4543" s="37">
        <v>43730</v>
      </c>
      <c r="C4543" s="12">
        <v>3</v>
      </c>
      <c r="D4543" s="38" t="s">
        <v>1807</v>
      </c>
      <c r="E4543" s="39">
        <v>43677</v>
      </c>
      <c r="F4543" s="40" t="s">
        <v>2002</v>
      </c>
      <c r="G4543" s="12"/>
      <c r="H4543" s="12"/>
      <c r="J4543" s="41">
        <f ca="1">ROUNDDOWN(表3[[#This Row],[日期]]-TODAY(),1)</f>
        <v>-100</v>
      </c>
    </row>
    <row r="4544" spans="1:10" hidden="1" x14ac:dyDescent="0.2">
      <c r="A4544" s="4" t="s">
        <v>1371</v>
      </c>
      <c r="B4544" s="37">
        <v>43730</v>
      </c>
      <c r="C4544" s="12">
        <v>4</v>
      </c>
      <c r="D4544" s="38" t="s">
        <v>1808</v>
      </c>
      <c r="E4544" s="39">
        <v>43677</v>
      </c>
      <c r="F4544" s="40" t="s">
        <v>2002</v>
      </c>
      <c r="G4544" s="12"/>
      <c r="H4544" s="12"/>
      <c r="J4544" s="41">
        <f ca="1">ROUNDDOWN(表3[[#This Row],[日期]]-TODAY(),1)</f>
        <v>-100</v>
      </c>
    </row>
    <row r="4545" spans="1:10" hidden="1" x14ac:dyDescent="0.2">
      <c r="A4545" s="4" t="s">
        <v>1371</v>
      </c>
      <c r="B4545" s="37">
        <v>43730</v>
      </c>
      <c r="C4545" s="12">
        <v>4.0999999999999996</v>
      </c>
      <c r="D4545" s="38" t="s">
        <v>2043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-100</v>
      </c>
    </row>
    <row r="4546" spans="1:10" hidden="1" x14ac:dyDescent="0.2">
      <c r="A4546" s="4" t="s">
        <v>1371</v>
      </c>
      <c r="B4546" s="37">
        <v>43730</v>
      </c>
      <c r="C4546" s="12">
        <v>5</v>
      </c>
      <c r="D4546" s="38" t="s">
        <v>2029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-51</v>
      </c>
    </row>
    <row r="4547" spans="1:10" hidden="1" x14ac:dyDescent="0.2">
      <c r="A4547" s="4" t="s">
        <v>1371</v>
      </c>
      <c r="B4547" s="37">
        <v>43730</v>
      </c>
      <c r="C4547" s="12">
        <v>6</v>
      </c>
      <c r="D4547" s="38" t="s">
        <v>1653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-51</v>
      </c>
    </row>
    <row r="4548" spans="1:10" hidden="1" x14ac:dyDescent="0.2">
      <c r="A4548" s="4" t="s">
        <v>1371</v>
      </c>
      <c r="B4548" s="37">
        <v>43730</v>
      </c>
      <c r="C4548" s="12">
        <v>7</v>
      </c>
      <c r="D4548" s="38" t="s">
        <v>2011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-51</v>
      </c>
    </row>
    <row r="4549" spans="1:10" hidden="1" x14ac:dyDescent="0.2">
      <c r="A4549" s="4" t="s">
        <v>1371</v>
      </c>
      <c r="B4549" s="37">
        <v>43730</v>
      </c>
      <c r="C4549" s="12">
        <v>8</v>
      </c>
      <c r="D4549" s="38" t="s">
        <v>1655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-51</v>
      </c>
    </row>
    <row r="4550" spans="1:10" hidden="1" x14ac:dyDescent="0.2">
      <c r="A4550" s="4" t="s">
        <v>1371</v>
      </c>
      <c r="B4550" s="37">
        <v>43730</v>
      </c>
      <c r="C4550" s="12">
        <v>9</v>
      </c>
      <c r="D4550" s="38" t="s">
        <v>2012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-51</v>
      </c>
    </row>
    <row r="4551" spans="1:10" hidden="1" x14ac:dyDescent="0.2">
      <c r="A4551" s="4" t="s">
        <v>1371</v>
      </c>
      <c r="B4551" s="37">
        <v>43730</v>
      </c>
      <c r="C4551" s="12">
        <v>10</v>
      </c>
      <c r="D4551" s="38" t="s">
        <v>2013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-51</v>
      </c>
    </row>
    <row r="4552" spans="1:10" hidden="1" x14ac:dyDescent="0.2">
      <c r="A4552" s="4" t="s">
        <v>1371</v>
      </c>
      <c r="B4552" s="37">
        <v>43730</v>
      </c>
      <c r="C4552" s="12">
        <v>11</v>
      </c>
      <c r="D4552" s="38" t="s">
        <v>2014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-51</v>
      </c>
    </row>
    <row r="4553" spans="1:10" hidden="1" x14ac:dyDescent="0.2">
      <c r="A4553" s="4" t="s">
        <v>1371</v>
      </c>
      <c r="B4553" s="37">
        <v>43730</v>
      </c>
      <c r="C4553" s="12">
        <v>11.1</v>
      </c>
      <c r="D4553" s="38" t="s">
        <v>2757</v>
      </c>
      <c r="E4553" s="39">
        <v>43726</v>
      </c>
      <c r="F4553" s="40" t="s">
        <v>2754</v>
      </c>
      <c r="G4553" s="12"/>
      <c r="H4553" s="12"/>
      <c r="J4553" s="41">
        <f ca="1">ROUNDDOWN(表3[[#This Row],[日期]]-TODAY(),1)</f>
        <v>-51</v>
      </c>
    </row>
    <row r="4554" spans="1:10" hidden="1" x14ac:dyDescent="0.2">
      <c r="A4554" s="4" t="s">
        <v>1371</v>
      </c>
      <c r="B4554" s="37">
        <v>43730</v>
      </c>
      <c r="C4554" s="12">
        <v>11.2</v>
      </c>
      <c r="D4554" s="38" t="s">
        <v>2758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-51</v>
      </c>
    </row>
    <row r="4555" spans="1:10" hidden="1" x14ac:dyDescent="0.2">
      <c r="A4555" s="4" t="s">
        <v>1371</v>
      </c>
      <c r="B4555" s="37">
        <v>43730</v>
      </c>
      <c r="C4555" s="12">
        <v>12</v>
      </c>
      <c r="D4555" s="38" t="s">
        <v>2015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-51</v>
      </c>
    </row>
    <row r="4556" spans="1:10" hidden="1" x14ac:dyDescent="0.2">
      <c r="A4556" s="4" t="s">
        <v>1371</v>
      </c>
      <c r="B4556" s="37">
        <v>43730</v>
      </c>
      <c r="C4556" s="12">
        <v>13</v>
      </c>
      <c r="D4556" s="38" t="s">
        <v>2016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-50</v>
      </c>
    </row>
    <row r="4557" spans="1:10" hidden="1" x14ac:dyDescent="0.2">
      <c r="A4557" s="4" t="s">
        <v>1371</v>
      </c>
      <c r="B4557" s="37">
        <v>43730</v>
      </c>
      <c r="C4557" s="12">
        <v>14</v>
      </c>
      <c r="D4557" s="38" t="s">
        <v>2017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-50</v>
      </c>
    </row>
    <row r="4558" spans="1:10" hidden="1" x14ac:dyDescent="0.2">
      <c r="A4558" s="4" t="s">
        <v>1371</v>
      </c>
      <c r="B4558" s="37">
        <v>43730</v>
      </c>
      <c r="C4558" s="12">
        <v>15</v>
      </c>
      <c r="D4558" s="38" t="s">
        <v>2018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-51</v>
      </c>
    </row>
    <row r="4559" spans="1:10" hidden="1" x14ac:dyDescent="0.2">
      <c r="A4559" s="4" t="s">
        <v>1371</v>
      </c>
      <c r="B4559" s="37">
        <v>43730</v>
      </c>
      <c r="C4559" s="12">
        <v>16</v>
      </c>
      <c r="D4559" s="38" t="s">
        <v>269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-50</v>
      </c>
    </row>
    <row r="4560" spans="1:10" hidden="1" x14ac:dyDescent="0.2">
      <c r="A4560" s="4" t="s">
        <v>1371</v>
      </c>
      <c r="B4560" s="37">
        <v>43730</v>
      </c>
      <c r="C4560" s="12">
        <v>17</v>
      </c>
      <c r="D4560" s="38" t="s">
        <v>271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-50</v>
      </c>
    </row>
    <row r="4561" spans="1:10" hidden="1" x14ac:dyDescent="0.2">
      <c r="A4561" s="4" t="s">
        <v>1371</v>
      </c>
      <c r="B4561" s="37">
        <v>43730</v>
      </c>
      <c r="C4561" s="12">
        <v>18</v>
      </c>
      <c r="D4561" s="38" t="s">
        <v>273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-47</v>
      </c>
    </row>
    <row r="4562" spans="1:10" hidden="1" x14ac:dyDescent="0.2">
      <c r="A4562" s="4" t="s">
        <v>1371</v>
      </c>
      <c r="B4562" s="37">
        <v>43730</v>
      </c>
      <c r="C4562" s="12">
        <v>19</v>
      </c>
      <c r="D4562" s="38" t="s">
        <v>275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-45</v>
      </c>
    </row>
    <row r="4563" spans="1:10" hidden="1" x14ac:dyDescent="0.2">
      <c r="A4563" s="4" t="s">
        <v>1371</v>
      </c>
      <c r="B4563" s="37">
        <v>43730</v>
      </c>
      <c r="C4563" s="12">
        <v>20</v>
      </c>
      <c r="D4563" s="38" t="s">
        <v>305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-44</v>
      </c>
    </row>
    <row r="4564" spans="1:10" hidden="1" x14ac:dyDescent="0.2">
      <c r="A4564" s="4" t="s">
        <v>1371</v>
      </c>
      <c r="B4564" s="37">
        <v>43730</v>
      </c>
      <c r="C4564" s="12">
        <v>21</v>
      </c>
      <c r="D4564" s="38" t="s">
        <v>2019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-44</v>
      </c>
    </row>
    <row r="4565" spans="1:10" hidden="1" x14ac:dyDescent="0.2">
      <c r="A4565" s="4" t="s">
        <v>1371</v>
      </c>
      <c r="B4565" s="37">
        <v>43730</v>
      </c>
      <c r="C4565" s="12">
        <v>22</v>
      </c>
      <c r="D4565" s="38" t="s">
        <v>2991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-38</v>
      </c>
    </row>
    <row r="4566" spans="1:10" hidden="1" x14ac:dyDescent="0.2">
      <c r="A4566" s="4" t="s">
        <v>2831</v>
      </c>
      <c r="B4566" s="37">
        <v>43730</v>
      </c>
      <c r="C4566" s="12">
        <v>1</v>
      </c>
      <c r="D4566" s="38" t="s">
        <v>507</v>
      </c>
      <c r="E4566" s="39">
        <v>43724</v>
      </c>
      <c r="F4566" s="40" t="s">
        <v>2740</v>
      </c>
      <c r="G4566" s="12"/>
      <c r="H4566" s="12"/>
      <c r="J4566" s="41">
        <f ca="1">ROUNDDOWN(表3[[#This Row],[日期]]-TODAY(),1)</f>
        <v>-53</v>
      </c>
    </row>
    <row r="4567" spans="1:10" hidden="1" x14ac:dyDescent="0.2">
      <c r="A4567" s="4" t="s">
        <v>2831</v>
      </c>
      <c r="B4567" s="37">
        <v>43730</v>
      </c>
      <c r="C4567" s="12">
        <v>2</v>
      </c>
      <c r="D4567" s="38" t="s">
        <v>1518</v>
      </c>
      <c r="E4567" s="39">
        <v>43725</v>
      </c>
      <c r="F4567" s="40" t="s">
        <v>242</v>
      </c>
      <c r="G4567" s="12"/>
      <c r="H4567" s="12"/>
      <c r="I4567" s="4" t="s">
        <v>1521</v>
      </c>
      <c r="J4567" s="41">
        <f ca="1">ROUNDDOWN(表3[[#This Row],[日期]]-TODAY(),1)</f>
        <v>-52</v>
      </c>
    </row>
    <row r="4568" spans="1:10" hidden="1" x14ac:dyDescent="0.2">
      <c r="A4568" s="4" t="s">
        <v>2831</v>
      </c>
      <c r="B4568" s="37">
        <v>43730</v>
      </c>
      <c r="C4568" s="12">
        <v>3</v>
      </c>
      <c r="D4568" s="38" t="s">
        <v>1779</v>
      </c>
      <c r="E4568" s="39">
        <v>43725</v>
      </c>
      <c r="F4568" s="40" t="s">
        <v>242</v>
      </c>
      <c r="G4568" s="12"/>
      <c r="H4568" s="12"/>
      <c r="I4568" s="4" t="s">
        <v>1523</v>
      </c>
      <c r="J4568" s="41">
        <f ca="1">ROUNDDOWN(表3[[#This Row],[日期]]-TODAY(),1)</f>
        <v>-52</v>
      </c>
    </row>
    <row r="4569" spans="1:10" hidden="1" x14ac:dyDescent="0.2">
      <c r="A4569" s="4" t="s">
        <v>2831</v>
      </c>
      <c r="B4569" s="37">
        <v>43730</v>
      </c>
      <c r="C4569" s="12">
        <v>4</v>
      </c>
      <c r="D4569" s="38" t="s">
        <v>1526</v>
      </c>
      <c r="E4569" s="39">
        <v>43725</v>
      </c>
      <c r="F4569" s="40" t="s">
        <v>242</v>
      </c>
      <c r="G4569" s="12"/>
      <c r="H4569" s="12"/>
      <c r="I4569" s="4" t="s">
        <v>1528</v>
      </c>
      <c r="J4569" s="41">
        <f ca="1">ROUNDDOWN(表3[[#This Row],[日期]]-TODAY(),1)</f>
        <v>-52</v>
      </c>
    </row>
    <row r="4570" spans="1:10" hidden="1" x14ac:dyDescent="0.2">
      <c r="A4570" s="4" t="s">
        <v>2831</v>
      </c>
      <c r="B4570" s="37">
        <v>43730</v>
      </c>
      <c r="C4570" s="12">
        <v>5</v>
      </c>
      <c r="D4570" s="38" t="s">
        <v>1703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-52</v>
      </c>
    </row>
    <row r="4571" spans="1:10" hidden="1" x14ac:dyDescent="0.2">
      <c r="A4571" s="4" t="s">
        <v>2831</v>
      </c>
      <c r="B4571" s="37">
        <v>43730</v>
      </c>
      <c r="C4571" s="12">
        <v>6</v>
      </c>
      <c r="D4571" s="38" t="s">
        <v>1533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-52</v>
      </c>
    </row>
    <row r="4572" spans="1:10" hidden="1" x14ac:dyDescent="0.2">
      <c r="A4572" s="4" t="s">
        <v>2831</v>
      </c>
      <c r="B4572" s="37">
        <v>43730</v>
      </c>
      <c r="C4572" s="12">
        <v>7</v>
      </c>
      <c r="D4572" s="38" t="s">
        <v>1535</v>
      </c>
      <c r="E4572" s="39">
        <v>43725</v>
      </c>
      <c r="F4572" s="40" t="s">
        <v>1184</v>
      </c>
      <c r="G4572" s="12"/>
      <c r="H4572" s="12"/>
      <c r="I4572" s="4" t="s">
        <v>1537</v>
      </c>
      <c r="J4572" s="41">
        <f ca="1">ROUNDDOWN(表3[[#This Row],[日期]]-TODAY(),1)</f>
        <v>-52</v>
      </c>
    </row>
    <row r="4573" spans="1:10" hidden="1" x14ac:dyDescent="0.2">
      <c r="A4573" s="4" t="s">
        <v>2831</v>
      </c>
      <c r="B4573" s="37">
        <v>43730</v>
      </c>
      <c r="C4573" s="12">
        <v>8</v>
      </c>
      <c r="D4573" s="38" t="s">
        <v>1531</v>
      </c>
      <c r="E4573" s="39">
        <v>43725</v>
      </c>
      <c r="F4573" s="40" t="s">
        <v>1184</v>
      </c>
      <c r="G4573" s="12"/>
      <c r="H4573" s="12"/>
      <c r="J4573" s="41">
        <f ca="1">ROUNDDOWN(表3[[#This Row],[日期]]-TODAY(),1)</f>
        <v>-52</v>
      </c>
    </row>
    <row r="4574" spans="1:10" hidden="1" x14ac:dyDescent="0.2">
      <c r="A4574" s="4" t="s">
        <v>2831</v>
      </c>
      <c r="B4574" s="37">
        <v>43730</v>
      </c>
      <c r="C4574" s="12">
        <v>9</v>
      </c>
      <c r="D4574" s="38" t="s">
        <v>1539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-52</v>
      </c>
    </row>
    <row r="4575" spans="1:10" hidden="1" x14ac:dyDescent="0.2">
      <c r="A4575" s="4" t="s">
        <v>2831</v>
      </c>
      <c r="B4575" s="37">
        <v>43730</v>
      </c>
      <c r="C4575" s="12">
        <v>10</v>
      </c>
      <c r="D4575" s="38" t="s">
        <v>2558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-46</v>
      </c>
    </row>
    <row r="4576" spans="1:10" hidden="1" x14ac:dyDescent="0.2">
      <c r="A4576" s="4" t="s">
        <v>2831</v>
      </c>
      <c r="B4576" s="37">
        <v>43730</v>
      </c>
      <c r="C4576" s="12">
        <v>12</v>
      </c>
      <c r="D4576" s="38" t="s">
        <v>1541</v>
      </c>
      <c r="E4576" s="39">
        <v>43728</v>
      </c>
      <c r="F4576" s="40" t="s">
        <v>242</v>
      </c>
      <c r="G4576" s="12">
        <v>1</v>
      </c>
      <c r="H4576" s="12"/>
      <c r="I4576" s="4" t="s">
        <v>529</v>
      </c>
      <c r="J4576" s="41">
        <f ca="1">ROUNDDOWN(表3[[#This Row],[日期]]-TODAY(),1)</f>
        <v>-49</v>
      </c>
    </row>
    <row r="4577" spans="1:10" hidden="1" x14ac:dyDescent="0.2">
      <c r="A4577" s="4" t="s">
        <v>2831</v>
      </c>
      <c r="B4577" s="37">
        <v>43730</v>
      </c>
      <c r="C4577" s="12">
        <v>13</v>
      </c>
      <c r="D4577" s="38" t="s">
        <v>1543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-49</v>
      </c>
    </row>
    <row r="4578" spans="1:10" hidden="1" x14ac:dyDescent="0.2">
      <c r="A4578" s="4" t="s">
        <v>2831</v>
      </c>
      <c r="B4578" s="37">
        <v>43730</v>
      </c>
      <c r="C4578" s="12">
        <v>14</v>
      </c>
      <c r="D4578" s="38" t="s">
        <v>1545</v>
      </c>
      <c r="E4578" s="39">
        <v>43728</v>
      </c>
      <c r="F4578" s="40" t="s">
        <v>242</v>
      </c>
      <c r="G4578" s="12">
        <v>1</v>
      </c>
      <c r="H4578" s="12"/>
      <c r="I4578" s="4" t="s">
        <v>1547</v>
      </c>
      <c r="J4578" s="41">
        <f ca="1">ROUNDDOWN(表3[[#This Row],[日期]]-TODAY(),1)</f>
        <v>-49</v>
      </c>
    </row>
    <row r="4579" spans="1:10" hidden="1" x14ac:dyDescent="0.2">
      <c r="A4579" s="4" t="s">
        <v>2831</v>
      </c>
      <c r="B4579" s="37">
        <v>43730</v>
      </c>
      <c r="C4579" s="12">
        <v>15</v>
      </c>
      <c r="D4579" s="38" t="s">
        <v>1549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-49</v>
      </c>
    </row>
    <row r="4580" spans="1:10" hidden="1" x14ac:dyDescent="0.2">
      <c r="A4580" s="4" t="s">
        <v>2831</v>
      </c>
      <c r="B4580" s="37">
        <v>43730</v>
      </c>
      <c r="C4580" s="12">
        <v>16</v>
      </c>
      <c r="D4580" s="38" t="s">
        <v>1556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-49</v>
      </c>
    </row>
    <row r="4581" spans="1:10" hidden="1" x14ac:dyDescent="0.2">
      <c r="A4581" s="4" t="s">
        <v>2831</v>
      </c>
      <c r="B4581" s="37">
        <v>43730</v>
      </c>
      <c r="C4581" s="12">
        <v>17</v>
      </c>
      <c r="D4581" s="38" t="s">
        <v>1298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-49</v>
      </c>
    </row>
    <row r="4582" spans="1:10" hidden="1" x14ac:dyDescent="0.2">
      <c r="A4582" s="4" t="s">
        <v>2831</v>
      </c>
      <c r="B4582" s="37">
        <v>43730</v>
      </c>
      <c r="C4582" s="12">
        <v>18</v>
      </c>
      <c r="D4582" s="38" t="s">
        <v>1552</v>
      </c>
      <c r="E4582" s="39">
        <v>43728</v>
      </c>
      <c r="F4582" s="40" t="s">
        <v>242</v>
      </c>
      <c r="G4582" s="12">
        <v>1</v>
      </c>
      <c r="H4582" s="12"/>
      <c r="I4582" s="4" t="s">
        <v>1554</v>
      </c>
      <c r="J4582" s="41">
        <f ca="1">ROUNDDOWN(表3[[#This Row],[日期]]-TODAY(),1)</f>
        <v>-49</v>
      </c>
    </row>
    <row r="4583" spans="1:10" hidden="1" x14ac:dyDescent="0.2">
      <c r="A4583" s="4" t="s">
        <v>2831</v>
      </c>
      <c r="B4583" s="37">
        <v>43730</v>
      </c>
      <c r="C4583" s="12">
        <v>19</v>
      </c>
      <c r="D4583" s="38" t="s">
        <v>1558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-49</v>
      </c>
    </row>
    <row r="4584" spans="1:10" hidden="1" x14ac:dyDescent="0.2">
      <c r="A4584" s="4" t="s">
        <v>2831</v>
      </c>
      <c r="B4584" s="37">
        <v>43730</v>
      </c>
      <c r="C4584" s="12">
        <v>20</v>
      </c>
      <c r="D4584" s="38" t="s">
        <v>1560</v>
      </c>
      <c r="E4584" s="39">
        <v>43728</v>
      </c>
      <c r="F4584" s="40" t="s">
        <v>1184</v>
      </c>
      <c r="G4584" s="12">
        <v>1</v>
      </c>
      <c r="H4584" s="12"/>
      <c r="J4584" s="41">
        <f ca="1">ROUNDDOWN(表3[[#This Row],[日期]]-TODAY(),1)</f>
        <v>-49</v>
      </c>
    </row>
    <row r="4585" spans="1:10" hidden="1" x14ac:dyDescent="0.2">
      <c r="A4585" s="4" t="s">
        <v>2831</v>
      </c>
      <c r="B4585" s="37">
        <v>43730</v>
      </c>
      <c r="C4585" s="12">
        <v>21</v>
      </c>
      <c r="D4585" s="38" t="s">
        <v>1562</v>
      </c>
      <c r="E4585" s="39">
        <v>43728</v>
      </c>
      <c r="F4585" s="40" t="s">
        <v>1184</v>
      </c>
      <c r="G4585" s="12">
        <v>1</v>
      </c>
      <c r="H4585" s="12"/>
      <c r="J4585" s="41">
        <f ca="1">ROUNDDOWN(表3[[#This Row],[日期]]-TODAY(),1)</f>
        <v>-49</v>
      </c>
    </row>
    <row r="4586" spans="1:10" hidden="1" x14ac:dyDescent="0.2">
      <c r="A4586" s="4" t="s">
        <v>2831</v>
      </c>
      <c r="B4586" s="37">
        <v>43730</v>
      </c>
      <c r="C4586" s="12">
        <v>22</v>
      </c>
      <c r="D4586" s="38" t="s">
        <v>1564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-49</v>
      </c>
    </row>
    <row r="4587" spans="1:10" hidden="1" x14ac:dyDescent="0.2">
      <c r="A4587" s="4" t="s">
        <v>2831</v>
      </c>
      <c r="B4587" s="37">
        <v>43730</v>
      </c>
      <c r="C4587" s="12">
        <v>23</v>
      </c>
      <c r="D4587" s="38" t="s">
        <v>1566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-49</v>
      </c>
    </row>
    <row r="4588" spans="1:10" hidden="1" x14ac:dyDescent="0.2">
      <c r="A4588" s="4" t="s">
        <v>2831</v>
      </c>
      <c r="B4588" s="37">
        <v>43730</v>
      </c>
      <c r="C4588" s="12">
        <v>24</v>
      </c>
      <c r="D4588" s="38" t="s">
        <v>1568</v>
      </c>
      <c r="E4588" s="39">
        <v>43728</v>
      </c>
      <c r="F4588" s="40" t="s">
        <v>242</v>
      </c>
      <c r="G4588" s="12">
        <v>1</v>
      </c>
      <c r="H4588" s="12"/>
      <c r="I4588" s="4" t="s">
        <v>1528</v>
      </c>
      <c r="J4588" s="41">
        <f ca="1">ROUNDDOWN(表3[[#This Row],[日期]]-TODAY(),1)</f>
        <v>-49</v>
      </c>
    </row>
    <row r="4589" spans="1:10" hidden="1" x14ac:dyDescent="0.2">
      <c r="A4589" s="4" t="s">
        <v>2831</v>
      </c>
      <c r="B4589" s="37">
        <v>43730</v>
      </c>
      <c r="C4589" s="12">
        <v>25</v>
      </c>
      <c r="D4589" s="38" t="s">
        <v>305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-44</v>
      </c>
    </row>
    <row r="4590" spans="1:10" hidden="1" x14ac:dyDescent="0.2">
      <c r="A4590" s="4" t="s">
        <v>2831</v>
      </c>
      <c r="B4590" s="37">
        <v>43730</v>
      </c>
      <c r="C4590" s="12">
        <v>26</v>
      </c>
      <c r="D4590" s="38" t="s">
        <v>1572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-44</v>
      </c>
    </row>
    <row r="4591" spans="1:10" hidden="1" x14ac:dyDescent="0.2">
      <c r="A4591" s="4" t="s">
        <v>2831</v>
      </c>
      <c r="B4591" s="37">
        <v>43730</v>
      </c>
      <c r="C4591" s="12">
        <v>27</v>
      </c>
      <c r="D4591" s="38" t="s">
        <v>1570</v>
      </c>
      <c r="E4591" s="39">
        <v>43733</v>
      </c>
      <c r="F4591" s="40" t="s">
        <v>1184</v>
      </c>
      <c r="G4591" s="12"/>
      <c r="H4591" s="12"/>
      <c r="I4591" s="4" t="s">
        <v>1528</v>
      </c>
      <c r="J4591" s="41">
        <f ca="1">ROUNDDOWN(表3[[#This Row],[日期]]-TODAY(),1)</f>
        <v>-44</v>
      </c>
    </row>
    <row r="4592" spans="1:10" hidden="1" x14ac:dyDescent="0.2">
      <c r="A4592" s="4" t="s">
        <v>2831</v>
      </c>
      <c r="B4592" s="37">
        <v>43730</v>
      </c>
      <c r="C4592" s="12"/>
      <c r="D4592" s="38" t="s">
        <v>2753</v>
      </c>
      <c r="E4592" s="39">
        <v>43726</v>
      </c>
      <c r="F4592" s="40" t="s">
        <v>2754</v>
      </c>
      <c r="G4592" s="12"/>
      <c r="H4592" s="12"/>
      <c r="J4592" s="41">
        <f ca="1">ROUNDDOWN(表3[[#This Row],[日期]]-TODAY(),1)</f>
        <v>-51</v>
      </c>
    </row>
    <row r="4593" spans="1:10" hidden="1" x14ac:dyDescent="0.2">
      <c r="A4593" s="4" t="s">
        <v>2831</v>
      </c>
      <c r="B4593" s="37">
        <v>43730</v>
      </c>
      <c r="C4593" s="12"/>
      <c r="D4593" s="38" t="s">
        <v>2755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-51</v>
      </c>
    </row>
    <row r="4594" spans="1:10" hidden="1" x14ac:dyDescent="0.2">
      <c r="A4594" s="4" t="s">
        <v>2847</v>
      </c>
      <c r="B4594" s="37">
        <v>43731</v>
      </c>
      <c r="C4594" s="12">
        <v>1</v>
      </c>
      <c r="D4594" s="38" t="s">
        <v>2933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-44</v>
      </c>
    </row>
    <row r="4595" spans="1:10" hidden="1" x14ac:dyDescent="0.2">
      <c r="A4595" s="4" t="s">
        <v>2847</v>
      </c>
      <c r="B4595" s="37">
        <v>43731</v>
      </c>
      <c r="C4595" s="12">
        <v>2</v>
      </c>
      <c r="D4595" s="38" t="s">
        <v>2794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-46</v>
      </c>
    </row>
    <row r="4596" spans="1:10" hidden="1" x14ac:dyDescent="0.2">
      <c r="A4596" s="4" t="s">
        <v>2847</v>
      </c>
      <c r="B4596" s="37">
        <v>43731</v>
      </c>
      <c r="C4596" s="12">
        <v>3</v>
      </c>
      <c r="D4596" s="38" t="s">
        <v>1477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-46</v>
      </c>
    </row>
    <row r="4597" spans="1:10" hidden="1" x14ac:dyDescent="0.2">
      <c r="A4597" s="4" t="s">
        <v>2847</v>
      </c>
      <c r="B4597" s="37">
        <v>43731</v>
      </c>
      <c r="C4597" s="12">
        <v>4</v>
      </c>
      <c r="D4597" s="38" t="s">
        <v>1478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-46</v>
      </c>
    </row>
    <row r="4598" spans="1:10" hidden="1" x14ac:dyDescent="0.2">
      <c r="A4598" s="4" t="s">
        <v>2847</v>
      </c>
      <c r="B4598" s="37">
        <v>43731</v>
      </c>
      <c r="C4598" s="12">
        <v>5</v>
      </c>
      <c r="D4598" s="38" t="s">
        <v>2865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-44</v>
      </c>
    </row>
    <row r="4599" spans="1:10" hidden="1" x14ac:dyDescent="0.2">
      <c r="A4599" s="4" t="s">
        <v>2847</v>
      </c>
      <c r="B4599" s="37">
        <v>43731</v>
      </c>
      <c r="C4599" s="12">
        <v>6</v>
      </c>
      <c r="D4599" s="38" t="s">
        <v>2870</v>
      </c>
      <c r="E4599" s="39">
        <v>43731</v>
      </c>
      <c r="F4599" s="40" t="s">
        <v>242</v>
      </c>
      <c r="G4599" s="12">
        <v>1</v>
      </c>
      <c r="H4599" s="12" t="s">
        <v>2871</v>
      </c>
      <c r="I4599" s="4" t="s">
        <v>222</v>
      </c>
      <c r="J4599" s="41">
        <f ca="1">ROUNDDOWN(表3[[#This Row],[日期]]-TODAY(),1)</f>
        <v>-46</v>
      </c>
    </row>
    <row r="4600" spans="1:10" hidden="1" x14ac:dyDescent="0.2">
      <c r="A4600" s="4" t="s">
        <v>2847</v>
      </c>
      <c r="B4600" s="37">
        <v>43731</v>
      </c>
      <c r="C4600" s="12">
        <v>7</v>
      </c>
      <c r="D4600" s="38" t="s">
        <v>738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-46</v>
      </c>
    </row>
    <row r="4601" spans="1:10" hidden="1" x14ac:dyDescent="0.2">
      <c r="A4601" s="4" t="s">
        <v>2847</v>
      </c>
      <c r="B4601" s="37">
        <v>43731</v>
      </c>
      <c r="C4601" s="12">
        <v>8</v>
      </c>
      <c r="D4601" s="38" t="s">
        <v>738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-44</v>
      </c>
    </row>
    <row r="4602" spans="1:10" hidden="1" x14ac:dyDescent="0.2">
      <c r="A4602" s="4" t="s">
        <v>2847</v>
      </c>
      <c r="B4602" s="37">
        <v>43731</v>
      </c>
      <c r="C4602" s="12">
        <v>9</v>
      </c>
      <c r="D4602" s="38" t="s">
        <v>1025</v>
      </c>
      <c r="E4602" s="39">
        <v>43737</v>
      </c>
      <c r="F4602" s="40" t="s">
        <v>242</v>
      </c>
      <c r="G4602" s="12"/>
      <c r="H4602" s="12"/>
      <c r="I4602" s="4" t="s">
        <v>743</v>
      </c>
      <c r="J4602" s="41">
        <f ca="1">ROUNDDOWN(表3[[#This Row],[日期]]-TODAY(),1)</f>
        <v>-40</v>
      </c>
    </row>
    <row r="4603" spans="1:10" hidden="1" x14ac:dyDescent="0.2">
      <c r="A4603" s="4" t="s">
        <v>2847</v>
      </c>
      <c r="B4603" s="37">
        <v>43731</v>
      </c>
      <c r="C4603" s="12">
        <v>10</v>
      </c>
      <c r="D4603" s="38" t="s">
        <v>2990</v>
      </c>
      <c r="E4603" s="39">
        <v>43737</v>
      </c>
      <c r="F4603" s="40" t="s">
        <v>242</v>
      </c>
      <c r="G4603" s="12">
        <v>4</v>
      </c>
      <c r="H4603" s="12"/>
      <c r="I4603" s="4" t="s">
        <v>743</v>
      </c>
      <c r="J4603" s="41">
        <f ca="1">ROUNDDOWN(表3[[#This Row],[日期]]-TODAY(),1)</f>
        <v>-40</v>
      </c>
    </row>
    <row r="4604" spans="1:10" hidden="1" x14ac:dyDescent="0.2">
      <c r="A4604" s="4" t="s">
        <v>2847</v>
      </c>
      <c r="B4604" s="37">
        <v>43731</v>
      </c>
      <c r="C4604" s="12">
        <v>13</v>
      </c>
      <c r="D4604" s="38" t="s">
        <v>738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-42</v>
      </c>
    </row>
    <row r="4605" spans="1:10" hidden="1" x14ac:dyDescent="0.2">
      <c r="A4605" s="4" t="s">
        <v>2847</v>
      </c>
      <c r="B4605" s="37">
        <v>43731</v>
      </c>
      <c r="C4605" s="12">
        <v>14</v>
      </c>
      <c r="D4605" s="38" t="s">
        <v>2103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-42</v>
      </c>
    </row>
    <row r="4606" spans="1:10" hidden="1" x14ac:dyDescent="0.2">
      <c r="A4606" s="4" t="s">
        <v>2847</v>
      </c>
      <c r="B4606" s="37">
        <v>43731</v>
      </c>
      <c r="C4606" s="12">
        <v>15</v>
      </c>
      <c r="D4606" s="38" t="s">
        <v>900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-41</v>
      </c>
    </row>
    <row r="4607" spans="1:10" hidden="1" x14ac:dyDescent="0.2">
      <c r="A4607" s="4" t="s">
        <v>2847</v>
      </c>
      <c r="B4607" s="37">
        <v>43731</v>
      </c>
      <c r="C4607" s="12"/>
      <c r="D4607" s="38" t="s">
        <v>2795</v>
      </c>
      <c r="E4607" s="39">
        <v>43731</v>
      </c>
      <c r="F4607" s="40" t="s">
        <v>242</v>
      </c>
      <c r="G4607" s="12">
        <v>4</v>
      </c>
      <c r="H4607" s="12" t="s">
        <v>2864</v>
      </c>
      <c r="J4607" s="41">
        <f ca="1">ROUNDDOWN(表3[[#This Row],[日期]]-TODAY(),1)</f>
        <v>-46</v>
      </c>
    </row>
    <row r="4608" spans="1:10" hidden="1" x14ac:dyDescent="0.2">
      <c r="A4608" s="4" t="s">
        <v>2847</v>
      </c>
      <c r="B4608" s="37">
        <v>43731</v>
      </c>
      <c r="C4608" s="12"/>
      <c r="D4608" s="38" t="s">
        <v>2849</v>
      </c>
      <c r="E4608" s="39">
        <v>43731</v>
      </c>
      <c r="F4608" s="40" t="s">
        <v>1184</v>
      </c>
      <c r="G4608" s="12">
        <v>4</v>
      </c>
      <c r="H4608" s="12" t="s">
        <v>2866</v>
      </c>
      <c r="J4608" s="41">
        <f ca="1">ROUNDDOWN(表3[[#This Row],[日期]]-TODAY(),1)</f>
        <v>-46</v>
      </c>
    </row>
    <row r="4609" spans="1:10" hidden="1" x14ac:dyDescent="0.2">
      <c r="A4609" s="4" t="s">
        <v>2847</v>
      </c>
      <c r="B4609" s="37">
        <v>43731</v>
      </c>
      <c r="C4609" s="12"/>
      <c r="D4609" s="38" t="s">
        <v>2853</v>
      </c>
      <c r="E4609" s="39">
        <v>43731</v>
      </c>
      <c r="F4609" s="40" t="s">
        <v>1184</v>
      </c>
      <c r="G4609" s="12"/>
      <c r="H4609" s="12"/>
      <c r="J4609" s="41">
        <f ca="1">ROUNDDOWN(表3[[#This Row],[日期]]-TODAY(),1)</f>
        <v>-46</v>
      </c>
    </row>
    <row r="4610" spans="1:10" hidden="1" x14ac:dyDescent="0.2">
      <c r="A4610" s="4" t="s">
        <v>2857</v>
      </c>
      <c r="B4610" s="37">
        <v>43731</v>
      </c>
      <c r="C4610" s="12"/>
      <c r="D4610" s="38" t="s">
        <v>2858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-44</v>
      </c>
    </row>
    <row r="4611" spans="1:10" hidden="1" x14ac:dyDescent="0.2">
      <c r="A4611" s="4" t="s">
        <v>2857</v>
      </c>
      <c r="B4611" s="37">
        <v>43731</v>
      </c>
      <c r="C4611" s="12"/>
      <c r="D4611" s="38" t="s">
        <v>2860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-45</v>
      </c>
    </row>
    <row r="4612" spans="1:10" hidden="1" x14ac:dyDescent="0.2">
      <c r="A4612" s="4" t="s">
        <v>2857</v>
      </c>
      <c r="B4612" s="37">
        <v>43731</v>
      </c>
      <c r="C4612" s="12"/>
      <c r="D4612" s="38" t="s">
        <v>2876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-46</v>
      </c>
    </row>
    <row r="4613" spans="1:10" hidden="1" x14ac:dyDescent="0.2">
      <c r="A4613" s="4" t="s">
        <v>2845</v>
      </c>
      <c r="B4613" s="37">
        <v>43731</v>
      </c>
      <c r="C4613" s="12"/>
      <c r="D4613" s="38" t="s">
        <v>2881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-45</v>
      </c>
    </row>
    <row r="4614" spans="1:10" hidden="1" x14ac:dyDescent="0.2">
      <c r="A4614" s="4" t="s">
        <v>2845</v>
      </c>
      <c r="B4614" s="37">
        <v>43731</v>
      </c>
      <c r="C4614" s="12"/>
      <c r="D4614" s="38" t="s">
        <v>2881</v>
      </c>
      <c r="E4614" s="39">
        <v>43733</v>
      </c>
      <c r="F4614" s="40" t="s">
        <v>1184</v>
      </c>
      <c r="G4614" s="12"/>
      <c r="H4614" s="12"/>
      <c r="J4614" s="41">
        <f ca="1">ROUNDDOWN(表3[[#This Row],[日期]]-TODAY(),1)</f>
        <v>-44</v>
      </c>
    </row>
    <row r="4615" spans="1:10" hidden="1" x14ac:dyDescent="0.2">
      <c r="A4615" s="4" t="s">
        <v>2845</v>
      </c>
      <c r="B4615" s="37">
        <v>43731</v>
      </c>
      <c r="C4615" s="12"/>
      <c r="D4615" s="38" t="s">
        <v>2881</v>
      </c>
      <c r="E4615" s="39">
        <v>43756</v>
      </c>
      <c r="F4615" s="40" t="s">
        <v>1184</v>
      </c>
      <c r="G4615" s="12">
        <v>5</v>
      </c>
      <c r="H4615" s="12"/>
      <c r="J4615" s="41">
        <f ca="1">ROUNDDOWN(表3[[#This Row],[日期]]-TODAY(),1)</f>
        <v>-21</v>
      </c>
    </row>
    <row r="4616" spans="1:10" hidden="1" x14ac:dyDescent="0.2">
      <c r="A4616" s="4" t="s">
        <v>2845</v>
      </c>
      <c r="B4616" s="37">
        <v>43731</v>
      </c>
      <c r="C4616" s="12"/>
      <c r="D4616" s="38" t="s">
        <v>2881</v>
      </c>
      <c r="E4616" s="39">
        <v>43742</v>
      </c>
      <c r="F4616" s="40" t="s">
        <v>1184</v>
      </c>
      <c r="G4616" s="12"/>
      <c r="H4616" s="12"/>
      <c r="J4616" s="41">
        <f ca="1">ROUNDDOWN(表3[[#This Row],[日期]]-TODAY(),1)</f>
        <v>-35</v>
      </c>
    </row>
    <row r="4617" spans="1:10" hidden="1" x14ac:dyDescent="0.2">
      <c r="A4617" s="4" t="s">
        <v>2845</v>
      </c>
      <c r="B4617" s="37">
        <v>43731</v>
      </c>
      <c r="C4617" s="12"/>
      <c r="D4617" s="38" t="s">
        <v>2905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-45</v>
      </c>
    </row>
    <row r="4618" spans="1:10" hidden="1" x14ac:dyDescent="0.2">
      <c r="A4618" s="4" t="s">
        <v>2845</v>
      </c>
      <c r="B4618" s="37">
        <v>43731</v>
      </c>
      <c r="C4618" s="12"/>
      <c r="D4618" s="38" t="s">
        <v>2920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-45</v>
      </c>
    </row>
    <row r="4619" spans="1:10" hidden="1" x14ac:dyDescent="0.2">
      <c r="A4619" s="4" t="s">
        <v>2845</v>
      </c>
      <c r="B4619" s="37">
        <v>43731</v>
      </c>
      <c r="C4619" s="12"/>
      <c r="D4619" s="38" t="s">
        <v>2921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-45</v>
      </c>
    </row>
    <row r="4620" spans="1:10" hidden="1" x14ac:dyDescent="0.2">
      <c r="A4620" s="4" t="s">
        <v>2922</v>
      </c>
      <c r="B4620" s="37">
        <v>43731</v>
      </c>
      <c r="C4620" s="12"/>
      <c r="D4620" s="38" t="s">
        <v>2923</v>
      </c>
      <c r="E4620" s="39">
        <v>43737</v>
      </c>
      <c r="F4620" s="40" t="s">
        <v>242</v>
      </c>
      <c r="G4620" s="12">
        <v>1</v>
      </c>
      <c r="H4620" s="12" t="s">
        <v>3034</v>
      </c>
      <c r="J4620" s="41">
        <f ca="1">ROUNDDOWN(表3[[#This Row],[日期]]-TODAY(),1)</f>
        <v>-40</v>
      </c>
    </row>
    <row r="4621" spans="1:10" hidden="1" x14ac:dyDescent="0.2">
      <c r="A4621" s="4" t="s">
        <v>2922</v>
      </c>
      <c r="B4621" s="37">
        <v>43731</v>
      </c>
      <c r="C4621" s="12"/>
      <c r="D4621" s="38" t="s">
        <v>2924</v>
      </c>
      <c r="E4621" s="39">
        <v>43737</v>
      </c>
      <c r="F4621" s="40" t="s">
        <v>242</v>
      </c>
      <c r="G4621" s="12">
        <v>4</v>
      </c>
      <c r="H4621" s="12" t="s">
        <v>3034</v>
      </c>
      <c r="J4621" s="41">
        <f ca="1">ROUNDDOWN(表3[[#This Row],[日期]]-TODAY(),1)</f>
        <v>-40</v>
      </c>
    </row>
    <row r="4622" spans="1:10" hidden="1" x14ac:dyDescent="0.2">
      <c r="A4622" s="4" t="s">
        <v>2845</v>
      </c>
      <c r="B4622" s="37">
        <v>43731</v>
      </c>
      <c r="C4622" s="12"/>
      <c r="D4622" s="38" t="s">
        <v>2932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-44</v>
      </c>
    </row>
    <row r="4623" spans="1:10" hidden="1" x14ac:dyDescent="0.2">
      <c r="A4623" s="4" t="s">
        <v>2845</v>
      </c>
      <c r="B4623" s="37">
        <v>43731</v>
      </c>
      <c r="C4623" s="12"/>
      <c r="D4623" s="38" t="s">
        <v>2934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-44</v>
      </c>
    </row>
    <row r="4624" spans="1:10" hidden="1" x14ac:dyDescent="0.2">
      <c r="A4624" s="4" t="s">
        <v>2941</v>
      </c>
      <c r="B4624" s="37">
        <v>43731</v>
      </c>
      <c r="C4624" s="12"/>
      <c r="D4624" s="38" t="s">
        <v>3043</v>
      </c>
      <c r="E4624" s="39">
        <v>43735</v>
      </c>
      <c r="F4624" s="40" t="s">
        <v>242</v>
      </c>
      <c r="G4624" s="12">
        <v>1</v>
      </c>
      <c r="H4624" s="12" t="s">
        <v>3030</v>
      </c>
      <c r="J4624" s="41">
        <f ca="1">ROUNDDOWN(表3[[#This Row],[日期]]-TODAY(),1)</f>
        <v>-42</v>
      </c>
    </row>
    <row r="4625" spans="1:10" hidden="1" x14ac:dyDescent="0.2">
      <c r="A4625" s="4" t="s">
        <v>2949</v>
      </c>
      <c r="B4625" s="37">
        <v>43731</v>
      </c>
      <c r="C4625" s="12"/>
      <c r="D4625" s="38" t="s">
        <v>2950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-44</v>
      </c>
    </row>
    <row r="4626" spans="1:10" hidden="1" x14ac:dyDescent="0.2">
      <c r="A4626" s="4" t="s">
        <v>2949</v>
      </c>
      <c r="B4626" s="37">
        <v>43731</v>
      </c>
      <c r="C4626" s="12"/>
      <c r="D4626" s="38" t="s">
        <v>2971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-43</v>
      </c>
    </row>
    <row r="4627" spans="1:10" hidden="1" x14ac:dyDescent="0.2">
      <c r="A4627" s="4" t="s">
        <v>2949</v>
      </c>
      <c r="B4627" s="37">
        <v>43731</v>
      </c>
      <c r="C4627" s="12"/>
      <c r="D4627" t="s">
        <v>2973</v>
      </c>
      <c r="E4627" s="39">
        <v>43735</v>
      </c>
      <c r="F4627" s="40" t="s">
        <v>242</v>
      </c>
      <c r="G4627" s="12">
        <v>1</v>
      </c>
      <c r="H4627" s="12" t="s">
        <v>3031</v>
      </c>
      <c r="J4627" s="41">
        <f ca="1">ROUNDDOWN(表3[[#This Row],[日期]]-TODAY(),1)</f>
        <v>-42</v>
      </c>
    </row>
    <row r="4628" spans="1:10" hidden="1" x14ac:dyDescent="0.2">
      <c r="A4628" s="4" t="s">
        <v>2949</v>
      </c>
      <c r="B4628" s="37">
        <v>43731</v>
      </c>
      <c r="C4628" s="12"/>
      <c r="D4628" s="38" t="s">
        <v>2974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-44</v>
      </c>
    </row>
    <row r="4629" spans="1:10" hidden="1" x14ac:dyDescent="0.2">
      <c r="A4629" s="4" t="s">
        <v>2949</v>
      </c>
      <c r="B4629" s="37">
        <v>43731</v>
      </c>
      <c r="C4629" s="12"/>
      <c r="D4629" s="38" t="s">
        <v>2975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-44</v>
      </c>
    </row>
    <row r="4630" spans="1:10" hidden="1" x14ac:dyDescent="0.2">
      <c r="A4630" s="4" t="s">
        <v>2845</v>
      </c>
      <c r="B4630" s="37">
        <v>43731</v>
      </c>
      <c r="C4630" s="12"/>
      <c r="D4630" s="38" t="s">
        <v>3064</v>
      </c>
      <c r="E4630" s="39">
        <v>43738</v>
      </c>
      <c r="F4630" s="40" t="s">
        <v>1184</v>
      </c>
      <c r="G4630" s="12"/>
      <c r="H4630" s="12"/>
      <c r="J4630" s="41">
        <f ca="1">ROUNDDOWN(表3[[#This Row],[日期]]-TODAY(),1)</f>
        <v>-39</v>
      </c>
    </row>
    <row r="4631" spans="1:10" hidden="1" x14ac:dyDescent="0.2">
      <c r="A4631" s="4" t="s">
        <v>2845</v>
      </c>
      <c r="B4631" s="37">
        <v>43731</v>
      </c>
      <c r="C4631" s="12"/>
      <c r="D4631" s="38" t="s">
        <v>3010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-43</v>
      </c>
    </row>
    <row r="4632" spans="1:10" hidden="1" x14ac:dyDescent="0.2">
      <c r="A4632" s="4" t="s">
        <v>2845</v>
      </c>
      <c r="B4632" s="37">
        <v>43731</v>
      </c>
      <c r="C4632" s="12"/>
      <c r="D4632" s="38" t="s">
        <v>2992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-43</v>
      </c>
    </row>
    <row r="4633" spans="1:10" hidden="1" x14ac:dyDescent="0.2">
      <c r="A4633" s="4" t="s">
        <v>2845</v>
      </c>
      <c r="B4633" s="37">
        <v>43731</v>
      </c>
      <c r="C4633" s="12"/>
      <c r="D4633" s="38" t="s">
        <v>2993</v>
      </c>
      <c r="E4633" s="39">
        <v>43734</v>
      </c>
      <c r="F4633" s="40" t="s">
        <v>1184</v>
      </c>
      <c r="G4633" s="12"/>
      <c r="H4633" s="12"/>
      <c r="J4633" s="41">
        <f ca="1">ROUNDDOWN(表3[[#This Row],[日期]]-TODAY(),1)</f>
        <v>-43</v>
      </c>
    </row>
    <row r="4634" spans="1:10" hidden="1" x14ac:dyDescent="0.2">
      <c r="A4634" s="4" t="s">
        <v>2845</v>
      </c>
      <c r="B4634" s="37">
        <v>43731</v>
      </c>
      <c r="C4634" s="12"/>
      <c r="D4634" s="38" t="s">
        <v>2994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-43</v>
      </c>
    </row>
    <row r="4635" spans="1:10" hidden="1" x14ac:dyDescent="0.2">
      <c r="A4635" s="4" t="s">
        <v>2845</v>
      </c>
      <c r="B4635" s="37">
        <v>43731</v>
      </c>
      <c r="C4635" s="12"/>
      <c r="D4635" s="38" t="s">
        <v>2995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-43</v>
      </c>
    </row>
    <row r="4636" spans="1:10" hidden="1" x14ac:dyDescent="0.2">
      <c r="A4636" s="4" t="s">
        <v>2845</v>
      </c>
      <c r="B4636" s="37">
        <v>43731</v>
      </c>
      <c r="C4636" s="12"/>
      <c r="D4636" s="38" t="s">
        <v>2996</v>
      </c>
      <c r="E4636" s="39">
        <v>43734</v>
      </c>
      <c r="F4636" s="40" t="s">
        <v>1184</v>
      </c>
      <c r="G4636" s="12"/>
      <c r="H4636" s="12"/>
      <c r="J4636" s="41">
        <f ca="1">ROUNDDOWN(表3[[#This Row],[日期]]-TODAY(),1)</f>
        <v>-43</v>
      </c>
    </row>
    <row r="4637" spans="1:10" hidden="1" x14ac:dyDescent="0.2">
      <c r="A4637" s="4" t="s">
        <v>2845</v>
      </c>
      <c r="B4637" s="37">
        <v>43731</v>
      </c>
      <c r="C4637" s="12"/>
      <c r="D4637" s="38" t="s">
        <v>3007</v>
      </c>
      <c r="E4637" s="39">
        <v>43735</v>
      </c>
      <c r="F4637" s="40" t="s">
        <v>1</v>
      </c>
      <c r="G4637" s="12"/>
      <c r="H4637" s="12" t="s">
        <v>3025</v>
      </c>
      <c r="J4637" s="41">
        <f ca="1">ROUNDDOWN(表3[[#This Row],[日期]]-TODAY(),1)</f>
        <v>-42</v>
      </c>
    </row>
    <row r="4638" spans="1:10" hidden="1" x14ac:dyDescent="0.2">
      <c r="A4638" s="4" t="s">
        <v>2845</v>
      </c>
      <c r="B4638" s="37">
        <v>43731</v>
      </c>
      <c r="C4638" s="12"/>
      <c r="D4638" s="38" t="s">
        <v>3009</v>
      </c>
      <c r="E4638" s="39">
        <v>43738</v>
      </c>
      <c r="F4638" s="40" t="s">
        <v>1184</v>
      </c>
      <c r="G4638" s="12"/>
      <c r="H4638" s="12"/>
      <c r="J4638" s="41">
        <f ca="1">ROUNDDOWN(表3[[#This Row],[日期]]-TODAY(),1)</f>
        <v>-39</v>
      </c>
    </row>
    <row r="4639" spans="1:10" hidden="1" x14ac:dyDescent="0.2">
      <c r="A4639" s="4" t="s">
        <v>2845</v>
      </c>
      <c r="B4639" s="37">
        <v>43731</v>
      </c>
      <c r="C4639" s="12"/>
      <c r="D4639" s="38" t="s">
        <v>3012</v>
      </c>
      <c r="E4639" s="39">
        <v>43735</v>
      </c>
      <c r="F4639" s="40" t="s">
        <v>242</v>
      </c>
      <c r="G4639" s="12">
        <v>3</v>
      </c>
      <c r="H4639" s="12" t="s">
        <v>3014</v>
      </c>
      <c r="J4639" s="41">
        <f ca="1">ROUNDDOWN(表3[[#This Row],[日期]]-TODAY(),1)</f>
        <v>-42</v>
      </c>
    </row>
    <row r="4640" spans="1:10" hidden="1" x14ac:dyDescent="0.2">
      <c r="A4640" s="4" t="s">
        <v>2845</v>
      </c>
      <c r="B4640" s="37">
        <v>43731</v>
      </c>
      <c r="C4640" s="12"/>
      <c r="D4640" s="38" t="s">
        <v>3013</v>
      </c>
      <c r="E4640" s="39">
        <v>43735</v>
      </c>
      <c r="F4640" s="40" t="s">
        <v>242</v>
      </c>
      <c r="G4640" s="12"/>
      <c r="H4640" s="12" t="s">
        <v>3014</v>
      </c>
      <c r="J4640" s="41">
        <f ca="1">ROUNDDOWN(表3[[#This Row],[日期]]-TODAY(),1)</f>
        <v>-42</v>
      </c>
    </row>
    <row r="4641" spans="1:10" hidden="1" x14ac:dyDescent="0.2">
      <c r="A4641" s="4" t="s">
        <v>2845</v>
      </c>
      <c r="B4641" s="37">
        <v>43731</v>
      </c>
      <c r="C4641" s="12"/>
      <c r="D4641" s="38" t="s">
        <v>3015</v>
      </c>
      <c r="E4641" s="39">
        <v>43740</v>
      </c>
      <c r="F4641" s="40" t="s">
        <v>1184</v>
      </c>
      <c r="G4641" s="12"/>
      <c r="H4641" s="12" t="s">
        <v>3016</v>
      </c>
      <c r="J4641" s="41">
        <f ca="1">ROUNDDOWN(表3[[#This Row],[日期]]-TODAY(),1)</f>
        <v>-37</v>
      </c>
    </row>
    <row r="4642" spans="1:10" hidden="1" x14ac:dyDescent="0.2">
      <c r="A4642" s="4" t="s">
        <v>2845</v>
      </c>
      <c r="B4642" s="37">
        <v>43731</v>
      </c>
      <c r="C4642" s="12"/>
      <c r="D4642" s="38" t="s">
        <v>3017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-41</v>
      </c>
    </row>
    <row r="4643" spans="1:10" hidden="1" x14ac:dyDescent="0.2">
      <c r="A4643" s="4" t="s">
        <v>2845</v>
      </c>
      <c r="B4643" s="37">
        <v>43731</v>
      </c>
      <c r="C4643" s="12"/>
      <c r="D4643" s="38" t="s">
        <v>3033</v>
      </c>
      <c r="E4643" s="39">
        <v>43735</v>
      </c>
      <c r="F4643" s="40" t="s">
        <v>242</v>
      </c>
      <c r="G4643" s="12">
        <v>1</v>
      </c>
      <c r="H4643" s="12" t="s">
        <v>3032</v>
      </c>
      <c r="J4643" s="41">
        <f ca="1">ROUNDDOWN(表3[[#This Row],[日期]]-TODAY(),1)</f>
        <v>-42</v>
      </c>
    </row>
    <row r="4644" spans="1:10" hidden="1" x14ac:dyDescent="0.2">
      <c r="A4644" s="4" t="s">
        <v>3019</v>
      </c>
      <c r="B4644" s="37">
        <v>43731</v>
      </c>
      <c r="C4644" s="12"/>
      <c r="D4644" s="38" t="s">
        <v>3018</v>
      </c>
      <c r="E4644" s="39">
        <v>43735</v>
      </c>
      <c r="F4644" s="40" t="s">
        <v>1184</v>
      </c>
      <c r="G4644" s="12"/>
      <c r="H4644" s="12"/>
      <c r="J4644" s="41">
        <f ca="1">ROUNDDOWN(表3[[#This Row],[日期]]-TODAY(),1)</f>
        <v>-42</v>
      </c>
    </row>
    <row r="4645" spans="1:10" hidden="1" x14ac:dyDescent="0.2">
      <c r="A4645" s="4" t="s">
        <v>3019</v>
      </c>
      <c r="B4645" s="37">
        <v>43731</v>
      </c>
      <c r="C4645" s="12"/>
      <c r="D4645" s="38" t="s">
        <v>3023</v>
      </c>
      <c r="E4645" s="39">
        <v>43735</v>
      </c>
      <c r="F4645" s="40" t="s">
        <v>242</v>
      </c>
      <c r="G4645" s="12"/>
      <c r="H4645" s="12" t="s">
        <v>3039</v>
      </c>
      <c r="J4645" s="41">
        <f ca="1">ROUNDDOWN(表3[[#This Row],[日期]]-TODAY(),1)</f>
        <v>-42</v>
      </c>
    </row>
    <row r="4646" spans="1:10" hidden="1" x14ac:dyDescent="0.2">
      <c r="A4646" s="4" t="s">
        <v>3019</v>
      </c>
      <c r="B4646" s="37">
        <v>43731</v>
      </c>
      <c r="C4646" s="12"/>
      <c r="D4646" s="38" t="s">
        <v>3024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-42</v>
      </c>
    </row>
    <row r="4647" spans="1:10" hidden="1" x14ac:dyDescent="0.2">
      <c r="A4647" s="4" t="s">
        <v>3040</v>
      </c>
      <c r="B4647" s="37">
        <v>43731</v>
      </c>
      <c r="C4647" s="12"/>
      <c r="D4647" s="38" t="s">
        <v>3041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-42</v>
      </c>
    </row>
    <row r="4648" spans="1:10" hidden="1" x14ac:dyDescent="0.2">
      <c r="A4648" s="4" t="s">
        <v>2845</v>
      </c>
      <c r="B4648" s="37">
        <v>43731</v>
      </c>
      <c r="C4648" s="12"/>
      <c r="D4648" s="38" t="s">
        <v>3113</v>
      </c>
      <c r="E4648" s="39">
        <v>43737</v>
      </c>
      <c r="F4648" s="40" t="s">
        <v>242</v>
      </c>
      <c r="G4648" s="12">
        <v>1</v>
      </c>
      <c r="H4648" s="12" t="s">
        <v>3114</v>
      </c>
      <c r="J4648" s="41">
        <f ca="1">ROUNDDOWN(表3[[#This Row],[日期]]-TODAY(),1)</f>
        <v>-40</v>
      </c>
    </row>
    <row r="4649" spans="1:10" hidden="1" x14ac:dyDescent="0.2">
      <c r="A4649" s="4" t="s">
        <v>2845</v>
      </c>
      <c r="B4649" s="37">
        <v>43731</v>
      </c>
      <c r="C4649" s="12"/>
      <c r="D4649" s="38" t="s">
        <v>3054</v>
      </c>
      <c r="E4649" s="39">
        <v>43737</v>
      </c>
      <c r="F4649" s="40" t="s">
        <v>242</v>
      </c>
      <c r="G4649" s="12">
        <v>1</v>
      </c>
      <c r="H4649" s="12" t="s">
        <v>3112</v>
      </c>
      <c r="J4649" s="41">
        <f ca="1">ROUNDDOWN(表3[[#This Row],[日期]]-TODAY(),1)</f>
        <v>-40</v>
      </c>
    </row>
    <row r="4650" spans="1:10" hidden="1" x14ac:dyDescent="0.2">
      <c r="A4650" s="4" t="s">
        <v>2845</v>
      </c>
      <c r="B4650" s="37">
        <v>43731</v>
      </c>
      <c r="C4650" s="12"/>
      <c r="D4650" s="38" t="s">
        <v>3055</v>
      </c>
      <c r="E4650" s="39">
        <v>43737</v>
      </c>
      <c r="F4650" s="40" t="s">
        <v>242</v>
      </c>
      <c r="G4650" s="12">
        <v>2</v>
      </c>
      <c r="H4650" s="12" t="s">
        <v>3115</v>
      </c>
      <c r="J4650" s="41">
        <f ca="1">ROUNDDOWN(表3[[#This Row],[日期]]-TODAY(),1)</f>
        <v>-40</v>
      </c>
    </row>
    <row r="4651" spans="1:10" hidden="1" x14ac:dyDescent="0.2">
      <c r="A4651" s="4" t="s">
        <v>2845</v>
      </c>
      <c r="B4651" s="37">
        <v>43731</v>
      </c>
      <c r="C4651" s="12"/>
      <c r="D4651" s="38" t="s">
        <v>3056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-40</v>
      </c>
    </row>
    <row r="4652" spans="1:10" hidden="1" x14ac:dyDescent="0.2">
      <c r="A4652" s="4" t="s">
        <v>2845</v>
      </c>
      <c r="B4652" s="37">
        <v>43731</v>
      </c>
      <c r="C4652" s="12"/>
      <c r="D4652" s="38" t="s">
        <v>3065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-40</v>
      </c>
    </row>
    <row r="4653" spans="1:10" hidden="1" x14ac:dyDescent="0.2">
      <c r="A4653" s="4" t="s">
        <v>3066</v>
      </c>
      <c r="B4653" s="37">
        <v>43731</v>
      </c>
      <c r="C4653" s="12"/>
      <c r="D4653" s="38" t="s">
        <v>3067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-40</v>
      </c>
    </row>
    <row r="4654" spans="1:10" hidden="1" x14ac:dyDescent="0.2">
      <c r="A4654" s="4" t="s">
        <v>2845</v>
      </c>
      <c r="B4654" s="37">
        <v>43731</v>
      </c>
      <c r="C4654" s="12"/>
      <c r="D4654" s="38" t="s">
        <v>3071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-40</v>
      </c>
    </row>
    <row r="4655" spans="1:10" hidden="1" x14ac:dyDescent="0.2">
      <c r="A4655" s="4" t="s">
        <v>2845</v>
      </c>
      <c r="B4655" s="37">
        <v>43731</v>
      </c>
      <c r="C4655" s="12"/>
      <c r="D4655" s="38" t="s">
        <v>3116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-40</v>
      </c>
    </row>
    <row r="4656" spans="1:10" hidden="1" x14ac:dyDescent="0.2">
      <c r="A4656" s="4" t="s">
        <v>2845</v>
      </c>
      <c r="B4656" s="37">
        <v>43731</v>
      </c>
      <c r="C4656" s="12"/>
      <c r="D4656" s="38" t="s">
        <v>3073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-40</v>
      </c>
    </row>
    <row r="4657" spans="1:10" hidden="1" x14ac:dyDescent="0.2">
      <c r="A4657" s="4" t="s">
        <v>2845</v>
      </c>
      <c r="B4657" s="37">
        <v>43731</v>
      </c>
      <c r="C4657" s="12"/>
      <c r="D4657" s="38" t="s">
        <v>3079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-40</v>
      </c>
    </row>
    <row r="4658" spans="1:10" hidden="1" x14ac:dyDescent="0.2">
      <c r="A4658" s="4" t="s">
        <v>2845</v>
      </c>
      <c r="B4658" s="37">
        <v>43731</v>
      </c>
      <c r="C4658" s="12"/>
      <c r="D4658" s="38" t="s">
        <v>3083</v>
      </c>
      <c r="E4658" s="39">
        <v>43737</v>
      </c>
      <c r="F4658" s="40" t="s">
        <v>242</v>
      </c>
      <c r="G4658" s="12">
        <v>3</v>
      </c>
      <c r="H4658" s="12" t="s">
        <v>3102</v>
      </c>
      <c r="J4658" s="41">
        <f ca="1">ROUNDDOWN(表3[[#This Row],[日期]]-TODAY(),1)</f>
        <v>-40</v>
      </c>
    </row>
    <row r="4659" spans="1:10" hidden="1" x14ac:dyDescent="0.2">
      <c r="A4659" s="4" t="s">
        <v>2845</v>
      </c>
      <c r="B4659" s="37">
        <v>43731</v>
      </c>
      <c r="C4659" s="12"/>
      <c r="D4659" s="38" t="s">
        <v>3084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-39</v>
      </c>
    </row>
    <row r="4660" spans="1:10" hidden="1" x14ac:dyDescent="0.2">
      <c r="A4660" s="4" t="s">
        <v>2845</v>
      </c>
      <c r="B4660" s="37">
        <v>43731</v>
      </c>
      <c r="C4660" s="12"/>
      <c r="D4660" s="38" t="s">
        <v>3085</v>
      </c>
      <c r="E4660" s="39">
        <v>43737</v>
      </c>
      <c r="F4660" s="40" t="s">
        <v>1184</v>
      </c>
      <c r="G4660" s="12">
        <v>1</v>
      </c>
      <c r="H4660" s="12"/>
      <c r="J4660" s="41">
        <f ca="1">ROUNDDOWN(表3[[#This Row],[日期]]-TODAY(),1)</f>
        <v>-40</v>
      </c>
    </row>
    <row r="4661" spans="1:10" hidden="1" x14ac:dyDescent="0.2">
      <c r="A4661" s="4" t="s">
        <v>3091</v>
      </c>
      <c r="B4661" s="37">
        <v>43731</v>
      </c>
      <c r="C4661" s="12"/>
      <c r="D4661" s="38" t="s">
        <v>3090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-40</v>
      </c>
    </row>
    <row r="4662" spans="1:10" hidden="1" x14ac:dyDescent="0.2">
      <c r="A4662" s="4" t="s">
        <v>3091</v>
      </c>
      <c r="B4662" s="37">
        <v>43731</v>
      </c>
      <c r="C4662" s="12"/>
      <c r="D4662" s="38" t="s">
        <v>3140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-31</v>
      </c>
    </row>
    <row r="4663" spans="1:10" hidden="1" x14ac:dyDescent="0.2">
      <c r="A4663" s="4" t="s">
        <v>3091</v>
      </c>
      <c r="B4663" s="37">
        <v>43731</v>
      </c>
      <c r="C4663" s="12"/>
      <c r="D4663" s="38" t="s">
        <v>3142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-40</v>
      </c>
    </row>
    <row r="4664" spans="1:10" hidden="1" x14ac:dyDescent="0.2">
      <c r="A4664" s="4" t="s">
        <v>3091</v>
      </c>
      <c r="B4664" s="37">
        <v>43731</v>
      </c>
      <c r="C4664" s="12"/>
      <c r="D4664" s="38" t="s">
        <v>3094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-40</v>
      </c>
    </row>
    <row r="4665" spans="1:10" hidden="1" x14ac:dyDescent="0.2">
      <c r="A4665" s="4" t="s">
        <v>3091</v>
      </c>
      <c r="B4665" s="37">
        <v>43731</v>
      </c>
      <c r="C4665" s="12"/>
      <c r="D4665" s="38" t="s">
        <v>3095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-40</v>
      </c>
    </row>
    <row r="4666" spans="1:10" hidden="1" x14ac:dyDescent="0.2">
      <c r="A4666" s="4" t="s">
        <v>3091</v>
      </c>
      <c r="B4666" s="37">
        <v>43731</v>
      </c>
      <c r="C4666" s="12"/>
      <c r="D4666" s="38" t="s">
        <v>3096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-40</v>
      </c>
    </row>
    <row r="4667" spans="1:10" hidden="1" x14ac:dyDescent="0.2">
      <c r="A4667" s="4" t="s">
        <v>2845</v>
      </c>
      <c r="B4667" s="37">
        <v>43731</v>
      </c>
      <c r="C4667" s="12"/>
      <c r="D4667" s="38" t="s">
        <v>3111</v>
      </c>
      <c r="E4667" s="39">
        <v>43737</v>
      </c>
      <c r="F4667" s="40" t="s">
        <v>242</v>
      </c>
      <c r="G4667" s="12"/>
      <c r="H4667" s="12" t="s">
        <v>3112</v>
      </c>
      <c r="J4667" s="41">
        <f ca="1">ROUNDDOWN(表3[[#This Row],[日期]]-TODAY(),1)</f>
        <v>-40</v>
      </c>
    </row>
    <row r="4668" spans="1:10" hidden="1" x14ac:dyDescent="0.2">
      <c r="A4668" s="4" t="s">
        <v>3118</v>
      </c>
      <c r="B4668" s="37">
        <v>43731</v>
      </c>
      <c r="C4668" s="12"/>
      <c r="D4668" s="38" t="s">
        <v>3119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-39</v>
      </c>
    </row>
    <row r="4669" spans="1:10" hidden="1" x14ac:dyDescent="0.2">
      <c r="A4669" s="4" t="s">
        <v>2845</v>
      </c>
      <c r="B4669" s="37">
        <v>43731</v>
      </c>
      <c r="C4669" s="12"/>
      <c r="D4669" s="38" t="s">
        <v>3141</v>
      </c>
      <c r="E4669" s="39">
        <v>43745</v>
      </c>
      <c r="F4669" s="40" t="s">
        <v>1184</v>
      </c>
      <c r="G4669" s="12"/>
      <c r="H4669" s="12"/>
      <c r="J4669" s="41">
        <f ca="1">ROUNDDOWN(表3[[#This Row],[日期]]-TODAY(),1)</f>
        <v>-32</v>
      </c>
    </row>
    <row r="4670" spans="1:10" hidden="1" x14ac:dyDescent="0.2">
      <c r="A4670" s="4" t="s">
        <v>2845</v>
      </c>
      <c r="B4670" s="37">
        <v>43731</v>
      </c>
      <c r="C4670" s="12"/>
      <c r="D4670" s="38" t="s">
        <v>3143</v>
      </c>
      <c r="E4670" s="39">
        <v>43745</v>
      </c>
      <c r="F4670" s="40" t="s">
        <v>1184</v>
      </c>
      <c r="G4670" s="12"/>
      <c r="H4670" s="12"/>
      <c r="J4670" s="41">
        <f ca="1">ROUNDDOWN(表3[[#This Row],[日期]]-TODAY(),1)</f>
        <v>-32</v>
      </c>
    </row>
    <row r="4671" spans="1:10" hidden="1" x14ac:dyDescent="0.2">
      <c r="A4671" s="4" t="s">
        <v>2845</v>
      </c>
      <c r="B4671" s="37">
        <v>43731</v>
      </c>
      <c r="C4671" s="12"/>
      <c r="D4671" s="38" t="s">
        <v>3160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-39</v>
      </c>
    </row>
    <row r="4672" spans="1:10" hidden="1" x14ac:dyDescent="0.2">
      <c r="A4672" s="4" t="s">
        <v>3138</v>
      </c>
      <c r="B4672" s="37">
        <v>43731</v>
      </c>
      <c r="C4672" s="12"/>
      <c r="D4672" s="38" t="s">
        <v>3157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-38</v>
      </c>
    </row>
    <row r="4673" spans="1:10" hidden="1" x14ac:dyDescent="0.2">
      <c r="A4673" s="4" t="s">
        <v>3138</v>
      </c>
      <c r="B4673" s="37">
        <v>43731</v>
      </c>
      <c r="C4673" s="12"/>
      <c r="D4673" s="38" t="s">
        <v>3158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-40</v>
      </c>
    </row>
    <row r="4674" spans="1:10" hidden="1" x14ac:dyDescent="0.2">
      <c r="A4674" s="4" t="s">
        <v>3138</v>
      </c>
      <c r="B4674" s="37">
        <v>43731</v>
      </c>
      <c r="C4674" s="12"/>
      <c r="D4674" s="38" t="s">
        <v>3159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-39</v>
      </c>
    </row>
    <row r="4675" spans="1:10" hidden="1" x14ac:dyDescent="0.2">
      <c r="A4675" s="4" t="s">
        <v>3138</v>
      </c>
      <c r="B4675" s="37">
        <v>43731</v>
      </c>
      <c r="C4675" s="12"/>
      <c r="D4675" s="38" t="s">
        <v>3161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-39</v>
      </c>
    </row>
    <row r="4676" spans="1:10" hidden="1" x14ac:dyDescent="0.2">
      <c r="A4676" s="4" t="s">
        <v>3138</v>
      </c>
      <c r="B4676" s="37">
        <v>43731</v>
      </c>
      <c r="C4676" s="12"/>
      <c r="D4676" s="38" t="s">
        <v>3162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-39</v>
      </c>
    </row>
    <row r="4677" spans="1:10" hidden="1" x14ac:dyDescent="0.2">
      <c r="A4677" s="4" t="s">
        <v>2701</v>
      </c>
      <c r="B4677" s="37">
        <v>43733</v>
      </c>
      <c r="C4677" s="12">
        <v>1</v>
      </c>
      <c r="D4677" s="38" t="s">
        <v>364</v>
      </c>
      <c r="E4677" s="39">
        <v>43720</v>
      </c>
      <c r="F4677" s="40" t="s">
        <v>2685</v>
      </c>
      <c r="G4677" s="12"/>
      <c r="H4677" s="12"/>
      <c r="J4677" s="41">
        <f ca="1">ROUNDDOWN(表3[[#This Row],[日期]]-TODAY(),1)</f>
        <v>-57</v>
      </c>
    </row>
    <row r="4678" spans="1:10" hidden="1" x14ac:dyDescent="0.2">
      <c r="A4678" s="4" t="s">
        <v>2701</v>
      </c>
      <c r="B4678" s="37">
        <v>43733</v>
      </c>
      <c r="C4678" s="12">
        <v>2</v>
      </c>
      <c r="D4678" s="38" t="s">
        <v>863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-50</v>
      </c>
    </row>
    <row r="4679" spans="1:10" hidden="1" x14ac:dyDescent="0.2">
      <c r="A4679" s="4" t="s">
        <v>2701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-50</v>
      </c>
    </row>
    <row r="4680" spans="1:10" hidden="1" x14ac:dyDescent="0.2">
      <c r="A4680" s="4" t="s">
        <v>2701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-50</v>
      </c>
    </row>
    <row r="4681" spans="1:10" hidden="1" x14ac:dyDescent="0.2">
      <c r="A4681" s="4" t="s">
        <v>2701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-50</v>
      </c>
    </row>
    <row r="4682" spans="1:10" hidden="1" x14ac:dyDescent="0.2">
      <c r="A4682" s="4" t="s">
        <v>2701</v>
      </c>
      <c r="B4682" s="37">
        <v>43733</v>
      </c>
      <c r="C4682" s="12">
        <v>6</v>
      </c>
      <c r="D4682" s="38" t="s">
        <v>864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-50</v>
      </c>
    </row>
    <row r="4683" spans="1:10" hidden="1" x14ac:dyDescent="0.2">
      <c r="A4683" s="4" t="s">
        <v>2701</v>
      </c>
      <c r="B4683" s="37">
        <v>43733</v>
      </c>
      <c r="C4683" s="12">
        <v>7</v>
      </c>
      <c r="D4683" s="38" t="s">
        <v>867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-49</v>
      </c>
    </row>
    <row r="4684" spans="1:10" hidden="1" x14ac:dyDescent="0.2">
      <c r="A4684" s="4" t="s">
        <v>2701</v>
      </c>
      <c r="B4684" s="37">
        <v>43733</v>
      </c>
      <c r="C4684" s="12">
        <v>8</v>
      </c>
      <c r="D4684" s="38" t="s">
        <v>307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-50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2785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-49</v>
      </c>
    </row>
    <row r="4686" spans="1:10" hidden="1" x14ac:dyDescent="0.2">
      <c r="A4686" s="4" t="s">
        <v>2701</v>
      </c>
      <c r="B4686" s="37">
        <v>43733</v>
      </c>
      <c r="C4686" s="12">
        <v>9</v>
      </c>
      <c r="D4686" s="38" t="s">
        <v>2433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-49</v>
      </c>
    </row>
    <row r="4687" spans="1:10" hidden="1" x14ac:dyDescent="0.2">
      <c r="A4687" s="4" t="s">
        <v>2701</v>
      </c>
      <c r="B4687" s="37">
        <v>43733</v>
      </c>
      <c r="C4687" s="12">
        <v>10</v>
      </c>
      <c r="D4687" s="38" t="s">
        <v>2622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-47</v>
      </c>
    </row>
    <row r="4688" spans="1:10" hidden="1" x14ac:dyDescent="0.2">
      <c r="A4688" s="4" t="s">
        <v>2701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-49</v>
      </c>
    </row>
    <row r="4689" spans="1:10" hidden="1" x14ac:dyDescent="0.2">
      <c r="A4689" s="4" t="s">
        <v>2701</v>
      </c>
      <c r="B4689" s="37">
        <v>43733</v>
      </c>
      <c r="C4689" s="12">
        <v>12</v>
      </c>
      <c r="D4689" s="38" t="s">
        <v>309</v>
      </c>
      <c r="E4689" s="39">
        <v>43728</v>
      </c>
      <c r="F4689" s="40" t="s">
        <v>242</v>
      </c>
      <c r="G4689" s="12">
        <v>4</v>
      </c>
      <c r="H4689" s="12"/>
      <c r="I4689" s="4" t="s">
        <v>310</v>
      </c>
      <c r="J4689" s="41">
        <f ca="1">ROUNDDOWN(表3[[#This Row],[日期]]-TODAY(),1)</f>
        <v>-49</v>
      </c>
    </row>
    <row r="4690" spans="1:10" hidden="1" x14ac:dyDescent="0.2">
      <c r="A4690" s="4" t="s">
        <v>2701</v>
      </c>
      <c r="B4690" s="37">
        <v>43733</v>
      </c>
      <c r="C4690" s="12">
        <v>13</v>
      </c>
      <c r="D4690" s="38" t="s">
        <v>2572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-46</v>
      </c>
    </row>
    <row r="4691" spans="1:10" hidden="1" x14ac:dyDescent="0.2">
      <c r="A4691" s="4" t="s">
        <v>2701</v>
      </c>
      <c r="B4691" s="37">
        <v>43733</v>
      </c>
      <c r="C4691" s="12">
        <v>14</v>
      </c>
      <c r="D4691" s="38" t="s">
        <v>311</v>
      </c>
      <c r="E4691" s="39">
        <v>43732</v>
      </c>
      <c r="F4691" s="40" t="s">
        <v>242</v>
      </c>
      <c r="G4691" s="12"/>
      <c r="H4691" s="12"/>
      <c r="I4691" s="4" t="s">
        <v>310</v>
      </c>
      <c r="J4691" s="41">
        <f ca="1">ROUNDDOWN(表3[[#This Row],[日期]]-TODAY(),1)</f>
        <v>-45</v>
      </c>
    </row>
    <row r="4692" spans="1:10" hidden="1" x14ac:dyDescent="0.2">
      <c r="A4692" s="4" t="s">
        <v>2701</v>
      </c>
      <c r="B4692" s="37">
        <v>43733</v>
      </c>
      <c r="C4692" s="12">
        <v>15</v>
      </c>
      <c r="D4692" s="38" t="s">
        <v>868</v>
      </c>
      <c r="E4692" s="39">
        <v>43732</v>
      </c>
      <c r="F4692" s="40" t="s">
        <v>242</v>
      </c>
      <c r="G4692" s="12"/>
      <c r="H4692" s="12"/>
      <c r="I4692" s="4" t="s">
        <v>310</v>
      </c>
      <c r="J4692" s="41">
        <f ca="1">ROUNDDOWN(表3[[#This Row],[日期]]-TODAY(),1)</f>
        <v>-45</v>
      </c>
    </row>
    <row r="4693" spans="1:10" hidden="1" x14ac:dyDescent="0.2">
      <c r="A4693" s="4" t="s">
        <v>2701</v>
      </c>
      <c r="B4693" s="37">
        <v>43733</v>
      </c>
      <c r="C4693" s="12">
        <v>16</v>
      </c>
      <c r="D4693" s="38" t="s">
        <v>313</v>
      </c>
      <c r="E4693" s="39">
        <v>43732</v>
      </c>
      <c r="F4693" s="40" t="s">
        <v>242</v>
      </c>
      <c r="G4693" s="12"/>
      <c r="H4693" s="12"/>
      <c r="I4693" s="4" t="s">
        <v>310</v>
      </c>
      <c r="J4693" s="41">
        <f ca="1">ROUNDDOWN(表3[[#This Row],[日期]]-TODAY(),1)</f>
        <v>-45</v>
      </c>
    </row>
    <row r="4694" spans="1:10" hidden="1" x14ac:dyDescent="0.2">
      <c r="A4694" s="4" t="s">
        <v>2701</v>
      </c>
      <c r="B4694" s="37">
        <v>43733</v>
      </c>
      <c r="C4694" s="12">
        <v>17</v>
      </c>
      <c r="D4694" s="38" t="s">
        <v>271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-45</v>
      </c>
    </row>
    <row r="4695" spans="1:10" hidden="1" x14ac:dyDescent="0.2">
      <c r="A4695" s="4" t="s">
        <v>2701</v>
      </c>
      <c r="B4695" s="37">
        <v>43733</v>
      </c>
      <c r="C4695" s="12">
        <v>18</v>
      </c>
      <c r="D4695" s="38" t="s">
        <v>2989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-41</v>
      </c>
    </row>
    <row r="4696" spans="1:10" hidden="1" x14ac:dyDescent="0.2">
      <c r="A4696" s="4" t="s">
        <v>2701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-43</v>
      </c>
    </row>
    <row r="4697" spans="1:10" hidden="1" x14ac:dyDescent="0.2">
      <c r="A4697" s="4" t="s">
        <v>2701</v>
      </c>
      <c r="B4697" s="37">
        <v>43733</v>
      </c>
      <c r="C4697" s="12">
        <v>21</v>
      </c>
      <c r="D4697" s="38" t="s">
        <v>1387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-45</v>
      </c>
    </row>
    <row r="4698" spans="1:10" hidden="1" x14ac:dyDescent="0.2">
      <c r="A4698" s="4" t="s">
        <v>2701</v>
      </c>
      <c r="B4698" s="37">
        <v>43733</v>
      </c>
      <c r="C4698" s="12">
        <v>22</v>
      </c>
      <c r="D4698" s="38" t="s">
        <v>305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-41</v>
      </c>
    </row>
    <row r="4699" spans="1:10" hidden="1" x14ac:dyDescent="0.2">
      <c r="A4699" s="4" t="s">
        <v>2962</v>
      </c>
      <c r="B4699" s="37">
        <v>43733</v>
      </c>
      <c r="C4699" s="12">
        <v>1</v>
      </c>
      <c r="D4699" s="38" t="s">
        <v>2966</v>
      </c>
      <c r="E4699" s="39">
        <v>43714</v>
      </c>
      <c r="F4699" s="40" t="s">
        <v>2963</v>
      </c>
      <c r="G4699" s="12"/>
      <c r="H4699" s="12"/>
      <c r="J4699" s="41">
        <f ca="1">ROUNDDOWN(表3[[#This Row],[日期]]-TODAY(),1)</f>
        <v>-63</v>
      </c>
    </row>
    <row r="4700" spans="1:10" hidden="1" x14ac:dyDescent="0.2">
      <c r="A4700" s="4" t="s">
        <v>2962</v>
      </c>
      <c r="B4700" s="37">
        <v>43733</v>
      </c>
      <c r="C4700" s="12">
        <v>2</v>
      </c>
      <c r="D4700" s="38" t="s">
        <v>2965</v>
      </c>
      <c r="E4700" s="39">
        <v>43726</v>
      </c>
      <c r="F4700" s="40" t="s">
        <v>2963</v>
      </c>
      <c r="G4700" s="12"/>
      <c r="H4700" s="12"/>
      <c r="J4700" s="41">
        <f ca="1">ROUNDDOWN(表3[[#This Row],[日期]]-TODAY(),1)</f>
        <v>-51</v>
      </c>
    </row>
    <row r="4701" spans="1:10" hidden="1" x14ac:dyDescent="0.2">
      <c r="A4701" s="4" t="s">
        <v>2962</v>
      </c>
      <c r="B4701" s="37">
        <v>43733</v>
      </c>
      <c r="C4701" s="12">
        <v>3</v>
      </c>
      <c r="D4701" s="38" t="s">
        <v>2964</v>
      </c>
      <c r="E4701" s="39">
        <v>43733</v>
      </c>
      <c r="F4701" s="40" t="s">
        <v>2963</v>
      </c>
      <c r="G4701" s="12"/>
      <c r="H4701" s="12"/>
      <c r="J4701" s="41">
        <f ca="1">ROUNDDOWN(表3[[#This Row],[日期]]-TODAY(),1)</f>
        <v>-44</v>
      </c>
    </row>
    <row r="4702" spans="1:10" hidden="1" x14ac:dyDescent="0.2">
      <c r="A4702" s="4" t="s">
        <v>2962</v>
      </c>
      <c r="B4702" s="37">
        <v>43733</v>
      </c>
      <c r="C4702" s="12">
        <v>4</v>
      </c>
      <c r="D4702" s="38" t="s">
        <v>2967</v>
      </c>
      <c r="E4702" s="39">
        <v>43769</v>
      </c>
      <c r="F4702" s="40" t="s">
        <v>242</v>
      </c>
      <c r="G4702" s="12"/>
      <c r="H4702" s="12"/>
      <c r="J4702" s="41">
        <f ca="1">ROUNDDOWN(表3[[#This Row],[日期]]-TODAY(),1)</f>
        <v>-8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893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-53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1137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-51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-51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-51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1261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-51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1282</v>
      </c>
      <c r="E4708" s="39">
        <v>43727</v>
      </c>
      <c r="F4708" s="40" t="s">
        <v>287</v>
      </c>
      <c r="G4708" s="12">
        <v>3</v>
      </c>
      <c r="H4708" s="12"/>
      <c r="I4708" s="4" t="s">
        <v>31</v>
      </c>
      <c r="J4708" s="41">
        <f ca="1">ROUNDDOWN(表3[[#This Row],[日期]]-TODAY(),1)</f>
        <v>-50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287</v>
      </c>
      <c r="G4709" s="12">
        <v>3</v>
      </c>
      <c r="H4709" s="12"/>
      <c r="J4709" s="41">
        <f ca="1">ROUNDDOWN(表3[[#This Row],[日期]]-TODAY(),1)</f>
        <v>-50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894</v>
      </c>
      <c r="E4710" s="39">
        <v>43727</v>
      </c>
      <c r="F4710" s="40" t="s">
        <v>287</v>
      </c>
      <c r="G4710" s="12">
        <v>3</v>
      </c>
      <c r="H4710" s="12"/>
      <c r="I4710" s="4" t="s">
        <v>33</v>
      </c>
      <c r="J4710" s="41">
        <f ca="1">ROUNDDOWN(表3[[#This Row],[日期]]-TODAY(),1)</f>
        <v>-50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1741</v>
      </c>
      <c r="E4711" s="39">
        <v>43727</v>
      </c>
      <c r="F4711" s="40" t="s">
        <v>287</v>
      </c>
      <c r="G4711" s="12">
        <v>3</v>
      </c>
      <c r="H4711" s="12"/>
      <c r="J4711" s="41">
        <f ca="1">ROUNDDOWN(表3[[#This Row],[日期]]-TODAY(),1)</f>
        <v>-50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1289</v>
      </c>
      <c r="E4712" s="39">
        <v>43727</v>
      </c>
      <c r="F4712" s="40" t="s">
        <v>287</v>
      </c>
      <c r="G4712" s="12">
        <v>3</v>
      </c>
      <c r="H4712" s="12"/>
      <c r="J4712" s="41">
        <f ca="1">ROUNDDOWN(表3[[#This Row],[日期]]-TODAY(),1)</f>
        <v>-50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1743</v>
      </c>
      <c r="E4713" s="39">
        <v>43727</v>
      </c>
      <c r="F4713" s="40" t="s">
        <v>287</v>
      </c>
      <c r="G4713" s="12">
        <v>3</v>
      </c>
      <c r="H4713" s="12"/>
      <c r="J4713" s="41">
        <f ca="1">ROUNDDOWN(表3[[#This Row],[日期]]-TODAY(),1)</f>
        <v>-50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1745</v>
      </c>
      <c r="E4714" s="39">
        <v>43727</v>
      </c>
      <c r="F4714" s="40" t="s">
        <v>287</v>
      </c>
      <c r="G4714" s="12">
        <v>3</v>
      </c>
      <c r="H4714" s="12"/>
      <c r="J4714" s="41">
        <f ca="1">ROUNDDOWN(表3[[#This Row],[日期]]-TODAY(),1)</f>
        <v>-50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1747</v>
      </c>
      <c r="E4715" s="39">
        <v>43727</v>
      </c>
      <c r="F4715" s="40" t="s">
        <v>287</v>
      </c>
      <c r="G4715" s="12">
        <v>3</v>
      </c>
      <c r="H4715" s="12"/>
      <c r="J4715" s="41">
        <f ca="1">ROUNDDOWN(表3[[#This Row],[日期]]-TODAY(),1)</f>
        <v>-50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1749</v>
      </c>
      <c r="E4716" s="39">
        <v>43727</v>
      </c>
      <c r="F4716" s="40" t="s">
        <v>287</v>
      </c>
      <c r="G4716" s="12">
        <v>3</v>
      </c>
      <c r="H4716" s="12"/>
      <c r="J4716" s="41">
        <f ca="1">ROUNDDOWN(表3[[#This Row],[日期]]-TODAY(),1)</f>
        <v>-50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1751</v>
      </c>
      <c r="E4717" s="39">
        <v>43727</v>
      </c>
      <c r="F4717" s="40" t="s">
        <v>287</v>
      </c>
      <c r="G4717" s="12">
        <v>3</v>
      </c>
      <c r="H4717" s="12"/>
      <c r="J4717" s="41">
        <f ca="1">ROUNDDOWN(表3[[#This Row],[日期]]-TODAY(),1)</f>
        <v>-50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895</v>
      </c>
      <c r="E4718" s="39">
        <v>43728</v>
      </c>
      <c r="F4718" s="40" t="s">
        <v>287</v>
      </c>
      <c r="G4718" s="12">
        <v>4</v>
      </c>
      <c r="H4718" s="12"/>
      <c r="I4718" s="4" t="s">
        <v>35</v>
      </c>
      <c r="J4718" s="41">
        <f ca="1">ROUNDDOWN(表3[[#This Row],[日期]]-TODAY(),1)</f>
        <v>-49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1753</v>
      </c>
      <c r="E4719" s="39">
        <v>43728</v>
      </c>
      <c r="F4719" s="40" t="s">
        <v>287</v>
      </c>
      <c r="G4719" s="12">
        <v>4</v>
      </c>
      <c r="H4719" s="12"/>
      <c r="J4719" s="41">
        <f ca="1">ROUNDDOWN(表3[[#This Row],[日期]]-TODAY(),1)</f>
        <v>-49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287</v>
      </c>
      <c r="G4720" s="12">
        <v>4</v>
      </c>
      <c r="H4720" s="12"/>
      <c r="J4720" s="41">
        <f ca="1">ROUNDDOWN(表3[[#This Row],[日期]]-TODAY(),1)</f>
        <v>-49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896</v>
      </c>
      <c r="E4721" s="39">
        <v>43728</v>
      </c>
      <c r="F4721" s="40" t="s">
        <v>287</v>
      </c>
      <c r="G4721" s="12">
        <v>4</v>
      </c>
      <c r="H4721" s="12"/>
      <c r="I4721" s="4" t="s">
        <v>41</v>
      </c>
      <c r="J4721" s="41">
        <f ca="1">ROUNDDOWN(表3[[#This Row],[日期]]-TODAY(),1)</f>
        <v>-49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287</v>
      </c>
      <c r="G4722" s="12">
        <v>4</v>
      </c>
      <c r="H4722" s="12"/>
      <c r="I4722" s="4" t="s">
        <v>155</v>
      </c>
      <c r="J4722" s="41">
        <f ca="1">ROUNDDOWN(表3[[#This Row],[日期]]-TODAY(),1)</f>
        <v>-49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903</v>
      </c>
      <c r="E4723" s="39">
        <v>43728</v>
      </c>
      <c r="F4723" s="40" t="s">
        <v>287</v>
      </c>
      <c r="G4723" s="12">
        <v>4</v>
      </c>
      <c r="H4723" s="12"/>
      <c r="J4723" s="41">
        <f ca="1">ROUNDDOWN(表3[[#This Row],[日期]]-TODAY(),1)</f>
        <v>-49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2372</v>
      </c>
      <c r="E4724" s="39">
        <v>43728</v>
      </c>
      <c r="F4724" s="40" t="s">
        <v>287</v>
      </c>
      <c r="G4724" s="12">
        <v>4</v>
      </c>
      <c r="H4724" s="12"/>
      <c r="J4724" s="41">
        <f ca="1">ROUNDDOWN(表3[[#This Row],[日期]]-TODAY(),1)</f>
        <v>-49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1880</v>
      </c>
      <c r="E4725" s="39">
        <v>43728</v>
      </c>
      <c r="F4725" s="40" t="s">
        <v>287</v>
      </c>
      <c r="G4725" s="12">
        <v>4</v>
      </c>
      <c r="H4725" s="12"/>
      <c r="J4725" s="41">
        <f ca="1">ROUNDDOWN(表3[[#This Row],[日期]]-TODAY(),1)</f>
        <v>-49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287</v>
      </c>
      <c r="G4726" s="12">
        <v>4</v>
      </c>
      <c r="H4726" s="12"/>
      <c r="J4726" s="41">
        <f ca="1">ROUNDDOWN(表3[[#This Row],[日期]]-TODAY(),1)</f>
        <v>-49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287</v>
      </c>
      <c r="G4727" s="12">
        <v>4</v>
      </c>
      <c r="H4727" s="12"/>
      <c r="J4727" s="41">
        <f ca="1">ROUNDDOWN(表3[[#This Row],[日期]]-TODAY(),1)</f>
        <v>-49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287</v>
      </c>
      <c r="G4728" s="12">
        <v>4</v>
      </c>
      <c r="H4728" s="12"/>
      <c r="I4728" s="4" t="s">
        <v>41</v>
      </c>
      <c r="J4728" s="41">
        <f ca="1">ROUNDDOWN(表3[[#This Row],[日期]]-TODAY(),1)</f>
        <v>-49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287</v>
      </c>
      <c r="G4729" s="12">
        <v>4</v>
      </c>
      <c r="H4729" s="12"/>
      <c r="J4729" s="41">
        <f ca="1">ROUNDDOWN(表3[[#This Row],[日期]]-TODAY(),1)</f>
        <v>-49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287</v>
      </c>
      <c r="G4730" s="12">
        <v>4</v>
      </c>
      <c r="H4730" s="12"/>
      <c r="I4730" s="4" t="s">
        <v>62</v>
      </c>
      <c r="J4730" s="41">
        <f ca="1">ROUNDDOWN(表3[[#This Row],[日期]]-TODAY(),1)</f>
        <v>-49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287</v>
      </c>
      <c r="G4731" s="12">
        <v>4</v>
      </c>
      <c r="H4731" s="12"/>
      <c r="J4731" s="41">
        <f ca="1">ROUNDDOWN(表3[[#This Row],[日期]]-TODAY(),1)</f>
        <v>-49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2373</v>
      </c>
      <c r="E4732" s="39">
        <v>43728</v>
      </c>
      <c r="F4732" s="40" t="s">
        <v>287</v>
      </c>
      <c r="G4732" s="12">
        <v>4</v>
      </c>
      <c r="H4732" s="12"/>
      <c r="I4732" s="4" t="s">
        <v>31</v>
      </c>
      <c r="J4732" s="41">
        <f ca="1">ROUNDDOWN(表3[[#This Row],[日期]]-TODAY(),1)</f>
        <v>-49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898</v>
      </c>
      <c r="E4733" s="39">
        <v>43728</v>
      </c>
      <c r="F4733" s="40" t="s">
        <v>287</v>
      </c>
      <c r="G4733" s="12">
        <v>4</v>
      </c>
      <c r="H4733" s="12"/>
      <c r="I4733" s="4" t="s">
        <v>41</v>
      </c>
      <c r="J4733" s="41">
        <f ca="1">ROUNDDOWN(表3[[#This Row],[日期]]-TODAY(),1)</f>
        <v>-49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287</v>
      </c>
      <c r="G4734" s="12">
        <v>4</v>
      </c>
      <c r="H4734" s="12"/>
      <c r="J4734" s="41">
        <f ca="1">ROUNDDOWN(表3[[#This Row],[日期]]-TODAY(),1)</f>
        <v>-49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1023</v>
      </c>
      <c r="E4735" s="39">
        <v>43729</v>
      </c>
      <c r="F4735" s="40" t="s">
        <v>287</v>
      </c>
      <c r="G4735" s="12">
        <v>4</v>
      </c>
      <c r="H4735" s="12"/>
      <c r="J4735" s="41">
        <f ca="1">ROUNDDOWN(表3[[#This Row],[日期]]-TODAY(),1)</f>
        <v>-48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287</v>
      </c>
      <c r="G4736" s="12">
        <v>4</v>
      </c>
      <c r="H4736" s="12"/>
      <c r="J4736" s="41">
        <f ca="1">ROUNDDOWN(表3[[#This Row],[日期]]-TODAY(),1)</f>
        <v>-48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2374</v>
      </c>
      <c r="E4737" s="39">
        <v>43729</v>
      </c>
      <c r="F4737" s="40" t="s">
        <v>287</v>
      </c>
      <c r="G4737" s="12">
        <v>4</v>
      </c>
      <c r="H4737" s="12"/>
      <c r="J4737" s="41">
        <f ca="1">ROUNDDOWN(表3[[#This Row],[日期]]-TODAY(),1)</f>
        <v>-48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287</v>
      </c>
      <c r="G4738" s="12">
        <v>4</v>
      </c>
      <c r="H4738" s="12"/>
      <c r="I4738" s="4" t="s">
        <v>69</v>
      </c>
      <c r="J4738" s="41">
        <f ca="1">ROUNDDOWN(表3[[#This Row],[日期]]-TODAY(),1)</f>
        <v>-48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287</v>
      </c>
      <c r="G4739" s="12">
        <v>4</v>
      </c>
      <c r="H4739" s="12"/>
      <c r="J4739" s="41">
        <f ca="1">ROUNDDOWN(表3[[#This Row],[日期]]-TODAY(),1)</f>
        <v>-48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287</v>
      </c>
      <c r="G4740" s="12">
        <v>4</v>
      </c>
      <c r="H4740" s="12"/>
      <c r="J4740" s="41">
        <f ca="1">ROUNDDOWN(表3[[#This Row],[日期]]-TODAY(),1)</f>
        <v>-45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287</v>
      </c>
      <c r="G4741" s="12">
        <v>4</v>
      </c>
      <c r="H4741" s="12"/>
      <c r="J4741" s="41">
        <f ca="1">ROUNDDOWN(表3[[#This Row],[日期]]-TODAY(),1)</f>
        <v>-45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1793</v>
      </c>
      <c r="E4742" s="39">
        <v>43732</v>
      </c>
      <c r="F4742" s="40" t="s">
        <v>287</v>
      </c>
      <c r="G4742" s="12">
        <v>4</v>
      </c>
      <c r="H4742" s="12"/>
      <c r="J4742" s="41">
        <f ca="1">ROUNDDOWN(表3[[#This Row],[日期]]-TODAY(),1)</f>
        <v>-45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287</v>
      </c>
      <c r="G4743" s="12">
        <v>4</v>
      </c>
      <c r="H4743" s="12"/>
      <c r="J4743" s="41">
        <f ca="1">ROUNDDOWN(表3[[#This Row],[日期]]-TODAY(),1)</f>
        <v>-44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2383</v>
      </c>
      <c r="E4744" s="39">
        <v>43733</v>
      </c>
      <c r="F4744" s="40" t="s">
        <v>287</v>
      </c>
      <c r="G4744" s="12">
        <v>4</v>
      </c>
      <c r="H4744" s="12"/>
      <c r="I4744" s="4" t="s">
        <v>127</v>
      </c>
      <c r="J4744" s="41">
        <f ca="1">ROUNDDOWN(表3[[#This Row],[日期]]-TODAY(),1)</f>
        <v>-44</v>
      </c>
    </row>
    <row r="4745" spans="1:10" hidden="1" x14ac:dyDescent="0.2">
      <c r="A4745" s="4" t="s">
        <v>2702</v>
      </c>
      <c r="B4745" s="37">
        <v>43733</v>
      </c>
      <c r="C4745" s="12">
        <v>1</v>
      </c>
      <c r="D4745" s="38" t="s">
        <v>364</v>
      </c>
      <c r="E4745" s="39">
        <v>43720</v>
      </c>
      <c r="F4745" s="40" t="s">
        <v>2685</v>
      </c>
      <c r="G4745" s="12"/>
      <c r="H4745" s="12"/>
      <c r="J4745" s="41">
        <f ca="1">ROUNDDOWN(表3[[#This Row],[日期]]-TODAY(),1)</f>
        <v>-57</v>
      </c>
    </row>
    <row r="4746" spans="1:10" hidden="1" x14ac:dyDescent="0.2">
      <c r="A4746" s="4" t="s">
        <v>2702</v>
      </c>
      <c r="B4746" s="37">
        <v>43733</v>
      </c>
      <c r="C4746" s="12">
        <v>2</v>
      </c>
      <c r="D4746" s="38" t="s">
        <v>863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-51</v>
      </c>
    </row>
    <row r="4747" spans="1:10" hidden="1" x14ac:dyDescent="0.2">
      <c r="A4747" s="4" t="s">
        <v>2702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-51</v>
      </c>
    </row>
    <row r="4748" spans="1:10" hidden="1" x14ac:dyDescent="0.2">
      <c r="A4748" s="4" t="s">
        <v>2702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-50</v>
      </c>
    </row>
    <row r="4749" spans="1:10" hidden="1" x14ac:dyDescent="0.2">
      <c r="A4749" s="4" t="s">
        <v>2702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-50</v>
      </c>
    </row>
    <row r="4750" spans="1:10" hidden="1" x14ac:dyDescent="0.2">
      <c r="A4750" s="4" t="s">
        <v>2702</v>
      </c>
      <c r="B4750" s="37">
        <v>43733</v>
      </c>
      <c r="C4750" s="12">
        <v>6</v>
      </c>
      <c r="D4750" s="38" t="s">
        <v>864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-50</v>
      </c>
    </row>
    <row r="4751" spans="1:10" hidden="1" x14ac:dyDescent="0.2">
      <c r="A4751" s="4" t="s">
        <v>2702</v>
      </c>
      <c r="B4751" s="37">
        <v>43733</v>
      </c>
      <c r="C4751" s="12">
        <v>7</v>
      </c>
      <c r="D4751" s="38" t="s">
        <v>867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-49</v>
      </c>
    </row>
    <row r="4752" spans="1:10" hidden="1" x14ac:dyDescent="0.2">
      <c r="A4752" s="4" t="s">
        <v>2702</v>
      </c>
      <c r="B4752" s="37">
        <v>43733</v>
      </c>
      <c r="C4752" s="12">
        <v>8</v>
      </c>
      <c r="D4752" s="38" t="s">
        <v>307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-50</v>
      </c>
    </row>
    <row r="4753" spans="1:10" hidden="1" x14ac:dyDescent="0.2">
      <c r="A4753" s="4" t="s">
        <v>2702</v>
      </c>
      <c r="B4753" s="37">
        <v>43733</v>
      </c>
      <c r="C4753" s="12">
        <v>9</v>
      </c>
      <c r="D4753" s="38" t="s">
        <v>2433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-49</v>
      </c>
    </row>
    <row r="4754" spans="1:10" hidden="1" x14ac:dyDescent="0.2">
      <c r="A4754" s="4" t="s">
        <v>2702</v>
      </c>
      <c r="B4754" s="37">
        <v>43733</v>
      </c>
      <c r="C4754" s="12">
        <v>10</v>
      </c>
      <c r="D4754" s="38" t="s">
        <v>2622</v>
      </c>
      <c r="E4754" s="39">
        <v>43727</v>
      </c>
      <c r="F4754" s="40" t="s">
        <v>1184</v>
      </c>
      <c r="G4754" s="12"/>
      <c r="H4754" s="12"/>
      <c r="J4754" s="41">
        <f ca="1">ROUNDDOWN(表3[[#This Row],[日期]]-TODAY(),1)</f>
        <v>-50</v>
      </c>
    </row>
    <row r="4755" spans="1:10" hidden="1" x14ac:dyDescent="0.2">
      <c r="A4755" s="4" t="s">
        <v>2702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-49</v>
      </c>
    </row>
    <row r="4756" spans="1:10" hidden="1" x14ac:dyDescent="0.2">
      <c r="A4756" s="4" t="s">
        <v>2702</v>
      </c>
      <c r="B4756" s="37">
        <v>43733</v>
      </c>
      <c r="C4756" s="12">
        <v>12</v>
      </c>
      <c r="D4756" s="38" t="s">
        <v>868</v>
      </c>
      <c r="E4756" s="39">
        <v>43728</v>
      </c>
      <c r="F4756" s="40" t="s">
        <v>242</v>
      </c>
      <c r="G4756" s="12">
        <v>3</v>
      </c>
      <c r="H4756" s="12"/>
      <c r="I4756" s="4" t="s">
        <v>310</v>
      </c>
      <c r="J4756" s="41">
        <f ca="1">ROUNDDOWN(表3[[#This Row],[日期]]-TODAY(),1)</f>
        <v>-49</v>
      </c>
    </row>
    <row r="4757" spans="1:10" hidden="1" x14ac:dyDescent="0.2">
      <c r="A4757" s="4" t="s">
        <v>2702</v>
      </c>
      <c r="B4757" s="37">
        <v>43733</v>
      </c>
      <c r="C4757" s="12">
        <v>13</v>
      </c>
      <c r="D4757" s="38" t="s">
        <v>313</v>
      </c>
      <c r="E4757" s="39">
        <v>43728</v>
      </c>
      <c r="F4757" s="40" t="s">
        <v>242</v>
      </c>
      <c r="G4757" s="12">
        <v>3</v>
      </c>
      <c r="H4757" s="12"/>
      <c r="I4757" s="4" t="s">
        <v>310</v>
      </c>
      <c r="J4757" s="41">
        <f ca="1">ROUNDDOWN(表3[[#This Row],[日期]]-TODAY(),1)</f>
        <v>-49</v>
      </c>
    </row>
    <row r="4758" spans="1:10" hidden="1" x14ac:dyDescent="0.2">
      <c r="A4758" s="4" t="s">
        <v>2702</v>
      </c>
      <c r="B4758" s="37">
        <v>43733</v>
      </c>
      <c r="C4758" s="12">
        <v>14</v>
      </c>
      <c r="D4758" s="38" t="s">
        <v>309</v>
      </c>
      <c r="E4758" s="39">
        <v>43728</v>
      </c>
      <c r="F4758" s="40" t="s">
        <v>242</v>
      </c>
      <c r="G4758" s="12">
        <v>4</v>
      </c>
      <c r="H4758" s="12"/>
      <c r="I4758" s="4" t="s">
        <v>310</v>
      </c>
      <c r="J4758" s="41">
        <f ca="1">ROUNDDOWN(表3[[#This Row],[日期]]-TODAY(),1)</f>
        <v>-49</v>
      </c>
    </row>
    <row r="4759" spans="1:10" hidden="1" x14ac:dyDescent="0.2">
      <c r="A4759" s="4" t="s">
        <v>2702</v>
      </c>
      <c r="B4759" s="37">
        <v>43733</v>
      </c>
      <c r="C4759" s="12">
        <v>15</v>
      </c>
      <c r="D4759" s="38" t="s">
        <v>2572</v>
      </c>
      <c r="E4759" s="39">
        <v>43728</v>
      </c>
      <c r="F4759" s="40" t="s">
        <v>1184</v>
      </c>
      <c r="G4759" s="12"/>
      <c r="H4759" s="12"/>
      <c r="J4759" s="41">
        <f ca="1">ROUNDDOWN(表3[[#This Row],[日期]]-TODAY(),1)</f>
        <v>-49</v>
      </c>
    </row>
    <row r="4760" spans="1:10" hidden="1" x14ac:dyDescent="0.2">
      <c r="A4760" s="4" t="s">
        <v>2702</v>
      </c>
      <c r="B4760" s="37">
        <v>43733</v>
      </c>
      <c r="C4760" s="12">
        <v>16</v>
      </c>
      <c r="D4760" s="38" t="s">
        <v>311</v>
      </c>
      <c r="E4760" s="39">
        <v>43729</v>
      </c>
      <c r="F4760" s="40" t="s">
        <v>242</v>
      </c>
      <c r="G4760" s="12">
        <v>4</v>
      </c>
      <c r="H4760" s="12"/>
      <c r="I4760" s="4" t="s">
        <v>310</v>
      </c>
      <c r="J4760" s="41">
        <f ca="1">ROUNDDOWN(表3[[#This Row],[日期]]-TODAY(),1)</f>
        <v>-48</v>
      </c>
    </row>
    <row r="4761" spans="1:10" hidden="1" x14ac:dyDescent="0.2">
      <c r="A4761" s="4" t="s">
        <v>2702</v>
      </c>
      <c r="B4761" s="37">
        <v>43733</v>
      </c>
      <c r="C4761" s="12">
        <v>17</v>
      </c>
      <c r="D4761" s="38" t="s">
        <v>271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-48</v>
      </c>
    </row>
    <row r="4762" spans="1:10" hidden="1" x14ac:dyDescent="0.2">
      <c r="A4762" s="4" t="s">
        <v>2702</v>
      </c>
      <c r="B4762" s="37">
        <v>43733</v>
      </c>
      <c r="C4762" s="12">
        <v>18</v>
      </c>
      <c r="D4762" s="38" t="s">
        <v>273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-45</v>
      </c>
    </row>
    <row r="4763" spans="1:10" hidden="1" x14ac:dyDescent="0.2">
      <c r="A4763" s="4" t="s">
        <v>2702</v>
      </c>
      <c r="B4763" s="37">
        <v>43733</v>
      </c>
      <c r="C4763" s="12">
        <v>19</v>
      </c>
      <c r="D4763" s="38" t="s">
        <v>275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-45</v>
      </c>
    </row>
    <row r="4764" spans="1:10" hidden="1" x14ac:dyDescent="0.2">
      <c r="A4764" s="4" t="s">
        <v>2702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-43</v>
      </c>
    </row>
    <row r="4765" spans="1:10" hidden="1" x14ac:dyDescent="0.2">
      <c r="A4765" s="4" t="s">
        <v>2702</v>
      </c>
      <c r="B4765" s="37">
        <v>43733</v>
      </c>
      <c r="C4765" s="12">
        <v>21</v>
      </c>
      <c r="D4765" s="38" t="s">
        <v>1387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-45</v>
      </c>
    </row>
    <row r="4766" spans="1:10" hidden="1" x14ac:dyDescent="0.2">
      <c r="A4766" s="4" t="s">
        <v>2702</v>
      </c>
      <c r="B4766" s="37">
        <v>43733</v>
      </c>
      <c r="C4766" s="12">
        <v>22</v>
      </c>
      <c r="D4766" s="38" t="s">
        <v>305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-43</v>
      </c>
    </row>
    <row r="4767" spans="1:10" hidden="1" x14ac:dyDescent="0.2">
      <c r="A4767" s="4" t="s">
        <v>2831</v>
      </c>
      <c r="B4767" s="37">
        <v>43733</v>
      </c>
      <c r="C4767" s="12">
        <v>1</v>
      </c>
      <c r="D4767" s="38" t="s">
        <v>507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-50</v>
      </c>
    </row>
    <row r="4768" spans="1:10" hidden="1" x14ac:dyDescent="0.2">
      <c r="A4768" s="4" t="s">
        <v>2831</v>
      </c>
      <c r="B4768" s="37">
        <v>43733</v>
      </c>
      <c r="C4768" s="12">
        <v>2</v>
      </c>
      <c r="D4768" s="38" t="s">
        <v>1518</v>
      </c>
      <c r="E4768" s="39">
        <v>43728</v>
      </c>
      <c r="F4768" s="40" t="s">
        <v>242</v>
      </c>
      <c r="G4768" s="12"/>
      <c r="H4768" s="12"/>
      <c r="I4768" s="4" t="s">
        <v>1521</v>
      </c>
      <c r="J4768" s="41">
        <f ca="1">ROUNDDOWN(表3[[#This Row],[日期]]-TODAY(),1)</f>
        <v>-49</v>
      </c>
    </row>
    <row r="4769" spans="1:10" hidden="1" x14ac:dyDescent="0.2">
      <c r="A4769" s="4" t="s">
        <v>2831</v>
      </c>
      <c r="B4769" s="37">
        <v>43733</v>
      </c>
      <c r="C4769" s="12">
        <v>3</v>
      </c>
      <c r="D4769" s="38" t="s">
        <v>1779</v>
      </c>
      <c r="E4769" s="39">
        <v>43728</v>
      </c>
      <c r="F4769" s="40" t="s">
        <v>242</v>
      </c>
      <c r="G4769" s="12"/>
      <c r="H4769" s="12"/>
      <c r="I4769" s="4" t="s">
        <v>1523</v>
      </c>
      <c r="J4769" s="41">
        <f ca="1">ROUNDDOWN(表3[[#This Row],[日期]]-TODAY(),1)</f>
        <v>-49</v>
      </c>
    </row>
    <row r="4770" spans="1:10" hidden="1" x14ac:dyDescent="0.2">
      <c r="A4770" s="4" t="s">
        <v>2831</v>
      </c>
      <c r="B4770" s="37">
        <v>43733</v>
      </c>
      <c r="C4770" s="12">
        <v>4</v>
      </c>
      <c r="D4770" s="38" t="s">
        <v>1526</v>
      </c>
      <c r="E4770" s="39">
        <v>43728</v>
      </c>
      <c r="F4770" s="40" t="s">
        <v>242</v>
      </c>
      <c r="G4770" s="12"/>
      <c r="H4770" s="12"/>
      <c r="I4770" s="4" t="s">
        <v>1528</v>
      </c>
      <c r="J4770" s="41">
        <f ca="1">ROUNDDOWN(表3[[#This Row],[日期]]-TODAY(),1)</f>
        <v>-49</v>
      </c>
    </row>
    <row r="4771" spans="1:10" hidden="1" x14ac:dyDescent="0.2">
      <c r="A4771" s="4" t="s">
        <v>2831</v>
      </c>
      <c r="B4771" s="37">
        <v>43733</v>
      </c>
      <c r="C4771" s="12">
        <v>5</v>
      </c>
      <c r="D4771" s="38" t="s">
        <v>1703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-49</v>
      </c>
    </row>
    <row r="4772" spans="1:10" hidden="1" x14ac:dyDescent="0.2">
      <c r="A4772" s="4" t="s">
        <v>2831</v>
      </c>
      <c r="B4772" s="37">
        <v>43733</v>
      </c>
      <c r="C4772" s="12">
        <v>6</v>
      </c>
      <c r="D4772" s="38" t="s">
        <v>1533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-49</v>
      </c>
    </row>
    <row r="4773" spans="1:10" hidden="1" x14ac:dyDescent="0.2">
      <c r="A4773" s="4" t="s">
        <v>2831</v>
      </c>
      <c r="B4773" s="37">
        <v>43733</v>
      </c>
      <c r="C4773" s="12">
        <v>7</v>
      </c>
      <c r="D4773" s="38" t="s">
        <v>1535</v>
      </c>
      <c r="E4773" s="39">
        <v>43728</v>
      </c>
      <c r="F4773" s="40" t="s">
        <v>1184</v>
      </c>
      <c r="G4773" s="12"/>
      <c r="H4773" s="12"/>
      <c r="I4773" s="4" t="s">
        <v>1537</v>
      </c>
      <c r="J4773" s="41">
        <f ca="1">ROUNDDOWN(表3[[#This Row],[日期]]-TODAY(),1)</f>
        <v>-49</v>
      </c>
    </row>
    <row r="4774" spans="1:10" hidden="1" x14ac:dyDescent="0.2">
      <c r="A4774" s="4" t="s">
        <v>2831</v>
      </c>
      <c r="B4774" s="37">
        <v>43733</v>
      </c>
      <c r="C4774" s="12">
        <v>8</v>
      </c>
      <c r="D4774" s="38" t="s">
        <v>1531</v>
      </c>
      <c r="E4774" s="39">
        <v>43728</v>
      </c>
      <c r="F4774" s="40" t="s">
        <v>1184</v>
      </c>
      <c r="G4774" s="12"/>
      <c r="H4774" s="12"/>
      <c r="J4774" s="41">
        <f ca="1">ROUNDDOWN(表3[[#This Row],[日期]]-TODAY(),1)</f>
        <v>-49</v>
      </c>
    </row>
    <row r="4775" spans="1:10" hidden="1" x14ac:dyDescent="0.2">
      <c r="A4775" s="4" t="s">
        <v>2831</v>
      </c>
      <c r="B4775" s="37">
        <v>43733</v>
      </c>
      <c r="C4775" s="12">
        <v>9</v>
      </c>
      <c r="D4775" s="38" t="s">
        <v>1539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-49</v>
      </c>
    </row>
    <row r="4776" spans="1:10" hidden="1" x14ac:dyDescent="0.2">
      <c r="A4776" s="4" t="s">
        <v>2831</v>
      </c>
      <c r="B4776" s="37">
        <v>43733</v>
      </c>
      <c r="C4776" s="12">
        <v>10</v>
      </c>
      <c r="D4776" s="38" t="s">
        <v>2558</v>
      </c>
      <c r="E4776" s="39">
        <v>43731</v>
      </c>
      <c r="F4776" s="40" t="s">
        <v>1184</v>
      </c>
      <c r="G4776" s="12"/>
      <c r="H4776" s="12"/>
      <c r="J4776" s="41">
        <f ca="1">ROUNDDOWN(表3[[#This Row],[日期]]-TODAY(),1)</f>
        <v>-46</v>
      </c>
    </row>
    <row r="4777" spans="1:10" hidden="1" x14ac:dyDescent="0.2">
      <c r="A4777" s="4" t="s">
        <v>2831</v>
      </c>
      <c r="B4777" s="37">
        <v>43733</v>
      </c>
      <c r="C4777" s="12">
        <v>12</v>
      </c>
      <c r="D4777" s="38" t="s">
        <v>1541</v>
      </c>
      <c r="E4777" s="39">
        <v>43731</v>
      </c>
      <c r="F4777" s="40" t="s">
        <v>242</v>
      </c>
      <c r="G4777" s="12">
        <v>1</v>
      </c>
      <c r="H4777" s="12" t="s">
        <v>2867</v>
      </c>
      <c r="I4777" s="4" t="s">
        <v>529</v>
      </c>
      <c r="J4777" s="41">
        <f ca="1">ROUNDDOWN(表3[[#This Row],[日期]]-TODAY(),1)</f>
        <v>-46</v>
      </c>
    </row>
    <row r="4778" spans="1:10" hidden="1" x14ac:dyDescent="0.2">
      <c r="A4778" s="4" t="s">
        <v>2831</v>
      </c>
      <c r="B4778" s="37">
        <v>43733</v>
      </c>
      <c r="C4778" s="12">
        <v>13</v>
      </c>
      <c r="D4778" s="38" t="s">
        <v>1543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-46</v>
      </c>
    </row>
    <row r="4779" spans="1:10" hidden="1" x14ac:dyDescent="0.2">
      <c r="A4779" s="4" t="s">
        <v>2831</v>
      </c>
      <c r="B4779" s="37">
        <v>43733</v>
      </c>
      <c r="C4779" s="12">
        <v>14</v>
      </c>
      <c r="D4779" s="38" t="s">
        <v>1545</v>
      </c>
      <c r="E4779" s="39">
        <v>43731</v>
      </c>
      <c r="F4779" s="40" t="s">
        <v>242</v>
      </c>
      <c r="G4779" s="12">
        <v>1</v>
      </c>
      <c r="H4779" s="12"/>
      <c r="I4779" s="4" t="s">
        <v>1547</v>
      </c>
      <c r="J4779" s="41">
        <f ca="1">ROUNDDOWN(表3[[#This Row],[日期]]-TODAY(),1)</f>
        <v>-46</v>
      </c>
    </row>
    <row r="4780" spans="1:10" hidden="1" x14ac:dyDescent="0.2">
      <c r="A4780" s="4" t="s">
        <v>2831</v>
      </c>
      <c r="B4780" s="37">
        <v>43733</v>
      </c>
      <c r="C4780" s="12">
        <v>15</v>
      </c>
      <c r="D4780" s="38" t="s">
        <v>1549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-46</v>
      </c>
    </row>
    <row r="4781" spans="1:10" hidden="1" x14ac:dyDescent="0.2">
      <c r="A4781" s="4" t="s">
        <v>2831</v>
      </c>
      <c r="B4781" s="37">
        <v>43733</v>
      </c>
      <c r="C4781" s="12">
        <v>16</v>
      </c>
      <c r="D4781" s="38" t="s">
        <v>1556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-46</v>
      </c>
    </row>
    <row r="4782" spans="1:10" hidden="1" x14ac:dyDescent="0.2">
      <c r="A4782" s="4" t="s">
        <v>2831</v>
      </c>
      <c r="B4782" s="37">
        <v>43733</v>
      </c>
      <c r="C4782" s="12">
        <v>17</v>
      </c>
      <c r="D4782" s="38" t="s">
        <v>1298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-46</v>
      </c>
    </row>
    <row r="4783" spans="1:10" hidden="1" x14ac:dyDescent="0.2">
      <c r="A4783" s="4" t="s">
        <v>2831</v>
      </c>
      <c r="B4783" s="37">
        <v>43733</v>
      </c>
      <c r="C4783" s="12">
        <v>18</v>
      </c>
      <c r="D4783" s="38" t="s">
        <v>1552</v>
      </c>
      <c r="E4783" s="39">
        <v>43731</v>
      </c>
      <c r="F4783" s="40" t="s">
        <v>242</v>
      </c>
      <c r="G4783" s="12">
        <v>1</v>
      </c>
      <c r="H4783" s="12"/>
      <c r="I4783" s="4" t="s">
        <v>1554</v>
      </c>
      <c r="J4783" s="41">
        <f ca="1">ROUNDDOWN(表3[[#This Row],[日期]]-TODAY(),1)</f>
        <v>-46</v>
      </c>
    </row>
    <row r="4784" spans="1:10" hidden="1" x14ac:dyDescent="0.2">
      <c r="A4784" s="4" t="s">
        <v>2831</v>
      </c>
      <c r="B4784" s="37">
        <v>43733</v>
      </c>
      <c r="C4784" s="12">
        <v>19</v>
      </c>
      <c r="D4784" s="38" t="s">
        <v>1558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-46</v>
      </c>
    </row>
    <row r="4785" spans="1:10" hidden="1" x14ac:dyDescent="0.2">
      <c r="A4785" s="4" t="s">
        <v>2831</v>
      </c>
      <c r="B4785" s="37">
        <v>43733</v>
      </c>
      <c r="C4785" s="12">
        <v>20</v>
      </c>
      <c r="D4785" s="38" t="s">
        <v>1560</v>
      </c>
      <c r="E4785" s="39">
        <v>43731</v>
      </c>
      <c r="F4785" s="40" t="s">
        <v>1184</v>
      </c>
      <c r="G4785" s="12">
        <v>1</v>
      </c>
      <c r="H4785" s="12"/>
      <c r="J4785" s="41">
        <f ca="1">ROUNDDOWN(表3[[#This Row],[日期]]-TODAY(),1)</f>
        <v>-46</v>
      </c>
    </row>
    <row r="4786" spans="1:10" hidden="1" x14ac:dyDescent="0.2">
      <c r="A4786" s="4" t="s">
        <v>2831</v>
      </c>
      <c r="B4786" s="37">
        <v>43733</v>
      </c>
      <c r="C4786" s="12">
        <v>21</v>
      </c>
      <c r="D4786" s="38" t="s">
        <v>1562</v>
      </c>
      <c r="E4786" s="39">
        <v>43731</v>
      </c>
      <c r="F4786" s="40" t="s">
        <v>1184</v>
      </c>
      <c r="G4786" s="12">
        <v>1</v>
      </c>
      <c r="H4786" s="12"/>
      <c r="J4786" s="41">
        <f ca="1">ROUNDDOWN(表3[[#This Row],[日期]]-TODAY(),1)</f>
        <v>-46</v>
      </c>
    </row>
    <row r="4787" spans="1:10" hidden="1" x14ac:dyDescent="0.2">
      <c r="A4787" s="4" t="s">
        <v>2831</v>
      </c>
      <c r="B4787" s="37">
        <v>43733</v>
      </c>
      <c r="C4787" s="12">
        <v>22</v>
      </c>
      <c r="D4787" s="38" t="s">
        <v>1564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-46</v>
      </c>
    </row>
    <row r="4788" spans="1:10" hidden="1" x14ac:dyDescent="0.2">
      <c r="A4788" s="4" t="s">
        <v>2831</v>
      </c>
      <c r="B4788" s="37">
        <v>43733</v>
      </c>
      <c r="C4788" s="12">
        <v>23</v>
      </c>
      <c r="D4788" s="38" t="s">
        <v>1566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-46</v>
      </c>
    </row>
    <row r="4789" spans="1:10" hidden="1" x14ac:dyDescent="0.2">
      <c r="A4789" s="4" t="s">
        <v>2831</v>
      </c>
      <c r="B4789" s="37">
        <v>43733</v>
      </c>
      <c r="C4789" s="12">
        <v>24</v>
      </c>
      <c r="D4789" s="38" t="s">
        <v>1568</v>
      </c>
      <c r="E4789" s="39">
        <v>43731</v>
      </c>
      <c r="F4789" s="40" t="s">
        <v>242</v>
      </c>
      <c r="G4789" s="12"/>
      <c r="H4789" s="12"/>
      <c r="I4789" s="4" t="s">
        <v>1528</v>
      </c>
      <c r="J4789" s="41">
        <f ca="1">ROUNDDOWN(表3[[#This Row],[日期]]-TODAY(),1)</f>
        <v>-46</v>
      </c>
    </row>
    <row r="4790" spans="1:10" hidden="1" x14ac:dyDescent="0.2">
      <c r="A4790" s="4" t="s">
        <v>2831</v>
      </c>
      <c r="B4790" s="37">
        <v>43733</v>
      </c>
      <c r="C4790" s="12">
        <v>25</v>
      </c>
      <c r="D4790" s="38" t="s">
        <v>305</v>
      </c>
      <c r="E4790" s="39">
        <v>43734</v>
      </c>
      <c r="F4790" s="40" t="s">
        <v>1184</v>
      </c>
      <c r="G4790" s="12"/>
      <c r="H4790" s="12"/>
      <c r="J4790" s="41">
        <f ca="1">ROUNDDOWN(表3[[#This Row],[日期]]-TODAY(),1)</f>
        <v>-43</v>
      </c>
    </row>
    <row r="4791" spans="1:10" hidden="1" x14ac:dyDescent="0.2">
      <c r="A4791" s="4" t="s">
        <v>2831</v>
      </c>
      <c r="B4791" s="37">
        <v>43733</v>
      </c>
      <c r="C4791" s="12">
        <v>26</v>
      </c>
      <c r="D4791" s="38" t="s">
        <v>1572</v>
      </c>
      <c r="E4791" s="39">
        <v>43734</v>
      </c>
      <c r="F4791" s="40" t="s">
        <v>1184</v>
      </c>
      <c r="G4791" s="12"/>
      <c r="H4791" s="12"/>
      <c r="J4791" s="41">
        <f ca="1">ROUNDDOWN(表3[[#This Row],[日期]]-TODAY(),1)</f>
        <v>-43</v>
      </c>
    </row>
    <row r="4792" spans="1:10" hidden="1" x14ac:dyDescent="0.2">
      <c r="A4792" s="4" t="s">
        <v>2831</v>
      </c>
      <c r="B4792" s="37">
        <v>43733</v>
      </c>
      <c r="C4792" s="12">
        <v>27</v>
      </c>
      <c r="D4792" s="38" t="s">
        <v>1570</v>
      </c>
      <c r="E4792" s="39">
        <v>43734</v>
      </c>
      <c r="F4792" s="40" t="s">
        <v>1184</v>
      </c>
      <c r="G4792" s="12"/>
      <c r="H4792" s="12"/>
      <c r="I4792" s="4" t="s">
        <v>1528</v>
      </c>
      <c r="J4792" s="41">
        <f ca="1">ROUNDDOWN(表3[[#This Row],[日期]]-TODAY(),1)</f>
        <v>-43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893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-53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1137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-51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-51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-51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1261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-51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1282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-50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-50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894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-46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1741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-46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1289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-46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1743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-46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1745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-46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1747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-46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1749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-46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1751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-46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895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-45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1753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-45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-45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896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-45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-45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903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-45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2372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-45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1880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-45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-45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-45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-45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-45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-45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-45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2373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-44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898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-44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2374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-44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-44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-44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1023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-44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-44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-44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2987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-39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2988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-43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-39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2383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-39</v>
      </c>
    </row>
    <row r="4834" spans="1:10" hidden="1" x14ac:dyDescent="0.2">
      <c r="A4834" s="4" t="s">
        <v>1371</v>
      </c>
      <c r="B4834" s="37">
        <v>43737</v>
      </c>
      <c r="C4834" s="12">
        <v>1</v>
      </c>
      <c r="D4834" s="38" t="s">
        <v>1805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-64</v>
      </c>
    </row>
    <row r="4835" spans="1:10" hidden="1" x14ac:dyDescent="0.2">
      <c r="A4835" s="4" t="s">
        <v>1371</v>
      </c>
      <c r="B4835" s="37">
        <v>43737</v>
      </c>
      <c r="C4835" s="12">
        <v>2</v>
      </c>
      <c r="D4835" s="38" t="s">
        <v>1806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-63</v>
      </c>
    </row>
    <row r="4836" spans="1:10" hidden="1" x14ac:dyDescent="0.2">
      <c r="A4836" s="4" t="s">
        <v>1371</v>
      </c>
      <c r="B4836" s="37">
        <v>43737</v>
      </c>
      <c r="C4836" s="12">
        <v>3</v>
      </c>
      <c r="D4836" s="38" t="s">
        <v>1807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-63</v>
      </c>
    </row>
    <row r="4837" spans="1:10" hidden="1" x14ac:dyDescent="0.2">
      <c r="A4837" s="4" t="s">
        <v>1371</v>
      </c>
      <c r="B4837" s="37">
        <v>43737</v>
      </c>
      <c r="C4837" s="12">
        <v>4</v>
      </c>
      <c r="D4837" s="38" t="s">
        <v>1808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-63</v>
      </c>
    </row>
    <row r="4838" spans="1:10" hidden="1" x14ac:dyDescent="0.2">
      <c r="A4838" s="4" t="s">
        <v>1371</v>
      </c>
      <c r="B4838" s="37">
        <v>43737</v>
      </c>
      <c r="C4838" s="12">
        <v>5</v>
      </c>
      <c r="D4838" s="38" t="s">
        <v>2030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-44</v>
      </c>
    </row>
    <row r="4839" spans="1:10" hidden="1" x14ac:dyDescent="0.2">
      <c r="A4839" s="4" t="s">
        <v>1371</v>
      </c>
      <c r="B4839" s="37">
        <v>43737</v>
      </c>
      <c r="C4839" s="12">
        <v>5</v>
      </c>
      <c r="D4839" s="38" t="s">
        <v>2043</v>
      </c>
      <c r="E4839" s="39">
        <v>43726</v>
      </c>
      <c r="F4839" s="40" t="s">
        <v>1184</v>
      </c>
      <c r="G4839" s="12"/>
      <c r="H4839" s="12"/>
      <c r="J4839" s="41">
        <f ca="1">ROUNDDOWN(表3[[#This Row],[日期]]-TODAY(),1)</f>
        <v>-51</v>
      </c>
    </row>
    <row r="4840" spans="1:10" hidden="1" x14ac:dyDescent="0.2">
      <c r="A4840" s="4" t="s">
        <v>1371</v>
      </c>
      <c r="B4840" s="37">
        <v>43737</v>
      </c>
      <c r="C4840" s="12">
        <v>7</v>
      </c>
      <c r="D4840" s="38" t="s">
        <v>1653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-44</v>
      </c>
    </row>
    <row r="4841" spans="1:10" hidden="1" x14ac:dyDescent="0.2">
      <c r="A4841" s="4" t="s">
        <v>1371</v>
      </c>
      <c r="B4841" s="37">
        <v>43737</v>
      </c>
      <c r="C4841" s="12">
        <v>8</v>
      </c>
      <c r="D4841" s="38" t="s">
        <v>2063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-43</v>
      </c>
    </row>
    <row r="4842" spans="1:10" hidden="1" x14ac:dyDescent="0.2">
      <c r="A4842" s="4" t="s">
        <v>1371</v>
      </c>
      <c r="B4842" s="37">
        <v>43737</v>
      </c>
      <c r="C4842" s="12">
        <v>9</v>
      </c>
      <c r="D4842" s="38" t="s">
        <v>1655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-43</v>
      </c>
    </row>
    <row r="4843" spans="1:10" hidden="1" x14ac:dyDescent="0.2">
      <c r="A4843" s="4" t="s">
        <v>1371</v>
      </c>
      <c r="B4843" s="37">
        <v>43737</v>
      </c>
      <c r="C4843" s="12">
        <v>10</v>
      </c>
      <c r="D4843" s="38" t="s">
        <v>2984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-43</v>
      </c>
    </row>
    <row r="4844" spans="1:10" hidden="1" x14ac:dyDescent="0.2">
      <c r="A4844" s="4" t="s">
        <v>1371</v>
      </c>
      <c r="B4844" s="37">
        <v>43737</v>
      </c>
      <c r="C4844" s="12">
        <v>13</v>
      </c>
      <c r="D4844" s="38" t="s">
        <v>2985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-43</v>
      </c>
    </row>
    <row r="4845" spans="1:10" hidden="1" x14ac:dyDescent="0.2">
      <c r="A4845" s="4" t="s">
        <v>1371</v>
      </c>
      <c r="B4845" s="37">
        <v>43737</v>
      </c>
      <c r="C4845" s="12">
        <v>17</v>
      </c>
      <c r="D4845" s="38" t="s">
        <v>2986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-43</v>
      </c>
    </row>
    <row r="4846" spans="1:10" hidden="1" x14ac:dyDescent="0.2">
      <c r="A4846" s="4" t="s">
        <v>1371</v>
      </c>
      <c r="B4846" s="37">
        <v>43737</v>
      </c>
      <c r="C4846" s="12">
        <v>18</v>
      </c>
      <c r="D4846" s="38" t="s">
        <v>3035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-42</v>
      </c>
    </row>
    <row r="4847" spans="1:10" hidden="1" x14ac:dyDescent="0.2">
      <c r="A4847" s="4" t="s">
        <v>1371</v>
      </c>
      <c r="B4847" s="37">
        <v>43737</v>
      </c>
      <c r="C4847" s="12">
        <v>20</v>
      </c>
      <c r="D4847" s="38" t="s">
        <v>274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-41</v>
      </c>
    </row>
    <row r="4848" spans="1:10" hidden="1" x14ac:dyDescent="0.2">
      <c r="A4848" s="4" t="s">
        <v>1371</v>
      </c>
      <c r="B4848" s="37">
        <v>43737</v>
      </c>
      <c r="C4848" s="12">
        <v>21</v>
      </c>
      <c r="D4848" s="38" t="s">
        <v>276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-36</v>
      </c>
    </row>
    <row r="4849" spans="1:10" hidden="1" x14ac:dyDescent="0.2">
      <c r="A4849" s="4" t="s">
        <v>1371</v>
      </c>
      <c r="B4849" s="37">
        <v>43737</v>
      </c>
      <c r="C4849" s="12">
        <v>22</v>
      </c>
      <c r="D4849" s="38" t="s">
        <v>305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-36</v>
      </c>
    </row>
    <row r="4850" spans="1:10" hidden="1" x14ac:dyDescent="0.2">
      <c r="A4850" s="4" t="s">
        <v>1371</v>
      </c>
      <c r="B4850" s="37">
        <v>43737</v>
      </c>
      <c r="C4850" s="12">
        <v>23</v>
      </c>
      <c r="D4850" s="38" t="s">
        <v>2019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-36</v>
      </c>
    </row>
    <row r="4851" spans="1:10" hidden="1" x14ac:dyDescent="0.2">
      <c r="A4851" s="4" t="s">
        <v>1371</v>
      </c>
      <c r="B4851" s="37">
        <v>43737</v>
      </c>
      <c r="C4851" s="12">
        <v>24</v>
      </c>
      <c r="D4851" s="38" t="s">
        <v>1990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-31</v>
      </c>
    </row>
    <row r="4852" spans="1:10" hidden="1" x14ac:dyDescent="0.2">
      <c r="A4852" s="4" t="s">
        <v>1371</v>
      </c>
      <c r="B4852" s="37">
        <v>43737</v>
      </c>
      <c r="C4852" s="12">
        <v>25</v>
      </c>
      <c r="D4852" s="38" t="s">
        <v>2020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-31</v>
      </c>
    </row>
    <row r="4853" spans="1:10" hidden="1" x14ac:dyDescent="0.2">
      <c r="A4853" s="4" t="s">
        <v>2830</v>
      </c>
      <c r="B4853" s="37">
        <v>43737</v>
      </c>
      <c r="C4853" s="12">
        <v>1</v>
      </c>
      <c r="D4853" s="38" t="s">
        <v>2837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-46</v>
      </c>
    </row>
    <row r="4854" spans="1:10" hidden="1" x14ac:dyDescent="0.2">
      <c r="A4854" s="4" t="s">
        <v>2830</v>
      </c>
      <c r="B4854" s="37">
        <v>43737</v>
      </c>
      <c r="C4854" s="12">
        <v>2</v>
      </c>
      <c r="D4854" s="38" t="s">
        <v>2815</v>
      </c>
      <c r="E4854" s="39">
        <v>43731</v>
      </c>
      <c r="F4854" s="40" t="s">
        <v>242</v>
      </c>
      <c r="G4854" s="12"/>
      <c r="H4854" s="12"/>
      <c r="I4854" s="4" t="s">
        <v>1521</v>
      </c>
      <c r="J4854" s="41">
        <f ca="1">ROUNDDOWN(表3[[#This Row],[日期]]-TODAY(),1)</f>
        <v>-46</v>
      </c>
    </row>
    <row r="4855" spans="1:10" hidden="1" x14ac:dyDescent="0.2">
      <c r="A4855" s="4" t="s">
        <v>2830</v>
      </c>
      <c r="B4855" s="37">
        <v>43737</v>
      </c>
      <c r="C4855" s="12">
        <v>3</v>
      </c>
      <c r="D4855" s="38" t="s">
        <v>2813</v>
      </c>
      <c r="E4855" s="39">
        <v>43731</v>
      </c>
      <c r="F4855" s="40" t="s">
        <v>242</v>
      </c>
      <c r="G4855" s="12"/>
      <c r="H4855" s="12"/>
      <c r="I4855" s="4" t="s">
        <v>1523</v>
      </c>
      <c r="J4855" s="41">
        <f ca="1">ROUNDDOWN(表3[[#This Row],[日期]]-TODAY(),1)</f>
        <v>-46</v>
      </c>
    </row>
    <row r="4856" spans="1:10" hidden="1" x14ac:dyDescent="0.2">
      <c r="A4856" s="4" t="s">
        <v>2830</v>
      </c>
      <c r="B4856" s="37">
        <v>43737</v>
      </c>
      <c r="C4856" s="12">
        <v>4</v>
      </c>
      <c r="D4856" s="38" t="s">
        <v>2817</v>
      </c>
      <c r="E4856" s="39">
        <v>43731</v>
      </c>
      <c r="F4856" s="40" t="s">
        <v>242</v>
      </c>
      <c r="G4856" s="12"/>
      <c r="H4856" s="12"/>
      <c r="I4856" s="4" t="s">
        <v>2842</v>
      </c>
      <c r="J4856" s="41">
        <f ca="1">ROUNDDOWN(表3[[#This Row],[日期]]-TODAY(),1)</f>
        <v>-46</v>
      </c>
    </row>
    <row r="4857" spans="1:10" hidden="1" x14ac:dyDescent="0.2">
      <c r="A4857" s="4" t="s">
        <v>2830</v>
      </c>
      <c r="B4857" s="37">
        <v>43737</v>
      </c>
      <c r="C4857" s="12">
        <v>5</v>
      </c>
      <c r="D4857" s="38" t="s">
        <v>2910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-46</v>
      </c>
    </row>
    <row r="4858" spans="1:10" hidden="1" x14ac:dyDescent="0.2">
      <c r="A4858" s="4" t="s">
        <v>2830</v>
      </c>
      <c r="B4858" s="37">
        <v>43737</v>
      </c>
      <c r="C4858" s="12">
        <v>6</v>
      </c>
      <c r="D4858" s="38" t="s">
        <v>1533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-45</v>
      </c>
    </row>
    <row r="4859" spans="1:10" hidden="1" x14ac:dyDescent="0.2">
      <c r="A4859" s="4" t="s">
        <v>2830</v>
      </c>
      <c r="B4859" s="37">
        <v>43737</v>
      </c>
      <c r="C4859" s="12">
        <v>7</v>
      </c>
      <c r="D4859" s="38" t="s">
        <v>2835</v>
      </c>
      <c r="E4859" s="39">
        <v>43731</v>
      </c>
      <c r="F4859" s="40" t="s">
        <v>1184</v>
      </c>
      <c r="G4859" s="12"/>
      <c r="H4859" s="12"/>
      <c r="J4859" s="41">
        <f ca="1">ROUNDDOWN(表3[[#This Row],[日期]]-TODAY(),1)</f>
        <v>-46</v>
      </c>
    </row>
    <row r="4860" spans="1:10" hidden="1" x14ac:dyDescent="0.2">
      <c r="A4860" s="4" t="s">
        <v>2830</v>
      </c>
      <c r="B4860" s="37">
        <v>43737</v>
      </c>
      <c r="C4860" s="12">
        <v>8</v>
      </c>
      <c r="D4860" s="38" t="s">
        <v>2850</v>
      </c>
      <c r="E4860" s="39">
        <v>43731</v>
      </c>
      <c r="F4860" s="40" t="s">
        <v>1184</v>
      </c>
      <c r="G4860" s="12"/>
      <c r="H4860" s="12"/>
      <c r="J4860" s="41">
        <f ca="1">ROUNDDOWN(表3[[#This Row],[日期]]-TODAY(),1)</f>
        <v>-46</v>
      </c>
    </row>
    <row r="4861" spans="1:10" hidden="1" x14ac:dyDescent="0.2">
      <c r="A4861" s="4" t="s">
        <v>2830</v>
      </c>
      <c r="B4861" s="37">
        <v>43737</v>
      </c>
      <c r="C4861" s="12">
        <v>9</v>
      </c>
      <c r="D4861" s="38" t="s">
        <v>1539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-45</v>
      </c>
    </row>
    <row r="4862" spans="1:10" hidden="1" x14ac:dyDescent="0.2">
      <c r="A4862" s="4" t="s">
        <v>2830</v>
      </c>
      <c r="B4862" s="37">
        <v>43737</v>
      </c>
      <c r="C4862" s="12">
        <v>10</v>
      </c>
      <c r="D4862" s="38" t="s">
        <v>2558</v>
      </c>
      <c r="E4862" s="39">
        <v>43732</v>
      </c>
      <c r="F4862" s="40" t="s">
        <v>1184</v>
      </c>
      <c r="G4862" s="12"/>
      <c r="H4862" s="12"/>
      <c r="J4862" s="41">
        <f ca="1">ROUNDDOWN(表3[[#This Row],[日期]]-TODAY(),1)</f>
        <v>-45</v>
      </c>
    </row>
    <row r="4863" spans="1:10" hidden="1" x14ac:dyDescent="0.2">
      <c r="A4863" s="4" t="s">
        <v>2830</v>
      </c>
      <c r="B4863" s="37">
        <v>43737</v>
      </c>
      <c r="C4863" s="12">
        <v>11</v>
      </c>
      <c r="D4863" s="38" t="s">
        <v>1541</v>
      </c>
      <c r="E4863" s="39">
        <v>43735</v>
      </c>
      <c r="F4863" s="40" t="s">
        <v>1184</v>
      </c>
      <c r="G4863" s="12"/>
      <c r="H4863" s="12"/>
      <c r="I4863" s="4" t="s">
        <v>529</v>
      </c>
      <c r="J4863" s="41">
        <f ca="1">ROUNDDOWN(表3[[#This Row],[日期]]-TODAY(),1)</f>
        <v>-42</v>
      </c>
    </row>
    <row r="4864" spans="1:10" hidden="1" x14ac:dyDescent="0.2">
      <c r="A4864" s="4" t="s">
        <v>2830</v>
      </c>
      <c r="B4864" s="37">
        <v>43737</v>
      </c>
      <c r="C4864" s="12">
        <v>12</v>
      </c>
      <c r="D4864" s="38" t="s">
        <v>2911</v>
      </c>
      <c r="E4864" s="39">
        <v>43735</v>
      </c>
      <c r="F4864" s="40" t="s">
        <v>1184</v>
      </c>
      <c r="G4864" s="12"/>
      <c r="H4864" s="12"/>
      <c r="J4864" s="41">
        <f ca="1">ROUNDDOWN(表3[[#This Row],[日期]]-TODAY(),1)</f>
        <v>-42</v>
      </c>
    </row>
    <row r="4865" spans="1:10" hidden="1" x14ac:dyDescent="0.2">
      <c r="A4865" s="4" t="s">
        <v>2830</v>
      </c>
      <c r="B4865" s="37">
        <v>43737</v>
      </c>
      <c r="C4865" s="12">
        <v>13</v>
      </c>
      <c r="D4865" s="38" t="s">
        <v>2855</v>
      </c>
      <c r="E4865" s="39">
        <v>43735</v>
      </c>
      <c r="F4865" s="40" t="s">
        <v>1184</v>
      </c>
      <c r="G4865" s="12"/>
      <c r="H4865" s="12"/>
      <c r="I4865" s="4" t="s">
        <v>1547</v>
      </c>
      <c r="J4865" s="41">
        <f ca="1">ROUNDDOWN(表3[[#This Row],[日期]]-TODAY(),1)</f>
        <v>-42</v>
      </c>
    </row>
    <row r="4866" spans="1:10" hidden="1" x14ac:dyDescent="0.2">
      <c r="A4866" s="4" t="s">
        <v>2830</v>
      </c>
      <c r="B4866" s="37">
        <v>43737</v>
      </c>
      <c r="C4866" s="12">
        <v>14</v>
      </c>
      <c r="D4866" s="38" t="s">
        <v>2820</v>
      </c>
      <c r="E4866" s="39">
        <v>43735</v>
      </c>
      <c r="F4866" s="40" t="s">
        <v>1184</v>
      </c>
      <c r="G4866" s="12"/>
      <c r="H4866" s="12"/>
      <c r="J4866" s="41">
        <f ca="1">ROUNDDOWN(表3[[#This Row],[日期]]-TODAY(),1)</f>
        <v>-42</v>
      </c>
    </row>
    <row r="4867" spans="1:10" hidden="1" x14ac:dyDescent="0.2">
      <c r="A4867" s="4" t="s">
        <v>2830</v>
      </c>
      <c r="B4867" s="37">
        <v>43737</v>
      </c>
      <c r="C4867" s="12">
        <v>15</v>
      </c>
      <c r="D4867" s="38" t="s">
        <v>2856</v>
      </c>
      <c r="E4867" s="39">
        <v>43735</v>
      </c>
      <c r="F4867" s="40" t="s">
        <v>1184</v>
      </c>
      <c r="G4867" s="12"/>
      <c r="H4867" s="12"/>
      <c r="J4867" s="41">
        <f ca="1">ROUNDDOWN(表3[[#This Row],[日期]]-TODAY(),1)</f>
        <v>-42</v>
      </c>
    </row>
    <row r="4868" spans="1:10" hidden="1" x14ac:dyDescent="0.2">
      <c r="A4868" s="4" t="s">
        <v>2830</v>
      </c>
      <c r="B4868" s="37">
        <v>43737</v>
      </c>
      <c r="C4868" s="12">
        <v>16</v>
      </c>
      <c r="D4868" s="38" t="s">
        <v>2822</v>
      </c>
      <c r="E4868" s="39">
        <v>43735</v>
      </c>
      <c r="F4868" s="40" t="s">
        <v>1184</v>
      </c>
      <c r="G4868" s="12"/>
      <c r="H4868" s="12"/>
      <c r="J4868" s="41">
        <f ca="1">ROUNDDOWN(表3[[#This Row],[日期]]-TODAY(),1)</f>
        <v>-42</v>
      </c>
    </row>
    <row r="4869" spans="1:10" hidden="1" x14ac:dyDescent="0.2">
      <c r="A4869" s="4" t="s">
        <v>2830</v>
      </c>
      <c r="B4869" s="37">
        <v>43737</v>
      </c>
      <c r="C4869" s="12">
        <v>17</v>
      </c>
      <c r="D4869" s="38" t="s">
        <v>2851</v>
      </c>
      <c r="E4869" s="39">
        <v>43735</v>
      </c>
      <c r="F4869" s="40" t="s">
        <v>1184</v>
      </c>
      <c r="G4869" s="12"/>
      <c r="H4869" s="12"/>
      <c r="J4869" s="41">
        <f ca="1">ROUNDDOWN(表3[[#This Row],[日期]]-TODAY(),1)</f>
        <v>-42</v>
      </c>
    </row>
    <row r="4870" spans="1:10" hidden="1" x14ac:dyDescent="0.2">
      <c r="A4870" s="4" t="s">
        <v>2830</v>
      </c>
      <c r="B4870" s="37">
        <v>43737</v>
      </c>
      <c r="C4870" s="12">
        <v>18</v>
      </c>
      <c r="D4870" s="38" t="s">
        <v>2852</v>
      </c>
      <c r="E4870" s="39">
        <v>43735</v>
      </c>
      <c r="F4870" s="40" t="s">
        <v>1184</v>
      </c>
      <c r="G4870" s="12"/>
      <c r="H4870" s="12"/>
      <c r="J4870" s="41">
        <f ca="1">ROUNDDOWN(表3[[#This Row],[日期]]-TODAY(),1)</f>
        <v>-42</v>
      </c>
    </row>
    <row r="4871" spans="1:10" hidden="1" x14ac:dyDescent="0.2">
      <c r="A4871" s="4" t="s">
        <v>2830</v>
      </c>
      <c r="B4871" s="37">
        <v>43737</v>
      </c>
      <c r="C4871" s="12">
        <v>19</v>
      </c>
      <c r="D4871" s="38" t="s">
        <v>2824</v>
      </c>
      <c r="E4871" s="39">
        <v>43735</v>
      </c>
      <c r="F4871" s="40" t="s">
        <v>1184</v>
      </c>
      <c r="G4871" s="12"/>
      <c r="H4871" s="12"/>
      <c r="J4871" s="41">
        <f ca="1">ROUNDDOWN(表3[[#This Row],[日期]]-TODAY(),1)</f>
        <v>-42</v>
      </c>
    </row>
    <row r="4872" spans="1:10" hidden="1" x14ac:dyDescent="0.2">
      <c r="A4872" s="4" t="s">
        <v>2830</v>
      </c>
      <c r="B4872" s="37">
        <v>43737</v>
      </c>
      <c r="C4872" s="12">
        <v>20</v>
      </c>
      <c r="D4872" s="38" t="s">
        <v>2826</v>
      </c>
      <c r="E4872" s="39">
        <v>43735</v>
      </c>
      <c r="F4872" s="40" t="s">
        <v>1184</v>
      </c>
      <c r="G4872" s="12"/>
      <c r="H4872" s="12"/>
      <c r="J4872" s="41">
        <f ca="1">ROUNDDOWN(表3[[#This Row],[日期]]-TODAY(),1)</f>
        <v>-42</v>
      </c>
    </row>
    <row r="4873" spans="1:10" hidden="1" x14ac:dyDescent="0.2">
      <c r="A4873" s="4" t="s">
        <v>2830</v>
      </c>
      <c r="B4873" s="37">
        <v>43737</v>
      </c>
      <c r="C4873" s="12">
        <v>21</v>
      </c>
      <c r="D4873" s="38" t="s">
        <v>2828</v>
      </c>
      <c r="E4873" s="39">
        <v>43735</v>
      </c>
      <c r="F4873" s="40" t="s">
        <v>1184</v>
      </c>
      <c r="G4873" s="12"/>
      <c r="H4873" s="12"/>
      <c r="I4873" s="4" t="s">
        <v>2842</v>
      </c>
      <c r="J4873" s="41">
        <f ca="1">ROUNDDOWN(表3[[#This Row],[日期]]-TODAY(),1)</f>
        <v>-42</v>
      </c>
    </row>
    <row r="4874" spans="1:10" hidden="1" x14ac:dyDescent="0.2">
      <c r="A4874" s="4" t="s">
        <v>2830</v>
      </c>
      <c r="B4874" s="37">
        <v>43737</v>
      </c>
      <c r="C4874" s="12">
        <v>22</v>
      </c>
      <c r="D4874" s="38" t="s">
        <v>305</v>
      </c>
      <c r="E4874" s="39">
        <v>43737</v>
      </c>
      <c r="F4874" s="40" t="s">
        <v>1184</v>
      </c>
      <c r="G4874" s="12"/>
      <c r="H4874" s="12"/>
      <c r="J4874" s="41">
        <f ca="1">ROUNDDOWN(表3[[#This Row],[日期]]-TODAY(),1)</f>
        <v>-40</v>
      </c>
    </row>
    <row r="4875" spans="1:10" hidden="1" x14ac:dyDescent="0.2">
      <c r="A4875" s="4" t="s">
        <v>2830</v>
      </c>
      <c r="B4875" s="37">
        <v>43737</v>
      </c>
      <c r="C4875" s="12">
        <v>23</v>
      </c>
      <c r="D4875" s="38" t="s">
        <v>2832</v>
      </c>
      <c r="E4875" s="39">
        <v>43738</v>
      </c>
      <c r="F4875" s="40" t="s">
        <v>1184</v>
      </c>
      <c r="G4875" s="12"/>
      <c r="H4875" s="12"/>
      <c r="J4875" s="41">
        <f ca="1">ROUNDDOWN(表3[[#This Row],[日期]]-TODAY(),1)</f>
        <v>-39</v>
      </c>
    </row>
    <row r="4876" spans="1:10" hidden="1" x14ac:dyDescent="0.2">
      <c r="A4876" s="4" t="s">
        <v>2830</v>
      </c>
      <c r="B4876" s="37">
        <v>43737</v>
      </c>
      <c r="C4876" s="12">
        <v>24</v>
      </c>
      <c r="D4876" s="38" t="s">
        <v>1572</v>
      </c>
      <c r="E4876" s="39">
        <v>43738</v>
      </c>
      <c r="F4876" s="40" t="s">
        <v>1184</v>
      </c>
      <c r="G4876" s="12"/>
      <c r="H4876" s="12"/>
      <c r="J4876" s="41">
        <f ca="1">ROUNDDOWN(表3[[#This Row],[日期]]-TODAY(),1)</f>
        <v>-39</v>
      </c>
    </row>
    <row r="4877" spans="1:10" hidden="1" x14ac:dyDescent="0.2">
      <c r="A4877" s="4" t="s">
        <v>2830</v>
      </c>
      <c r="B4877" s="37">
        <v>43737</v>
      </c>
      <c r="C4877" s="12">
        <v>25</v>
      </c>
      <c r="D4877" s="38" t="s">
        <v>1570</v>
      </c>
      <c r="E4877" s="39">
        <v>43738</v>
      </c>
      <c r="F4877" s="40" t="s">
        <v>1184</v>
      </c>
      <c r="G4877" s="12"/>
      <c r="H4877" s="12"/>
      <c r="I4877" s="4" t="s">
        <v>2842</v>
      </c>
      <c r="J4877" s="41">
        <f ca="1">ROUNDDOWN(表3[[#This Row],[日期]]-TODAY(),1)</f>
        <v>-39</v>
      </c>
    </row>
    <row r="4878" spans="1:10" hidden="1" x14ac:dyDescent="0.2">
      <c r="A4878" s="4" t="s">
        <v>2844</v>
      </c>
      <c r="B4878" s="37">
        <v>43738</v>
      </c>
      <c r="C4878" s="12">
        <v>1</v>
      </c>
      <c r="D4878" s="38" t="s">
        <v>3109</v>
      </c>
      <c r="E4878" s="39">
        <v>43737</v>
      </c>
      <c r="F4878" s="40" t="s">
        <v>242</v>
      </c>
      <c r="G4878" s="12">
        <v>1</v>
      </c>
      <c r="H4878" s="12" t="s">
        <v>3112</v>
      </c>
      <c r="I4878" s="4" t="s">
        <v>222</v>
      </c>
      <c r="J4878" s="41">
        <f ca="1">ROUNDDOWN(表3[[#This Row],[日期]]-TODAY(),1)</f>
        <v>-40</v>
      </c>
    </row>
    <row r="4879" spans="1:10" hidden="1" x14ac:dyDescent="0.2">
      <c r="A4879" s="4" t="s">
        <v>2844</v>
      </c>
      <c r="B4879" s="37">
        <v>43738</v>
      </c>
      <c r="C4879" s="12">
        <v>2</v>
      </c>
      <c r="D4879" s="38" t="s">
        <v>2794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-40</v>
      </c>
    </row>
    <row r="4880" spans="1:10" hidden="1" x14ac:dyDescent="0.2">
      <c r="A4880" s="4" t="s">
        <v>2844</v>
      </c>
      <c r="B4880" s="37">
        <v>43738</v>
      </c>
      <c r="C4880" s="12">
        <v>3</v>
      </c>
      <c r="D4880" s="38" t="s">
        <v>1477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-40</v>
      </c>
    </row>
    <row r="4881" spans="1:10" hidden="1" x14ac:dyDescent="0.2">
      <c r="A4881" s="4" t="s">
        <v>2844</v>
      </c>
      <c r="B4881" s="37">
        <v>43738</v>
      </c>
      <c r="C4881" s="12">
        <v>4</v>
      </c>
      <c r="D4881" s="38" t="s">
        <v>3103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-40</v>
      </c>
    </row>
    <row r="4882" spans="1:10" hidden="1" x14ac:dyDescent="0.2">
      <c r="A4882" s="4" t="s">
        <v>2844</v>
      </c>
      <c r="B4882" s="37">
        <v>43738</v>
      </c>
      <c r="C4882" s="12">
        <v>5</v>
      </c>
      <c r="D4882" s="38" t="s">
        <v>3104</v>
      </c>
      <c r="E4882" s="39">
        <v>43741</v>
      </c>
      <c r="F4882" s="40" t="s">
        <v>3183</v>
      </c>
      <c r="G4882" s="12"/>
      <c r="H4882" s="12"/>
      <c r="I4882" s="4" t="s">
        <v>222</v>
      </c>
      <c r="J4882" s="41">
        <f ca="1">ROUNDDOWN(表3[[#This Row],[日期]]-TODAY(),1)</f>
        <v>-36</v>
      </c>
    </row>
    <row r="4883" spans="1:10" hidden="1" x14ac:dyDescent="0.2">
      <c r="A4883" s="4" t="s">
        <v>2844</v>
      </c>
      <c r="B4883" s="37">
        <v>43738</v>
      </c>
      <c r="C4883" s="12">
        <v>6</v>
      </c>
      <c r="D4883" s="38" t="s">
        <v>3171</v>
      </c>
      <c r="E4883" s="39">
        <v>43739</v>
      </c>
      <c r="F4883" s="40" t="s">
        <v>3178</v>
      </c>
      <c r="G4883" s="12"/>
      <c r="H4883" s="12"/>
      <c r="I4883" s="4" t="s">
        <v>222</v>
      </c>
      <c r="J4883" s="41">
        <f ca="1">ROUNDDOWN(表3[[#This Row],[日期]]-TODAY(),1)</f>
        <v>-38</v>
      </c>
    </row>
    <row r="4884" spans="1:10" hidden="1" x14ac:dyDescent="0.2">
      <c r="A4884" s="4" t="s">
        <v>2844</v>
      </c>
      <c r="B4884" s="37">
        <v>43738</v>
      </c>
      <c r="C4884" s="12">
        <v>7</v>
      </c>
      <c r="D4884" s="38" t="s">
        <v>738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-39</v>
      </c>
    </row>
    <row r="4885" spans="1:10" hidden="1" x14ac:dyDescent="0.2">
      <c r="A4885" s="4" t="s">
        <v>2844</v>
      </c>
      <c r="B4885" s="37">
        <v>43738</v>
      </c>
      <c r="C4885" s="12">
        <v>8</v>
      </c>
      <c r="D4885" s="38" t="s">
        <v>738</v>
      </c>
      <c r="E4885" s="39">
        <v>43740</v>
      </c>
      <c r="F4885" s="40" t="s">
        <v>1184</v>
      </c>
      <c r="G4885" s="12"/>
      <c r="H4885" s="12"/>
      <c r="I4885" s="4" t="s">
        <v>224</v>
      </c>
      <c r="J4885" s="41">
        <f ca="1">ROUNDDOWN(表3[[#This Row],[日期]]-TODAY(),1)</f>
        <v>-37</v>
      </c>
    </row>
    <row r="4886" spans="1:10" hidden="1" x14ac:dyDescent="0.2">
      <c r="A4886" s="4" t="s">
        <v>2844</v>
      </c>
      <c r="B4886" s="37">
        <v>43738</v>
      </c>
      <c r="C4886" s="12">
        <v>9</v>
      </c>
      <c r="D4886" s="38" t="s">
        <v>3110</v>
      </c>
      <c r="E4886" s="39">
        <v>43743</v>
      </c>
      <c r="F4886" s="40" t="s">
        <v>242</v>
      </c>
      <c r="G4886" s="12">
        <v>1</v>
      </c>
      <c r="H4886" s="12" t="s">
        <v>3112</v>
      </c>
      <c r="I4886" s="4" t="s">
        <v>743</v>
      </c>
      <c r="J4886" s="41">
        <f ca="1">ROUNDDOWN(表3[[#This Row],[日期]]-TODAY(),1)</f>
        <v>-34</v>
      </c>
    </row>
    <row r="4887" spans="1:10" hidden="1" x14ac:dyDescent="0.2">
      <c r="A4887" s="4" t="s">
        <v>2844</v>
      </c>
      <c r="B4887" s="37">
        <v>43738</v>
      </c>
      <c r="C4887" s="12">
        <v>10</v>
      </c>
      <c r="D4887" s="38" t="s">
        <v>3106</v>
      </c>
      <c r="E4887" s="39">
        <v>43743</v>
      </c>
      <c r="F4887" s="40" t="s">
        <v>242</v>
      </c>
      <c r="G4887" s="12"/>
      <c r="H4887" s="12"/>
      <c r="I4887" s="4" t="s">
        <v>743</v>
      </c>
      <c r="J4887" s="41">
        <f ca="1">ROUNDDOWN(表3[[#This Row],[日期]]-TODAY(),1)</f>
        <v>-34</v>
      </c>
    </row>
    <row r="4888" spans="1:10" hidden="1" x14ac:dyDescent="0.2">
      <c r="A4888" s="4" t="s">
        <v>2844</v>
      </c>
      <c r="B4888" s="37">
        <v>43738</v>
      </c>
      <c r="C4888" s="12">
        <v>13</v>
      </c>
      <c r="D4888" s="38" t="s">
        <v>738</v>
      </c>
      <c r="E4888" s="39">
        <v>43742</v>
      </c>
      <c r="F4888" s="40" t="s">
        <v>1184</v>
      </c>
      <c r="G4888" s="12"/>
      <c r="H4888" s="12"/>
      <c r="I4888" s="4" t="s">
        <v>220</v>
      </c>
      <c r="J4888" s="41">
        <f ca="1">ROUNDDOWN(表3[[#This Row],[日期]]-TODAY(),1)</f>
        <v>-35</v>
      </c>
    </row>
    <row r="4889" spans="1:10" hidden="1" x14ac:dyDescent="0.2">
      <c r="A4889" s="4" t="s">
        <v>2844</v>
      </c>
      <c r="B4889" s="37">
        <v>43738</v>
      </c>
      <c r="C4889" s="12">
        <v>14</v>
      </c>
      <c r="D4889" s="38" t="s">
        <v>3107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-35</v>
      </c>
    </row>
    <row r="4890" spans="1:10" hidden="1" x14ac:dyDescent="0.2">
      <c r="A4890" s="4" t="s">
        <v>2844</v>
      </c>
      <c r="B4890" s="37">
        <v>43738</v>
      </c>
      <c r="C4890" s="12">
        <v>15</v>
      </c>
      <c r="D4890" s="38" t="s">
        <v>3108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-35</v>
      </c>
    </row>
    <row r="4891" spans="1:10" hidden="1" x14ac:dyDescent="0.2">
      <c r="A4891" s="4" t="s">
        <v>3138</v>
      </c>
      <c r="B4891" s="37">
        <v>43738</v>
      </c>
      <c r="C4891" s="12"/>
      <c r="D4891" s="38" t="s">
        <v>3139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-32</v>
      </c>
    </row>
    <row r="4892" spans="1:10" hidden="1" x14ac:dyDescent="0.2">
      <c r="A4892" s="4" t="s">
        <v>2846</v>
      </c>
      <c r="B4892" s="37">
        <v>43739</v>
      </c>
      <c r="C4892" s="12">
        <v>1</v>
      </c>
      <c r="D4892" s="38" t="s">
        <v>2210</v>
      </c>
      <c r="E4892" s="39">
        <v>43736</v>
      </c>
      <c r="F4892" s="40" t="s">
        <v>242</v>
      </c>
      <c r="G4892" s="12"/>
      <c r="H4892" s="12"/>
      <c r="I4892" s="4" t="s">
        <v>680</v>
      </c>
      <c r="J4892" s="41">
        <f ca="1">ROUNDDOWN(表3[[#This Row],[日期]]-TODAY(),1)</f>
        <v>-41</v>
      </c>
    </row>
    <row r="4893" spans="1:10" hidden="1" x14ac:dyDescent="0.2">
      <c r="A4893" s="4" t="s">
        <v>3337</v>
      </c>
      <c r="B4893" s="37">
        <v>43739</v>
      </c>
      <c r="C4893" s="12">
        <v>2</v>
      </c>
      <c r="D4893" s="38" t="s">
        <v>3336</v>
      </c>
      <c r="E4893" s="39">
        <v>43745</v>
      </c>
      <c r="F4893" s="40" t="s">
        <v>242</v>
      </c>
      <c r="G4893" s="12"/>
      <c r="H4893" s="12"/>
      <c r="I4893" s="4" t="s">
        <v>3319</v>
      </c>
      <c r="J4893" s="41">
        <f ca="1">ROUNDDOWN(表3[[#This Row],[日期]]-TODAY(),1)</f>
        <v>-32</v>
      </c>
    </row>
    <row r="4894" spans="1:10" hidden="1" x14ac:dyDescent="0.2">
      <c r="A4894" s="4" t="s">
        <v>2846</v>
      </c>
      <c r="B4894" s="37">
        <v>43739</v>
      </c>
      <c r="C4894" s="12">
        <v>3</v>
      </c>
      <c r="D4894" s="38" t="s">
        <v>681</v>
      </c>
      <c r="E4894" s="39">
        <v>43745</v>
      </c>
      <c r="F4894" s="40" t="s">
        <v>242</v>
      </c>
      <c r="G4894" s="12"/>
      <c r="H4894" s="12"/>
      <c r="I4894" s="4" t="s">
        <v>680</v>
      </c>
      <c r="J4894" s="41">
        <f ca="1">ROUNDDOWN(表3[[#This Row],[日期]]-TODAY(),1)</f>
        <v>-32</v>
      </c>
    </row>
    <row r="4895" spans="1:10" hidden="1" x14ac:dyDescent="0.2">
      <c r="A4895" s="4" t="s">
        <v>3337</v>
      </c>
      <c r="B4895" s="37">
        <v>43739</v>
      </c>
      <c r="C4895" s="12">
        <v>4</v>
      </c>
      <c r="D4895" s="38" t="s">
        <v>3338</v>
      </c>
      <c r="E4895" s="39">
        <v>43746</v>
      </c>
      <c r="F4895" s="40" t="s">
        <v>3340</v>
      </c>
      <c r="G4895" s="12"/>
      <c r="H4895" s="12"/>
      <c r="I4895" s="4" t="s">
        <v>1154</v>
      </c>
      <c r="J4895" s="41">
        <f ca="1">ROUNDDOWN(表3[[#This Row],[日期]]-TODAY(),1)</f>
        <v>-31</v>
      </c>
    </row>
    <row r="4896" spans="1:10" hidden="1" x14ac:dyDescent="0.2">
      <c r="A4896" s="4" t="s">
        <v>2846</v>
      </c>
      <c r="B4896" s="37">
        <v>43739</v>
      </c>
      <c r="C4896" s="12">
        <v>5</v>
      </c>
      <c r="D4896" s="38" t="s">
        <v>3082</v>
      </c>
      <c r="E4896" s="39">
        <v>43746</v>
      </c>
      <c r="F4896" s="40" t="s">
        <v>1184</v>
      </c>
      <c r="G4896" s="12"/>
      <c r="H4896" s="12"/>
      <c r="I4896" s="4" t="s">
        <v>680</v>
      </c>
      <c r="J4896" s="41">
        <f ca="1">ROUNDDOWN(表3[[#This Row],[日期]]-TODAY(),1)</f>
        <v>-31</v>
      </c>
    </row>
    <row r="4897" spans="1:10" hidden="1" x14ac:dyDescent="0.2">
      <c r="A4897" s="4" t="s">
        <v>3337</v>
      </c>
      <c r="B4897" s="37">
        <v>43739</v>
      </c>
      <c r="C4897" s="12">
        <v>6</v>
      </c>
      <c r="D4897" s="38" t="s">
        <v>3325</v>
      </c>
      <c r="E4897" s="39">
        <v>43747</v>
      </c>
      <c r="F4897" s="40" t="s">
        <v>3340</v>
      </c>
      <c r="G4897" s="12"/>
      <c r="H4897" s="12"/>
      <c r="I4897" s="4" t="s">
        <v>1978</v>
      </c>
      <c r="J4897" s="41">
        <f ca="1">ROUNDDOWN(表3[[#This Row],[日期]]-TODAY(),1)</f>
        <v>-30</v>
      </c>
    </row>
    <row r="4898" spans="1:10" hidden="1" x14ac:dyDescent="0.2">
      <c r="A4898" s="4" t="s">
        <v>2846</v>
      </c>
      <c r="B4898" s="37">
        <v>43739</v>
      </c>
      <c r="C4898" s="12">
        <v>7</v>
      </c>
      <c r="D4898" s="38" t="s">
        <v>1604</v>
      </c>
      <c r="E4898" s="39">
        <v>43747</v>
      </c>
      <c r="F4898" s="40" t="s">
        <v>242</v>
      </c>
      <c r="G4898" s="12"/>
      <c r="H4898" s="12"/>
      <c r="I4898" s="4" t="s">
        <v>1207</v>
      </c>
      <c r="J4898" s="41">
        <f ca="1">ROUNDDOWN(表3[[#This Row],[日期]]-TODAY(),1)</f>
        <v>-30</v>
      </c>
    </row>
    <row r="4899" spans="1:10" hidden="1" x14ac:dyDescent="0.2">
      <c r="A4899" s="4" t="s">
        <v>3337</v>
      </c>
      <c r="B4899" s="37">
        <v>43739</v>
      </c>
      <c r="C4899" s="12">
        <v>8</v>
      </c>
      <c r="D4899" s="38" t="s">
        <v>3321</v>
      </c>
      <c r="E4899" s="39">
        <v>43751</v>
      </c>
      <c r="F4899" s="40" t="s">
        <v>242</v>
      </c>
      <c r="G4899" s="12"/>
      <c r="H4899" s="12"/>
      <c r="I4899" s="4" t="s">
        <v>3319</v>
      </c>
      <c r="J4899" s="41">
        <f ca="1">ROUNDDOWN(表3[[#This Row],[日期]]-TODAY(),1)</f>
        <v>-26</v>
      </c>
    </row>
    <row r="4900" spans="1:10" hidden="1" x14ac:dyDescent="0.2">
      <c r="A4900" s="4" t="s">
        <v>3337</v>
      </c>
      <c r="B4900" s="37">
        <v>43739</v>
      </c>
      <c r="C4900" s="12">
        <v>9</v>
      </c>
      <c r="D4900" s="38" t="s">
        <v>3322</v>
      </c>
      <c r="E4900" s="39">
        <v>43751</v>
      </c>
      <c r="F4900" s="40" t="s">
        <v>242</v>
      </c>
      <c r="G4900" s="12"/>
      <c r="H4900" s="12"/>
      <c r="I4900" s="4" t="s">
        <v>3319</v>
      </c>
      <c r="J4900" s="41">
        <f ca="1">ROUNDDOWN(表3[[#This Row],[日期]]-TODAY(),1)</f>
        <v>-26</v>
      </c>
    </row>
    <row r="4901" spans="1:10" hidden="1" x14ac:dyDescent="0.2">
      <c r="A4901" s="4" t="s">
        <v>3337</v>
      </c>
      <c r="B4901" s="37">
        <v>43739</v>
      </c>
      <c r="C4901" s="12">
        <v>10</v>
      </c>
      <c r="D4901" s="38" t="s">
        <v>3342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-25</v>
      </c>
    </row>
    <row r="4902" spans="1:10" hidden="1" x14ac:dyDescent="0.2">
      <c r="A4902" s="4" t="s">
        <v>2846</v>
      </c>
      <c r="B4902" s="37">
        <v>43739</v>
      </c>
      <c r="C4902" s="12">
        <v>10</v>
      </c>
      <c r="D4902" s="38" t="s">
        <v>3756</v>
      </c>
      <c r="E4902" s="39">
        <v>43773</v>
      </c>
      <c r="F4902" s="40" t="s">
        <v>1</v>
      </c>
      <c r="G4902" s="12"/>
      <c r="H4902" s="12"/>
      <c r="I4902" s="4" t="s">
        <v>3669</v>
      </c>
      <c r="J4902" s="41">
        <f ca="1">ROUNDDOWN(表3[[#This Row],[日期]]-TODAY(),1)</f>
        <v>-4</v>
      </c>
    </row>
    <row r="4903" spans="1:10" hidden="1" x14ac:dyDescent="0.2">
      <c r="A4903" s="4" t="s">
        <v>3337</v>
      </c>
      <c r="B4903" s="37">
        <v>43739</v>
      </c>
      <c r="C4903" s="12">
        <v>11</v>
      </c>
      <c r="D4903" s="38" t="s">
        <v>3346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-25</v>
      </c>
    </row>
    <row r="4904" spans="1:10" hidden="1" x14ac:dyDescent="0.2">
      <c r="A4904" s="4" t="s">
        <v>3337</v>
      </c>
      <c r="B4904" s="37">
        <v>43739</v>
      </c>
      <c r="C4904" s="12">
        <v>12</v>
      </c>
      <c r="D4904" s="38" t="s">
        <v>3421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-24</v>
      </c>
    </row>
    <row r="4905" spans="1:10" hidden="1" x14ac:dyDescent="0.2">
      <c r="A4905" s="4" t="s">
        <v>2846</v>
      </c>
      <c r="B4905" s="37">
        <v>43739</v>
      </c>
      <c r="C4905" s="12">
        <v>13</v>
      </c>
      <c r="D4905" s="38" t="s">
        <v>2207</v>
      </c>
      <c r="E4905" s="39">
        <v>43752</v>
      </c>
      <c r="F4905" s="40" t="s">
        <v>287</v>
      </c>
      <c r="G4905" s="12"/>
      <c r="H4905" s="12"/>
      <c r="I4905" s="4" t="s">
        <v>2208</v>
      </c>
      <c r="J4905" s="41">
        <f ca="1">ROUNDDOWN(表3[[#This Row],[日期]]-TODAY(),1)</f>
        <v>-25</v>
      </c>
    </row>
    <row r="4906" spans="1:10" hidden="1" x14ac:dyDescent="0.2">
      <c r="A4906" s="4" t="s">
        <v>2846</v>
      </c>
      <c r="B4906" s="37">
        <v>43739</v>
      </c>
      <c r="C4906" s="12">
        <v>14</v>
      </c>
      <c r="D4906" s="38" t="s">
        <v>1602</v>
      </c>
      <c r="E4906" s="39">
        <v>43752</v>
      </c>
      <c r="F4906" s="40" t="s">
        <v>287</v>
      </c>
      <c r="G4906" s="12"/>
      <c r="H4906" s="12"/>
      <c r="I4906" s="4" t="s">
        <v>2208</v>
      </c>
      <c r="J4906" s="41">
        <f ca="1">ROUNDDOWN(表3[[#This Row],[日期]]-TODAY(),1)</f>
        <v>-25</v>
      </c>
    </row>
    <row r="4907" spans="1:10" hidden="1" x14ac:dyDescent="0.2">
      <c r="A4907" s="4" t="s">
        <v>2846</v>
      </c>
      <c r="B4907" s="37">
        <v>43739</v>
      </c>
      <c r="C4907" s="12">
        <v>15</v>
      </c>
      <c r="D4907" s="38" t="s">
        <v>1603</v>
      </c>
      <c r="E4907" s="39">
        <v>43754</v>
      </c>
      <c r="F4907" s="40" t="s">
        <v>242</v>
      </c>
      <c r="G4907" s="12"/>
      <c r="H4907" s="12"/>
      <c r="I4907" s="4" t="s">
        <v>2208</v>
      </c>
      <c r="J4907" s="41">
        <f ca="1">ROUNDDOWN(表3[[#This Row],[日期]]-TODAY(),1)</f>
        <v>-23</v>
      </c>
    </row>
    <row r="4908" spans="1:10" hidden="1" x14ac:dyDescent="0.2">
      <c r="A4908" s="4" t="s">
        <v>2846</v>
      </c>
      <c r="B4908" s="37">
        <v>43739</v>
      </c>
      <c r="C4908" s="12">
        <v>16</v>
      </c>
      <c r="D4908" s="38" t="s">
        <v>3474</v>
      </c>
      <c r="E4908" s="39">
        <v>43756</v>
      </c>
      <c r="F4908" s="40" t="s">
        <v>242</v>
      </c>
      <c r="G4908" s="12">
        <v>3</v>
      </c>
      <c r="H4908" s="12"/>
      <c r="I4908" s="4" t="s">
        <v>2208</v>
      </c>
      <c r="J4908" s="41">
        <f ca="1">ROUNDDOWN(表3[[#This Row],[日期]]-TODAY(),1)</f>
        <v>-21</v>
      </c>
    </row>
    <row r="4909" spans="1:10" hidden="1" x14ac:dyDescent="0.2">
      <c r="A4909" s="4" t="s">
        <v>3337</v>
      </c>
      <c r="B4909" s="37">
        <v>43739</v>
      </c>
      <c r="C4909" s="12">
        <v>17</v>
      </c>
      <c r="D4909" s="38" t="s">
        <v>3342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-23</v>
      </c>
    </row>
    <row r="4910" spans="1:10" hidden="1" x14ac:dyDescent="0.2">
      <c r="A4910" s="4" t="s">
        <v>3337</v>
      </c>
      <c r="B4910" s="37">
        <v>43739</v>
      </c>
      <c r="C4910" s="12">
        <v>18</v>
      </c>
      <c r="D4910" s="38" t="s">
        <v>3507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-21</v>
      </c>
    </row>
    <row r="4911" spans="1:10" hidden="1" x14ac:dyDescent="0.2">
      <c r="A4911" s="4" t="s">
        <v>3337</v>
      </c>
      <c r="B4911" s="37">
        <v>43739</v>
      </c>
      <c r="C4911" s="12">
        <v>19</v>
      </c>
      <c r="D4911" s="38" t="s">
        <v>3342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-21</v>
      </c>
    </row>
    <row r="4912" spans="1:10" hidden="1" x14ac:dyDescent="0.2">
      <c r="A4912" s="4" t="s">
        <v>3337</v>
      </c>
      <c r="B4912" s="37">
        <v>43739</v>
      </c>
      <c r="C4912" s="12">
        <v>20</v>
      </c>
      <c r="D4912" s="38" t="s">
        <v>3593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-17</v>
      </c>
    </row>
    <row r="4913" spans="1:10" hidden="1" x14ac:dyDescent="0.2">
      <c r="A4913" s="4" t="s">
        <v>3337</v>
      </c>
      <c r="B4913" s="37">
        <v>43739</v>
      </c>
      <c r="C4913" s="12">
        <v>21</v>
      </c>
      <c r="D4913" s="38" t="s">
        <v>3342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-18</v>
      </c>
    </row>
    <row r="4914" spans="1:10" hidden="1" x14ac:dyDescent="0.2">
      <c r="A4914" s="4" t="s">
        <v>3337</v>
      </c>
      <c r="B4914" s="37">
        <v>43739</v>
      </c>
      <c r="C4914" s="12">
        <v>22</v>
      </c>
      <c r="D4914" s="38" t="s">
        <v>3346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-18</v>
      </c>
    </row>
    <row r="4915" spans="1:10" hidden="1" x14ac:dyDescent="0.2">
      <c r="A4915" s="4" t="s">
        <v>3337</v>
      </c>
      <c r="B4915" s="37">
        <v>43739</v>
      </c>
      <c r="C4915" s="12">
        <v>23</v>
      </c>
      <c r="D4915" s="38" t="s">
        <v>3342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-16</v>
      </c>
    </row>
    <row r="4916" spans="1:10" hidden="1" x14ac:dyDescent="0.2">
      <c r="A4916" s="4" t="s">
        <v>3337</v>
      </c>
      <c r="B4916" s="37">
        <v>43739</v>
      </c>
      <c r="C4916" s="12">
        <v>24</v>
      </c>
      <c r="D4916" s="38" t="s">
        <v>3687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-14</v>
      </c>
    </row>
    <row r="4917" spans="1:10" hidden="1" x14ac:dyDescent="0.2">
      <c r="A4917" s="4" t="s">
        <v>3337</v>
      </c>
      <c r="B4917" s="37">
        <v>43739</v>
      </c>
      <c r="C4917" s="12">
        <v>25</v>
      </c>
      <c r="D4917" s="38" t="s">
        <v>3342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-14</v>
      </c>
    </row>
    <row r="4918" spans="1:10" hidden="1" x14ac:dyDescent="0.2">
      <c r="A4918" s="4" t="s">
        <v>3337</v>
      </c>
      <c r="B4918" s="37">
        <v>43739</v>
      </c>
      <c r="C4918" s="12">
        <v>26</v>
      </c>
      <c r="D4918" s="38" t="s">
        <v>1157</v>
      </c>
      <c r="E4918" s="39">
        <v>43763</v>
      </c>
      <c r="F4918" s="40" t="s">
        <v>242</v>
      </c>
      <c r="G4918" s="12"/>
      <c r="H4918" s="12"/>
      <c r="I4918" s="4" t="s">
        <v>3343</v>
      </c>
      <c r="J4918" s="41">
        <f ca="1">ROUNDDOWN(表3[[#This Row],[日期]]-TODAY(),1)</f>
        <v>-14</v>
      </c>
    </row>
    <row r="4919" spans="1:10" hidden="1" x14ac:dyDescent="0.2">
      <c r="A4919" s="4" t="s">
        <v>3337</v>
      </c>
      <c r="B4919" s="37">
        <v>43739</v>
      </c>
      <c r="C4919" s="12">
        <v>27</v>
      </c>
      <c r="D4919" s="38" t="s">
        <v>3809</v>
      </c>
      <c r="E4919" s="39">
        <v>43771</v>
      </c>
      <c r="F4919" s="40" t="s">
        <v>242</v>
      </c>
      <c r="G4919" s="12"/>
      <c r="H4919" s="12"/>
      <c r="I4919" s="4" t="s">
        <v>3332</v>
      </c>
      <c r="J4919" s="41">
        <f ca="1">ROUNDDOWN(表3[[#This Row],[日期]]-TODAY(),1)</f>
        <v>-6</v>
      </c>
    </row>
    <row r="4920" spans="1:10" hidden="1" x14ac:dyDescent="0.2">
      <c r="A4920" s="4" t="s">
        <v>3337</v>
      </c>
      <c r="B4920" s="37">
        <v>43739</v>
      </c>
      <c r="C4920" s="12">
        <v>28</v>
      </c>
      <c r="D4920" s="38" t="s">
        <v>3688</v>
      </c>
      <c r="E4920" s="39">
        <v>43780</v>
      </c>
      <c r="F4920" s="40" t="s">
        <v>199</v>
      </c>
      <c r="G4920" s="12"/>
      <c r="H4920" s="12"/>
      <c r="I4920" s="4" t="s">
        <v>3330</v>
      </c>
      <c r="J4920" s="41">
        <f ca="1">ROUNDDOWN(表3[[#This Row],[日期]]-TODAY(),1)</f>
        <v>3</v>
      </c>
    </row>
    <row r="4921" spans="1:10" hidden="1" x14ac:dyDescent="0.2">
      <c r="A4921" s="4" t="s">
        <v>3337</v>
      </c>
      <c r="B4921" s="37">
        <v>43739</v>
      </c>
      <c r="C4921" s="12">
        <v>29</v>
      </c>
      <c r="D4921" s="38" t="s">
        <v>3339</v>
      </c>
      <c r="E4921" s="39">
        <v>43763</v>
      </c>
      <c r="F4921" s="40" t="s">
        <v>1184</v>
      </c>
      <c r="G4921" s="12"/>
      <c r="H4921" s="12"/>
      <c r="I4921" s="4" t="s">
        <v>1973</v>
      </c>
      <c r="J4921" s="41">
        <f ca="1">ROUNDDOWN(表3[[#This Row],[日期]]-TODAY(),1)</f>
        <v>-14</v>
      </c>
    </row>
    <row r="4922" spans="1:10" hidden="1" x14ac:dyDescent="0.2">
      <c r="A4922" s="4" t="s">
        <v>2846</v>
      </c>
      <c r="B4922" s="37">
        <v>43739</v>
      </c>
      <c r="C4922" s="12">
        <v>30</v>
      </c>
      <c r="D4922" s="38" t="s">
        <v>1196</v>
      </c>
      <c r="E4922" s="39">
        <v>43764</v>
      </c>
      <c r="F4922" s="40" t="s">
        <v>287</v>
      </c>
      <c r="G4922" s="12"/>
      <c r="H4922" s="12"/>
      <c r="I4922" s="4" t="s">
        <v>1969</v>
      </c>
      <c r="J4922" s="41">
        <f ca="1">ROUNDDOWN(表3[[#This Row],[日期]]-TODAY(),1)</f>
        <v>-13</v>
      </c>
    </row>
    <row r="4923" spans="1:10" hidden="1" x14ac:dyDescent="0.2">
      <c r="A4923" s="4" t="s">
        <v>2846</v>
      </c>
      <c r="B4923" s="37">
        <v>43739</v>
      </c>
      <c r="C4923" s="12">
        <v>31</v>
      </c>
      <c r="D4923" s="38" t="s">
        <v>2458</v>
      </c>
      <c r="E4923" s="39">
        <v>43764</v>
      </c>
      <c r="F4923" s="40" t="s">
        <v>287</v>
      </c>
      <c r="G4923" s="12"/>
      <c r="H4923" s="12"/>
      <c r="I4923" s="4" t="s">
        <v>1969</v>
      </c>
      <c r="J4923" s="41">
        <f ca="1">ROUNDDOWN(表3[[#This Row],[日期]]-TODAY(),1)</f>
        <v>-13</v>
      </c>
    </row>
    <row r="4924" spans="1:10" hidden="1" x14ac:dyDescent="0.2">
      <c r="A4924" s="4" t="s">
        <v>2846</v>
      </c>
      <c r="B4924" s="37">
        <v>43739</v>
      </c>
      <c r="C4924" s="12">
        <v>32</v>
      </c>
      <c r="D4924" s="38" t="s">
        <v>2459</v>
      </c>
      <c r="E4924" s="39">
        <v>43764</v>
      </c>
      <c r="F4924" s="40" t="s">
        <v>287</v>
      </c>
      <c r="G4924" s="12"/>
      <c r="H4924" s="12"/>
      <c r="I4924" s="4" t="s">
        <v>1969</v>
      </c>
      <c r="J4924" s="41">
        <f ca="1">ROUNDDOWN(表3[[#This Row],[日期]]-TODAY(),1)</f>
        <v>-13</v>
      </c>
    </row>
    <row r="4925" spans="1:10" hidden="1" x14ac:dyDescent="0.2">
      <c r="A4925" s="4" t="s">
        <v>2846</v>
      </c>
      <c r="B4925" s="37">
        <v>43739</v>
      </c>
      <c r="C4925" s="12">
        <v>33</v>
      </c>
      <c r="D4925" s="38" t="s">
        <v>2469</v>
      </c>
      <c r="E4925" s="39">
        <v>43764</v>
      </c>
      <c r="F4925" s="40" t="s">
        <v>287</v>
      </c>
      <c r="G4925" s="12"/>
      <c r="H4925" s="12"/>
      <c r="I4925" s="4" t="s">
        <v>1969</v>
      </c>
      <c r="J4925" s="41">
        <f ca="1">ROUNDDOWN(表3[[#This Row],[日期]]-TODAY(),1)</f>
        <v>-13</v>
      </c>
    </row>
    <row r="4926" spans="1:10" hidden="1" x14ac:dyDescent="0.2">
      <c r="A4926" s="4" t="s">
        <v>2846</v>
      </c>
      <c r="B4926" s="37">
        <v>43739</v>
      </c>
      <c r="C4926" s="12">
        <v>34</v>
      </c>
      <c r="D4926" s="38" t="s">
        <v>2221</v>
      </c>
      <c r="E4926" s="39">
        <v>43764</v>
      </c>
      <c r="F4926" s="40" t="s">
        <v>287</v>
      </c>
      <c r="G4926" s="12"/>
      <c r="H4926" s="12"/>
      <c r="I4926" s="4" t="s">
        <v>2222</v>
      </c>
      <c r="J4926" s="41">
        <f ca="1">ROUNDDOWN(表3[[#This Row],[日期]]-TODAY(),1)</f>
        <v>-13</v>
      </c>
    </row>
    <row r="4927" spans="1:10" hidden="1" x14ac:dyDescent="0.2">
      <c r="A4927" s="4" t="s">
        <v>2846</v>
      </c>
      <c r="B4927" s="37">
        <v>43739</v>
      </c>
      <c r="C4927" s="12">
        <v>35</v>
      </c>
      <c r="D4927" s="38" t="s">
        <v>2978</v>
      </c>
      <c r="E4927" s="39">
        <v>43764</v>
      </c>
      <c r="F4927" s="40" t="s">
        <v>287</v>
      </c>
      <c r="G4927" s="12"/>
      <c r="H4927" s="12"/>
      <c r="I4927" s="4" t="s">
        <v>3008</v>
      </c>
      <c r="J4927" s="41">
        <f ca="1">ROUNDDOWN(表3[[#This Row],[日期]]-TODAY(),1)</f>
        <v>-13</v>
      </c>
    </row>
    <row r="4928" spans="1:10" hidden="1" x14ac:dyDescent="0.2">
      <c r="A4928" s="4" t="s">
        <v>3337</v>
      </c>
      <c r="B4928" s="37">
        <v>43739</v>
      </c>
      <c r="C4928" s="12">
        <v>36</v>
      </c>
      <c r="D4928" s="38" t="s">
        <v>3773</v>
      </c>
      <c r="E4928" s="39">
        <v>43768</v>
      </c>
      <c r="F4928" s="40" t="s">
        <v>242</v>
      </c>
      <c r="G4928" s="12"/>
      <c r="H4928" s="12"/>
      <c r="J4928" s="41">
        <f ca="1">ROUNDDOWN(表3[[#This Row],[日期]]-TODAY(),1)</f>
        <v>-9</v>
      </c>
    </row>
    <row r="4929" spans="1:10" hidden="1" x14ac:dyDescent="0.2">
      <c r="A4929" s="4" t="s">
        <v>3337</v>
      </c>
      <c r="B4929" s="37">
        <v>43739</v>
      </c>
      <c r="C4929" s="12">
        <v>37</v>
      </c>
      <c r="D4929" s="38" t="s">
        <v>3757</v>
      </c>
      <c r="E4929" s="39">
        <v>43767</v>
      </c>
      <c r="F4929" s="40" t="s">
        <v>242</v>
      </c>
      <c r="G4929" s="12">
        <v>1</v>
      </c>
      <c r="H4929" s="12"/>
      <c r="I4929" s="4" t="s">
        <v>3324</v>
      </c>
      <c r="J4929" s="41">
        <f ca="1">ROUNDDOWN(表3[[#This Row],[日期]]-TODAY(),1)</f>
        <v>-10</v>
      </c>
    </row>
    <row r="4930" spans="1:10" hidden="1" x14ac:dyDescent="0.2">
      <c r="A4930" s="4" t="s">
        <v>3337</v>
      </c>
      <c r="B4930" s="37">
        <v>43739</v>
      </c>
      <c r="C4930" s="12">
        <v>38</v>
      </c>
      <c r="D4930" s="38" t="s">
        <v>3342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-11</v>
      </c>
    </row>
    <row r="4931" spans="1:10" hidden="1" x14ac:dyDescent="0.2">
      <c r="A4931" s="4" t="s">
        <v>3337</v>
      </c>
      <c r="B4931" s="37">
        <v>43739</v>
      </c>
      <c r="C4931" s="12">
        <v>39</v>
      </c>
      <c r="D4931" s="38" t="s">
        <v>3346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-12</v>
      </c>
    </row>
    <row r="4932" spans="1:10" hidden="1" x14ac:dyDescent="0.2">
      <c r="A4932" s="4" t="s">
        <v>3337</v>
      </c>
      <c r="B4932" s="37">
        <v>43739</v>
      </c>
      <c r="C4932" s="12">
        <v>40</v>
      </c>
      <c r="D4932" s="38" t="s">
        <v>1980</v>
      </c>
      <c r="E4932" s="39">
        <v>43765</v>
      </c>
      <c r="F4932" s="40" t="s">
        <v>242</v>
      </c>
      <c r="G4932" s="12"/>
      <c r="H4932" s="12"/>
      <c r="I4932" s="4" t="s">
        <v>1968</v>
      </c>
      <c r="J4932" s="41">
        <f ca="1">ROUNDDOWN(表3[[#This Row],[日期]]-TODAY(),1)</f>
        <v>-12</v>
      </c>
    </row>
    <row r="4933" spans="1:10" hidden="1" x14ac:dyDescent="0.2">
      <c r="A4933" s="4" t="s">
        <v>3337</v>
      </c>
      <c r="B4933" s="37">
        <v>43739</v>
      </c>
      <c r="C4933" s="12">
        <v>41</v>
      </c>
      <c r="D4933" s="38" t="s">
        <v>3342</v>
      </c>
      <c r="E4933" s="39">
        <v>43768</v>
      </c>
      <c r="F4933" s="40" t="s">
        <v>242</v>
      </c>
      <c r="G4933" s="12"/>
      <c r="H4933" s="12"/>
      <c r="J4933" s="41">
        <f ca="1">ROUNDDOWN(表3[[#This Row],[日期]]-TODAY(),1)</f>
        <v>-9</v>
      </c>
    </row>
    <row r="4934" spans="1:10" hidden="1" x14ac:dyDescent="0.2">
      <c r="A4934" s="4" t="s">
        <v>3337</v>
      </c>
      <c r="B4934" s="37">
        <v>43739</v>
      </c>
      <c r="C4934" s="12">
        <v>42</v>
      </c>
      <c r="D4934" s="38" t="s">
        <v>3817</v>
      </c>
      <c r="E4934" s="39">
        <v>43770</v>
      </c>
      <c r="F4934" s="40" t="s">
        <v>242</v>
      </c>
      <c r="G4934" s="12"/>
      <c r="H4934" s="12"/>
      <c r="J4934" s="41">
        <f ca="1">ROUNDDOWN(表3[[#This Row],[日期]]-TODAY(),1)</f>
        <v>-7</v>
      </c>
    </row>
    <row r="4935" spans="1:10" hidden="1" x14ac:dyDescent="0.2">
      <c r="A4935" s="4" t="s">
        <v>2846</v>
      </c>
      <c r="B4935" s="37">
        <v>43739</v>
      </c>
      <c r="C4935" s="12">
        <v>43</v>
      </c>
      <c r="D4935" s="38" t="s">
        <v>568</v>
      </c>
      <c r="E4935" s="39">
        <v>43769</v>
      </c>
      <c r="F4935" s="40" t="s">
        <v>287</v>
      </c>
      <c r="G4935" s="12"/>
      <c r="H4935" s="12"/>
      <c r="I4935" s="4" t="s">
        <v>1971</v>
      </c>
      <c r="J4935" s="41">
        <f ca="1">ROUNDDOWN(表3[[#This Row],[日期]]-TODAY(),1)</f>
        <v>-8</v>
      </c>
    </row>
    <row r="4936" spans="1:10" hidden="1" x14ac:dyDescent="0.2">
      <c r="A4936" s="4" t="s">
        <v>2830</v>
      </c>
      <c r="B4936" s="37">
        <v>43739</v>
      </c>
      <c r="C4936" s="12">
        <v>1</v>
      </c>
      <c r="D4936" s="38" t="s">
        <v>2901</v>
      </c>
      <c r="E4936" s="39">
        <v>43731</v>
      </c>
      <c r="F4936" s="40" t="s">
        <v>2902</v>
      </c>
      <c r="G4936" s="12">
        <v>5</v>
      </c>
      <c r="H4936" s="12"/>
      <c r="J4936" s="41">
        <f ca="1">ROUNDDOWN(表3[[#This Row],[日期]]-TODAY(),1)</f>
        <v>-46</v>
      </c>
    </row>
    <row r="4937" spans="1:10" hidden="1" x14ac:dyDescent="0.2">
      <c r="A4937" s="4" t="s">
        <v>2940</v>
      </c>
      <c r="B4937" s="37">
        <v>43739</v>
      </c>
      <c r="C4937" s="12">
        <v>2</v>
      </c>
      <c r="D4937" s="38" t="s">
        <v>2914</v>
      </c>
      <c r="E4937" s="39">
        <v>43731</v>
      </c>
      <c r="F4937" s="40" t="s">
        <v>2913</v>
      </c>
      <c r="G4937" s="12"/>
      <c r="H4937" s="12"/>
      <c r="J4937" s="41">
        <f ca="1">ROUNDDOWN(表3[[#This Row],[日期]]-TODAY(),1)</f>
        <v>-46</v>
      </c>
    </row>
    <row r="4938" spans="1:10" hidden="1" x14ac:dyDescent="0.2">
      <c r="A4938" s="4" t="s">
        <v>2830</v>
      </c>
      <c r="B4938" s="37">
        <v>43739</v>
      </c>
      <c r="C4938" s="12">
        <v>3</v>
      </c>
      <c r="D4938" s="38" t="s">
        <v>2903</v>
      </c>
      <c r="E4938" s="39">
        <v>43731</v>
      </c>
      <c r="F4938" s="40" t="s">
        <v>2902</v>
      </c>
      <c r="G4938" s="12">
        <v>5</v>
      </c>
      <c r="H4938" s="12"/>
      <c r="J4938" s="41">
        <f ca="1">ROUNDDOWN(表3[[#This Row],[日期]]-TODAY(),1)</f>
        <v>-46</v>
      </c>
    </row>
    <row r="4939" spans="1:10" hidden="1" x14ac:dyDescent="0.2">
      <c r="A4939" s="4" t="s">
        <v>2940</v>
      </c>
      <c r="B4939" s="37">
        <v>43739</v>
      </c>
      <c r="C4939" s="12">
        <v>4</v>
      </c>
      <c r="D4939" s="38" t="s">
        <v>2916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-45</v>
      </c>
    </row>
    <row r="4940" spans="1:10" hidden="1" x14ac:dyDescent="0.2">
      <c r="A4940" s="4" t="s">
        <v>2830</v>
      </c>
      <c r="B4940" s="37">
        <v>43739</v>
      </c>
      <c r="C4940" s="12">
        <v>5</v>
      </c>
      <c r="D4940" s="38" t="s">
        <v>2904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-46</v>
      </c>
    </row>
    <row r="4941" spans="1:10" hidden="1" x14ac:dyDescent="0.2">
      <c r="A4941" s="4" t="s">
        <v>2940</v>
      </c>
      <c r="B4941" s="37">
        <v>43739</v>
      </c>
      <c r="C4941" s="12">
        <v>6</v>
      </c>
      <c r="D4941" s="38" t="s">
        <v>2915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-45</v>
      </c>
    </row>
    <row r="4942" spans="1:10" hidden="1" x14ac:dyDescent="0.2">
      <c r="A4942" s="4" t="s">
        <v>2830</v>
      </c>
      <c r="B4942" s="37">
        <v>43739</v>
      </c>
      <c r="C4942" s="12">
        <v>7</v>
      </c>
      <c r="D4942" s="38" t="s">
        <v>2961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-43</v>
      </c>
    </row>
    <row r="4943" spans="1:10" hidden="1" x14ac:dyDescent="0.2">
      <c r="A4943" s="4" t="s">
        <v>2940</v>
      </c>
      <c r="B4943" s="37">
        <v>43739</v>
      </c>
      <c r="C4943" s="12">
        <v>8</v>
      </c>
      <c r="D4943" s="38" t="s">
        <v>2917</v>
      </c>
      <c r="E4943" s="39">
        <v>43734</v>
      </c>
      <c r="F4943" s="40" t="s">
        <v>242</v>
      </c>
      <c r="G4943" s="12"/>
      <c r="H4943" s="12"/>
      <c r="I4943" s="4" t="s">
        <v>2165</v>
      </c>
      <c r="J4943" s="41">
        <f ca="1">ROUNDDOWN(表3[[#This Row],[日期]]-TODAY(),1)</f>
        <v>-43</v>
      </c>
    </row>
    <row r="4944" spans="1:10" hidden="1" x14ac:dyDescent="0.2">
      <c r="A4944" s="4" t="s">
        <v>2940</v>
      </c>
      <c r="B4944" s="37">
        <v>43739</v>
      </c>
      <c r="C4944" s="12">
        <v>9</v>
      </c>
      <c r="D4944" s="38" t="s">
        <v>2918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-41</v>
      </c>
    </row>
    <row r="4945" spans="1:10" hidden="1" x14ac:dyDescent="0.2">
      <c r="A4945" s="4" t="s">
        <v>2831</v>
      </c>
      <c r="B4945" s="37">
        <v>43739</v>
      </c>
      <c r="C4945" s="12">
        <v>10</v>
      </c>
      <c r="D4945" s="38" t="s">
        <v>3087</v>
      </c>
      <c r="E4945" s="39">
        <v>43737</v>
      </c>
      <c r="F4945" s="40" t="s">
        <v>242</v>
      </c>
      <c r="G4945" s="12">
        <v>3</v>
      </c>
      <c r="H4945" s="12" t="s">
        <v>3086</v>
      </c>
      <c r="J4945" s="41">
        <f ca="1">ROUNDDOWN(表3[[#This Row],[日期]]-TODAY(),1)</f>
        <v>-40</v>
      </c>
    </row>
    <row r="4946" spans="1:10" hidden="1" x14ac:dyDescent="0.2">
      <c r="A4946" s="4" t="s">
        <v>2831</v>
      </c>
      <c r="B4946" s="37">
        <v>43739</v>
      </c>
      <c r="C4946" s="12">
        <v>11</v>
      </c>
      <c r="D4946" s="38" t="s">
        <v>3177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-31</v>
      </c>
    </row>
    <row r="4947" spans="1:10" hidden="1" x14ac:dyDescent="0.2">
      <c r="A4947" s="4" t="s">
        <v>2831</v>
      </c>
      <c r="B4947" s="37">
        <v>43739</v>
      </c>
      <c r="C4947" s="12">
        <v>11</v>
      </c>
      <c r="D4947" s="38" t="s">
        <v>3088</v>
      </c>
      <c r="E4947" s="39">
        <v>43737</v>
      </c>
      <c r="F4947" s="40" t="s">
        <v>242</v>
      </c>
      <c r="G4947" s="12">
        <v>1</v>
      </c>
      <c r="H4947" s="12" t="s">
        <v>3089</v>
      </c>
      <c r="J4947" s="41">
        <f ca="1">ROUNDDOWN(表3[[#This Row],[日期]]-TODAY(),1)</f>
        <v>-40</v>
      </c>
    </row>
    <row r="4948" spans="1:10" hidden="1" x14ac:dyDescent="0.2">
      <c r="A4948" s="4" t="s">
        <v>2940</v>
      </c>
      <c r="B4948" s="37">
        <v>43739</v>
      </c>
      <c r="C4948" s="12">
        <v>12</v>
      </c>
      <c r="D4948" s="38" t="s">
        <v>3176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-38</v>
      </c>
    </row>
    <row r="4949" spans="1:10" hidden="1" x14ac:dyDescent="0.2">
      <c r="A4949" s="4" t="s">
        <v>2940</v>
      </c>
      <c r="B4949" s="37">
        <v>43739</v>
      </c>
      <c r="C4949" s="12">
        <v>13</v>
      </c>
      <c r="D4949" s="38" t="s">
        <v>3494</v>
      </c>
      <c r="E4949" s="39">
        <v>43755</v>
      </c>
      <c r="F4949" s="40" t="s">
        <v>3486</v>
      </c>
      <c r="G4949" s="12"/>
      <c r="H4949" s="12"/>
      <c r="J4949" s="41">
        <f ca="1">ROUNDDOWN(表3[[#This Row],[日期]]-TODAY(),1)</f>
        <v>-22</v>
      </c>
    </row>
    <row r="4950" spans="1:10" hidden="1" x14ac:dyDescent="0.2">
      <c r="A4950" s="4" t="s">
        <v>2940</v>
      </c>
      <c r="B4950" s="37">
        <v>43739</v>
      </c>
      <c r="C4950" s="12">
        <v>14</v>
      </c>
      <c r="D4950" s="38" t="s">
        <v>2919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-44</v>
      </c>
    </row>
    <row r="4951" spans="1:10" hidden="1" x14ac:dyDescent="0.2">
      <c r="A4951" s="4" t="s">
        <v>2831</v>
      </c>
      <c r="B4951" s="37">
        <v>43739</v>
      </c>
      <c r="C4951" s="12">
        <v>15</v>
      </c>
      <c r="D4951" s="38" t="s">
        <v>3208</v>
      </c>
      <c r="E4951" s="39">
        <v>43746</v>
      </c>
      <c r="F4951" s="40" t="s">
        <v>3209</v>
      </c>
      <c r="G4951" s="12"/>
      <c r="H4951" s="12"/>
      <c r="J4951" s="41">
        <f ca="1">ROUNDDOWN(表3[[#This Row],[日期]]-TODAY(),1)</f>
        <v>-31</v>
      </c>
    </row>
    <row r="4952" spans="1:10" hidden="1" x14ac:dyDescent="0.2">
      <c r="A4952" s="4" t="s">
        <v>3671</v>
      </c>
      <c r="B4952" s="37">
        <v>43739</v>
      </c>
      <c r="C4952" s="12"/>
      <c r="D4952" s="38" t="s">
        <v>3670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-14</v>
      </c>
    </row>
    <row r="4953" spans="1:10" hidden="1" x14ac:dyDescent="0.2">
      <c r="A4953" s="4" t="s">
        <v>2845</v>
      </c>
      <c r="B4953" s="37">
        <v>43739</v>
      </c>
      <c r="C4953" s="12"/>
      <c r="D4953" s="38" t="s">
        <v>3680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-12</v>
      </c>
    </row>
    <row r="4954" spans="1:10" hidden="1" x14ac:dyDescent="0.2">
      <c r="A4954" s="4" t="s">
        <v>2845</v>
      </c>
      <c r="B4954" s="37">
        <v>43739</v>
      </c>
      <c r="C4954" s="12"/>
      <c r="D4954" s="38" t="s">
        <v>3684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-12</v>
      </c>
    </row>
    <row r="4955" spans="1:10" hidden="1" x14ac:dyDescent="0.2">
      <c r="A4955" s="4" t="s">
        <v>2805</v>
      </c>
      <c r="B4955" s="37">
        <v>43740</v>
      </c>
      <c r="C4955" s="12">
        <v>1</v>
      </c>
      <c r="D4955" s="38" t="s">
        <v>364</v>
      </c>
      <c r="E4955" s="39">
        <v>43727</v>
      </c>
      <c r="F4955" s="40" t="s">
        <v>2801</v>
      </c>
      <c r="G4955" s="12"/>
      <c r="H4955" s="12"/>
      <c r="J4955" s="41">
        <f ca="1">ROUNDDOWN(表3[[#This Row],[日期]]-TODAY(),1)</f>
        <v>-50</v>
      </c>
    </row>
    <row r="4956" spans="1:10" hidden="1" x14ac:dyDescent="0.2">
      <c r="A4956" s="4" t="s">
        <v>2805</v>
      </c>
      <c r="B4956" s="37">
        <v>43740</v>
      </c>
      <c r="C4956" s="12">
        <v>2</v>
      </c>
      <c r="D4956" s="38" t="s">
        <v>2983</v>
      </c>
      <c r="E4956" s="39">
        <v>43735</v>
      </c>
      <c r="F4956" s="40" t="s">
        <v>242</v>
      </c>
      <c r="G4956" s="12">
        <v>1</v>
      </c>
      <c r="H4956" s="12" t="s">
        <v>3036</v>
      </c>
      <c r="J4956" s="41">
        <f ca="1">ROUNDDOWN(表3[[#This Row],[日期]]-TODAY(),1)</f>
        <v>-42</v>
      </c>
    </row>
    <row r="4957" spans="1:10" hidden="1" x14ac:dyDescent="0.2">
      <c r="A4957" s="4" t="s">
        <v>2805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-45</v>
      </c>
    </row>
    <row r="4958" spans="1:10" hidden="1" x14ac:dyDescent="0.2">
      <c r="A4958" s="4" t="s">
        <v>2805</v>
      </c>
      <c r="B4958" s="37">
        <v>43740</v>
      </c>
      <c r="C4958" s="12">
        <v>4</v>
      </c>
      <c r="D4958" s="38" t="s">
        <v>3048</v>
      </c>
      <c r="E4958" s="39">
        <v>43735</v>
      </c>
      <c r="F4958" s="40" t="s">
        <v>242</v>
      </c>
      <c r="G4958" s="12">
        <v>1</v>
      </c>
      <c r="H4958" s="12" t="s">
        <v>3037</v>
      </c>
      <c r="I4958" s="4" t="s">
        <v>131</v>
      </c>
      <c r="J4958" s="41">
        <f ca="1">ROUNDDOWN(表3[[#This Row],[日期]]-TODAY(),1)</f>
        <v>-42</v>
      </c>
    </row>
    <row r="4959" spans="1:10" hidden="1" x14ac:dyDescent="0.2">
      <c r="A4959" s="4" t="s">
        <v>2805</v>
      </c>
      <c r="B4959" s="37">
        <v>43740</v>
      </c>
      <c r="C4959" s="12">
        <v>7</v>
      </c>
      <c r="D4959" s="38" t="s">
        <v>867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-40</v>
      </c>
    </row>
    <row r="4960" spans="1:10" hidden="1" x14ac:dyDescent="0.2">
      <c r="A4960" s="4" t="s">
        <v>2805</v>
      </c>
      <c r="B4960" s="37">
        <v>43740</v>
      </c>
      <c r="C4960" s="12">
        <v>8</v>
      </c>
      <c r="D4960" s="38" t="s">
        <v>307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-40</v>
      </c>
    </row>
    <row r="4961" spans="1:10" hidden="1" x14ac:dyDescent="0.2">
      <c r="A4961" s="4" t="s">
        <v>2805</v>
      </c>
      <c r="B4961" s="37">
        <v>43740</v>
      </c>
      <c r="C4961" s="12">
        <v>9</v>
      </c>
      <c r="D4961" s="38" t="s">
        <v>2433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-40</v>
      </c>
    </row>
    <row r="4962" spans="1:10" hidden="1" x14ac:dyDescent="0.2">
      <c r="A4962" s="4" t="s">
        <v>2805</v>
      </c>
      <c r="B4962" s="37">
        <v>43740</v>
      </c>
      <c r="C4962" s="12">
        <v>10</v>
      </c>
      <c r="D4962" s="38" t="s">
        <v>2622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-41</v>
      </c>
    </row>
    <row r="4963" spans="1:10" hidden="1" x14ac:dyDescent="0.2">
      <c r="A4963" s="4" t="s">
        <v>2805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-39</v>
      </c>
    </row>
    <row r="4964" spans="1:10" hidden="1" x14ac:dyDescent="0.2">
      <c r="A4964" s="4" t="s">
        <v>2805</v>
      </c>
      <c r="B4964" s="37">
        <v>43740</v>
      </c>
      <c r="C4964" s="12">
        <v>12</v>
      </c>
      <c r="D4964" s="38" t="s">
        <v>309</v>
      </c>
      <c r="E4964" s="39">
        <v>43737</v>
      </c>
      <c r="F4964" s="40" t="s">
        <v>242</v>
      </c>
      <c r="G4964" s="12">
        <v>1</v>
      </c>
      <c r="H4964" s="12"/>
      <c r="I4964" s="4" t="s">
        <v>310</v>
      </c>
      <c r="J4964" s="41">
        <f ca="1">ROUNDDOWN(表3[[#This Row],[日期]]-TODAY(),1)</f>
        <v>-40</v>
      </c>
    </row>
    <row r="4965" spans="1:10" hidden="1" x14ac:dyDescent="0.2">
      <c r="A4965" s="4" t="s">
        <v>2805</v>
      </c>
      <c r="B4965" s="37">
        <v>43740</v>
      </c>
      <c r="C4965" s="12">
        <v>12</v>
      </c>
      <c r="D4965" s="38" t="s">
        <v>2572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-40</v>
      </c>
    </row>
    <row r="4966" spans="1:10" hidden="1" x14ac:dyDescent="0.2">
      <c r="A4966" s="4" t="s">
        <v>2805</v>
      </c>
      <c r="B4966" s="37">
        <v>43740</v>
      </c>
      <c r="C4966" s="12">
        <v>12</v>
      </c>
      <c r="D4966" s="38" t="s">
        <v>311</v>
      </c>
      <c r="E4966" s="39">
        <v>43738</v>
      </c>
      <c r="F4966" s="40" t="s">
        <v>242</v>
      </c>
      <c r="G4966" s="12"/>
      <c r="H4966" s="12"/>
      <c r="I4966" s="4" t="s">
        <v>310</v>
      </c>
      <c r="J4966" s="41">
        <f ca="1">ROUNDDOWN(表3[[#This Row],[日期]]-TODAY(),1)</f>
        <v>-39</v>
      </c>
    </row>
    <row r="4967" spans="1:10" hidden="1" x14ac:dyDescent="0.2">
      <c r="A4967" s="4" t="s">
        <v>2805</v>
      </c>
      <c r="B4967" s="37">
        <v>43740</v>
      </c>
      <c r="C4967" s="12">
        <v>12</v>
      </c>
      <c r="D4967" s="38" t="s">
        <v>868</v>
      </c>
      <c r="E4967" s="39">
        <v>43738</v>
      </c>
      <c r="F4967" s="40" t="s">
        <v>242</v>
      </c>
      <c r="G4967" s="12">
        <v>2</v>
      </c>
      <c r="H4967" s="12"/>
      <c r="I4967" s="4" t="s">
        <v>310</v>
      </c>
      <c r="J4967" s="41">
        <f ca="1">ROUNDDOWN(表3[[#This Row],[日期]]-TODAY(),1)</f>
        <v>-39</v>
      </c>
    </row>
    <row r="4968" spans="1:10" hidden="1" x14ac:dyDescent="0.2">
      <c r="A4968" s="4" t="s">
        <v>2805</v>
      </c>
      <c r="B4968" s="37">
        <v>43740</v>
      </c>
      <c r="C4968" s="12">
        <v>12</v>
      </c>
      <c r="D4968" s="38" t="s">
        <v>313</v>
      </c>
      <c r="E4968" s="39">
        <v>43738</v>
      </c>
      <c r="F4968" s="40" t="s">
        <v>242</v>
      </c>
      <c r="G4968" s="12">
        <v>3</v>
      </c>
      <c r="H4968" s="12"/>
      <c r="I4968" s="4" t="s">
        <v>310</v>
      </c>
      <c r="J4968" s="41">
        <f ca="1">ROUNDDOWN(表3[[#This Row],[日期]]-TODAY(),1)</f>
        <v>-39</v>
      </c>
    </row>
    <row r="4969" spans="1:10" hidden="1" x14ac:dyDescent="0.2">
      <c r="A4969" s="4" t="s">
        <v>2805</v>
      </c>
      <c r="B4969" s="37">
        <v>43740</v>
      </c>
      <c r="C4969" s="12">
        <v>17</v>
      </c>
      <c r="D4969" s="38" t="s">
        <v>271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-39</v>
      </c>
    </row>
    <row r="4970" spans="1:10" hidden="1" x14ac:dyDescent="0.2">
      <c r="A4970" s="4" t="s">
        <v>2805</v>
      </c>
      <c r="B4970" s="37">
        <v>43740</v>
      </c>
      <c r="C4970" s="12">
        <v>18</v>
      </c>
      <c r="D4970" s="38" t="s">
        <v>273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-36</v>
      </c>
    </row>
    <row r="4971" spans="1:10" hidden="1" x14ac:dyDescent="0.2">
      <c r="A4971" s="4" t="s">
        <v>2805</v>
      </c>
      <c r="B4971" s="37">
        <v>43740</v>
      </c>
      <c r="C4971" s="12">
        <v>19</v>
      </c>
      <c r="D4971" s="38" t="s">
        <v>275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-35</v>
      </c>
    </row>
    <row r="4972" spans="1:10" hidden="1" x14ac:dyDescent="0.2">
      <c r="A4972" s="4" t="s">
        <v>2805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-32</v>
      </c>
    </row>
    <row r="4973" spans="1:10" hidden="1" x14ac:dyDescent="0.2">
      <c r="A4973" s="4" t="s">
        <v>2805</v>
      </c>
      <c r="B4973" s="37">
        <v>43740</v>
      </c>
      <c r="C4973" s="12">
        <v>21</v>
      </c>
      <c r="D4973" s="38" t="s">
        <v>1387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-32</v>
      </c>
    </row>
    <row r="4974" spans="1:10" hidden="1" x14ac:dyDescent="0.2">
      <c r="A4974" s="4" t="s">
        <v>2805</v>
      </c>
      <c r="B4974" s="37">
        <v>43740</v>
      </c>
      <c r="C4974" s="12">
        <v>22</v>
      </c>
      <c r="D4974" s="38" t="s">
        <v>305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-35</v>
      </c>
    </row>
    <row r="4975" spans="1:10" hidden="1" x14ac:dyDescent="0.2">
      <c r="A4975" s="4" t="s">
        <v>2759</v>
      </c>
      <c r="B4975" s="37">
        <v>43740</v>
      </c>
      <c r="C4975" s="12">
        <v>1</v>
      </c>
      <c r="D4975" s="38" t="s">
        <v>364</v>
      </c>
      <c r="E4975" s="39">
        <v>43726</v>
      </c>
      <c r="F4975" s="40" t="s">
        <v>2754</v>
      </c>
      <c r="G4975" s="12"/>
      <c r="H4975" s="12"/>
      <c r="J4975" s="41">
        <f ca="1">ROUNDDOWN(表3[[#This Row],[日期]]-TODAY(),1)</f>
        <v>-51</v>
      </c>
    </row>
    <row r="4976" spans="1:10" hidden="1" x14ac:dyDescent="0.2">
      <c r="A4976" s="4" t="s">
        <v>2759</v>
      </c>
      <c r="B4976" s="37">
        <v>43740</v>
      </c>
      <c r="C4976" s="12">
        <v>2</v>
      </c>
      <c r="D4976" s="38" t="s">
        <v>863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-50</v>
      </c>
    </row>
    <row r="4977" spans="1:10" hidden="1" x14ac:dyDescent="0.2">
      <c r="A4977" s="4" t="s">
        <v>2759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-49</v>
      </c>
    </row>
    <row r="4978" spans="1:10" hidden="1" x14ac:dyDescent="0.2">
      <c r="A4978" s="4" t="s">
        <v>2759</v>
      </c>
      <c r="B4978" s="37">
        <v>43740</v>
      </c>
      <c r="C4978" s="12">
        <v>4</v>
      </c>
      <c r="D4978" s="38" t="s">
        <v>2982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-43</v>
      </c>
    </row>
    <row r="4979" spans="1:10" hidden="1" x14ac:dyDescent="0.2">
      <c r="A4979" s="4" t="s">
        <v>2759</v>
      </c>
      <c r="B4979" s="37">
        <v>43740</v>
      </c>
      <c r="C4979" s="12">
        <v>7</v>
      </c>
      <c r="D4979" s="38" t="s">
        <v>3047</v>
      </c>
      <c r="E4979" s="39">
        <v>43735</v>
      </c>
      <c r="F4979" s="40" t="s">
        <v>242</v>
      </c>
      <c r="G4979" s="12">
        <v>1</v>
      </c>
      <c r="H4979" s="12" t="s">
        <v>3038</v>
      </c>
      <c r="I4979" s="4" t="s">
        <v>147</v>
      </c>
      <c r="J4979" s="41">
        <f ca="1">ROUNDDOWN(表3[[#This Row],[日期]]-TODAY(),1)</f>
        <v>-42</v>
      </c>
    </row>
    <row r="4980" spans="1:10" hidden="1" x14ac:dyDescent="0.2">
      <c r="A4980" s="4" t="s">
        <v>2759</v>
      </c>
      <c r="B4980" s="37">
        <v>43740</v>
      </c>
      <c r="C4980" s="12">
        <v>8</v>
      </c>
      <c r="D4980" s="38" t="s">
        <v>307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-42</v>
      </c>
    </row>
    <row r="4981" spans="1:10" hidden="1" x14ac:dyDescent="0.2">
      <c r="A4981" s="4" t="s">
        <v>2759</v>
      </c>
      <c r="B4981" s="37">
        <v>43740</v>
      </c>
      <c r="C4981" s="12">
        <v>9</v>
      </c>
      <c r="D4981" s="38" t="s">
        <v>3046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-42</v>
      </c>
    </row>
    <row r="4982" spans="1:10" hidden="1" x14ac:dyDescent="0.2">
      <c r="A4982" s="4" t="s">
        <v>2759</v>
      </c>
      <c r="B4982" s="37">
        <v>43740</v>
      </c>
      <c r="C4982" s="12">
        <v>10</v>
      </c>
      <c r="D4982" s="38" t="s">
        <v>2622</v>
      </c>
      <c r="E4982" s="39">
        <v>43735</v>
      </c>
      <c r="F4982" s="40" t="s">
        <v>1184</v>
      </c>
      <c r="G4982" s="12"/>
      <c r="H4982" s="12"/>
      <c r="J4982" s="41">
        <f ca="1">ROUNDDOWN(表3[[#This Row],[日期]]-TODAY(),1)</f>
        <v>-42</v>
      </c>
    </row>
    <row r="4983" spans="1:10" hidden="1" x14ac:dyDescent="0.2">
      <c r="A4983" s="4" t="s">
        <v>2759</v>
      </c>
      <c r="B4983" s="37">
        <v>43740</v>
      </c>
      <c r="C4983" s="12">
        <v>11</v>
      </c>
      <c r="D4983" s="38" t="s">
        <v>3045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-42</v>
      </c>
    </row>
    <row r="4984" spans="1:10" hidden="1" x14ac:dyDescent="0.2">
      <c r="A4984" s="4" t="s">
        <v>2759</v>
      </c>
      <c r="B4984" s="37">
        <v>43740</v>
      </c>
      <c r="C4984" s="12">
        <v>12</v>
      </c>
      <c r="D4984" s="38" t="s">
        <v>2572</v>
      </c>
      <c r="E4984" s="39">
        <v>43735</v>
      </c>
      <c r="F4984" s="40" t="s">
        <v>1184</v>
      </c>
      <c r="G4984" s="12"/>
      <c r="H4984" s="12"/>
      <c r="J4984" s="41">
        <f ca="1">ROUNDDOWN(表3[[#This Row],[日期]]-TODAY(),1)</f>
        <v>-42</v>
      </c>
    </row>
    <row r="4985" spans="1:10" hidden="1" x14ac:dyDescent="0.2">
      <c r="A4985" s="4" t="s">
        <v>2759</v>
      </c>
      <c r="B4985" s="37">
        <v>43740</v>
      </c>
      <c r="C4985" s="12">
        <v>15</v>
      </c>
      <c r="D4985" s="38" t="s">
        <v>309</v>
      </c>
      <c r="E4985" s="39">
        <v>43735</v>
      </c>
      <c r="F4985" s="40" t="s">
        <v>242</v>
      </c>
      <c r="G4985" s="12">
        <v>4</v>
      </c>
      <c r="H4985" s="12"/>
      <c r="I4985" s="4" t="s">
        <v>310</v>
      </c>
      <c r="J4985" s="41">
        <f ca="1">ROUNDDOWN(表3[[#This Row],[日期]]-TODAY(),1)</f>
        <v>-42</v>
      </c>
    </row>
    <row r="4986" spans="1:10" hidden="1" x14ac:dyDescent="0.2">
      <c r="A4986" s="4" t="s">
        <v>2759</v>
      </c>
      <c r="B4986" s="37">
        <v>43740</v>
      </c>
      <c r="C4986" s="12">
        <v>16</v>
      </c>
      <c r="D4986" s="38" t="s">
        <v>311</v>
      </c>
      <c r="E4986" s="39">
        <v>43736</v>
      </c>
      <c r="F4986" s="40" t="s">
        <v>242</v>
      </c>
      <c r="G4986" s="12"/>
      <c r="H4986" s="12"/>
      <c r="I4986" s="4" t="s">
        <v>310</v>
      </c>
      <c r="J4986" s="41">
        <f ca="1">ROUNDDOWN(表3[[#This Row],[日期]]-TODAY(),1)</f>
        <v>-41</v>
      </c>
    </row>
    <row r="4987" spans="1:10" hidden="1" x14ac:dyDescent="0.2">
      <c r="A4987" s="4" t="s">
        <v>2759</v>
      </c>
      <c r="B4987" s="37">
        <v>43740</v>
      </c>
      <c r="C4987" s="12">
        <v>17</v>
      </c>
      <c r="D4987" s="38" t="s">
        <v>271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-41</v>
      </c>
    </row>
    <row r="4988" spans="1:10" hidden="1" x14ac:dyDescent="0.2">
      <c r="A4988" s="4" t="s">
        <v>2759</v>
      </c>
      <c r="B4988" s="37">
        <v>43740</v>
      </c>
      <c r="C4988" s="12">
        <v>18</v>
      </c>
      <c r="D4988" s="38" t="s">
        <v>273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-36</v>
      </c>
    </row>
    <row r="4989" spans="1:10" hidden="1" x14ac:dyDescent="0.2">
      <c r="A4989" s="4" t="s">
        <v>2759</v>
      </c>
      <c r="B4989" s="37">
        <v>43740</v>
      </c>
      <c r="C4989" s="12">
        <v>19</v>
      </c>
      <c r="D4989" s="38" t="s">
        <v>275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-36</v>
      </c>
    </row>
    <row r="4990" spans="1:10" hidden="1" x14ac:dyDescent="0.2">
      <c r="A4990" s="4" t="s">
        <v>2759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-32</v>
      </c>
    </row>
    <row r="4991" spans="1:10" hidden="1" x14ac:dyDescent="0.2">
      <c r="A4991" s="4" t="s">
        <v>2759</v>
      </c>
      <c r="B4991" s="37">
        <v>43740</v>
      </c>
      <c r="C4991" s="12">
        <v>21</v>
      </c>
      <c r="D4991" s="38" t="s">
        <v>1387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-32</v>
      </c>
    </row>
    <row r="4992" spans="1:10" hidden="1" x14ac:dyDescent="0.2">
      <c r="A4992" s="4" t="s">
        <v>2759</v>
      </c>
      <c r="B4992" s="37">
        <v>43740</v>
      </c>
      <c r="C4992" s="12">
        <v>22</v>
      </c>
      <c r="D4992" s="38" t="s">
        <v>305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-35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-67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-67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2158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-66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1004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-66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1292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-66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1267</v>
      </c>
      <c r="E4998" s="39">
        <v>43731</v>
      </c>
      <c r="F4998" s="40" t="s">
        <v>242</v>
      </c>
      <c r="G4998" s="12"/>
      <c r="H4998" s="12" t="s">
        <v>2869</v>
      </c>
      <c r="I4998" s="4" t="s">
        <v>1003</v>
      </c>
      <c r="J4998" s="41">
        <f ca="1">ROUNDDOWN(表3[[#This Row],[日期]]-TODAY(),1)</f>
        <v>-46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-45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2377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-44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-45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1269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-45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-44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2980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-43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2981</v>
      </c>
      <c r="E5005" s="39">
        <v>43734</v>
      </c>
      <c r="F5005" s="40" t="s">
        <v>242</v>
      </c>
      <c r="G5005" s="12">
        <v>4</v>
      </c>
      <c r="H5005" s="12"/>
      <c r="I5005" s="4" t="s">
        <v>257</v>
      </c>
      <c r="J5005" s="41">
        <f ca="1">ROUNDDOWN(表3[[#This Row],[日期]]-TODAY(),1)</f>
        <v>-43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262</v>
      </c>
      <c r="E5006" s="39">
        <v>43735</v>
      </c>
      <c r="F5006" s="40" t="s">
        <v>242</v>
      </c>
      <c r="G5006" s="12">
        <v>1</v>
      </c>
      <c r="H5006" s="12" t="s">
        <v>3038</v>
      </c>
      <c r="I5006" s="4" t="s">
        <v>260</v>
      </c>
      <c r="J5006" s="41">
        <f ca="1">ROUNDDOWN(表3[[#This Row],[日期]]-TODAY(),1)</f>
        <v>-42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264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-42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3044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-42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3063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-40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3062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-40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268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-42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270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-41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272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-41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274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-36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276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-36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278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-35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3190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-30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413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-30</v>
      </c>
    </row>
    <row r="5019" spans="1:10" hidden="1" x14ac:dyDescent="0.2">
      <c r="A5019" s="4" t="s">
        <v>1385</v>
      </c>
      <c r="B5019" s="37">
        <v>43741</v>
      </c>
      <c r="C5019" s="12">
        <v>1</v>
      </c>
      <c r="D5019" s="38" t="s">
        <v>2926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-46</v>
      </c>
    </row>
    <row r="5020" spans="1:10" hidden="1" x14ac:dyDescent="0.2">
      <c r="A5020" s="4" t="s">
        <v>1385</v>
      </c>
      <c r="B5020" s="37">
        <v>43741</v>
      </c>
      <c r="C5020" s="12">
        <v>2</v>
      </c>
      <c r="D5020" s="38" t="s">
        <v>2927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-45</v>
      </c>
    </row>
    <row r="5021" spans="1:10" hidden="1" x14ac:dyDescent="0.2">
      <c r="A5021" s="4" t="s">
        <v>1385</v>
      </c>
      <c r="B5021" s="37">
        <v>43741</v>
      </c>
      <c r="C5021" s="12">
        <v>3</v>
      </c>
      <c r="D5021" s="38" t="s">
        <v>2930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-43</v>
      </c>
    </row>
    <row r="5022" spans="1:10" hidden="1" x14ac:dyDescent="0.2">
      <c r="A5022" s="4" t="s">
        <v>1385</v>
      </c>
      <c r="B5022" s="37">
        <v>43741</v>
      </c>
      <c r="C5022" s="12">
        <v>4</v>
      </c>
      <c r="D5022" s="38" t="s">
        <v>3060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-40</v>
      </c>
    </row>
    <row r="5023" spans="1:10" hidden="1" x14ac:dyDescent="0.2">
      <c r="A5023" s="4" t="s">
        <v>1385</v>
      </c>
      <c r="B5023" s="37">
        <v>43741</v>
      </c>
      <c r="C5023" s="12">
        <v>5</v>
      </c>
      <c r="D5023" s="38" t="s">
        <v>3002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-40</v>
      </c>
    </row>
    <row r="5024" spans="1:10" hidden="1" x14ac:dyDescent="0.2">
      <c r="A5024" s="4" t="s">
        <v>1385</v>
      </c>
      <c r="B5024" s="37">
        <v>43741</v>
      </c>
      <c r="C5024" s="12">
        <v>6</v>
      </c>
      <c r="D5024" s="38" t="s">
        <v>3061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-40</v>
      </c>
    </row>
    <row r="5025" spans="1:10" hidden="1" x14ac:dyDescent="0.2">
      <c r="A5025" s="4" t="s">
        <v>1385</v>
      </c>
      <c r="B5025" s="37">
        <v>43741</v>
      </c>
      <c r="C5025" s="12">
        <v>7</v>
      </c>
      <c r="D5025" s="38" t="s">
        <v>3003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-39</v>
      </c>
    </row>
    <row r="5026" spans="1:10" hidden="1" x14ac:dyDescent="0.2">
      <c r="A5026" s="4" t="s">
        <v>1385</v>
      </c>
      <c r="B5026" s="37">
        <v>43741</v>
      </c>
      <c r="C5026" s="12">
        <v>8</v>
      </c>
      <c r="D5026" s="38" t="s">
        <v>3004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-38</v>
      </c>
    </row>
    <row r="5027" spans="1:10" hidden="1" x14ac:dyDescent="0.2">
      <c r="A5027" s="4" t="s">
        <v>1385</v>
      </c>
      <c r="B5027" s="37">
        <v>43741</v>
      </c>
      <c r="C5027" s="12">
        <v>9</v>
      </c>
      <c r="D5027" s="38" t="s">
        <v>2928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-35</v>
      </c>
    </row>
    <row r="5028" spans="1:10" hidden="1" x14ac:dyDescent="0.2">
      <c r="A5028" s="4" t="s">
        <v>1385</v>
      </c>
      <c r="B5028" s="37">
        <v>43741</v>
      </c>
      <c r="C5028" s="12">
        <v>10</v>
      </c>
      <c r="D5028" s="38" t="s">
        <v>2929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-34</v>
      </c>
    </row>
    <row r="5029" spans="1:10" hidden="1" x14ac:dyDescent="0.2">
      <c r="A5029" s="4" t="s">
        <v>1385</v>
      </c>
      <c r="B5029" s="37">
        <v>43741</v>
      </c>
      <c r="C5029" s="12">
        <v>11</v>
      </c>
      <c r="D5029" s="38" t="s">
        <v>2931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-32</v>
      </c>
    </row>
    <row r="5030" spans="1:10" hidden="1" x14ac:dyDescent="0.2">
      <c r="A5030" s="4" t="s">
        <v>1385</v>
      </c>
      <c r="B5030" s="37">
        <v>43741</v>
      </c>
      <c r="C5030" s="12">
        <v>12</v>
      </c>
      <c r="D5030" s="38" t="s">
        <v>3298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-27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893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-41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1137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-41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-41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-41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1261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-41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1282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-40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-40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894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-40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1741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-40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1289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-40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1743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-40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1745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-40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1747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-40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1749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-39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1751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-39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895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-39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1753</v>
      </c>
      <c r="E5047" s="39">
        <v>43738</v>
      </c>
      <c r="F5047" s="40" t="s">
        <v>1184</v>
      </c>
      <c r="G5047" s="12"/>
      <c r="H5047" s="12"/>
      <c r="J5047" s="41">
        <f ca="1">ROUNDDOWN(表3[[#This Row],[日期]]-TODAY(),1)</f>
        <v>-39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-39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896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-39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-39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903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-39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2372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-39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1880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-39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-39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-39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-39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-39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1184</v>
      </c>
      <c r="G5058" s="12"/>
      <c r="H5058" s="12"/>
      <c r="I5058" s="4" t="s">
        <v>62</v>
      </c>
      <c r="J5058" s="41">
        <f ca="1">ROUNDDOWN(表3[[#This Row],[日期]]-TODAY(),1)</f>
        <v>-39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-39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2373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-39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898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-39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2374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-39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-39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-39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1023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-38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-38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-38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-36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-33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1793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-31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-33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2383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-31</v>
      </c>
    </row>
    <row r="5073" spans="1:10" hidden="1" x14ac:dyDescent="0.2">
      <c r="A5073" s="4" t="s">
        <v>1371</v>
      </c>
      <c r="B5073" s="37">
        <v>43744</v>
      </c>
      <c r="C5073" s="12">
        <v>1</v>
      </c>
      <c r="D5073" s="38" t="s">
        <v>1805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-64</v>
      </c>
    </row>
    <row r="5074" spans="1:10" hidden="1" x14ac:dyDescent="0.2">
      <c r="A5074" s="4" t="s">
        <v>1371</v>
      </c>
      <c r="B5074" s="37">
        <v>43744</v>
      </c>
      <c r="C5074" s="12">
        <v>2</v>
      </c>
      <c r="D5074" s="38" t="s">
        <v>1806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-63</v>
      </c>
    </row>
    <row r="5075" spans="1:10" hidden="1" x14ac:dyDescent="0.2">
      <c r="A5075" s="4" t="s">
        <v>1371</v>
      </c>
      <c r="B5075" s="37">
        <v>43744</v>
      </c>
      <c r="C5075" s="12">
        <v>3</v>
      </c>
      <c r="D5075" s="38" t="s">
        <v>1807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-63</v>
      </c>
    </row>
    <row r="5076" spans="1:10" hidden="1" x14ac:dyDescent="0.2">
      <c r="A5076" s="4" t="s">
        <v>1371</v>
      </c>
      <c r="B5076" s="37">
        <v>43744</v>
      </c>
      <c r="C5076" s="12">
        <v>4</v>
      </c>
      <c r="D5076" s="38" t="s">
        <v>1808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-63</v>
      </c>
    </row>
    <row r="5077" spans="1:10" hidden="1" x14ac:dyDescent="0.2">
      <c r="A5077" s="4" t="s">
        <v>1371</v>
      </c>
      <c r="B5077" s="37">
        <v>43744</v>
      </c>
      <c r="C5077" s="12">
        <v>5</v>
      </c>
      <c r="D5077" s="38" t="s">
        <v>2043</v>
      </c>
      <c r="E5077" s="39">
        <v>43726</v>
      </c>
      <c r="F5077" s="40" t="s">
        <v>1184</v>
      </c>
      <c r="G5077" s="12"/>
      <c r="H5077" s="12"/>
      <c r="J5077" s="41">
        <f ca="1">ROUNDDOWN(表3[[#This Row],[日期]]-TODAY(),1)</f>
        <v>-51</v>
      </c>
    </row>
    <row r="5078" spans="1:10" hidden="1" x14ac:dyDescent="0.2">
      <c r="A5078" s="4" t="s">
        <v>1371</v>
      </c>
      <c r="B5078" s="37">
        <v>43744</v>
      </c>
      <c r="C5078" s="12">
        <v>5</v>
      </c>
      <c r="D5078" s="38" t="s">
        <v>2030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-39</v>
      </c>
    </row>
    <row r="5079" spans="1:10" hidden="1" x14ac:dyDescent="0.2">
      <c r="A5079" s="4" t="s">
        <v>1371</v>
      </c>
      <c r="B5079" s="37">
        <v>43744</v>
      </c>
      <c r="C5079" s="12">
        <v>7</v>
      </c>
      <c r="D5079" s="38" t="s">
        <v>2925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-40</v>
      </c>
    </row>
    <row r="5080" spans="1:10" hidden="1" x14ac:dyDescent="0.2">
      <c r="A5080" s="4" t="s">
        <v>1371</v>
      </c>
      <c r="B5080" s="37">
        <v>43744</v>
      </c>
      <c r="C5080" s="12">
        <v>8</v>
      </c>
      <c r="D5080" s="38" t="s">
        <v>2063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-31</v>
      </c>
    </row>
    <row r="5081" spans="1:10" hidden="1" x14ac:dyDescent="0.2">
      <c r="A5081" s="4" t="s">
        <v>1371</v>
      </c>
      <c r="B5081" s="37">
        <v>43744</v>
      </c>
      <c r="C5081" s="12">
        <v>9</v>
      </c>
      <c r="D5081" s="38" t="s">
        <v>1655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-39</v>
      </c>
    </row>
    <row r="5082" spans="1:10" hidden="1" x14ac:dyDescent="0.2">
      <c r="A5082" s="4" t="s">
        <v>1371</v>
      </c>
      <c r="B5082" s="37">
        <v>43744</v>
      </c>
      <c r="C5082" s="12">
        <v>10</v>
      </c>
      <c r="D5082" s="38" t="s">
        <v>2065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-39</v>
      </c>
    </row>
    <row r="5083" spans="1:10" hidden="1" x14ac:dyDescent="0.2">
      <c r="A5083" s="4" t="s">
        <v>1371</v>
      </c>
      <c r="B5083" s="37">
        <v>43744</v>
      </c>
      <c r="C5083" s="12">
        <v>11</v>
      </c>
      <c r="D5083" s="38" t="s">
        <v>2064</v>
      </c>
      <c r="E5083" s="39">
        <v>43738</v>
      </c>
      <c r="F5083" s="40" t="s">
        <v>242</v>
      </c>
      <c r="G5083" s="12"/>
      <c r="H5083" s="12"/>
      <c r="I5083" s="4" t="s">
        <v>3169</v>
      </c>
      <c r="J5083" s="41">
        <f ca="1">ROUNDDOWN(表3[[#This Row],[日期]]-TODAY(),1)</f>
        <v>-39</v>
      </c>
    </row>
    <row r="5084" spans="1:10" hidden="1" x14ac:dyDescent="0.2">
      <c r="A5084" s="4" t="s">
        <v>1371</v>
      </c>
      <c r="B5084" s="37">
        <v>43744</v>
      </c>
      <c r="C5084" s="12">
        <v>12</v>
      </c>
      <c r="D5084" s="38" t="s">
        <v>3172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-39</v>
      </c>
    </row>
    <row r="5085" spans="1:10" hidden="1" x14ac:dyDescent="0.2">
      <c r="A5085" s="4" t="s">
        <v>1371</v>
      </c>
      <c r="B5085" s="37">
        <v>43744</v>
      </c>
      <c r="C5085" s="12">
        <v>12</v>
      </c>
      <c r="D5085" s="38" t="s">
        <v>3213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-30</v>
      </c>
    </row>
    <row r="5086" spans="1:10" hidden="1" x14ac:dyDescent="0.2">
      <c r="A5086" s="4" t="s">
        <v>1371</v>
      </c>
      <c r="B5086" s="37">
        <v>43744</v>
      </c>
      <c r="C5086" s="12">
        <v>13</v>
      </c>
      <c r="D5086" s="38" t="s">
        <v>2014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-39</v>
      </c>
    </row>
    <row r="5087" spans="1:10" hidden="1" x14ac:dyDescent="0.2">
      <c r="A5087" s="4" t="s">
        <v>1371</v>
      </c>
      <c r="B5087" s="37">
        <v>43744</v>
      </c>
      <c r="C5087" s="12">
        <v>14</v>
      </c>
      <c r="D5087" s="38" t="s">
        <v>2015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-39</v>
      </c>
    </row>
    <row r="5088" spans="1:10" hidden="1" x14ac:dyDescent="0.2">
      <c r="A5088" s="4" t="s">
        <v>1371</v>
      </c>
      <c r="B5088" s="37">
        <v>43744</v>
      </c>
      <c r="C5088" s="12">
        <v>15</v>
      </c>
      <c r="D5088" s="38" t="s">
        <v>2016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-39</v>
      </c>
    </row>
    <row r="5089" spans="1:10" hidden="1" x14ac:dyDescent="0.2">
      <c r="A5089" s="4" t="s">
        <v>1371</v>
      </c>
      <c r="B5089" s="37">
        <v>43744</v>
      </c>
      <c r="C5089" s="12">
        <v>16</v>
      </c>
      <c r="D5089" s="38" t="s">
        <v>3173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-39</v>
      </c>
    </row>
    <row r="5090" spans="1:10" hidden="1" x14ac:dyDescent="0.2">
      <c r="A5090" s="4" t="s">
        <v>1371</v>
      </c>
      <c r="B5090" s="37">
        <v>43744</v>
      </c>
      <c r="C5090" s="12">
        <v>16</v>
      </c>
      <c r="D5090" s="38" t="s">
        <v>3174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-31</v>
      </c>
    </row>
    <row r="5091" spans="1:10" hidden="1" x14ac:dyDescent="0.2">
      <c r="A5091" s="4" t="s">
        <v>1371</v>
      </c>
      <c r="B5091" s="37">
        <v>43744</v>
      </c>
      <c r="C5091" s="12">
        <v>17</v>
      </c>
      <c r="D5091" s="38" t="s">
        <v>2018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-39</v>
      </c>
    </row>
    <row r="5092" spans="1:10" hidden="1" x14ac:dyDescent="0.2">
      <c r="A5092" s="4" t="s">
        <v>1371</v>
      </c>
      <c r="B5092" s="37">
        <v>43744</v>
      </c>
      <c r="C5092" s="12">
        <v>18</v>
      </c>
      <c r="D5092" s="38" t="s">
        <v>270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-35</v>
      </c>
    </row>
    <row r="5093" spans="1:10" hidden="1" x14ac:dyDescent="0.2">
      <c r="A5093" s="4" t="s">
        <v>1371</v>
      </c>
      <c r="B5093" s="37">
        <v>43744</v>
      </c>
      <c r="C5093" s="12">
        <v>19</v>
      </c>
      <c r="D5093" s="38" t="s">
        <v>272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-35</v>
      </c>
    </row>
    <row r="5094" spans="1:10" hidden="1" x14ac:dyDescent="0.2">
      <c r="A5094" s="4" t="s">
        <v>1371</v>
      </c>
      <c r="B5094" s="37">
        <v>43744</v>
      </c>
      <c r="C5094" s="12">
        <v>20</v>
      </c>
      <c r="D5094" s="38" t="s">
        <v>274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-34</v>
      </c>
    </row>
    <row r="5095" spans="1:10" hidden="1" x14ac:dyDescent="0.2">
      <c r="A5095" s="4" t="s">
        <v>1371</v>
      </c>
      <c r="B5095" s="37">
        <v>43744</v>
      </c>
      <c r="C5095" s="12">
        <v>21</v>
      </c>
      <c r="D5095" s="38" t="s">
        <v>276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-34</v>
      </c>
    </row>
    <row r="5096" spans="1:10" hidden="1" x14ac:dyDescent="0.2">
      <c r="A5096" s="4" t="s">
        <v>1371</v>
      </c>
      <c r="B5096" s="37">
        <v>43744</v>
      </c>
      <c r="C5096" s="12">
        <v>22</v>
      </c>
      <c r="D5096" s="38" t="s">
        <v>305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-31</v>
      </c>
    </row>
    <row r="5097" spans="1:10" hidden="1" x14ac:dyDescent="0.2">
      <c r="A5097" s="4" t="s">
        <v>1371</v>
      </c>
      <c r="B5097" s="37">
        <v>43744</v>
      </c>
      <c r="C5097" s="12">
        <v>23</v>
      </c>
      <c r="D5097" s="38" t="s">
        <v>2019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-31</v>
      </c>
    </row>
    <row r="5098" spans="1:10" hidden="1" x14ac:dyDescent="0.2">
      <c r="A5098" s="4" t="s">
        <v>1371</v>
      </c>
      <c r="B5098" s="37">
        <v>43744</v>
      </c>
      <c r="C5098" s="12">
        <v>24</v>
      </c>
      <c r="D5098" s="38" t="s">
        <v>3313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-23</v>
      </c>
    </row>
    <row r="5099" spans="1:10" hidden="1" x14ac:dyDescent="0.2">
      <c r="A5099" s="4" t="s">
        <v>2844</v>
      </c>
      <c r="B5099" s="37">
        <v>43745</v>
      </c>
      <c r="C5099" s="12">
        <v>1</v>
      </c>
      <c r="D5099" s="38" t="s">
        <v>745</v>
      </c>
      <c r="E5099" s="39">
        <v>43748</v>
      </c>
      <c r="F5099" s="40" t="s">
        <v>3250</v>
      </c>
      <c r="G5099" s="12"/>
      <c r="H5099" s="12"/>
      <c r="I5099" s="4" t="s">
        <v>222</v>
      </c>
      <c r="J5099" s="41">
        <f ca="1">ROUNDDOWN(表3[[#This Row],[日期]]-TODAY(),1)</f>
        <v>-29</v>
      </c>
    </row>
    <row r="5100" spans="1:10" hidden="1" x14ac:dyDescent="0.2">
      <c r="A5100" s="4" t="s">
        <v>2844</v>
      </c>
      <c r="B5100" s="37">
        <v>43745</v>
      </c>
      <c r="C5100" s="12">
        <v>2</v>
      </c>
      <c r="D5100" s="38" t="s">
        <v>2794</v>
      </c>
      <c r="E5100" s="39">
        <v>43746</v>
      </c>
      <c r="F5100" s="40" t="s">
        <v>1184</v>
      </c>
      <c r="G5100" s="12"/>
      <c r="H5100" s="12"/>
      <c r="I5100" s="4" t="s">
        <v>222</v>
      </c>
      <c r="J5100" s="41">
        <f ca="1">ROUNDDOWN(表3[[#This Row],[日期]]-TODAY(),1)</f>
        <v>-31</v>
      </c>
    </row>
    <row r="5101" spans="1:10" hidden="1" x14ac:dyDescent="0.2">
      <c r="A5101" s="4" t="s">
        <v>2844</v>
      </c>
      <c r="B5101" s="37">
        <v>43745</v>
      </c>
      <c r="C5101" s="12">
        <v>3</v>
      </c>
      <c r="D5101" s="38" t="s">
        <v>1477</v>
      </c>
      <c r="E5101" s="39">
        <v>43746</v>
      </c>
      <c r="F5101" s="40" t="s">
        <v>1184</v>
      </c>
      <c r="G5101" s="12"/>
      <c r="H5101" s="12"/>
      <c r="I5101" s="4" t="s">
        <v>222</v>
      </c>
      <c r="J5101" s="41">
        <f ca="1">ROUNDDOWN(表3[[#This Row],[日期]]-TODAY(),1)</f>
        <v>-31</v>
      </c>
    </row>
    <row r="5102" spans="1:10" hidden="1" x14ac:dyDescent="0.2">
      <c r="A5102" s="4" t="s">
        <v>2844</v>
      </c>
      <c r="B5102" s="37">
        <v>43745</v>
      </c>
      <c r="C5102" s="12">
        <v>4</v>
      </c>
      <c r="D5102" s="38" t="s">
        <v>3214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-30</v>
      </c>
    </row>
    <row r="5103" spans="1:10" hidden="1" x14ac:dyDescent="0.2">
      <c r="A5103" s="4" t="s">
        <v>2844</v>
      </c>
      <c r="B5103" s="37">
        <v>43745</v>
      </c>
      <c r="C5103" s="12">
        <v>5</v>
      </c>
      <c r="D5103" s="38" t="s">
        <v>3104</v>
      </c>
      <c r="E5103" s="39">
        <v>43748</v>
      </c>
      <c r="F5103" s="40" t="s">
        <v>3250</v>
      </c>
      <c r="G5103" s="12"/>
      <c r="H5103" s="12"/>
      <c r="I5103" s="4" t="s">
        <v>222</v>
      </c>
      <c r="J5103" s="41">
        <f ca="1">ROUNDDOWN(表3[[#This Row],[日期]]-TODAY(),1)</f>
        <v>-29</v>
      </c>
    </row>
    <row r="5104" spans="1:10" hidden="1" x14ac:dyDescent="0.2">
      <c r="A5104" s="4" t="s">
        <v>2844</v>
      </c>
      <c r="B5104" s="37">
        <v>43745</v>
      </c>
      <c r="C5104" s="12">
        <v>6</v>
      </c>
      <c r="D5104" s="38" t="s">
        <v>3105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-31</v>
      </c>
    </row>
    <row r="5105" spans="1:10" hidden="1" x14ac:dyDescent="0.2">
      <c r="A5105" s="4" t="s">
        <v>2844</v>
      </c>
      <c r="B5105" s="37">
        <v>43745</v>
      </c>
      <c r="C5105" s="12">
        <v>7</v>
      </c>
      <c r="D5105" s="38" t="s">
        <v>738</v>
      </c>
      <c r="E5105" s="39">
        <v>43746</v>
      </c>
      <c r="F5105" s="40" t="s">
        <v>1184</v>
      </c>
      <c r="G5105" s="12"/>
      <c r="H5105" s="12"/>
      <c r="I5105" s="4" t="s">
        <v>222</v>
      </c>
      <c r="J5105" s="41">
        <f ca="1">ROUNDDOWN(表3[[#This Row],[日期]]-TODAY(),1)</f>
        <v>-31</v>
      </c>
    </row>
    <row r="5106" spans="1:10" hidden="1" x14ac:dyDescent="0.2">
      <c r="A5106" s="4" t="s">
        <v>2844</v>
      </c>
      <c r="B5106" s="37">
        <v>43745</v>
      </c>
      <c r="C5106" s="12">
        <v>8</v>
      </c>
      <c r="D5106" s="38" t="s">
        <v>738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-30</v>
      </c>
    </row>
    <row r="5107" spans="1:10" hidden="1" x14ac:dyDescent="0.2">
      <c r="A5107" s="4" t="s">
        <v>2844</v>
      </c>
      <c r="B5107" s="37">
        <v>43745</v>
      </c>
      <c r="C5107" s="12">
        <v>9</v>
      </c>
      <c r="D5107" s="38" t="s">
        <v>1025</v>
      </c>
      <c r="E5107" s="39">
        <v>43750</v>
      </c>
      <c r="F5107" s="40" t="s">
        <v>242</v>
      </c>
      <c r="G5107" s="12"/>
      <c r="H5107" s="12"/>
      <c r="I5107" s="4" t="s">
        <v>743</v>
      </c>
      <c r="J5107" s="41">
        <f ca="1">ROUNDDOWN(表3[[#This Row],[日期]]-TODAY(),1)</f>
        <v>-27</v>
      </c>
    </row>
    <row r="5108" spans="1:10" hidden="1" x14ac:dyDescent="0.2">
      <c r="A5108" s="4" t="s">
        <v>2844</v>
      </c>
      <c r="B5108" s="37">
        <v>43745</v>
      </c>
      <c r="C5108" s="12">
        <v>10</v>
      </c>
      <c r="D5108" s="38" t="s">
        <v>3106</v>
      </c>
      <c r="E5108" s="39">
        <v>43750</v>
      </c>
      <c r="F5108" s="40" t="s">
        <v>242</v>
      </c>
      <c r="G5108" s="12">
        <v>4</v>
      </c>
      <c r="H5108" s="12"/>
      <c r="I5108" s="4" t="s">
        <v>743</v>
      </c>
      <c r="J5108" s="41">
        <f ca="1">ROUNDDOWN(表3[[#This Row],[日期]]-TODAY(),1)</f>
        <v>-27</v>
      </c>
    </row>
    <row r="5109" spans="1:10" hidden="1" x14ac:dyDescent="0.2">
      <c r="A5109" s="4" t="s">
        <v>2844</v>
      </c>
      <c r="B5109" s="37">
        <v>43745</v>
      </c>
      <c r="C5109" s="12">
        <v>13</v>
      </c>
      <c r="D5109" s="38" t="s">
        <v>738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-28</v>
      </c>
    </row>
    <row r="5110" spans="1:10" hidden="1" x14ac:dyDescent="0.2">
      <c r="A5110" s="4" t="s">
        <v>2844</v>
      </c>
      <c r="B5110" s="37">
        <v>43745</v>
      </c>
      <c r="C5110" s="12">
        <v>14</v>
      </c>
      <c r="D5110" s="38" t="s">
        <v>3107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-27</v>
      </c>
    </row>
    <row r="5111" spans="1:10" hidden="1" x14ac:dyDescent="0.2">
      <c r="A5111" s="4" t="s">
        <v>2844</v>
      </c>
      <c r="B5111" s="37">
        <v>43745</v>
      </c>
      <c r="C5111" s="12">
        <v>15</v>
      </c>
      <c r="D5111" s="38" t="s">
        <v>3108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-26</v>
      </c>
    </row>
    <row r="5112" spans="1:10" hidden="1" x14ac:dyDescent="0.2">
      <c r="A5112" s="4" t="s">
        <v>3066</v>
      </c>
      <c r="B5112" s="37">
        <v>43745</v>
      </c>
      <c r="C5112" s="12"/>
      <c r="D5112" s="38" t="s">
        <v>3072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-31</v>
      </c>
    </row>
    <row r="5113" spans="1:10" hidden="1" x14ac:dyDescent="0.2">
      <c r="A5113" s="4" t="s">
        <v>2845</v>
      </c>
      <c r="B5113" s="37">
        <v>43745</v>
      </c>
      <c r="C5113" s="12"/>
      <c r="D5113" s="38" t="s">
        <v>3081</v>
      </c>
      <c r="E5113" s="39">
        <v>43746</v>
      </c>
      <c r="F5113" s="40" t="s">
        <v>1184</v>
      </c>
      <c r="G5113" s="12"/>
      <c r="H5113" s="12"/>
      <c r="J5113" s="41">
        <f ca="1">ROUNDDOWN(表3[[#This Row],[日期]]-TODAY(),1)</f>
        <v>-31</v>
      </c>
    </row>
    <row r="5114" spans="1:10" hidden="1" x14ac:dyDescent="0.2">
      <c r="A5114" s="4" t="s">
        <v>2845</v>
      </c>
      <c r="B5114" s="37">
        <v>43745</v>
      </c>
      <c r="C5114" s="12"/>
      <c r="D5114" s="38" t="s">
        <v>3123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-31</v>
      </c>
    </row>
    <row r="5115" spans="1:10" hidden="1" x14ac:dyDescent="0.2">
      <c r="A5115" s="4" t="s">
        <v>2845</v>
      </c>
      <c r="B5115" s="37">
        <v>43745</v>
      </c>
      <c r="C5115" s="12"/>
      <c r="D5115" s="38" t="s">
        <v>3184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-31</v>
      </c>
    </row>
    <row r="5116" spans="1:10" hidden="1" x14ac:dyDescent="0.2">
      <c r="A5116" s="4" t="s">
        <v>2845</v>
      </c>
      <c r="B5116" s="37">
        <v>43745</v>
      </c>
      <c r="C5116" s="12"/>
      <c r="D5116" s="38" t="s">
        <v>3185</v>
      </c>
      <c r="E5116" s="39">
        <v>43746</v>
      </c>
      <c r="F5116" s="40" t="s">
        <v>1184</v>
      </c>
      <c r="G5116" s="12"/>
      <c r="H5116" s="12"/>
      <c r="J5116" s="41">
        <f ca="1">ROUNDDOWN(表3[[#This Row],[日期]]-TODAY(),1)</f>
        <v>-31</v>
      </c>
    </row>
    <row r="5117" spans="1:10" hidden="1" x14ac:dyDescent="0.2">
      <c r="A5117" s="68" t="s">
        <v>2845</v>
      </c>
      <c r="B5117" s="69">
        <v>43745</v>
      </c>
      <c r="C5117" s="70"/>
      <c r="D5117" s="66" t="s">
        <v>3257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-28</v>
      </c>
    </row>
    <row r="5118" spans="1:10" hidden="1" x14ac:dyDescent="0.2">
      <c r="A5118" s="4" t="s">
        <v>2844</v>
      </c>
      <c r="B5118" s="37">
        <v>43745</v>
      </c>
      <c r="C5118" s="12"/>
      <c r="D5118" s="38" t="s">
        <v>3230</v>
      </c>
      <c r="E5118" s="39">
        <v>43749</v>
      </c>
      <c r="F5118" s="40" t="s">
        <v>1184</v>
      </c>
      <c r="G5118" s="12"/>
      <c r="H5118" s="12"/>
      <c r="J5118" s="41">
        <f ca="1">ROUNDDOWN(表3[[#This Row],[日期]]-TODAY(),1)</f>
        <v>-28</v>
      </c>
    </row>
    <row r="5119" spans="1:10" hidden="1" x14ac:dyDescent="0.2">
      <c r="A5119" s="4" t="s">
        <v>2844</v>
      </c>
      <c r="B5119" s="37">
        <v>43745</v>
      </c>
      <c r="C5119" s="12"/>
      <c r="D5119" s="38" t="s">
        <v>3231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-25</v>
      </c>
    </row>
    <row r="5120" spans="1:10" hidden="1" x14ac:dyDescent="0.2">
      <c r="A5120" s="4" t="s">
        <v>2844</v>
      </c>
      <c r="B5120" s="37">
        <v>43745</v>
      </c>
      <c r="C5120" s="12"/>
      <c r="D5120" s="38" t="s">
        <v>3398</v>
      </c>
      <c r="E5120" s="39">
        <v>43765</v>
      </c>
      <c r="F5120" s="40" t="s">
        <v>1184</v>
      </c>
      <c r="G5120" s="12"/>
      <c r="H5120" s="12"/>
      <c r="J5120" s="41">
        <f ca="1">ROUNDDOWN(表3[[#This Row],[日期]]-TODAY(),1)</f>
        <v>-12</v>
      </c>
    </row>
    <row r="5121" spans="1:10" hidden="1" x14ac:dyDescent="0.2">
      <c r="A5121" s="4" t="s">
        <v>3258</v>
      </c>
      <c r="B5121" s="37">
        <v>43745</v>
      </c>
      <c r="C5121" s="12"/>
      <c r="D5121" s="38" t="s">
        <v>3259</v>
      </c>
      <c r="E5121" s="39">
        <v>43770</v>
      </c>
      <c r="F5121" s="40" t="s">
        <v>242</v>
      </c>
      <c r="G5121" s="12"/>
      <c r="H5121" s="12"/>
      <c r="J5121" s="41">
        <f ca="1">ROUNDDOWN(表3[[#This Row],[日期]]-TODAY(),1)</f>
        <v>-7</v>
      </c>
    </row>
    <row r="5122" spans="1:10" hidden="1" x14ac:dyDescent="0.2">
      <c r="A5122" s="4" t="s">
        <v>3258</v>
      </c>
      <c r="B5122" s="37">
        <v>43745</v>
      </c>
      <c r="C5122" s="12"/>
      <c r="D5122" s="38" t="s">
        <v>3376</v>
      </c>
      <c r="E5122" s="39">
        <v>43752</v>
      </c>
      <c r="F5122" s="40" t="s">
        <v>1184</v>
      </c>
      <c r="G5122" s="12"/>
      <c r="H5122" s="12"/>
      <c r="J5122" s="41">
        <f ca="1">ROUNDDOWN(表3[[#This Row],[日期]]-TODAY(),1)</f>
        <v>-25</v>
      </c>
    </row>
    <row r="5123" spans="1:10" hidden="1" x14ac:dyDescent="0.2">
      <c r="A5123" s="4" t="s">
        <v>2806</v>
      </c>
      <c r="B5123" s="37">
        <v>43747</v>
      </c>
      <c r="C5123" s="12">
        <v>1</v>
      </c>
      <c r="D5123" s="38" t="s">
        <v>364</v>
      </c>
      <c r="E5123" s="39">
        <v>43728</v>
      </c>
      <c r="F5123" s="40" t="s">
        <v>2801</v>
      </c>
      <c r="G5123" s="12"/>
      <c r="H5123" s="12"/>
      <c r="J5123" s="41">
        <f ca="1">ROUNDDOWN(表3[[#This Row],[日期]]-TODAY(),1)</f>
        <v>-49</v>
      </c>
    </row>
    <row r="5124" spans="1:10" hidden="1" x14ac:dyDescent="0.2">
      <c r="A5124" s="4" t="s">
        <v>2806</v>
      </c>
      <c r="B5124" s="37">
        <v>43747</v>
      </c>
      <c r="C5124" s="12">
        <v>2</v>
      </c>
      <c r="D5124" s="38" t="s">
        <v>2997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-43</v>
      </c>
    </row>
    <row r="5125" spans="1:10" hidden="1" x14ac:dyDescent="0.2">
      <c r="A5125" s="4" t="s">
        <v>2806</v>
      </c>
      <c r="B5125" s="37">
        <v>43747</v>
      </c>
      <c r="C5125" s="12">
        <v>4</v>
      </c>
      <c r="D5125" s="38" t="s">
        <v>2998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-42</v>
      </c>
    </row>
    <row r="5126" spans="1:10" hidden="1" x14ac:dyDescent="0.2">
      <c r="A5126" s="4" t="s">
        <v>2806</v>
      </c>
      <c r="B5126" s="37">
        <v>43747</v>
      </c>
      <c r="C5126" s="12">
        <v>7</v>
      </c>
      <c r="D5126" s="38" t="s">
        <v>2999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-39</v>
      </c>
    </row>
    <row r="5127" spans="1:10" hidden="1" x14ac:dyDescent="0.2">
      <c r="A5127" s="4" t="s">
        <v>2806</v>
      </c>
      <c r="B5127" s="37">
        <v>43747</v>
      </c>
      <c r="C5127" s="12">
        <v>8</v>
      </c>
      <c r="D5127" s="38" t="s">
        <v>3058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-40</v>
      </c>
    </row>
    <row r="5128" spans="1:10" hidden="1" x14ac:dyDescent="0.2">
      <c r="A5128" s="4" t="s">
        <v>2806</v>
      </c>
      <c r="B5128" s="37">
        <v>43747</v>
      </c>
      <c r="C5128" s="12">
        <v>11</v>
      </c>
      <c r="D5128" s="38" t="s">
        <v>3059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-39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3057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-35</v>
      </c>
    </row>
    <row r="5130" spans="1:10" hidden="1" x14ac:dyDescent="0.2">
      <c r="A5130" s="4" t="s">
        <v>2806</v>
      </c>
      <c r="B5130" s="37">
        <v>43747</v>
      </c>
      <c r="C5130" s="12">
        <v>12</v>
      </c>
      <c r="D5130" s="38" t="s">
        <v>3000</v>
      </c>
      <c r="E5130" s="39">
        <v>43742</v>
      </c>
      <c r="F5130" s="40" t="s">
        <v>242</v>
      </c>
      <c r="G5130" s="12"/>
      <c r="H5130" s="12"/>
      <c r="I5130" s="4" t="s">
        <v>310</v>
      </c>
      <c r="J5130" s="41">
        <f ca="1">ROUNDDOWN(表3[[#This Row],[日期]]-TODAY(),1)</f>
        <v>-35</v>
      </c>
    </row>
    <row r="5131" spans="1:10" hidden="1" x14ac:dyDescent="0.2">
      <c r="A5131" s="4" t="s">
        <v>2806</v>
      </c>
      <c r="B5131" s="37">
        <v>43747</v>
      </c>
      <c r="C5131" s="12">
        <v>17</v>
      </c>
      <c r="D5131" s="38" t="s">
        <v>3212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-30</v>
      </c>
    </row>
    <row r="5132" spans="1:10" hidden="1" x14ac:dyDescent="0.2">
      <c r="A5132" s="4" t="s">
        <v>2806</v>
      </c>
      <c r="B5132" s="37">
        <v>43747</v>
      </c>
      <c r="C5132" s="12">
        <v>20</v>
      </c>
      <c r="D5132" s="38" t="s">
        <v>3001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-32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927</v>
      </c>
      <c r="E5133" s="39">
        <v>43736</v>
      </c>
      <c r="F5133" s="40" t="s">
        <v>3144</v>
      </c>
      <c r="G5133" s="12"/>
      <c r="H5133" s="12"/>
      <c r="I5133" s="4" t="s">
        <v>27</v>
      </c>
      <c r="J5133" s="41">
        <f ca="1">ROUNDDOWN(表3[[#This Row],[日期]]-TODAY(),1)</f>
        <v>-41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1210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-40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-40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-40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1576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-40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1577</v>
      </c>
      <c r="E5138" s="39">
        <v>43738</v>
      </c>
      <c r="F5138" s="40" t="s">
        <v>3163</v>
      </c>
      <c r="G5138" s="12"/>
      <c r="H5138" s="12"/>
      <c r="I5138" s="4" t="s">
        <v>30</v>
      </c>
      <c r="J5138" s="41">
        <f ca="1">ROUNDDOWN(表3[[#This Row],[日期]]-TODAY(),1)</f>
        <v>-39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3163</v>
      </c>
      <c r="G5139" s="12"/>
      <c r="H5139" s="12"/>
      <c r="J5139" s="41">
        <f ca="1">ROUNDDOWN(表3[[#This Row],[日期]]-TODAY(),1)</f>
        <v>-39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928</v>
      </c>
      <c r="E5140" s="39">
        <v>43738</v>
      </c>
      <c r="F5140" s="40" t="s">
        <v>3163</v>
      </c>
      <c r="G5140" s="12"/>
      <c r="H5140" s="12"/>
      <c r="I5140" s="4" t="s">
        <v>32</v>
      </c>
      <c r="J5140" s="41">
        <f ca="1">ROUNDDOWN(表3[[#This Row],[日期]]-TODAY(),1)</f>
        <v>-39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1740</v>
      </c>
      <c r="E5141" s="39">
        <v>43738</v>
      </c>
      <c r="F5141" s="40" t="s">
        <v>3163</v>
      </c>
      <c r="G5141" s="12"/>
      <c r="H5141" s="12"/>
      <c r="J5141" s="41">
        <f ca="1">ROUNDDOWN(表3[[#This Row],[日期]]-TODAY(),1)</f>
        <v>-39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1578</v>
      </c>
      <c r="E5142" s="39">
        <v>43738</v>
      </c>
      <c r="F5142" s="40" t="s">
        <v>3163</v>
      </c>
      <c r="G5142" s="12"/>
      <c r="H5142" s="12"/>
      <c r="J5142" s="41">
        <f ca="1">ROUNDDOWN(表3[[#This Row],[日期]]-TODAY(),1)</f>
        <v>-39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1742</v>
      </c>
      <c r="E5143" s="39">
        <v>43738</v>
      </c>
      <c r="F5143" s="40" t="s">
        <v>3163</v>
      </c>
      <c r="G5143" s="12"/>
      <c r="H5143" s="12"/>
      <c r="J5143" s="41">
        <f ca="1">ROUNDDOWN(表3[[#This Row],[日期]]-TODAY(),1)</f>
        <v>-39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1744</v>
      </c>
      <c r="E5144" s="39">
        <v>43738</v>
      </c>
      <c r="F5144" s="40" t="s">
        <v>3163</v>
      </c>
      <c r="G5144" s="12"/>
      <c r="H5144" s="12"/>
      <c r="J5144" s="41">
        <f ca="1">ROUNDDOWN(表3[[#This Row],[日期]]-TODAY(),1)</f>
        <v>-39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1746</v>
      </c>
      <c r="E5145" s="39">
        <v>43738</v>
      </c>
      <c r="F5145" s="40" t="s">
        <v>3163</v>
      </c>
      <c r="G5145" s="12"/>
      <c r="H5145" s="12"/>
      <c r="J5145" s="41">
        <f ca="1">ROUNDDOWN(表3[[#This Row],[日期]]-TODAY(),1)</f>
        <v>-39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1748</v>
      </c>
      <c r="E5146" s="39">
        <v>43738</v>
      </c>
      <c r="F5146" s="40" t="s">
        <v>3163</v>
      </c>
      <c r="G5146" s="12"/>
      <c r="H5146" s="12"/>
      <c r="J5146" s="41">
        <f ca="1">ROUNDDOWN(表3[[#This Row],[日期]]-TODAY(),1)</f>
        <v>-39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1750</v>
      </c>
      <c r="E5147" s="39">
        <v>43738</v>
      </c>
      <c r="F5147" s="40" t="s">
        <v>3163</v>
      </c>
      <c r="G5147" s="12"/>
      <c r="H5147" s="12"/>
      <c r="J5147" s="41">
        <f ca="1">ROUNDDOWN(表3[[#This Row],[日期]]-TODAY(),1)</f>
        <v>-39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929</v>
      </c>
      <c r="E5148" s="39">
        <v>43739</v>
      </c>
      <c r="F5148" s="40" t="s">
        <v>3163</v>
      </c>
      <c r="G5148" s="12"/>
      <c r="H5148" s="12"/>
      <c r="I5148" s="4" t="s">
        <v>34</v>
      </c>
      <c r="J5148" s="41">
        <f ca="1">ROUNDDOWN(表3[[#This Row],[日期]]-TODAY(),1)</f>
        <v>-38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1752</v>
      </c>
      <c r="E5149" s="39">
        <v>43739</v>
      </c>
      <c r="F5149" s="40" t="s">
        <v>3163</v>
      </c>
      <c r="G5149" s="12"/>
      <c r="H5149" s="12"/>
      <c r="J5149" s="41">
        <f ca="1">ROUNDDOWN(表3[[#This Row],[日期]]-TODAY(),1)</f>
        <v>-38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3163</v>
      </c>
      <c r="G5150" s="12"/>
      <c r="H5150" s="12"/>
      <c r="J5150" s="41">
        <f ca="1">ROUNDDOWN(表3[[#This Row],[日期]]-TODAY(),1)</f>
        <v>-38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930</v>
      </c>
      <c r="E5151" s="39">
        <v>43739</v>
      </c>
      <c r="F5151" s="40" t="s">
        <v>3163</v>
      </c>
      <c r="G5151" s="12"/>
      <c r="H5151" s="12"/>
      <c r="I5151" s="4" t="s">
        <v>40</v>
      </c>
      <c r="J5151" s="41">
        <f ca="1">ROUNDDOWN(表3[[#This Row],[日期]]-TODAY(),1)</f>
        <v>-38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3163</v>
      </c>
      <c r="G5152" s="12"/>
      <c r="H5152" s="12"/>
      <c r="I5152" s="4" t="s">
        <v>192</v>
      </c>
      <c r="J5152" s="41">
        <f ca="1">ROUNDDOWN(表3[[#This Row],[日期]]-TODAY(),1)</f>
        <v>-38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931</v>
      </c>
      <c r="E5153" s="39">
        <v>43739</v>
      </c>
      <c r="F5153" s="40" t="s">
        <v>3163</v>
      </c>
      <c r="G5153" s="12"/>
      <c r="H5153" s="12"/>
      <c r="J5153" s="41">
        <f ca="1">ROUNDDOWN(表3[[#This Row],[日期]]-TODAY(),1)</f>
        <v>-38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2472</v>
      </c>
      <c r="E5154" s="39">
        <v>43739</v>
      </c>
      <c r="F5154" s="40" t="s">
        <v>3163</v>
      </c>
      <c r="G5154" s="12"/>
      <c r="H5154" s="12"/>
      <c r="J5154" s="41">
        <f ca="1">ROUNDDOWN(表3[[#This Row],[日期]]-TODAY(),1)</f>
        <v>-38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1919</v>
      </c>
      <c r="E5155" s="39">
        <v>43739</v>
      </c>
      <c r="F5155" s="40" t="s">
        <v>3163</v>
      </c>
      <c r="G5155" s="12"/>
      <c r="H5155" s="12"/>
      <c r="J5155" s="41">
        <f ca="1">ROUNDDOWN(表3[[#This Row],[日期]]-TODAY(),1)</f>
        <v>-38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3163</v>
      </c>
      <c r="G5156" s="12"/>
      <c r="H5156" s="12"/>
      <c r="J5156" s="41">
        <f ca="1">ROUNDDOWN(表3[[#This Row],[日期]]-TODAY(),1)</f>
        <v>-38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3163</v>
      </c>
      <c r="G5157" s="12"/>
      <c r="H5157" s="12"/>
      <c r="J5157" s="41">
        <f ca="1">ROUNDDOWN(表3[[#This Row],[日期]]-TODAY(),1)</f>
        <v>-38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3163</v>
      </c>
      <c r="G5158" s="12"/>
      <c r="H5158" s="12"/>
      <c r="I5158" s="4" t="s">
        <v>40</v>
      </c>
      <c r="J5158" s="41">
        <f ca="1">ROUNDDOWN(表3[[#This Row],[日期]]-TODAY(),1)</f>
        <v>-38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3163</v>
      </c>
      <c r="G5159" s="12"/>
      <c r="H5159" s="12"/>
      <c r="J5159" s="41">
        <f ca="1">ROUNDDOWN(表3[[#This Row],[日期]]-TODAY(),1)</f>
        <v>-38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3163</v>
      </c>
      <c r="G5160" s="12"/>
      <c r="H5160" s="12"/>
      <c r="I5160" s="4" t="s">
        <v>61</v>
      </c>
      <c r="J5160" s="41">
        <f ca="1">ROUNDDOWN(表3[[#This Row],[日期]]-TODAY(),1)</f>
        <v>-38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3163</v>
      </c>
      <c r="G5161" s="12"/>
      <c r="H5161" s="12"/>
      <c r="J5161" s="41">
        <f ca="1">ROUNDDOWN(表3[[#This Row],[日期]]-TODAY(),1)</f>
        <v>-38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2473</v>
      </c>
      <c r="E5162" s="39">
        <v>43739</v>
      </c>
      <c r="F5162" s="40" t="s">
        <v>3163</v>
      </c>
      <c r="G5162" s="12"/>
      <c r="H5162" s="12"/>
      <c r="I5162" s="4" t="s">
        <v>30</v>
      </c>
      <c r="J5162" s="41">
        <f ca="1">ROUNDDOWN(表3[[#This Row],[日期]]-TODAY(),1)</f>
        <v>-38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933</v>
      </c>
      <c r="E5163" s="39">
        <v>43739</v>
      </c>
      <c r="F5163" s="40" t="s">
        <v>3163</v>
      </c>
      <c r="G5163" s="12"/>
      <c r="H5163" s="12"/>
      <c r="I5163" s="4" t="s">
        <v>40</v>
      </c>
      <c r="J5163" s="41">
        <f ca="1">ROUNDDOWN(表3[[#This Row],[日期]]-TODAY(),1)</f>
        <v>-38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2474</v>
      </c>
      <c r="E5164" s="39">
        <v>43739</v>
      </c>
      <c r="F5164" s="40" t="s">
        <v>3163</v>
      </c>
      <c r="G5164" s="12"/>
      <c r="H5164" s="12"/>
      <c r="J5164" s="41">
        <f ca="1">ROUNDDOWN(表3[[#This Row],[日期]]-TODAY(),1)</f>
        <v>-38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3163</v>
      </c>
      <c r="G5165" s="12"/>
      <c r="H5165" s="12"/>
      <c r="I5165" s="4" t="s">
        <v>68</v>
      </c>
      <c r="J5165" s="41">
        <f ca="1">ROUNDDOWN(表3[[#This Row],[日期]]-TODAY(),1)</f>
        <v>-38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3163</v>
      </c>
      <c r="G5166" s="12"/>
      <c r="H5166" s="12"/>
      <c r="J5166" s="41">
        <f ca="1">ROUNDDOWN(表3[[#This Row],[日期]]-TODAY(),1)</f>
        <v>-38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1072</v>
      </c>
      <c r="E5167" s="39">
        <v>43739</v>
      </c>
      <c r="F5167" s="40" t="s">
        <v>3163</v>
      </c>
      <c r="G5167" s="12"/>
      <c r="H5167" s="12"/>
      <c r="J5167" s="41">
        <f ca="1">ROUNDDOWN(表3[[#This Row],[日期]]-TODAY(),1)</f>
        <v>-38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3163</v>
      </c>
      <c r="G5168" s="12"/>
      <c r="H5168" s="12"/>
      <c r="J5168" s="41">
        <f ca="1">ROUNDDOWN(表3[[#This Row],[日期]]-TODAY(),1)</f>
        <v>-38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3163</v>
      </c>
      <c r="G5169" s="12"/>
      <c r="H5169" s="12"/>
      <c r="J5169" s="41">
        <f ca="1">ROUNDDOWN(表3[[#This Row],[日期]]-TODAY(),1)</f>
        <v>-38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3163</v>
      </c>
      <c r="G5170" s="12"/>
      <c r="H5170" s="12"/>
      <c r="J5170" s="41">
        <f ca="1">ROUNDDOWN(表3[[#This Row],[日期]]-TODAY(),1)</f>
        <v>-38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3163</v>
      </c>
      <c r="G5171" s="12"/>
      <c r="H5171" s="12"/>
      <c r="J5171" s="41">
        <f ca="1">ROUNDDOWN(表3[[#This Row],[日期]]-TODAY(),1)</f>
        <v>-38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2335</v>
      </c>
      <c r="E5172" s="39">
        <v>43739</v>
      </c>
      <c r="F5172" s="40" t="s">
        <v>3163</v>
      </c>
      <c r="G5172" s="12"/>
      <c r="H5172" s="12"/>
      <c r="J5172" s="41">
        <f ca="1">ROUNDDOWN(表3[[#This Row],[日期]]-TODAY(),1)</f>
        <v>-38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305</v>
      </c>
      <c r="E5173" s="39">
        <v>43739</v>
      </c>
      <c r="F5173" s="40" t="s">
        <v>3163</v>
      </c>
      <c r="G5173" s="12"/>
      <c r="H5173" s="12"/>
      <c r="J5173" s="41">
        <f ca="1">ROUNDDOWN(表3[[#This Row],[日期]]-TODAY(),1)</f>
        <v>-38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2475</v>
      </c>
      <c r="E5174" s="39">
        <v>43739</v>
      </c>
      <c r="F5174" s="40" t="s">
        <v>3163</v>
      </c>
      <c r="G5174" s="12"/>
      <c r="H5174" s="12"/>
      <c r="I5174" s="4" t="s">
        <v>126</v>
      </c>
      <c r="J5174" s="41">
        <f ca="1">ROUNDDOWN(表3[[#This Row],[日期]]-TODAY(),1)</f>
        <v>-38</v>
      </c>
    </row>
    <row r="5175" spans="1:10" hidden="1" x14ac:dyDescent="0.2">
      <c r="A5175" s="4" t="s">
        <v>3153</v>
      </c>
      <c r="B5175" s="37">
        <v>43749</v>
      </c>
      <c r="C5175" s="12">
        <v>1</v>
      </c>
      <c r="D5175" s="38" t="s">
        <v>3154</v>
      </c>
      <c r="E5175" s="39">
        <v>43734</v>
      </c>
      <c r="F5175" s="40" t="s">
        <v>3144</v>
      </c>
      <c r="G5175" s="12"/>
      <c r="H5175" s="12"/>
      <c r="J5175" s="41">
        <f ca="1">ROUNDDOWN(表3[[#This Row],[日期]]-TODAY(),1)</f>
        <v>-43</v>
      </c>
    </row>
    <row r="5176" spans="1:10" hidden="1" x14ac:dyDescent="0.2">
      <c r="A5176" s="4" t="s">
        <v>3153</v>
      </c>
      <c r="B5176" s="37">
        <v>43749</v>
      </c>
      <c r="C5176" s="12">
        <v>2</v>
      </c>
      <c r="D5176" s="38" t="s">
        <v>3156</v>
      </c>
      <c r="E5176" s="39">
        <v>43734</v>
      </c>
      <c r="F5176" s="40" t="s">
        <v>3144</v>
      </c>
      <c r="G5176" s="12"/>
      <c r="H5176" s="12"/>
      <c r="J5176" s="41">
        <f ca="1">ROUNDDOWN(表3[[#This Row],[日期]]-TODAY(),1)</f>
        <v>-43</v>
      </c>
    </row>
    <row r="5177" spans="1:10" hidden="1" x14ac:dyDescent="0.2">
      <c r="A5177" s="4" t="s">
        <v>3153</v>
      </c>
      <c r="B5177" s="37">
        <v>43749</v>
      </c>
      <c r="C5177" s="12">
        <v>3</v>
      </c>
      <c r="D5177" s="38" t="s">
        <v>3155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-39</v>
      </c>
    </row>
    <row r="5178" spans="1:10" hidden="1" x14ac:dyDescent="0.2">
      <c r="A5178" s="4" t="s">
        <v>3153</v>
      </c>
      <c r="B5178" s="37">
        <v>43749</v>
      </c>
      <c r="C5178" s="12">
        <v>4</v>
      </c>
      <c r="D5178" s="38" t="s">
        <v>3210</v>
      </c>
      <c r="E5178" s="39">
        <v>43746</v>
      </c>
      <c r="F5178" s="40" t="s">
        <v>3209</v>
      </c>
      <c r="G5178" s="12"/>
      <c r="H5178" s="12"/>
      <c r="J5178" s="41">
        <f ca="1">ROUNDDOWN(表3[[#This Row],[日期]]-TODAY(),1)</f>
        <v>-31</v>
      </c>
    </row>
    <row r="5179" spans="1:10" hidden="1" x14ac:dyDescent="0.2">
      <c r="A5179" s="4" t="s">
        <v>3028</v>
      </c>
      <c r="B5179" s="37">
        <v>43749</v>
      </c>
      <c r="C5179" s="12">
        <v>5</v>
      </c>
      <c r="D5179" s="38" t="s">
        <v>3261</v>
      </c>
      <c r="E5179" s="39">
        <v>43746</v>
      </c>
      <c r="F5179" s="40" t="s">
        <v>3260</v>
      </c>
      <c r="G5179" s="12"/>
      <c r="H5179" s="12"/>
      <c r="J5179" s="41">
        <f ca="1">ROUNDDOWN(表3[[#This Row],[日期]]-TODAY(),1)</f>
        <v>-31</v>
      </c>
    </row>
    <row r="5180" spans="1:10" hidden="1" x14ac:dyDescent="0.2">
      <c r="A5180" s="4" t="s">
        <v>3153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-28</v>
      </c>
    </row>
    <row r="5181" spans="1:10" hidden="1" x14ac:dyDescent="0.2">
      <c r="A5181" s="4" t="s">
        <v>3028</v>
      </c>
      <c r="B5181" s="37">
        <v>43749</v>
      </c>
      <c r="C5181" s="12">
        <v>7</v>
      </c>
      <c r="D5181" s="38" t="s">
        <v>3263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-28</v>
      </c>
    </row>
    <row r="5182" spans="1:10" hidden="1" x14ac:dyDescent="0.2">
      <c r="A5182" s="4" t="s">
        <v>3028</v>
      </c>
      <c r="B5182" s="37">
        <v>43749</v>
      </c>
      <c r="C5182" s="12">
        <v>8</v>
      </c>
      <c r="D5182" s="38" t="s">
        <v>3639</v>
      </c>
      <c r="E5182" s="39">
        <v>43770</v>
      </c>
      <c r="F5182" s="40" t="s">
        <v>1184</v>
      </c>
      <c r="G5182" s="12"/>
      <c r="H5182" s="12"/>
      <c r="J5182" s="41">
        <f ca="1">ROUNDDOWN(表3[[#This Row],[日期]]-TODAY(),1)</f>
        <v>-7</v>
      </c>
    </row>
    <row r="5183" spans="1:10" hidden="1" x14ac:dyDescent="0.2">
      <c r="A5183" s="4" t="s">
        <v>3028</v>
      </c>
      <c r="B5183" s="37">
        <v>43749</v>
      </c>
      <c r="C5183" s="12">
        <v>9</v>
      </c>
      <c r="D5183" s="38" t="s">
        <v>3267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-28</v>
      </c>
    </row>
    <row r="5184" spans="1:10" hidden="1" x14ac:dyDescent="0.2">
      <c r="A5184" s="4" t="s">
        <v>2844</v>
      </c>
      <c r="B5184" s="37">
        <v>43752</v>
      </c>
      <c r="C5184" s="12">
        <v>0</v>
      </c>
      <c r="D5184" s="38" t="s">
        <v>3347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-24</v>
      </c>
    </row>
    <row r="5185" spans="1:10" hidden="1" x14ac:dyDescent="0.2">
      <c r="A5185" s="4" t="s">
        <v>2844</v>
      </c>
      <c r="B5185" s="37">
        <v>43752</v>
      </c>
      <c r="C5185" s="12"/>
      <c r="D5185" s="38" t="s">
        <v>3350</v>
      </c>
      <c r="E5185" s="39">
        <v>43753</v>
      </c>
      <c r="F5185" s="40" t="s">
        <v>1184</v>
      </c>
      <c r="G5185" s="12"/>
      <c r="H5185" s="12"/>
      <c r="J5185" s="41">
        <f ca="1">ROUNDDOWN(表3[[#This Row],[日期]]-TODAY(),1)</f>
        <v>-24</v>
      </c>
    </row>
    <row r="5186" spans="1:10" hidden="1" x14ac:dyDescent="0.2">
      <c r="A5186" s="4" t="s">
        <v>3382</v>
      </c>
      <c r="B5186" s="37">
        <v>43752</v>
      </c>
      <c r="C5186" s="12"/>
      <c r="D5186" s="38" t="s">
        <v>3389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-25</v>
      </c>
    </row>
    <row r="5187" spans="1:10" hidden="1" x14ac:dyDescent="0.2">
      <c r="A5187" s="4" t="s">
        <v>2845</v>
      </c>
      <c r="B5187" s="37">
        <v>43752</v>
      </c>
      <c r="C5187" s="12"/>
      <c r="D5187" s="38" t="s">
        <v>3408</v>
      </c>
      <c r="E5187" s="39">
        <v>43756</v>
      </c>
      <c r="F5187" s="40" t="s">
        <v>242</v>
      </c>
      <c r="G5187" s="12"/>
      <c r="H5187" s="12"/>
      <c r="I5187" s="4" t="s">
        <v>3407</v>
      </c>
      <c r="J5187" s="41">
        <f ca="1">ROUNDDOWN(表3[[#This Row],[日期]]-TODAY(),1)</f>
        <v>-21</v>
      </c>
    </row>
    <row r="5188" spans="1:10" hidden="1" x14ac:dyDescent="0.2">
      <c r="A5188" s="4" t="s">
        <v>2845</v>
      </c>
      <c r="B5188" s="37">
        <v>43752</v>
      </c>
      <c r="C5188" s="12"/>
      <c r="D5188" s="38" t="s">
        <v>3475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-23</v>
      </c>
    </row>
    <row r="5189" spans="1:10" hidden="1" x14ac:dyDescent="0.2">
      <c r="A5189" s="4" t="s">
        <v>2845</v>
      </c>
      <c r="B5189" s="37">
        <v>43752</v>
      </c>
      <c r="C5189" s="12"/>
      <c r="D5189" s="38" t="s">
        <v>3479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-18</v>
      </c>
    </row>
    <row r="5190" spans="1:10" hidden="1" x14ac:dyDescent="0.2">
      <c r="A5190" s="4" t="s">
        <v>2845</v>
      </c>
      <c r="B5190" s="37">
        <v>43752</v>
      </c>
      <c r="C5190" s="12"/>
      <c r="D5190" s="38" t="s">
        <v>3495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-21</v>
      </c>
    </row>
    <row r="5191" spans="1:10" hidden="1" x14ac:dyDescent="0.2">
      <c r="A5191" s="4" t="s">
        <v>2845</v>
      </c>
      <c r="B5191" s="37">
        <v>43752</v>
      </c>
      <c r="C5191" s="12"/>
      <c r="D5191" s="38" t="s">
        <v>3503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-12</v>
      </c>
    </row>
    <row r="5192" spans="1:10" hidden="1" x14ac:dyDescent="0.2">
      <c r="A5192" s="4" t="s">
        <v>3524</v>
      </c>
      <c r="B5192" s="37">
        <v>43752</v>
      </c>
      <c r="C5192" s="12"/>
      <c r="D5192" s="38" t="s">
        <v>3525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-19</v>
      </c>
    </row>
    <row r="5193" spans="1:10" hidden="1" x14ac:dyDescent="0.2">
      <c r="A5193" s="4" t="s">
        <v>3524</v>
      </c>
      <c r="B5193" s="37">
        <v>43752</v>
      </c>
      <c r="C5193" s="12"/>
      <c r="D5193" s="38" t="s">
        <v>3526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-18</v>
      </c>
    </row>
    <row r="5194" spans="1:10" hidden="1" x14ac:dyDescent="0.2">
      <c r="A5194" s="4" t="s">
        <v>3530</v>
      </c>
      <c r="B5194" s="37">
        <v>43752</v>
      </c>
      <c r="C5194" s="12"/>
      <c r="D5194" s="38" t="s">
        <v>3543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-18</v>
      </c>
    </row>
    <row r="5195" spans="1:10" hidden="1" x14ac:dyDescent="0.2">
      <c r="A5195" s="4" t="s">
        <v>3236</v>
      </c>
      <c r="B5195" s="37">
        <v>43754</v>
      </c>
      <c r="C5195" s="12">
        <v>1</v>
      </c>
      <c r="D5195" s="38" t="s">
        <v>364</v>
      </c>
      <c r="E5195" s="39">
        <v>43738</v>
      </c>
      <c r="F5195" s="40" t="s">
        <v>3237</v>
      </c>
      <c r="G5195" s="12"/>
      <c r="H5195" s="12"/>
      <c r="J5195" s="41">
        <f ca="1">ROUNDDOWN(表3[[#This Row],[日期]]-TODAY(),1)</f>
        <v>-39</v>
      </c>
    </row>
    <row r="5196" spans="1:10" hidden="1" x14ac:dyDescent="0.2">
      <c r="A5196" s="4" t="s">
        <v>3236</v>
      </c>
      <c r="B5196" s="37">
        <v>43754</v>
      </c>
      <c r="C5196" s="12">
        <v>2</v>
      </c>
      <c r="D5196" s="38" t="s">
        <v>863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-29</v>
      </c>
    </row>
    <row r="5197" spans="1:10" hidden="1" x14ac:dyDescent="0.2">
      <c r="A5197" s="4" t="s">
        <v>3236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-29</v>
      </c>
    </row>
    <row r="5198" spans="1:10" hidden="1" x14ac:dyDescent="0.2">
      <c r="A5198" s="4" t="s">
        <v>3236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-27</v>
      </c>
    </row>
    <row r="5199" spans="1:10" hidden="1" x14ac:dyDescent="0.2">
      <c r="A5199" s="4" t="s">
        <v>3236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-27</v>
      </c>
    </row>
    <row r="5200" spans="1:10" hidden="1" x14ac:dyDescent="0.2">
      <c r="A5200" s="4" t="s">
        <v>3236</v>
      </c>
      <c r="B5200" s="37">
        <v>43754</v>
      </c>
      <c r="C5200" s="12">
        <v>6</v>
      </c>
      <c r="D5200" s="38" t="s">
        <v>864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-27</v>
      </c>
    </row>
    <row r="5201" spans="1:10" hidden="1" x14ac:dyDescent="0.2">
      <c r="A5201" s="4" t="s">
        <v>3236</v>
      </c>
      <c r="B5201" s="37">
        <v>43754</v>
      </c>
      <c r="C5201" s="12">
        <v>7</v>
      </c>
      <c r="D5201" s="38" t="s">
        <v>307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-25</v>
      </c>
    </row>
    <row r="5202" spans="1:10" hidden="1" x14ac:dyDescent="0.2">
      <c r="A5202" s="4" t="s">
        <v>3236</v>
      </c>
      <c r="B5202" s="37">
        <v>43754</v>
      </c>
      <c r="C5202" s="12">
        <v>8</v>
      </c>
      <c r="D5202" s="38" t="s">
        <v>3249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-25</v>
      </c>
    </row>
    <row r="5203" spans="1:10" hidden="1" x14ac:dyDescent="0.2">
      <c r="A5203" s="4" t="s">
        <v>3236</v>
      </c>
      <c r="B5203" s="37">
        <v>43754</v>
      </c>
      <c r="C5203" s="12">
        <v>9</v>
      </c>
      <c r="D5203" s="38" t="s">
        <v>2622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-25</v>
      </c>
    </row>
    <row r="5204" spans="1:10" hidden="1" x14ac:dyDescent="0.2">
      <c r="A5204" s="4" t="s">
        <v>3236</v>
      </c>
      <c r="B5204" s="37">
        <v>43754</v>
      </c>
      <c r="C5204" s="12">
        <v>10</v>
      </c>
      <c r="D5204" s="38" t="s">
        <v>3235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-25</v>
      </c>
    </row>
    <row r="5205" spans="1:10" hidden="1" x14ac:dyDescent="0.2">
      <c r="A5205" s="4" t="s">
        <v>3236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-25</v>
      </c>
    </row>
    <row r="5206" spans="1:10" hidden="1" x14ac:dyDescent="0.2">
      <c r="A5206" s="4" t="s">
        <v>3236</v>
      </c>
      <c r="B5206" s="37">
        <v>43754</v>
      </c>
      <c r="C5206" s="12">
        <v>12</v>
      </c>
      <c r="D5206" s="38" t="s">
        <v>309</v>
      </c>
      <c r="E5206" s="39">
        <v>43752</v>
      </c>
      <c r="F5206" s="40" t="s">
        <v>1184</v>
      </c>
      <c r="G5206" s="12"/>
      <c r="H5206" s="12"/>
      <c r="I5206" s="4" t="s">
        <v>310</v>
      </c>
      <c r="J5206" s="41">
        <f ca="1">ROUNDDOWN(表3[[#This Row],[日期]]-TODAY(),1)</f>
        <v>-25</v>
      </c>
    </row>
    <row r="5207" spans="1:10" hidden="1" x14ac:dyDescent="0.2">
      <c r="A5207" s="4" t="s">
        <v>3236</v>
      </c>
      <c r="B5207" s="37">
        <v>43754</v>
      </c>
      <c r="C5207" s="12">
        <v>12</v>
      </c>
      <c r="D5207" s="38" t="s">
        <v>2572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-25</v>
      </c>
    </row>
    <row r="5208" spans="1:10" hidden="1" x14ac:dyDescent="0.2">
      <c r="A5208" s="4" t="s">
        <v>3236</v>
      </c>
      <c r="B5208" s="37">
        <v>43754</v>
      </c>
      <c r="C5208" s="12">
        <v>12</v>
      </c>
      <c r="D5208" s="38" t="s">
        <v>311</v>
      </c>
      <c r="E5208" s="39">
        <v>43753</v>
      </c>
      <c r="F5208" s="40" t="s">
        <v>242</v>
      </c>
      <c r="G5208" s="12"/>
      <c r="H5208" s="12"/>
      <c r="I5208" s="4" t="s">
        <v>310</v>
      </c>
      <c r="J5208" s="41">
        <f ca="1">ROUNDDOWN(表3[[#This Row],[日期]]-TODAY(),1)</f>
        <v>-24</v>
      </c>
    </row>
    <row r="5209" spans="1:10" hidden="1" x14ac:dyDescent="0.2">
      <c r="A5209" s="4" t="s">
        <v>3236</v>
      </c>
      <c r="B5209" s="37">
        <v>43754</v>
      </c>
      <c r="C5209" s="12">
        <v>12</v>
      </c>
      <c r="D5209" s="38" t="s">
        <v>3377</v>
      </c>
      <c r="E5209" s="39">
        <v>43753</v>
      </c>
      <c r="F5209" s="40" t="s">
        <v>242</v>
      </c>
      <c r="G5209" s="12"/>
      <c r="H5209" s="12"/>
      <c r="I5209" s="4" t="s">
        <v>310</v>
      </c>
      <c r="J5209" s="41">
        <f ca="1">ROUNDDOWN(表3[[#This Row],[日期]]-TODAY(),1)</f>
        <v>-24</v>
      </c>
    </row>
    <row r="5210" spans="1:10" hidden="1" x14ac:dyDescent="0.2">
      <c r="A5210" s="4" t="s">
        <v>3236</v>
      </c>
      <c r="B5210" s="37">
        <v>43754</v>
      </c>
      <c r="C5210" s="12">
        <v>12</v>
      </c>
      <c r="D5210" s="38" t="s">
        <v>313</v>
      </c>
      <c r="E5210" s="39">
        <v>43753</v>
      </c>
      <c r="F5210" s="40" t="s">
        <v>242</v>
      </c>
      <c r="G5210" s="12"/>
      <c r="H5210" s="12"/>
      <c r="I5210" s="4" t="s">
        <v>310</v>
      </c>
      <c r="J5210" s="41">
        <f ca="1">ROUNDDOWN(表3[[#This Row],[日期]]-TODAY(),1)</f>
        <v>-24</v>
      </c>
    </row>
    <row r="5211" spans="1:10" hidden="1" x14ac:dyDescent="0.2">
      <c r="A5211" s="4" t="s">
        <v>3236</v>
      </c>
      <c r="B5211" s="37">
        <v>43754</v>
      </c>
      <c r="C5211" s="12">
        <v>17</v>
      </c>
      <c r="D5211" s="38" t="s">
        <v>271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-24</v>
      </c>
    </row>
    <row r="5212" spans="1:10" hidden="1" x14ac:dyDescent="0.2">
      <c r="A5212" s="4" t="s">
        <v>3236</v>
      </c>
      <c r="B5212" s="37">
        <v>43754</v>
      </c>
      <c r="C5212" s="12">
        <v>18</v>
      </c>
      <c r="D5212" s="38" t="s">
        <v>273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-24</v>
      </c>
    </row>
    <row r="5213" spans="1:10" hidden="1" x14ac:dyDescent="0.2">
      <c r="A5213" s="4" t="s">
        <v>3236</v>
      </c>
      <c r="B5213" s="37">
        <v>43754</v>
      </c>
      <c r="C5213" s="12">
        <v>19</v>
      </c>
      <c r="D5213" s="38" t="s">
        <v>275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-23</v>
      </c>
    </row>
    <row r="5214" spans="1:10" hidden="1" x14ac:dyDescent="0.2">
      <c r="A5214" s="4" t="s">
        <v>3236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-23</v>
      </c>
    </row>
    <row r="5215" spans="1:10" hidden="1" x14ac:dyDescent="0.2">
      <c r="A5215" s="4" t="s">
        <v>3236</v>
      </c>
      <c r="B5215" s="37">
        <v>43754</v>
      </c>
      <c r="C5215" s="12">
        <v>21</v>
      </c>
      <c r="D5215" s="38" t="s">
        <v>1387</v>
      </c>
      <c r="E5215" s="39">
        <v>43754</v>
      </c>
      <c r="F5215" s="40" t="s">
        <v>1184</v>
      </c>
      <c r="G5215" s="12"/>
      <c r="H5215" s="12"/>
      <c r="J5215" s="41">
        <f ca="1">ROUNDDOWN(表3[[#This Row],[日期]]-TODAY(),1)</f>
        <v>-23</v>
      </c>
    </row>
    <row r="5216" spans="1:10" hidden="1" x14ac:dyDescent="0.2">
      <c r="A5216" s="4" t="s">
        <v>3236</v>
      </c>
      <c r="B5216" s="37">
        <v>43754</v>
      </c>
      <c r="C5216" s="12">
        <v>22</v>
      </c>
      <c r="D5216" s="38" t="s">
        <v>305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-22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927</v>
      </c>
      <c r="E5217" s="39">
        <v>43747</v>
      </c>
      <c r="F5217" s="40" t="s">
        <v>3245</v>
      </c>
      <c r="G5217" s="12"/>
      <c r="H5217" s="12"/>
      <c r="I5217" s="4" t="s">
        <v>27</v>
      </c>
      <c r="J5217" s="41">
        <f ca="1">ROUNDDOWN(表3[[#This Row],[日期]]-TODAY(),1)</f>
        <v>-30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1210</v>
      </c>
      <c r="E5218" s="39">
        <v>43748</v>
      </c>
      <c r="F5218" s="40" t="s">
        <v>3245</v>
      </c>
      <c r="G5218" s="12"/>
      <c r="H5218" s="12"/>
      <c r="J5218" s="41">
        <f ca="1">ROUNDDOWN(表3[[#This Row],[日期]]-TODAY(),1)</f>
        <v>-29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3245</v>
      </c>
      <c r="G5219" s="12"/>
      <c r="H5219" s="12"/>
      <c r="J5219" s="41">
        <f ca="1">ROUNDDOWN(表3[[#This Row],[日期]]-TODAY(),1)</f>
        <v>-29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3245</v>
      </c>
      <c r="G5220" s="12"/>
      <c r="H5220" s="12"/>
      <c r="J5220" s="41">
        <f ca="1">ROUNDDOWN(表3[[#This Row],[日期]]-TODAY(),1)</f>
        <v>-29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1576</v>
      </c>
      <c r="E5221" s="39">
        <v>43748</v>
      </c>
      <c r="F5221" s="40" t="s">
        <v>3245</v>
      </c>
      <c r="G5221" s="12"/>
      <c r="H5221" s="12"/>
      <c r="J5221" s="41">
        <f ca="1">ROUNDDOWN(表3[[#This Row],[日期]]-TODAY(),1)</f>
        <v>-29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1577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-29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-29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928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-28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1740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-28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1578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-28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1742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-28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1744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-28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1746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-28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1748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-28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1750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-28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929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-27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1752</v>
      </c>
      <c r="E5233" s="39">
        <v>43750</v>
      </c>
      <c r="F5233" s="40" t="s">
        <v>1184</v>
      </c>
      <c r="G5233" s="12"/>
      <c r="H5233" s="12"/>
      <c r="J5233" s="41">
        <f ca="1">ROUNDDOWN(表3[[#This Row],[日期]]-TODAY(),1)</f>
        <v>-27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-27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930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-27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-27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931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-27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2472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-27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1919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-25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-27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-27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-27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-27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-27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-27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2473</v>
      </c>
      <c r="E5246" s="39">
        <v>43751</v>
      </c>
      <c r="F5246" s="40" t="s">
        <v>3351</v>
      </c>
      <c r="G5246" s="12"/>
      <c r="H5246" s="12"/>
      <c r="I5246" s="4" t="s">
        <v>30</v>
      </c>
      <c r="J5246" s="41">
        <f ca="1">ROUNDDOWN(表3[[#This Row],[日期]]-TODAY(),1)</f>
        <v>-26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933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-25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1184</v>
      </c>
      <c r="G5248" s="12"/>
      <c r="H5248" s="12"/>
      <c r="J5248" s="41">
        <f ca="1">ROUNDDOWN(表3[[#This Row],[日期]]-TODAY(),1)</f>
        <v>-27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1072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-26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-26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2474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-25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-25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-25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-24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-24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2335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-23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305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-22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2475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-22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316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-40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656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-29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-29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-28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-28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688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-28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-28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2375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-28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736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-27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2623</v>
      </c>
      <c r="E5268" s="39">
        <v>43739</v>
      </c>
      <c r="F5268" s="40" t="s">
        <v>1184</v>
      </c>
      <c r="G5268" s="12"/>
      <c r="H5268" s="12"/>
      <c r="J5268" s="41">
        <f ca="1">ROUNDDOWN(表3[[#This Row],[日期]]-TODAY(),1)</f>
        <v>-38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3233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-27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3234</v>
      </c>
      <c r="E5270" s="39">
        <v>43750</v>
      </c>
      <c r="F5270" s="40" t="s">
        <v>242</v>
      </c>
      <c r="G5270" s="12"/>
      <c r="H5270" s="12"/>
      <c r="I5270" s="4" t="s">
        <v>294</v>
      </c>
      <c r="J5270" s="41">
        <f ca="1">ROUNDDOWN(表3[[#This Row],[日期]]-TODAY(),1)</f>
        <v>-27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293</v>
      </c>
      <c r="E5271" s="39">
        <v>43750</v>
      </c>
      <c r="F5271" s="40" t="s">
        <v>242</v>
      </c>
      <c r="G5271" s="12"/>
      <c r="H5271" s="12"/>
      <c r="I5271" s="4" t="s">
        <v>294</v>
      </c>
      <c r="J5271" s="41">
        <f ca="1">ROUNDDOWN(表3[[#This Row],[日期]]-TODAY(),1)</f>
        <v>-27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291</v>
      </c>
      <c r="E5272" s="39">
        <v>43750</v>
      </c>
      <c r="F5272" s="40" t="s">
        <v>242</v>
      </c>
      <c r="G5272" s="12"/>
      <c r="H5272" s="12"/>
      <c r="I5272" s="4" t="s">
        <v>294</v>
      </c>
      <c r="J5272" s="41">
        <f ca="1">ROUNDDOWN(表3[[#This Row],[日期]]-TODAY(),1)</f>
        <v>-27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2506</v>
      </c>
      <c r="E5273" s="39">
        <v>43739</v>
      </c>
      <c r="F5273" s="40" t="s">
        <v>1184</v>
      </c>
      <c r="G5273" s="12"/>
      <c r="H5273" s="12"/>
      <c r="J5273" s="41">
        <f ca="1">ROUNDDOWN(表3[[#This Row],[日期]]-TODAY(),1)</f>
        <v>-38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292</v>
      </c>
      <c r="E5274" s="39">
        <v>43751</v>
      </c>
      <c r="F5274" s="40" t="s">
        <v>242</v>
      </c>
      <c r="G5274" s="12"/>
      <c r="H5274" s="12"/>
      <c r="I5274" s="4" t="s">
        <v>294</v>
      </c>
      <c r="J5274" s="41">
        <f ca="1">ROUNDDOWN(表3[[#This Row],[日期]]-TODAY(),1)</f>
        <v>-26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272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-26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274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-25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276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-24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-26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1215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-26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-23</v>
      </c>
    </row>
    <row r="5281" spans="1:10" hidden="1" x14ac:dyDescent="0.2">
      <c r="A5281" s="4" t="s">
        <v>1385</v>
      </c>
      <c r="B5281" s="37">
        <v>43755</v>
      </c>
      <c r="C5281" s="12">
        <v>1</v>
      </c>
      <c r="D5281" s="38" t="s">
        <v>984</v>
      </c>
      <c r="E5281" s="39">
        <v>43746</v>
      </c>
      <c r="F5281" s="40" t="s">
        <v>3237</v>
      </c>
      <c r="G5281" s="12"/>
      <c r="H5281" s="12"/>
      <c r="J5281" s="41">
        <f ca="1">ROUNDDOWN(表3[[#This Row],[日期]]-TODAY(),1)</f>
        <v>-31</v>
      </c>
    </row>
    <row r="5282" spans="1:10" hidden="1" x14ac:dyDescent="0.2">
      <c r="A5282" s="4" t="s">
        <v>1385</v>
      </c>
      <c r="B5282" s="37">
        <v>43755</v>
      </c>
      <c r="C5282" s="12">
        <v>2</v>
      </c>
      <c r="D5282" s="38" t="s">
        <v>2927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-29</v>
      </c>
    </row>
    <row r="5283" spans="1:10" hidden="1" x14ac:dyDescent="0.2">
      <c r="A5283" s="4" t="s">
        <v>1385</v>
      </c>
      <c r="B5283" s="37">
        <v>43755</v>
      </c>
      <c r="C5283" s="12">
        <v>3</v>
      </c>
      <c r="D5283" s="38" t="s">
        <v>3276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-27</v>
      </c>
    </row>
    <row r="5284" spans="1:10" hidden="1" x14ac:dyDescent="0.2">
      <c r="A5284" s="4" t="s">
        <v>1385</v>
      </c>
      <c r="B5284" s="37">
        <v>43755</v>
      </c>
      <c r="C5284" s="12">
        <v>4</v>
      </c>
      <c r="D5284" s="38" t="s">
        <v>3399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-25</v>
      </c>
    </row>
    <row r="5285" spans="1:10" hidden="1" x14ac:dyDescent="0.2">
      <c r="A5285" s="4" t="s">
        <v>1385</v>
      </c>
      <c r="B5285" s="37">
        <v>43755</v>
      </c>
      <c r="C5285" s="12">
        <v>5</v>
      </c>
      <c r="D5285" s="38" t="s">
        <v>3402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-25</v>
      </c>
    </row>
    <row r="5286" spans="1:10" hidden="1" x14ac:dyDescent="0.2">
      <c r="A5286" s="4" t="s">
        <v>1385</v>
      </c>
      <c r="B5286" s="37">
        <v>43755</v>
      </c>
      <c r="C5286" s="12">
        <v>6</v>
      </c>
      <c r="D5286" s="38" t="s">
        <v>3061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-27</v>
      </c>
    </row>
    <row r="5287" spans="1:10" hidden="1" x14ac:dyDescent="0.2">
      <c r="A5287" s="4" t="s">
        <v>1385</v>
      </c>
      <c r="B5287" s="37">
        <v>43755</v>
      </c>
      <c r="C5287" s="12">
        <v>7</v>
      </c>
      <c r="D5287" s="38" t="s">
        <v>3458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-23</v>
      </c>
    </row>
    <row r="5288" spans="1:10" hidden="1" x14ac:dyDescent="0.2">
      <c r="A5288" s="4" t="s">
        <v>1385</v>
      </c>
      <c r="B5288" s="37">
        <v>43755</v>
      </c>
      <c r="C5288" s="12">
        <v>8</v>
      </c>
      <c r="D5288" s="38" t="s">
        <v>3454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-23</v>
      </c>
    </row>
    <row r="5289" spans="1:10" hidden="1" x14ac:dyDescent="0.2">
      <c r="A5289" s="4" t="s">
        <v>1385</v>
      </c>
      <c r="B5289" s="37">
        <v>43755</v>
      </c>
      <c r="C5289" s="12">
        <v>9</v>
      </c>
      <c r="D5289" s="38" t="s">
        <v>3477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-22</v>
      </c>
    </row>
    <row r="5290" spans="1:10" hidden="1" x14ac:dyDescent="0.2">
      <c r="A5290" s="4" t="s">
        <v>1385</v>
      </c>
      <c r="B5290" s="37">
        <v>43755</v>
      </c>
      <c r="C5290" s="12">
        <v>10</v>
      </c>
      <c r="D5290" s="38" t="s">
        <v>278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-22</v>
      </c>
    </row>
    <row r="5291" spans="1:10" hidden="1" x14ac:dyDescent="0.2">
      <c r="A5291" s="4" t="s">
        <v>1385</v>
      </c>
      <c r="B5291" s="37">
        <v>43755</v>
      </c>
      <c r="C5291" s="12">
        <v>11</v>
      </c>
      <c r="D5291" s="38" t="s">
        <v>3590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-18</v>
      </c>
    </row>
    <row r="5292" spans="1:10" hidden="1" x14ac:dyDescent="0.2">
      <c r="A5292" s="4" t="s">
        <v>1385</v>
      </c>
      <c r="B5292" s="37">
        <v>43755</v>
      </c>
      <c r="C5292" s="12">
        <v>12</v>
      </c>
      <c r="D5292" s="38" t="s">
        <v>3634</v>
      </c>
      <c r="E5292" s="39">
        <v>43762</v>
      </c>
      <c r="F5292" s="40" t="s">
        <v>242</v>
      </c>
      <c r="G5292" s="12"/>
      <c r="H5292" s="12"/>
      <c r="J5292" s="41">
        <f ca="1">ROUNDDOWN(表3[[#This Row],[日期]]-TODAY(),1)</f>
        <v>-15</v>
      </c>
    </row>
    <row r="5293" spans="1:10" hidden="1" x14ac:dyDescent="0.2">
      <c r="A5293" s="4" t="s">
        <v>1371</v>
      </c>
      <c r="B5293" s="37">
        <v>43755</v>
      </c>
      <c r="C5293" s="12">
        <v>1</v>
      </c>
      <c r="D5293" s="38" t="s">
        <v>1805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-64</v>
      </c>
    </row>
    <row r="5294" spans="1:10" hidden="1" x14ac:dyDescent="0.2">
      <c r="A5294" s="4" t="s">
        <v>1371</v>
      </c>
      <c r="B5294" s="37">
        <v>43755</v>
      </c>
      <c r="C5294" s="12">
        <v>2</v>
      </c>
      <c r="D5294" s="38" t="s">
        <v>1806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-63</v>
      </c>
    </row>
    <row r="5295" spans="1:10" hidden="1" x14ac:dyDescent="0.2">
      <c r="A5295" s="4" t="s">
        <v>1371</v>
      </c>
      <c r="B5295" s="37">
        <v>43755</v>
      </c>
      <c r="C5295" s="12">
        <v>3</v>
      </c>
      <c r="D5295" s="38" t="s">
        <v>1807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-63</v>
      </c>
    </row>
    <row r="5296" spans="1:10" hidden="1" x14ac:dyDescent="0.2">
      <c r="A5296" s="4" t="s">
        <v>1371</v>
      </c>
      <c r="B5296" s="37">
        <v>43755</v>
      </c>
      <c r="C5296" s="12">
        <v>4</v>
      </c>
      <c r="D5296" s="38" t="s">
        <v>1808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-63</v>
      </c>
    </row>
    <row r="5297" spans="1:10" hidden="1" x14ac:dyDescent="0.2">
      <c r="A5297" s="4" t="s">
        <v>1371</v>
      </c>
      <c r="B5297" s="37">
        <v>43755</v>
      </c>
      <c r="C5297" s="12">
        <v>5</v>
      </c>
      <c r="D5297" s="38" t="s">
        <v>2043</v>
      </c>
      <c r="E5297" s="39">
        <v>43726</v>
      </c>
      <c r="F5297" s="40" t="s">
        <v>1184</v>
      </c>
      <c r="G5297" s="12"/>
      <c r="H5297" s="12"/>
      <c r="J5297" s="41">
        <f ca="1">ROUNDDOWN(表3[[#This Row],[日期]]-TODAY(),1)</f>
        <v>-51</v>
      </c>
    </row>
    <row r="5298" spans="1:10" hidden="1" x14ac:dyDescent="0.2">
      <c r="A5298" s="4" t="s">
        <v>1371</v>
      </c>
      <c r="B5298" s="37">
        <v>43755</v>
      </c>
      <c r="C5298" s="12">
        <v>5</v>
      </c>
      <c r="D5298" s="38" t="s">
        <v>2030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-27</v>
      </c>
    </row>
    <row r="5299" spans="1:10" hidden="1" x14ac:dyDescent="0.2">
      <c r="A5299" s="4" t="s">
        <v>1371</v>
      </c>
      <c r="B5299" s="37">
        <v>43755</v>
      </c>
      <c r="C5299" s="12">
        <v>7</v>
      </c>
      <c r="D5299" s="38" t="s">
        <v>1653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-27</v>
      </c>
    </row>
    <row r="5300" spans="1:10" hidden="1" x14ac:dyDescent="0.2">
      <c r="A5300" s="4" t="s">
        <v>1371</v>
      </c>
      <c r="B5300" s="37">
        <v>43755</v>
      </c>
      <c r="C5300" s="12">
        <v>8</v>
      </c>
      <c r="D5300" s="38" t="s">
        <v>2063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-21</v>
      </c>
    </row>
    <row r="5301" spans="1:10" hidden="1" x14ac:dyDescent="0.2">
      <c r="A5301" s="4" t="s">
        <v>1371</v>
      </c>
      <c r="B5301" s="37">
        <v>43755</v>
      </c>
      <c r="C5301" s="12">
        <v>9</v>
      </c>
      <c r="D5301" s="38" t="s">
        <v>1655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-27</v>
      </c>
    </row>
    <row r="5302" spans="1:10" hidden="1" x14ac:dyDescent="0.2">
      <c r="A5302" s="4" t="s">
        <v>1371</v>
      </c>
      <c r="B5302" s="37">
        <v>43755</v>
      </c>
      <c r="C5302" s="12">
        <v>10</v>
      </c>
      <c r="D5302" s="38" t="s">
        <v>2065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-27</v>
      </c>
    </row>
    <row r="5303" spans="1:10" hidden="1" x14ac:dyDescent="0.2">
      <c r="A5303" s="4" t="s">
        <v>1371</v>
      </c>
      <c r="B5303" s="37">
        <v>43755</v>
      </c>
      <c r="C5303" s="12">
        <v>11</v>
      </c>
      <c r="D5303" s="38" t="s">
        <v>2064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-27</v>
      </c>
    </row>
    <row r="5304" spans="1:10" hidden="1" x14ac:dyDescent="0.2">
      <c r="A5304" s="4" t="s">
        <v>1371</v>
      </c>
      <c r="B5304" s="37">
        <v>43755</v>
      </c>
      <c r="C5304" s="12">
        <v>12</v>
      </c>
      <c r="D5304" s="38" t="s">
        <v>2013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-27</v>
      </c>
    </row>
    <row r="5305" spans="1:10" hidden="1" x14ac:dyDescent="0.2">
      <c r="A5305" s="4" t="s">
        <v>1371</v>
      </c>
      <c r="B5305" s="37">
        <v>43755</v>
      </c>
      <c r="C5305" s="12">
        <v>13</v>
      </c>
      <c r="D5305" s="38" t="s">
        <v>2014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-27</v>
      </c>
    </row>
    <row r="5306" spans="1:10" hidden="1" x14ac:dyDescent="0.2">
      <c r="A5306" s="4" t="s">
        <v>1371</v>
      </c>
      <c r="B5306" s="37">
        <v>43755</v>
      </c>
      <c r="C5306" s="12">
        <v>14</v>
      </c>
      <c r="D5306" s="38" t="s">
        <v>2015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-27</v>
      </c>
    </row>
    <row r="5307" spans="1:10" hidden="1" x14ac:dyDescent="0.2">
      <c r="A5307" s="4" t="s">
        <v>1371</v>
      </c>
      <c r="B5307" s="37">
        <v>43755</v>
      </c>
      <c r="C5307" s="12">
        <v>15</v>
      </c>
      <c r="D5307" s="38" t="s">
        <v>2016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-27</v>
      </c>
    </row>
    <row r="5308" spans="1:10" hidden="1" x14ac:dyDescent="0.2">
      <c r="A5308" s="4" t="s">
        <v>1371</v>
      </c>
      <c r="B5308" s="37">
        <v>43755</v>
      </c>
      <c r="C5308" s="12">
        <v>16</v>
      </c>
      <c r="D5308" s="38" t="s">
        <v>2017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-27</v>
      </c>
    </row>
    <row r="5309" spans="1:10" hidden="1" x14ac:dyDescent="0.2">
      <c r="A5309" s="4" t="s">
        <v>1371</v>
      </c>
      <c r="B5309" s="37">
        <v>43755</v>
      </c>
      <c r="C5309" s="12">
        <v>17</v>
      </c>
      <c r="D5309" s="38" t="s">
        <v>2018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-27</v>
      </c>
    </row>
    <row r="5310" spans="1:10" hidden="1" x14ac:dyDescent="0.2">
      <c r="A5310" s="4" t="s">
        <v>1371</v>
      </c>
      <c r="B5310" s="37">
        <v>43755</v>
      </c>
      <c r="C5310" s="12">
        <v>18</v>
      </c>
      <c r="D5310" s="38" t="s">
        <v>270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-26</v>
      </c>
    </row>
    <row r="5311" spans="1:10" hidden="1" x14ac:dyDescent="0.2">
      <c r="A5311" s="4" t="s">
        <v>1371</v>
      </c>
      <c r="B5311" s="37">
        <v>43755</v>
      </c>
      <c r="C5311" s="12">
        <v>19</v>
      </c>
      <c r="D5311" s="38" t="s">
        <v>3505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-21</v>
      </c>
    </row>
    <row r="5312" spans="1:10" hidden="1" x14ac:dyDescent="0.2">
      <c r="A5312" s="4" t="s">
        <v>1371</v>
      </c>
      <c r="B5312" s="37">
        <v>43755</v>
      </c>
      <c r="C5312" s="12">
        <v>24</v>
      </c>
      <c r="D5312" s="38" t="s">
        <v>3314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-16</v>
      </c>
    </row>
    <row r="5313" spans="1:10" hidden="1" x14ac:dyDescent="0.2">
      <c r="A5313" s="4" t="s">
        <v>3430</v>
      </c>
      <c r="B5313" s="37">
        <v>43756</v>
      </c>
      <c r="C5313" s="12">
        <v>1</v>
      </c>
      <c r="D5313" s="38" t="s">
        <v>3473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-23</v>
      </c>
    </row>
    <row r="5314" spans="1:10" hidden="1" x14ac:dyDescent="0.2">
      <c r="A5314" s="4" t="s">
        <v>3430</v>
      </c>
      <c r="B5314" s="37">
        <v>43756</v>
      </c>
      <c r="C5314" s="12">
        <v>2</v>
      </c>
      <c r="D5314" s="38" t="s">
        <v>3432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-22</v>
      </c>
    </row>
    <row r="5315" spans="1:10" hidden="1" x14ac:dyDescent="0.2">
      <c r="A5315" s="4" t="s">
        <v>3430</v>
      </c>
      <c r="B5315" s="37">
        <v>43756</v>
      </c>
      <c r="C5315" s="12">
        <v>3</v>
      </c>
      <c r="D5315" s="38" t="s">
        <v>3469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-18</v>
      </c>
    </row>
    <row r="5316" spans="1:10" hidden="1" x14ac:dyDescent="0.2">
      <c r="A5316" s="4" t="s">
        <v>3430</v>
      </c>
      <c r="B5316" s="37">
        <v>43756</v>
      </c>
      <c r="C5316" s="12">
        <v>4</v>
      </c>
      <c r="D5316" s="38" t="s">
        <v>3545</v>
      </c>
      <c r="E5316" s="39">
        <v>43759</v>
      </c>
      <c r="F5316" s="40" t="s">
        <v>1184</v>
      </c>
      <c r="G5316" s="12"/>
      <c r="H5316" s="12"/>
      <c r="J5316" s="41">
        <f ca="1">ROUNDDOWN(表3[[#This Row],[日期]]-TODAY(),1)</f>
        <v>-18</v>
      </c>
    </row>
    <row r="5317" spans="1:10" hidden="1" x14ac:dyDescent="0.2">
      <c r="A5317" s="4" t="s">
        <v>3430</v>
      </c>
      <c r="B5317" s="37">
        <v>43756</v>
      </c>
      <c r="C5317" s="12">
        <v>5</v>
      </c>
      <c r="D5317" s="38" t="s">
        <v>3427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-18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927</v>
      </c>
      <c r="E5318" s="39">
        <v>43747</v>
      </c>
      <c r="F5318" s="40" t="s">
        <v>3245</v>
      </c>
      <c r="G5318" s="12"/>
      <c r="H5318" s="12"/>
      <c r="I5318" s="4" t="s">
        <v>27</v>
      </c>
      <c r="J5318" s="41">
        <f ca="1">ROUNDDOWN(表3[[#This Row],[日期]]-TODAY(),1)</f>
        <v>-30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1210</v>
      </c>
      <c r="E5319" s="39">
        <v>43748</v>
      </c>
      <c r="F5319" s="40" t="s">
        <v>3245</v>
      </c>
      <c r="G5319" s="12"/>
      <c r="H5319" s="12"/>
      <c r="J5319" s="41">
        <f ca="1">ROUNDDOWN(表3[[#This Row],[日期]]-TODAY(),1)</f>
        <v>-29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3245</v>
      </c>
      <c r="G5320" s="12"/>
      <c r="H5320" s="12"/>
      <c r="J5320" s="41">
        <f ca="1">ROUNDDOWN(表3[[#This Row],[日期]]-TODAY(),1)</f>
        <v>-29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3245</v>
      </c>
      <c r="G5321" s="12"/>
      <c r="H5321" s="12"/>
      <c r="J5321" s="41">
        <f ca="1">ROUNDDOWN(表3[[#This Row],[日期]]-TODAY(),1)</f>
        <v>-29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1576</v>
      </c>
      <c r="E5322" s="39">
        <v>43748</v>
      </c>
      <c r="F5322" s="40" t="s">
        <v>3245</v>
      </c>
      <c r="G5322" s="12"/>
      <c r="H5322" s="12"/>
      <c r="J5322" s="41">
        <f ca="1">ROUNDDOWN(表3[[#This Row],[日期]]-TODAY(),1)</f>
        <v>-29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1577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-29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-29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928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-25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1740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-25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1578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-25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1742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-25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1744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-25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1746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-25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1748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-25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1750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-25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929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-24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1752</v>
      </c>
      <c r="E5334" s="39">
        <v>43753</v>
      </c>
      <c r="F5334" s="40" t="s">
        <v>1184</v>
      </c>
      <c r="G5334" s="12"/>
      <c r="H5334" s="12"/>
      <c r="J5334" s="41">
        <f ca="1">ROUNDDOWN(表3[[#This Row],[日期]]-TODAY(),1)</f>
        <v>-24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-24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930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-24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-24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931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-24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2472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-24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1919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-24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-24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-24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3410</v>
      </c>
      <c r="G5343" s="12"/>
      <c r="H5343" s="12"/>
      <c r="I5343" s="4" t="s">
        <v>40</v>
      </c>
      <c r="J5343" s="41">
        <f ca="1">ROUNDDOWN(表3[[#This Row],[日期]]-TODAY(),1)</f>
        <v>-24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3410</v>
      </c>
      <c r="G5344" s="12"/>
      <c r="H5344" s="12"/>
      <c r="J5344" s="41">
        <f ca="1">ROUNDDOWN(表3[[#This Row],[日期]]-TODAY(),1)</f>
        <v>-24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3410</v>
      </c>
      <c r="G5345" s="12"/>
      <c r="H5345" s="12"/>
      <c r="I5345" s="4" t="s">
        <v>61</v>
      </c>
      <c r="J5345" s="41">
        <f ca="1">ROUNDDOWN(表3[[#This Row],[日期]]-TODAY(),1)</f>
        <v>-24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3410</v>
      </c>
      <c r="G5346" s="12"/>
      <c r="H5346" s="12"/>
      <c r="J5346" s="41">
        <f ca="1">ROUNDDOWN(表3[[#This Row],[日期]]-TODAY(),1)</f>
        <v>-24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2473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-24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933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-24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2474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-24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-24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-24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3455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-23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-23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-23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-22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-21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2335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-18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305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-20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2475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-18</v>
      </c>
    </row>
    <row r="5360" spans="1:10" hidden="1" x14ac:dyDescent="0.2">
      <c r="A5360" s="4" t="s">
        <v>3428</v>
      </c>
      <c r="B5360" s="37">
        <v>43758</v>
      </c>
      <c r="C5360" s="12">
        <v>1</v>
      </c>
      <c r="D5360" s="38" t="s">
        <v>3456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-23</v>
      </c>
    </row>
    <row r="5361" spans="1:10" hidden="1" x14ac:dyDescent="0.2">
      <c r="A5361" s="4" t="s">
        <v>3428</v>
      </c>
      <c r="B5361" s="37">
        <v>43758</v>
      </c>
      <c r="C5361" s="12">
        <v>2</v>
      </c>
      <c r="D5361" s="38" t="s">
        <v>3429</v>
      </c>
      <c r="E5361" s="39">
        <v>43754</v>
      </c>
      <c r="F5361" s="40" t="s">
        <v>3461</v>
      </c>
      <c r="G5361" s="12"/>
      <c r="H5361" s="12"/>
      <c r="J5361" s="41">
        <f ca="1">ROUNDDOWN(表3[[#This Row],[日期]]-TODAY(),1)</f>
        <v>-23</v>
      </c>
    </row>
    <row r="5362" spans="1:10" hidden="1" x14ac:dyDescent="0.2">
      <c r="A5362" s="4" t="s">
        <v>3428</v>
      </c>
      <c r="B5362" s="37">
        <v>43758</v>
      </c>
      <c r="C5362" s="12">
        <v>3</v>
      </c>
      <c r="D5362" s="38" t="s">
        <v>3425</v>
      </c>
      <c r="E5362" s="39">
        <v>43756</v>
      </c>
      <c r="F5362" s="40" t="s">
        <v>3461</v>
      </c>
      <c r="G5362" s="12"/>
      <c r="H5362" s="12"/>
      <c r="J5362" s="41">
        <f ca="1">ROUNDDOWN(表3[[#This Row],[日期]]-TODAY(),1)</f>
        <v>-21</v>
      </c>
    </row>
    <row r="5363" spans="1:10" hidden="1" x14ac:dyDescent="0.2">
      <c r="A5363" s="4" t="s">
        <v>3428</v>
      </c>
      <c r="B5363" s="37">
        <v>43758</v>
      </c>
      <c r="C5363" s="12">
        <v>4</v>
      </c>
      <c r="D5363" s="38" t="s">
        <v>3426</v>
      </c>
      <c r="E5363" s="39">
        <v>43756</v>
      </c>
      <c r="F5363" s="40" t="s">
        <v>3461</v>
      </c>
      <c r="G5363" s="12"/>
      <c r="H5363" s="12"/>
      <c r="J5363" s="41">
        <f ca="1">ROUNDDOWN(表3[[#This Row],[日期]]-TODAY(),1)</f>
        <v>-21</v>
      </c>
    </row>
    <row r="5364" spans="1:10" hidden="1" x14ac:dyDescent="0.2">
      <c r="A5364" s="4" t="s">
        <v>3428</v>
      </c>
      <c r="B5364" s="37">
        <v>43758</v>
      </c>
      <c r="C5364" s="12">
        <v>5</v>
      </c>
      <c r="D5364" s="38" t="s">
        <v>3427</v>
      </c>
      <c r="E5364" s="39">
        <v>43759</v>
      </c>
      <c r="F5364" s="40" t="s">
        <v>3461</v>
      </c>
      <c r="G5364" s="12"/>
      <c r="H5364" s="12"/>
      <c r="J5364" s="41">
        <f ca="1">ROUNDDOWN(表3[[#This Row],[日期]]-TODAY(),1)</f>
        <v>-18</v>
      </c>
    </row>
    <row r="5365" spans="1:10" hidden="1" x14ac:dyDescent="0.2">
      <c r="A5365" s="4" t="s">
        <v>3559</v>
      </c>
      <c r="B5365" s="37">
        <v>43758</v>
      </c>
      <c r="C5365" s="12"/>
      <c r="D5365" s="38" t="s">
        <v>3560</v>
      </c>
      <c r="E5365" s="39">
        <v>43759</v>
      </c>
      <c r="F5365" s="40" t="s">
        <v>3562</v>
      </c>
      <c r="G5365" s="12"/>
      <c r="H5365" s="12"/>
      <c r="J5365" s="41">
        <f ca="1">ROUNDDOWN(表3[[#This Row],[日期]]-TODAY(),1)</f>
        <v>-18</v>
      </c>
    </row>
    <row r="5366" spans="1:10" hidden="1" x14ac:dyDescent="0.2">
      <c r="A5366" s="4" t="s">
        <v>3559</v>
      </c>
      <c r="B5366" s="37">
        <v>43758</v>
      </c>
      <c r="C5366" s="12"/>
      <c r="D5366" s="38" t="s">
        <v>3561</v>
      </c>
      <c r="E5366" s="39">
        <v>43759</v>
      </c>
      <c r="F5366" s="40" t="s">
        <v>3562</v>
      </c>
      <c r="G5366" s="12"/>
      <c r="H5366" s="12"/>
      <c r="J5366" s="41">
        <f ca="1">ROUNDDOWN(表3[[#This Row],[日期]]-TODAY(),1)</f>
        <v>-18</v>
      </c>
    </row>
    <row r="5367" spans="1:10" hidden="1" x14ac:dyDescent="0.2">
      <c r="A5367" s="4" t="s">
        <v>3559</v>
      </c>
      <c r="B5367" s="37">
        <v>43758</v>
      </c>
      <c r="C5367" s="12"/>
      <c r="D5367" s="38" t="s">
        <v>3570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-13</v>
      </c>
    </row>
    <row r="5368" spans="1:10" hidden="1" x14ac:dyDescent="0.2">
      <c r="A5368" s="4" t="s">
        <v>3559</v>
      </c>
      <c r="B5368" s="37">
        <v>43758</v>
      </c>
      <c r="C5368" s="12"/>
      <c r="D5368" s="38" t="s">
        <v>3705</v>
      </c>
      <c r="E5368" s="39">
        <v>43764</v>
      </c>
      <c r="F5368" s="40" t="s">
        <v>1184</v>
      </c>
      <c r="G5368" s="12"/>
      <c r="H5368" s="12"/>
      <c r="J5368" s="41">
        <f ca="1">ROUNDDOWN(表3[[#This Row],[日期]]-TODAY(),1)</f>
        <v>-13</v>
      </c>
    </row>
    <row r="5369" spans="1:10" hidden="1" x14ac:dyDescent="0.2">
      <c r="A5369" s="4" t="s">
        <v>2830</v>
      </c>
      <c r="B5369" s="37">
        <v>43758</v>
      </c>
      <c r="C5369" s="12">
        <v>1</v>
      </c>
      <c r="D5369" s="38" t="s">
        <v>3463</v>
      </c>
      <c r="E5369" s="39">
        <v>43754</v>
      </c>
      <c r="F5369" s="40" t="s">
        <v>3462</v>
      </c>
      <c r="G5369" s="12"/>
      <c r="H5369" s="12"/>
      <c r="J5369" s="41">
        <f ca="1">ROUNDDOWN(表3[[#This Row],[日期]]-TODAY(),1)</f>
        <v>-23</v>
      </c>
    </row>
    <row r="5370" spans="1:10" hidden="1" x14ac:dyDescent="0.2">
      <c r="A5370" s="4" t="s">
        <v>2830</v>
      </c>
      <c r="B5370" s="37">
        <v>43758</v>
      </c>
      <c r="C5370" s="12">
        <v>2</v>
      </c>
      <c r="D5370" s="38" t="s">
        <v>3467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-23</v>
      </c>
    </row>
    <row r="5371" spans="1:10" hidden="1" x14ac:dyDescent="0.2">
      <c r="A5371" s="4" t="s">
        <v>2830</v>
      </c>
      <c r="B5371" s="37">
        <v>43758</v>
      </c>
      <c r="C5371" s="12">
        <v>3</v>
      </c>
      <c r="D5371" s="38" t="s">
        <v>3468</v>
      </c>
      <c r="E5371" s="39">
        <v>43756</v>
      </c>
      <c r="F5371" s="40" t="s">
        <v>1184</v>
      </c>
      <c r="G5371" s="12"/>
      <c r="H5371" s="12"/>
      <c r="J5371" s="41">
        <f ca="1">ROUNDDOWN(表3[[#This Row],[日期]]-TODAY(),1)</f>
        <v>-21</v>
      </c>
    </row>
    <row r="5372" spans="1:10" hidden="1" x14ac:dyDescent="0.2">
      <c r="A5372" s="4" t="s">
        <v>2830</v>
      </c>
      <c r="B5372" s="37">
        <v>43758</v>
      </c>
      <c r="C5372" s="12">
        <v>4</v>
      </c>
      <c r="D5372" s="38" t="s">
        <v>3385</v>
      </c>
      <c r="E5372" s="39">
        <v>43756</v>
      </c>
      <c r="F5372" s="40" t="s">
        <v>1184</v>
      </c>
      <c r="G5372" s="12"/>
      <c r="H5372" s="12"/>
      <c r="J5372" s="41">
        <f ca="1">ROUNDDOWN(表3[[#This Row],[日期]]-TODAY(),1)</f>
        <v>-21</v>
      </c>
    </row>
    <row r="5373" spans="1:10" hidden="1" x14ac:dyDescent="0.2">
      <c r="A5373" s="4" t="s">
        <v>2830</v>
      </c>
      <c r="B5373" s="37">
        <v>43758</v>
      </c>
      <c r="C5373" s="12">
        <v>5</v>
      </c>
      <c r="D5373" s="38" t="s">
        <v>3386</v>
      </c>
      <c r="E5373" s="39">
        <v>43759</v>
      </c>
      <c r="F5373" s="40" t="s">
        <v>1184</v>
      </c>
      <c r="G5373" s="12"/>
      <c r="H5373" s="12"/>
      <c r="J5373" s="41">
        <f ca="1">ROUNDDOWN(表3[[#This Row],[日期]]-TODAY(),1)</f>
        <v>-18</v>
      </c>
    </row>
    <row r="5374" spans="1:10" hidden="1" x14ac:dyDescent="0.2">
      <c r="A5374" s="4" t="s">
        <v>2830</v>
      </c>
      <c r="B5374" s="37">
        <v>43758</v>
      </c>
      <c r="C5374" s="12"/>
      <c r="D5374" s="38" t="s">
        <v>3613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-14</v>
      </c>
    </row>
    <row r="5375" spans="1:10" hidden="1" x14ac:dyDescent="0.2">
      <c r="A5375" s="4" t="s">
        <v>2830</v>
      </c>
      <c r="B5375" s="37">
        <v>43758</v>
      </c>
      <c r="C5375" s="12"/>
      <c r="D5375" s="38" t="s">
        <v>3804</v>
      </c>
      <c r="E5375" s="39">
        <v>43780</v>
      </c>
      <c r="F5375" s="40" t="s">
        <v>3614</v>
      </c>
      <c r="G5375" s="12"/>
      <c r="H5375" s="12"/>
      <c r="J5375" s="41">
        <f ca="1">ROUNDDOWN(表3[[#This Row],[日期]]-TODAY(),1)</f>
        <v>3</v>
      </c>
    </row>
    <row r="5376" spans="1:10" hidden="1" x14ac:dyDescent="0.2">
      <c r="A5376" s="4" t="s">
        <v>2844</v>
      </c>
      <c r="B5376" s="37">
        <v>43759</v>
      </c>
      <c r="C5376" s="12">
        <v>0</v>
      </c>
      <c r="D5376" s="38" t="s">
        <v>3347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-18</v>
      </c>
    </row>
    <row r="5377" spans="1:10" hidden="1" x14ac:dyDescent="0.2">
      <c r="A5377" s="4" t="s">
        <v>2844</v>
      </c>
      <c r="B5377" s="37">
        <v>43759</v>
      </c>
      <c r="C5377" s="12">
        <v>1</v>
      </c>
      <c r="D5377" s="38" t="s">
        <v>3534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-14</v>
      </c>
    </row>
    <row r="5378" spans="1:10" hidden="1" x14ac:dyDescent="0.2">
      <c r="A5378" s="4" t="s">
        <v>2844</v>
      </c>
      <c r="B5378" s="37">
        <v>43759</v>
      </c>
      <c r="C5378" s="12">
        <v>2</v>
      </c>
      <c r="D5378" s="38" t="s">
        <v>3532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-13</v>
      </c>
    </row>
    <row r="5379" spans="1:10" hidden="1" x14ac:dyDescent="0.2">
      <c r="A5379" s="4" t="s">
        <v>3530</v>
      </c>
      <c r="B5379" s="37">
        <v>43759</v>
      </c>
      <c r="C5379" s="12"/>
      <c r="D5379" s="38" t="s">
        <v>3611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-16</v>
      </c>
    </row>
    <row r="5380" spans="1:10" hidden="1" x14ac:dyDescent="0.2">
      <c r="A5380" s="4" t="s">
        <v>3530</v>
      </c>
      <c r="B5380" s="37">
        <v>43759</v>
      </c>
      <c r="C5380" s="12"/>
      <c r="D5380" s="38" t="s">
        <v>3535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-18</v>
      </c>
    </row>
    <row r="5381" spans="1:10" hidden="1" x14ac:dyDescent="0.2">
      <c r="A5381" s="4" t="s">
        <v>3530</v>
      </c>
      <c r="B5381" s="37">
        <v>43759</v>
      </c>
      <c r="C5381" s="12"/>
      <c r="D5381" s="38" t="s">
        <v>3544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-18</v>
      </c>
    </row>
    <row r="5382" spans="1:10" hidden="1" x14ac:dyDescent="0.2">
      <c r="A5382" s="4" t="s">
        <v>3551</v>
      </c>
      <c r="B5382" s="37">
        <v>43759</v>
      </c>
      <c r="C5382" s="12"/>
      <c r="D5382" s="38" t="s">
        <v>3552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-16</v>
      </c>
    </row>
    <row r="5383" spans="1:10" hidden="1" x14ac:dyDescent="0.2">
      <c r="A5383" s="4" t="s">
        <v>3551</v>
      </c>
      <c r="B5383" s="37">
        <v>43759</v>
      </c>
      <c r="C5383" s="12"/>
      <c r="D5383" s="38" t="s">
        <v>3558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-17</v>
      </c>
    </row>
    <row r="5384" spans="1:10" hidden="1" x14ac:dyDescent="0.2">
      <c r="A5384" s="4" t="s">
        <v>3588</v>
      </c>
      <c r="B5384" s="37">
        <v>43759</v>
      </c>
      <c r="C5384" s="12"/>
      <c r="D5384" s="38" t="s">
        <v>3679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-14</v>
      </c>
    </row>
    <row r="5385" spans="1:10" hidden="1" x14ac:dyDescent="0.2">
      <c r="A5385" s="76" t="s">
        <v>2845</v>
      </c>
      <c r="B5385" s="77">
        <v>43759</v>
      </c>
      <c r="C5385" s="78"/>
      <c r="D5385" s="66" t="s">
        <v>3607</v>
      </c>
      <c r="E5385" s="79">
        <v>43761</v>
      </c>
      <c r="F5385" s="67" t="s">
        <v>242</v>
      </c>
      <c r="G5385" s="12"/>
      <c r="H5385" s="12"/>
      <c r="I5385" s="76"/>
      <c r="J5385" s="80">
        <f ca="1">ROUNDDOWN(表3[[#This Row],[日期]]-TODAY(),1)</f>
        <v>-16</v>
      </c>
    </row>
    <row r="5386" spans="1:10" hidden="1" x14ac:dyDescent="0.2">
      <c r="A5386" s="4" t="s">
        <v>2845</v>
      </c>
      <c r="B5386" s="37">
        <v>43759</v>
      </c>
      <c r="C5386" s="12"/>
      <c r="D5386" s="38" t="s">
        <v>3610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-13</v>
      </c>
    </row>
    <row r="5387" spans="1:10" hidden="1" x14ac:dyDescent="0.2">
      <c r="A5387" s="4" t="s">
        <v>2845</v>
      </c>
      <c r="B5387" s="37">
        <v>43759</v>
      </c>
      <c r="C5387" s="12"/>
      <c r="D5387" s="38" t="s">
        <v>3625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-16</v>
      </c>
    </row>
    <row r="5388" spans="1:10" hidden="1" x14ac:dyDescent="0.2">
      <c r="A5388" s="4" t="s">
        <v>2845</v>
      </c>
      <c r="B5388" s="37">
        <v>43759</v>
      </c>
      <c r="C5388" s="12"/>
      <c r="D5388" s="38" t="s">
        <v>3629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-15</v>
      </c>
    </row>
    <row r="5389" spans="1:10" hidden="1" x14ac:dyDescent="0.2">
      <c r="A5389" s="4" t="s">
        <v>2845</v>
      </c>
      <c r="B5389" s="37">
        <v>43759</v>
      </c>
      <c r="C5389" s="12"/>
      <c r="D5389" s="38" t="s">
        <v>3632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-15</v>
      </c>
    </row>
    <row r="5390" spans="1:10" hidden="1" x14ac:dyDescent="0.2">
      <c r="A5390" s="4" t="s">
        <v>2845</v>
      </c>
      <c r="B5390" s="37">
        <v>43759</v>
      </c>
      <c r="C5390" s="12"/>
      <c r="D5390" s="82" t="s">
        <v>3633</v>
      </c>
      <c r="E5390" s="39">
        <v>43794</v>
      </c>
      <c r="F5390" s="40" t="s">
        <v>3631</v>
      </c>
      <c r="G5390" s="12"/>
      <c r="H5390" s="12"/>
      <c r="J5390" s="41">
        <f ca="1">ROUNDDOWN(表3[[#This Row],[日期]]-TODAY(),1)</f>
        <v>17</v>
      </c>
    </row>
    <row r="5391" spans="1:10" hidden="1" x14ac:dyDescent="0.2">
      <c r="A5391" s="4" t="s">
        <v>2845</v>
      </c>
      <c r="B5391" s="37">
        <v>43759</v>
      </c>
      <c r="C5391" s="12"/>
      <c r="D5391" s="38" t="s">
        <v>3638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-15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2685</v>
      </c>
      <c r="G5392" s="12"/>
      <c r="H5392" s="12"/>
      <c r="J5392" s="41">
        <f ca="1">ROUNDDOWN(表3[[#This Row],[日期]]-TODAY(),1)</f>
        <v>-57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2685</v>
      </c>
      <c r="G5393" s="12"/>
      <c r="H5393" s="12"/>
      <c r="J5393" s="41">
        <f ca="1">ROUNDDOWN(表3[[#This Row],[日期]]-TODAY(),1)</f>
        <v>-57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2696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-56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1263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-56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1859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-56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3485</v>
      </c>
      <c r="E5397" s="39">
        <v>43755</v>
      </c>
      <c r="F5397" s="40" t="s">
        <v>3486</v>
      </c>
      <c r="G5397" s="12"/>
      <c r="H5397" s="12"/>
      <c r="I5397" s="4" t="s">
        <v>1265</v>
      </c>
      <c r="J5397" s="41">
        <f ca="1">ROUNDDOWN(表3[[#This Row],[日期]]-TODAY(),1)</f>
        <v>-22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972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-29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2697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-29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-26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1861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-29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3260</v>
      </c>
      <c r="G5402" s="12">
        <v>5</v>
      </c>
      <c r="H5402" s="12"/>
      <c r="I5402" s="4" t="s">
        <v>40</v>
      </c>
      <c r="J5402" s="41">
        <f ca="1">ROUNDDOWN(表3[[#This Row],[日期]]-TODAY(),1)</f>
        <v>-28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2698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-27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-27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974</v>
      </c>
      <c r="E5405" s="39">
        <v>43755</v>
      </c>
      <c r="F5405" s="40" t="s">
        <v>242</v>
      </c>
      <c r="G5405" s="12"/>
      <c r="H5405" s="12"/>
      <c r="I5405" s="4" t="s">
        <v>256</v>
      </c>
      <c r="J5405" s="41">
        <f ca="1">ROUNDDOWN(表3[[#This Row],[日期]]-TODAY(),1)</f>
        <v>-22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261</v>
      </c>
      <c r="E5406" s="39">
        <v>43756</v>
      </c>
      <c r="F5406" s="40" t="s">
        <v>242</v>
      </c>
      <c r="G5406" s="12"/>
      <c r="H5406" s="12"/>
      <c r="I5406" s="4" t="s">
        <v>259</v>
      </c>
      <c r="J5406" s="41">
        <f ca="1">ROUNDDOWN(表3[[#This Row],[日期]]-TODAY(),1)</f>
        <v>-21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263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-21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265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-21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279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-21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281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-21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283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-21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267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-21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3615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-15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277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-14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2699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-14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3744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-14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3274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-26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3478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-22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3497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-22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3508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-21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3509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-20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3553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-18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3554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-20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3555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-21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3366</v>
      </c>
      <c r="E5425" s="39">
        <v>43756</v>
      </c>
      <c r="F5425" s="40" t="s">
        <v>1184</v>
      </c>
      <c r="G5425" s="12"/>
      <c r="H5425" s="12"/>
      <c r="J5425" s="41">
        <f ca="1">ROUNDDOWN(表3[[#This Row],[日期]]-TODAY(),1)</f>
        <v>-21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3556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-18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3644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-14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3370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-14</v>
      </c>
    </row>
    <row r="5429" spans="1:10" hidden="1" x14ac:dyDescent="0.2">
      <c r="A5429" s="4" t="s">
        <v>3266</v>
      </c>
      <c r="B5429" s="37">
        <v>43761</v>
      </c>
      <c r="C5429" s="12">
        <v>1</v>
      </c>
      <c r="D5429" s="38" t="s">
        <v>364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-29</v>
      </c>
    </row>
    <row r="5430" spans="1:10" hidden="1" x14ac:dyDescent="0.2">
      <c r="A5430" s="4" t="s">
        <v>3447</v>
      </c>
      <c r="B5430" s="37">
        <v>43761</v>
      </c>
      <c r="C5430" s="12">
        <v>1</v>
      </c>
      <c r="D5430" s="38" t="s">
        <v>3449</v>
      </c>
      <c r="E5430" s="39">
        <v>43753</v>
      </c>
      <c r="F5430" s="40" t="s">
        <v>3450</v>
      </c>
      <c r="G5430" s="12"/>
      <c r="H5430" s="12"/>
      <c r="J5430" s="41">
        <f ca="1">ROUNDDOWN(表3[[#This Row],[日期]]-TODAY(),1)</f>
        <v>-24</v>
      </c>
    </row>
    <row r="5431" spans="1:10" hidden="1" x14ac:dyDescent="0.2">
      <c r="A5431" s="4" t="s">
        <v>3266</v>
      </c>
      <c r="B5431" s="37">
        <v>43761</v>
      </c>
      <c r="C5431" s="12">
        <v>2</v>
      </c>
      <c r="D5431" s="38" t="s">
        <v>863</v>
      </c>
      <c r="E5431" s="39">
        <v>43754</v>
      </c>
      <c r="F5431" s="40" t="s">
        <v>3448</v>
      </c>
      <c r="G5431" s="12"/>
      <c r="H5431" s="12"/>
      <c r="J5431" s="41">
        <f ca="1">ROUNDDOWN(表3[[#This Row],[日期]]-TODAY(),1)</f>
        <v>-23</v>
      </c>
    </row>
    <row r="5432" spans="1:10" hidden="1" x14ac:dyDescent="0.2">
      <c r="A5432" s="4" t="s">
        <v>3447</v>
      </c>
      <c r="B5432" s="37">
        <v>43761</v>
      </c>
      <c r="C5432" s="12">
        <v>2</v>
      </c>
      <c r="D5432" s="38" t="s">
        <v>3488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-22</v>
      </c>
    </row>
    <row r="5433" spans="1:10" hidden="1" x14ac:dyDescent="0.2">
      <c r="A5433" s="4" t="s">
        <v>3266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3448</v>
      </c>
      <c r="G5433" s="12"/>
      <c r="H5433" s="12"/>
      <c r="J5433" s="41">
        <f ca="1">ROUNDDOWN(表3[[#This Row],[日期]]-TODAY(),1)</f>
        <v>-23</v>
      </c>
    </row>
    <row r="5434" spans="1:10" hidden="1" x14ac:dyDescent="0.2">
      <c r="A5434" s="4" t="s">
        <v>3447</v>
      </c>
      <c r="B5434" s="37">
        <v>43761</v>
      </c>
      <c r="C5434" s="12">
        <v>3</v>
      </c>
      <c r="D5434" s="38" t="s">
        <v>3502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-22</v>
      </c>
    </row>
    <row r="5435" spans="1:10" hidden="1" x14ac:dyDescent="0.2">
      <c r="A5435" s="4" t="s">
        <v>3266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3448</v>
      </c>
      <c r="G5435" s="12"/>
      <c r="H5435" s="12"/>
      <c r="I5435" s="4" t="s">
        <v>131</v>
      </c>
      <c r="J5435" s="41">
        <f ca="1">ROUNDDOWN(表3[[#This Row],[日期]]-TODAY(),1)</f>
        <v>-22</v>
      </c>
    </row>
    <row r="5436" spans="1:10" hidden="1" x14ac:dyDescent="0.2">
      <c r="A5436" s="4" t="s">
        <v>3447</v>
      </c>
      <c r="B5436" s="37">
        <v>43761</v>
      </c>
      <c r="C5436" s="12">
        <v>4</v>
      </c>
      <c r="D5436" s="38" t="s">
        <v>3514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-21</v>
      </c>
    </row>
    <row r="5437" spans="1:10" hidden="1" x14ac:dyDescent="0.2">
      <c r="A5437" s="4" t="s">
        <v>3266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3448</v>
      </c>
      <c r="G5437" s="12"/>
      <c r="H5437" s="12"/>
      <c r="J5437" s="41">
        <f ca="1">ROUNDDOWN(表3[[#This Row],[日期]]-TODAY(),1)</f>
        <v>-22</v>
      </c>
    </row>
    <row r="5438" spans="1:10" hidden="1" x14ac:dyDescent="0.2">
      <c r="A5438" s="4" t="s">
        <v>3447</v>
      </c>
      <c r="B5438" s="37">
        <v>43761</v>
      </c>
      <c r="C5438" s="12">
        <v>5</v>
      </c>
      <c r="D5438" s="38" t="s">
        <v>3440</v>
      </c>
      <c r="E5438" s="39">
        <v>43756</v>
      </c>
      <c r="F5438" s="40" t="s">
        <v>1184</v>
      </c>
      <c r="G5438" s="12"/>
      <c r="H5438" s="12"/>
      <c r="I5438" s="4" t="s">
        <v>310</v>
      </c>
      <c r="J5438" s="41">
        <f ca="1">ROUNDDOWN(表3[[#This Row],[日期]]-TODAY(),1)</f>
        <v>-21</v>
      </c>
    </row>
    <row r="5439" spans="1:10" hidden="1" x14ac:dyDescent="0.2">
      <c r="A5439" s="4" t="s">
        <v>3266</v>
      </c>
      <c r="B5439" s="37">
        <v>43761</v>
      </c>
      <c r="C5439" s="12">
        <v>6</v>
      </c>
      <c r="D5439" s="38" t="s">
        <v>864</v>
      </c>
      <c r="E5439" s="39">
        <v>43755</v>
      </c>
      <c r="F5439" s="40" t="s">
        <v>3448</v>
      </c>
      <c r="G5439" s="12"/>
      <c r="H5439" s="12"/>
      <c r="J5439" s="41">
        <f ca="1">ROUNDDOWN(表3[[#This Row],[日期]]-TODAY(),1)</f>
        <v>-22</v>
      </c>
    </row>
    <row r="5440" spans="1:10" hidden="1" x14ac:dyDescent="0.2">
      <c r="A5440" s="4" t="s">
        <v>3447</v>
      </c>
      <c r="B5440" s="37">
        <v>43761</v>
      </c>
      <c r="C5440" s="12">
        <v>6</v>
      </c>
      <c r="D5440" s="38" t="s">
        <v>3528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-20</v>
      </c>
    </row>
    <row r="5441" spans="1:10" hidden="1" x14ac:dyDescent="0.2">
      <c r="A5441" s="4" t="s">
        <v>3266</v>
      </c>
      <c r="B5441" s="37">
        <v>43761</v>
      </c>
      <c r="C5441" s="12">
        <v>7</v>
      </c>
      <c r="D5441" s="38" t="s">
        <v>3279</v>
      </c>
      <c r="E5441" s="39">
        <v>43756</v>
      </c>
      <c r="F5441" s="40" t="s">
        <v>3448</v>
      </c>
      <c r="G5441" s="12"/>
      <c r="H5441" s="12"/>
      <c r="I5441" s="4" t="s">
        <v>147</v>
      </c>
      <c r="J5441" s="41">
        <f ca="1">ROUNDDOWN(表3[[#This Row],[日期]]-TODAY(),1)</f>
        <v>-21</v>
      </c>
    </row>
    <row r="5442" spans="1:10" hidden="1" x14ac:dyDescent="0.2">
      <c r="A5442" s="4" t="s">
        <v>3447</v>
      </c>
      <c r="B5442" s="37">
        <v>43761</v>
      </c>
      <c r="C5442" s="12">
        <v>7</v>
      </c>
      <c r="D5442" s="38" t="s">
        <v>3640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-15</v>
      </c>
    </row>
    <row r="5443" spans="1:10" hidden="1" x14ac:dyDescent="0.2">
      <c r="A5443" s="4" t="s">
        <v>3266</v>
      </c>
      <c r="B5443" s="37">
        <v>43761</v>
      </c>
      <c r="C5443" s="12">
        <v>8</v>
      </c>
      <c r="D5443" s="38" t="s">
        <v>307</v>
      </c>
      <c r="E5443" s="39">
        <v>43756</v>
      </c>
      <c r="F5443" s="40" t="s">
        <v>3448</v>
      </c>
      <c r="G5443" s="12"/>
      <c r="H5443" s="12"/>
      <c r="I5443" s="4" t="s">
        <v>137</v>
      </c>
      <c r="J5443" s="41">
        <f ca="1">ROUNDDOWN(表3[[#This Row],[日期]]-TODAY(),1)</f>
        <v>-21</v>
      </c>
    </row>
    <row r="5444" spans="1:10" hidden="1" x14ac:dyDescent="0.2">
      <c r="A5444" s="4" t="s">
        <v>3447</v>
      </c>
      <c r="B5444" s="37">
        <v>43761</v>
      </c>
      <c r="C5444" s="12">
        <v>8</v>
      </c>
      <c r="D5444" s="38" t="s">
        <v>3445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-18</v>
      </c>
    </row>
    <row r="5445" spans="1:10" hidden="1" x14ac:dyDescent="0.2">
      <c r="A5445" s="4" t="s">
        <v>3266</v>
      </c>
      <c r="B5445" s="37">
        <v>43761</v>
      </c>
      <c r="C5445" s="12">
        <v>9</v>
      </c>
      <c r="D5445" s="38" t="s">
        <v>2433</v>
      </c>
      <c r="E5445" s="39">
        <v>43756</v>
      </c>
      <c r="F5445" s="40" t="s">
        <v>3448</v>
      </c>
      <c r="G5445" s="12"/>
      <c r="H5445" s="12"/>
      <c r="J5445" s="41">
        <f ca="1">ROUNDDOWN(表3[[#This Row],[日期]]-TODAY(),1)</f>
        <v>-21</v>
      </c>
    </row>
    <row r="5446" spans="1:10" hidden="1" x14ac:dyDescent="0.2">
      <c r="A5446" s="4" t="s">
        <v>3266</v>
      </c>
      <c r="B5446" s="37">
        <v>43761</v>
      </c>
      <c r="C5446" s="12">
        <v>10</v>
      </c>
      <c r="D5446" s="38" t="s">
        <v>2622</v>
      </c>
      <c r="E5446" s="39">
        <v>43756</v>
      </c>
      <c r="F5446" s="40" t="s">
        <v>3448</v>
      </c>
      <c r="G5446" s="12"/>
      <c r="H5446" s="12"/>
      <c r="J5446" s="41">
        <f ca="1">ROUNDDOWN(表3[[#This Row],[日期]]-TODAY(),1)</f>
        <v>-21</v>
      </c>
    </row>
    <row r="5447" spans="1:10" hidden="1" x14ac:dyDescent="0.2">
      <c r="A5447" s="4" t="s">
        <v>3266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3448</v>
      </c>
      <c r="G5447" s="12"/>
      <c r="H5447" s="12"/>
      <c r="J5447" s="41">
        <f ca="1">ROUNDDOWN(表3[[#This Row],[日期]]-TODAY(),1)</f>
        <v>-21</v>
      </c>
    </row>
    <row r="5448" spans="1:10" hidden="1" x14ac:dyDescent="0.2">
      <c r="A5448" s="4" t="s">
        <v>3266</v>
      </c>
      <c r="B5448" s="37">
        <v>43761</v>
      </c>
      <c r="C5448" s="12">
        <v>12</v>
      </c>
      <c r="D5448" s="38" t="s">
        <v>868</v>
      </c>
      <c r="E5448" s="39">
        <v>43756</v>
      </c>
      <c r="F5448" s="40" t="s">
        <v>3448</v>
      </c>
      <c r="G5448" s="12"/>
      <c r="H5448" s="12"/>
      <c r="I5448" s="4" t="s">
        <v>310</v>
      </c>
      <c r="J5448" s="41">
        <f ca="1">ROUNDDOWN(表3[[#This Row],[日期]]-TODAY(),1)</f>
        <v>-21</v>
      </c>
    </row>
    <row r="5449" spans="1:10" hidden="1" x14ac:dyDescent="0.2">
      <c r="A5449" s="4" t="s">
        <v>3266</v>
      </c>
      <c r="B5449" s="37">
        <v>43761</v>
      </c>
      <c r="C5449" s="12">
        <v>13</v>
      </c>
      <c r="D5449" s="38" t="s">
        <v>313</v>
      </c>
      <c r="E5449" s="39">
        <v>43756</v>
      </c>
      <c r="F5449" s="40" t="s">
        <v>3448</v>
      </c>
      <c r="G5449" s="12"/>
      <c r="H5449" s="12"/>
      <c r="I5449" s="4" t="s">
        <v>310</v>
      </c>
      <c r="J5449" s="41">
        <f ca="1">ROUNDDOWN(表3[[#This Row],[日期]]-TODAY(),1)</f>
        <v>-21</v>
      </c>
    </row>
    <row r="5450" spans="1:10" hidden="1" x14ac:dyDescent="0.2">
      <c r="A5450" s="4" t="s">
        <v>3266</v>
      </c>
      <c r="B5450" s="37">
        <v>43761</v>
      </c>
      <c r="C5450" s="12">
        <v>14</v>
      </c>
      <c r="D5450" s="38" t="s">
        <v>2572</v>
      </c>
      <c r="E5450" s="39">
        <v>43756</v>
      </c>
      <c r="F5450" s="40" t="s">
        <v>3448</v>
      </c>
      <c r="G5450" s="12"/>
      <c r="H5450" s="12"/>
      <c r="J5450" s="41">
        <f ca="1">ROUNDDOWN(表3[[#This Row],[日期]]-TODAY(),1)</f>
        <v>-21</v>
      </c>
    </row>
    <row r="5451" spans="1:10" hidden="1" x14ac:dyDescent="0.2">
      <c r="A5451" s="4" t="s">
        <v>3266</v>
      </c>
      <c r="B5451" s="37">
        <v>43761</v>
      </c>
      <c r="C5451" s="12">
        <v>15</v>
      </c>
      <c r="D5451" s="38" t="s">
        <v>309</v>
      </c>
      <c r="E5451" s="39">
        <v>43756</v>
      </c>
      <c r="F5451" s="40" t="s">
        <v>3448</v>
      </c>
      <c r="G5451" s="12"/>
      <c r="H5451" s="12"/>
      <c r="I5451" s="4" t="s">
        <v>310</v>
      </c>
      <c r="J5451" s="41">
        <f ca="1">ROUNDDOWN(表3[[#This Row],[日期]]-TODAY(),1)</f>
        <v>-21</v>
      </c>
    </row>
    <row r="5452" spans="1:10" hidden="1" x14ac:dyDescent="0.2">
      <c r="A5452" s="4" t="s">
        <v>3266</v>
      </c>
      <c r="B5452" s="37">
        <v>43761</v>
      </c>
      <c r="C5452" s="12">
        <v>16</v>
      </c>
      <c r="D5452" s="38" t="s">
        <v>311</v>
      </c>
      <c r="E5452" s="39">
        <v>43757</v>
      </c>
      <c r="F5452" s="40" t="s">
        <v>3448</v>
      </c>
      <c r="G5452" s="12"/>
      <c r="H5452" s="12"/>
      <c r="I5452" s="4" t="s">
        <v>310</v>
      </c>
      <c r="J5452" s="41">
        <f ca="1">ROUNDDOWN(表3[[#This Row],[日期]]-TODAY(),1)</f>
        <v>-20</v>
      </c>
    </row>
    <row r="5453" spans="1:10" hidden="1" x14ac:dyDescent="0.2">
      <c r="A5453" s="4" t="s">
        <v>3266</v>
      </c>
      <c r="B5453" s="37">
        <v>43761</v>
      </c>
      <c r="C5453" s="12">
        <v>17</v>
      </c>
      <c r="D5453" s="38" t="s">
        <v>271</v>
      </c>
      <c r="E5453" s="39">
        <v>43757</v>
      </c>
      <c r="F5453" s="40" t="s">
        <v>3448</v>
      </c>
      <c r="G5453" s="12"/>
      <c r="H5453" s="12"/>
      <c r="J5453" s="41">
        <f ca="1">ROUNDDOWN(表3[[#This Row],[日期]]-TODAY(),1)</f>
        <v>-20</v>
      </c>
    </row>
    <row r="5454" spans="1:10" hidden="1" x14ac:dyDescent="0.2">
      <c r="A5454" s="4" t="s">
        <v>3266</v>
      </c>
      <c r="B5454" s="37">
        <v>43761</v>
      </c>
      <c r="C5454" s="12">
        <v>18</v>
      </c>
      <c r="D5454" s="38" t="s">
        <v>273</v>
      </c>
      <c r="E5454" s="39">
        <v>43760</v>
      </c>
      <c r="F5454" s="40" t="s">
        <v>3448</v>
      </c>
      <c r="G5454" s="12"/>
      <c r="H5454" s="12"/>
      <c r="J5454" s="41">
        <f ca="1">ROUNDDOWN(表3[[#This Row],[日期]]-TODAY(),1)</f>
        <v>-17</v>
      </c>
    </row>
    <row r="5455" spans="1:10" hidden="1" x14ac:dyDescent="0.2">
      <c r="A5455" s="4" t="s">
        <v>3266</v>
      </c>
      <c r="B5455" s="37">
        <v>43761</v>
      </c>
      <c r="C5455" s="12">
        <v>19</v>
      </c>
      <c r="D5455" s="38" t="s">
        <v>275</v>
      </c>
      <c r="E5455" s="39">
        <v>43760</v>
      </c>
      <c r="F5455" s="40" t="s">
        <v>3448</v>
      </c>
      <c r="G5455" s="12"/>
      <c r="H5455" s="12"/>
      <c r="J5455" s="41">
        <f ca="1">ROUNDDOWN(表3[[#This Row],[日期]]-TODAY(),1)</f>
        <v>-17</v>
      </c>
    </row>
    <row r="5456" spans="1:10" hidden="1" x14ac:dyDescent="0.2">
      <c r="A5456" s="4" t="s">
        <v>3266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3448</v>
      </c>
      <c r="G5456" s="12"/>
      <c r="H5456" s="12"/>
      <c r="J5456" s="41">
        <f ca="1">ROUNDDOWN(表3[[#This Row],[日期]]-TODAY(),1)</f>
        <v>-17</v>
      </c>
    </row>
    <row r="5457" spans="1:10" hidden="1" x14ac:dyDescent="0.2">
      <c r="A5457" s="4" t="s">
        <v>3266</v>
      </c>
      <c r="B5457" s="37">
        <v>43761</v>
      </c>
      <c r="C5457" s="12">
        <v>21</v>
      </c>
      <c r="D5457" s="38" t="s">
        <v>1387</v>
      </c>
      <c r="E5457" s="39">
        <v>43760</v>
      </c>
      <c r="F5457" s="40" t="s">
        <v>3448</v>
      </c>
      <c r="G5457" s="12"/>
      <c r="H5457" s="12"/>
      <c r="J5457" s="41">
        <f ca="1">ROUNDDOWN(表3[[#This Row],[日期]]-TODAY(),1)</f>
        <v>-17</v>
      </c>
    </row>
    <row r="5458" spans="1:10" hidden="1" x14ac:dyDescent="0.2">
      <c r="A5458" s="4" t="s">
        <v>3266</v>
      </c>
      <c r="B5458" s="37">
        <v>43761</v>
      </c>
      <c r="C5458" s="12">
        <v>22</v>
      </c>
      <c r="D5458" s="38" t="s">
        <v>305</v>
      </c>
      <c r="E5458" s="39">
        <v>43761</v>
      </c>
      <c r="F5458" s="40" t="s">
        <v>3448</v>
      </c>
      <c r="G5458" s="12"/>
      <c r="H5458" s="12"/>
      <c r="J5458" s="41">
        <f ca="1">ROUNDDOWN(表3[[#This Row],[日期]]-TODAY(),1)</f>
        <v>-16</v>
      </c>
    </row>
    <row r="5459" spans="1:10" hidden="1" x14ac:dyDescent="0.2">
      <c r="A5459" s="4" t="s">
        <v>1371</v>
      </c>
      <c r="B5459" s="37">
        <v>43762</v>
      </c>
      <c r="C5459" s="12">
        <v>1</v>
      </c>
      <c r="D5459" s="38" t="s">
        <v>1805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-64</v>
      </c>
    </row>
    <row r="5460" spans="1:10" hidden="1" x14ac:dyDescent="0.2">
      <c r="A5460" s="4" t="s">
        <v>1371</v>
      </c>
      <c r="B5460" s="37">
        <v>43762</v>
      </c>
      <c r="C5460" s="12">
        <v>2</v>
      </c>
      <c r="D5460" s="38" t="s">
        <v>1806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-63</v>
      </c>
    </row>
    <row r="5461" spans="1:10" hidden="1" x14ac:dyDescent="0.2">
      <c r="A5461" s="4" t="s">
        <v>1371</v>
      </c>
      <c r="B5461" s="37">
        <v>43762</v>
      </c>
      <c r="C5461" s="12">
        <v>2</v>
      </c>
      <c r="D5461" s="38" t="s">
        <v>3515</v>
      </c>
      <c r="E5461" s="39">
        <v>43759</v>
      </c>
      <c r="F5461" s="40" t="s">
        <v>3572</v>
      </c>
      <c r="G5461" s="12"/>
      <c r="H5461" s="12"/>
      <c r="J5461" s="41">
        <f ca="1">ROUNDDOWN(表3[[#This Row],[日期]]-TODAY(),1)</f>
        <v>-18</v>
      </c>
    </row>
    <row r="5462" spans="1:10" hidden="1" x14ac:dyDescent="0.2">
      <c r="A5462" s="4" t="s">
        <v>1371</v>
      </c>
      <c r="B5462" s="37">
        <v>43762</v>
      </c>
      <c r="C5462" s="12">
        <v>3</v>
      </c>
      <c r="D5462" s="38" t="s">
        <v>1807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-63</v>
      </c>
    </row>
    <row r="5463" spans="1:10" hidden="1" x14ac:dyDescent="0.2">
      <c r="A5463" s="4" t="s">
        <v>1371</v>
      </c>
      <c r="B5463" s="37">
        <v>43762</v>
      </c>
      <c r="C5463" s="12">
        <v>3</v>
      </c>
      <c r="D5463" s="38" t="s">
        <v>3307</v>
      </c>
      <c r="E5463" s="39">
        <v>43759</v>
      </c>
      <c r="F5463" s="40" t="s">
        <v>3572</v>
      </c>
      <c r="G5463" s="12"/>
      <c r="H5463" s="12"/>
      <c r="I5463" s="4" t="s">
        <v>3303</v>
      </c>
      <c r="J5463" s="41">
        <f ca="1">ROUNDDOWN(表3[[#This Row],[日期]]-TODAY(),1)</f>
        <v>-18</v>
      </c>
    </row>
    <row r="5464" spans="1:10" hidden="1" x14ac:dyDescent="0.2">
      <c r="A5464" s="4" t="s">
        <v>1371</v>
      </c>
      <c r="B5464" s="37">
        <v>43762</v>
      </c>
      <c r="C5464" s="12">
        <v>4</v>
      </c>
      <c r="D5464" s="38" t="s">
        <v>1808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-63</v>
      </c>
    </row>
    <row r="5465" spans="1:10" hidden="1" x14ac:dyDescent="0.2">
      <c r="A5465" s="4" t="s">
        <v>1371</v>
      </c>
      <c r="B5465" s="37">
        <v>43762</v>
      </c>
      <c r="C5465" s="12">
        <v>4</v>
      </c>
      <c r="D5465" s="38" t="s">
        <v>3305</v>
      </c>
      <c r="E5465" s="39">
        <v>43759</v>
      </c>
      <c r="F5465" s="40" t="s">
        <v>3572</v>
      </c>
      <c r="G5465" s="12"/>
      <c r="H5465" s="12"/>
      <c r="J5465" s="41">
        <f ca="1">ROUNDDOWN(表3[[#This Row],[日期]]-TODAY(),1)</f>
        <v>-18</v>
      </c>
    </row>
    <row r="5466" spans="1:10" hidden="1" x14ac:dyDescent="0.2">
      <c r="A5466" s="4" t="s">
        <v>1371</v>
      </c>
      <c r="B5466" s="37">
        <v>43762</v>
      </c>
      <c r="C5466" s="12">
        <v>5</v>
      </c>
      <c r="D5466" s="38" t="s">
        <v>2043</v>
      </c>
      <c r="E5466" s="39">
        <v>43726</v>
      </c>
      <c r="F5466" s="40" t="s">
        <v>1184</v>
      </c>
      <c r="G5466" s="12"/>
      <c r="H5466" s="12"/>
      <c r="J5466" s="41">
        <f ca="1">ROUNDDOWN(表3[[#This Row],[日期]]-TODAY(),1)</f>
        <v>-51</v>
      </c>
    </row>
    <row r="5467" spans="1:10" hidden="1" x14ac:dyDescent="0.2">
      <c r="A5467" s="4" t="s">
        <v>1371</v>
      </c>
      <c r="B5467" s="37">
        <v>43762</v>
      </c>
      <c r="C5467" s="12">
        <v>5</v>
      </c>
      <c r="D5467" s="38" t="s">
        <v>3309</v>
      </c>
      <c r="E5467" s="39">
        <v>43760</v>
      </c>
      <c r="F5467" s="40" t="s">
        <v>3572</v>
      </c>
      <c r="G5467" s="12"/>
      <c r="H5467" s="12"/>
      <c r="J5467" s="41">
        <f ca="1">ROUNDDOWN(表3[[#This Row],[日期]]-TODAY(),1)</f>
        <v>-17</v>
      </c>
    </row>
    <row r="5468" spans="1:10" hidden="1" x14ac:dyDescent="0.2">
      <c r="A5468" s="4" t="s">
        <v>1371</v>
      </c>
      <c r="B5468" s="37">
        <v>43762</v>
      </c>
      <c r="C5468" s="12">
        <v>6</v>
      </c>
      <c r="D5468" s="38" t="s">
        <v>2030</v>
      </c>
      <c r="E5468" s="39">
        <v>43756</v>
      </c>
      <c r="F5468" s="40" t="s">
        <v>287</v>
      </c>
      <c r="G5468" s="12"/>
      <c r="H5468" s="12"/>
      <c r="J5468" s="41">
        <f ca="1">ROUNDDOWN(表3[[#This Row],[日期]]-TODAY(),1)</f>
        <v>-21</v>
      </c>
    </row>
    <row r="5469" spans="1:10" hidden="1" x14ac:dyDescent="0.2">
      <c r="A5469" s="4" t="s">
        <v>1371</v>
      </c>
      <c r="B5469" s="37">
        <v>43762</v>
      </c>
      <c r="C5469" s="12">
        <v>6</v>
      </c>
      <c r="D5469" s="38" t="s">
        <v>3311</v>
      </c>
      <c r="E5469" s="39">
        <v>43760</v>
      </c>
      <c r="F5469" s="40" t="s">
        <v>3572</v>
      </c>
      <c r="G5469" s="12"/>
      <c r="H5469" s="12"/>
      <c r="J5469" s="41">
        <f ca="1">ROUNDDOWN(表3[[#This Row],[日期]]-TODAY(),1)</f>
        <v>-17</v>
      </c>
    </row>
    <row r="5470" spans="1:10" hidden="1" x14ac:dyDescent="0.2">
      <c r="A5470" s="4" t="s">
        <v>1371</v>
      </c>
      <c r="B5470" s="37">
        <v>43762</v>
      </c>
      <c r="C5470" s="12">
        <v>7</v>
      </c>
      <c r="D5470" s="38" t="s">
        <v>1653</v>
      </c>
      <c r="E5470" s="39">
        <v>43756</v>
      </c>
      <c r="F5470" s="40" t="s">
        <v>287</v>
      </c>
      <c r="G5470" s="12"/>
      <c r="H5470" s="12"/>
      <c r="J5470" s="41">
        <f ca="1">ROUNDDOWN(表3[[#This Row],[日期]]-TODAY(),1)</f>
        <v>-21</v>
      </c>
    </row>
    <row r="5471" spans="1:10" hidden="1" x14ac:dyDescent="0.2">
      <c r="A5471" s="4" t="s">
        <v>1371</v>
      </c>
      <c r="B5471" s="37">
        <v>43762</v>
      </c>
      <c r="C5471" s="12">
        <v>7</v>
      </c>
      <c r="D5471" s="38" t="s">
        <v>3315</v>
      </c>
      <c r="E5471" s="39">
        <v>43763</v>
      </c>
      <c r="F5471" s="40" t="s">
        <v>3572</v>
      </c>
      <c r="G5471" s="12"/>
      <c r="H5471" s="12"/>
      <c r="J5471" s="41">
        <f ca="1">ROUNDDOWN(表3[[#This Row],[日期]]-TODAY(),1)</f>
        <v>-14</v>
      </c>
    </row>
    <row r="5472" spans="1:10" hidden="1" x14ac:dyDescent="0.2">
      <c r="A5472" s="4" t="s">
        <v>1371</v>
      </c>
      <c r="B5472" s="37">
        <v>43762</v>
      </c>
      <c r="C5472" s="12">
        <v>8</v>
      </c>
      <c r="D5472" s="38" t="s">
        <v>2063</v>
      </c>
      <c r="E5472" s="39">
        <v>43756</v>
      </c>
      <c r="F5472" s="40" t="s">
        <v>287</v>
      </c>
      <c r="G5472" s="12"/>
      <c r="H5472" s="12"/>
      <c r="J5472" s="41">
        <f ca="1">ROUNDDOWN(表3[[#This Row],[日期]]-TODAY(),1)</f>
        <v>-21</v>
      </c>
    </row>
    <row r="5473" spans="1:10" hidden="1" x14ac:dyDescent="0.2">
      <c r="A5473" s="4" t="s">
        <v>1371</v>
      </c>
      <c r="B5473" s="37">
        <v>43762</v>
      </c>
      <c r="C5473" s="12">
        <v>9</v>
      </c>
      <c r="D5473" s="38" t="s">
        <v>1655</v>
      </c>
      <c r="E5473" s="39">
        <v>43759</v>
      </c>
      <c r="F5473" s="40" t="s">
        <v>287</v>
      </c>
      <c r="G5473" s="12"/>
      <c r="H5473" s="12"/>
      <c r="J5473" s="41">
        <f ca="1">ROUNDDOWN(表3[[#This Row],[日期]]-TODAY(),1)</f>
        <v>-18</v>
      </c>
    </row>
    <row r="5474" spans="1:10" hidden="1" x14ac:dyDescent="0.2">
      <c r="A5474" s="4" t="s">
        <v>1371</v>
      </c>
      <c r="B5474" s="37">
        <v>43762</v>
      </c>
      <c r="C5474" s="12">
        <v>10</v>
      </c>
      <c r="D5474" s="38" t="s">
        <v>2065</v>
      </c>
      <c r="E5474" s="39">
        <v>43759</v>
      </c>
      <c r="F5474" s="40" t="s">
        <v>287</v>
      </c>
      <c r="G5474" s="12"/>
      <c r="H5474" s="12"/>
      <c r="J5474" s="41">
        <f ca="1">ROUNDDOWN(表3[[#This Row],[日期]]-TODAY(),1)</f>
        <v>-18</v>
      </c>
    </row>
    <row r="5475" spans="1:10" hidden="1" x14ac:dyDescent="0.2">
      <c r="A5475" s="4" t="s">
        <v>1371</v>
      </c>
      <c r="B5475" s="37">
        <v>43762</v>
      </c>
      <c r="C5475" s="12">
        <v>11</v>
      </c>
      <c r="D5475" s="38" t="s">
        <v>2064</v>
      </c>
      <c r="E5475" s="39">
        <v>43759</v>
      </c>
      <c r="F5475" s="40" t="s">
        <v>287</v>
      </c>
      <c r="G5475" s="12"/>
      <c r="H5475" s="12"/>
      <c r="J5475" s="41">
        <f ca="1">ROUNDDOWN(表3[[#This Row],[日期]]-TODAY(),1)</f>
        <v>-18</v>
      </c>
    </row>
    <row r="5476" spans="1:10" hidden="1" x14ac:dyDescent="0.2">
      <c r="A5476" s="4" t="s">
        <v>1371</v>
      </c>
      <c r="B5476" s="37">
        <v>43762</v>
      </c>
      <c r="C5476" s="12">
        <v>12</v>
      </c>
      <c r="D5476" s="38" t="s">
        <v>2013</v>
      </c>
      <c r="E5476" s="39">
        <v>43759</v>
      </c>
      <c r="F5476" s="40" t="s">
        <v>287</v>
      </c>
      <c r="G5476" s="12"/>
      <c r="H5476" s="12"/>
      <c r="J5476" s="41">
        <f ca="1">ROUNDDOWN(表3[[#This Row],[日期]]-TODAY(),1)</f>
        <v>-18</v>
      </c>
    </row>
    <row r="5477" spans="1:10" hidden="1" x14ac:dyDescent="0.2">
      <c r="A5477" s="4" t="s">
        <v>1371</v>
      </c>
      <c r="B5477" s="37">
        <v>43762</v>
      </c>
      <c r="C5477" s="12">
        <v>13</v>
      </c>
      <c r="D5477" s="38" t="s">
        <v>2014</v>
      </c>
      <c r="E5477" s="39">
        <v>43759</v>
      </c>
      <c r="F5477" s="40" t="s">
        <v>287</v>
      </c>
      <c r="G5477" s="12"/>
      <c r="H5477" s="12"/>
      <c r="J5477" s="41">
        <f ca="1">ROUNDDOWN(表3[[#This Row],[日期]]-TODAY(),1)</f>
        <v>-18</v>
      </c>
    </row>
    <row r="5478" spans="1:10" hidden="1" x14ac:dyDescent="0.2">
      <c r="A5478" s="4" t="s">
        <v>1371</v>
      </c>
      <c r="B5478" s="37">
        <v>43762</v>
      </c>
      <c r="C5478" s="12">
        <v>14</v>
      </c>
      <c r="D5478" s="38" t="s">
        <v>2015</v>
      </c>
      <c r="E5478" s="39">
        <v>43759</v>
      </c>
      <c r="F5478" s="40" t="s">
        <v>287</v>
      </c>
      <c r="G5478" s="12"/>
      <c r="H5478" s="12"/>
      <c r="J5478" s="41">
        <f ca="1">ROUNDDOWN(表3[[#This Row],[日期]]-TODAY(),1)</f>
        <v>-18</v>
      </c>
    </row>
    <row r="5479" spans="1:10" hidden="1" x14ac:dyDescent="0.2">
      <c r="A5479" s="4" t="s">
        <v>1371</v>
      </c>
      <c r="B5479" s="37">
        <v>43762</v>
      </c>
      <c r="C5479" s="12">
        <v>15</v>
      </c>
      <c r="D5479" s="38" t="s">
        <v>2016</v>
      </c>
      <c r="E5479" s="39">
        <v>43759</v>
      </c>
      <c r="F5479" s="40" t="s">
        <v>287</v>
      </c>
      <c r="G5479" s="12"/>
      <c r="H5479" s="12"/>
      <c r="J5479" s="41">
        <f ca="1">ROUNDDOWN(表3[[#This Row],[日期]]-TODAY(),1)</f>
        <v>-18</v>
      </c>
    </row>
    <row r="5480" spans="1:10" hidden="1" x14ac:dyDescent="0.2">
      <c r="A5480" s="4" t="s">
        <v>1371</v>
      </c>
      <c r="B5480" s="37">
        <v>43762</v>
      </c>
      <c r="C5480" s="12">
        <v>16</v>
      </c>
      <c r="D5480" s="38" t="s">
        <v>2017</v>
      </c>
      <c r="E5480" s="39">
        <v>43759</v>
      </c>
      <c r="F5480" s="40" t="s">
        <v>287</v>
      </c>
      <c r="G5480" s="12"/>
      <c r="H5480" s="12"/>
      <c r="J5480" s="41">
        <f ca="1">ROUNDDOWN(表3[[#This Row],[日期]]-TODAY(),1)</f>
        <v>-18</v>
      </c>
    </row>
    <row r="5481" spans="1:10" hidden="1" x14ac:dyDescent="0.2">
      <c r="A5481" s="4" t="s">
        <v>1371</v>
      </c>
      <c r="B5481" s="37">
        <v>43762</v>
      </c>
      <c r="C5481" s="12">
        <v>17</v>
      </c>
      <c r="D5481" s="38" t="s">
        <v>2018</v>
      </c>
      <c r="E5481" s="39">
        <v>43759</v>
      </c>
      <c r="F5481" s="40" t="s">
        <v>287</v>
      </c>
      <c r="G5481" s="12"/>
      <c r="H5481" s="12"/>
      <c r="J5481" s="41">
        <f ca="1">ROUNDDOWN(表3[[#This Row],[日期]]-TODAY(),1)</f>
        <v>-18</v>
      </c>
    </row>
    <row r="5482" spans="1:10" hidden="1" x14ac:dyDescent="0.2">
      <c r="A5482" s="4" t="s">
        <v>1371</v>
      </c>
      <c r="B5482" s="37">
        <v>43762</v>
      </c>
      <c r="C5482" s="12">
        <v>18</v>
      </c>
      <c r="D5482" s="38" t="s">
        <v>270</v>
      </c>
      <c r="E5482" s="39">
        <v>43760</v>
      </c>
      <c r="F5482" s="40" t="s">
        <v>287</v>
      </c>
      <c r="G5482" s="12"/>
      <c r="H5482" s="12"/>
      <c r="J5482" s="41">
        <f ca="1">ROUNDDOWN(表3[[#This Row],[日期]]-TODAY(),1)</f>
        <v>-17</v>
      </c>
    </row>
    <row r="5483" spans="1:10" hidden="1" x14ac:dyDescent="0.2">
      <c r="A5483" s="4" t="s">
        <v>1371</v>
      </c>
      <c r="B5483" s="37">
        <v>43762</v>
      </c>
      <c r="C5483" s="12">
        <v>19</v>
      </c>
      <c r="D5483" s="38" t="s">
        <v>272</v>
      </c>
      <c r="E5483" s="39">
        <v>43760</v>
      </c>
      <c r="F5483" s="40" t="s">
        <v>287</v>
      </c>
      <c r="G5483" s="12"/>
      <c r="H5483" s="12"/>
      <c r="J5483" s="41">
        <f ca="1">ROUNDDOWN(表3[[#This Row],[日期]]-TODAY(),1)</f>
        <v>-17</v>
      </c>
    </row>
    <row r="5484" spans="1:10" hidden="1" x14ac:dyDescent="0.2">
      <c r="A5484" s="4" t="s">
        <v>1371</v>
      </c>
      <c r="B5484" s="37">
        <v>43762</v>
      </c>
      <c r="C5484" s="12">
        <v>20</v>
      </c>
      <c r="D5484" s="38" t="s">
        <v>274</v>
      </c>
      <c r="E5484" s="39">
        <v>43761</v>
      </c>
      <c r="F5484" s="40" t="s">
        <v>287</v>
      </c>
      <c r="G5484" s="12"/>
      <c r="H5484" s="12"/>
      <c r="J5484" s="41">
        <f ca="1">ROUNDDOWN(表3[[#This Row],[日期]]-TODAY(),1)</f>
        <v>-16</v>
      </c>
    </row>
    <row r="5485" spans="1:10" hidden="1" x14ac:dyDescent="0.2">
      <c r="A5485" s="4" t="s">
        <v>1371</v>
      </c>
      <c r="B5485" s="37">
        <v>43762</v>
      </c>
      <c r="C5485" s="12">
        <v>21</v>
      </c>
      <c r="D5485" s="38" t="s">
        <v>276</v>
      </c>
      <c r="E5485" s="39">
        <v>43761</v>
      </c>
      <c r="F5485" s="40" t="s">
        <v>287</v>
      </c>
      <c r="G5485" s="12"/>
      <c r="H5485" s="12"/>
      <c r="J5485" s="41">
        <f ca="1">ROUNDDOWN(表3[[#This Row],[日期]]-TODAY(),1)</f>
        <v>-16</v>
      </c>
    </row>
    <row r="5486" spans="1:10" hidden="1" x14ac:dyDescent="0.2">
      <c r="A5486" s="4" t="s">
        <v>1371</v>
      </c>
      <c r="B5486" s="37">
        <v>43762</v>
      </c>
      <c r="C5486" s="12">
        <v>22</v>
      </c>
      <c r="D5486" s="38" t="s">
        <v>305</v>
      </c>
      <c r="E5486" s="39">
        <v>43762</v>
      </c>
      <c r="F5486" s="40" t="s">
        <v>287</v>
      </c>
      <c r="G5486" s="12"/>
      <c r="H5486" s="12"/>
      <c r="J5486" s="41">
        <f ca="1">ROUNDDOWN(表3[[#This Row],[日期]]-TODAY(),1)</f>
        <v>-15</v>
      </c>
    </row>
    <row r="5487" spans="1:10" hidden="1" x14ac:dyDescent="0.2">
      <c r="A5487" s="4" t="s">
        <v>1371</v>
      </c>
      <c r="B5487" s="37">
        <v>43762</v>
      </c>
      <c r="C5487" s="12">
        <v>23</v>
      </c>
      <c r="D5487" s="38" t="s">
        <v>2019</v>
      </c>
      <c r="E5487" s="39">
        <v>43762</v>
      </c>
      <c r="F5487" s="40" t="s">
        <v>287</v>
      </c>
      <c r="G5487" s="12"/>
      <c r="H5487" s="12"/>
      <c r="J5487" s="41">
        <f ca="1">ROUNDDOWN(表3[[#This Row],[日期]]-TODAY(),1)</f>
        <v>-15</v>
      </c>
    </row>
    <row r="5488" spans="1:10" hidden="1" x14ac:dyDescent="0.2">
      <c r="A5488" s="4" t="s">
        <v>1371</v>
      </c>
      <c r="B5488" s="37">
        <v>43762</v>
      </c>
      <c r="C5488" s="12">
        <v>24</v>
      </c>
      <c r="D5488" s="38" t="s">
        <v>1990</v>
      </c>
      <c r="E5488" s="39">
        <v>43766</v>
      </c>
      <c r="F5488" s="40" t="s">
        <v>287</v>
      </c>
      <c r="G5488" s="12"/>
      <c r="H5488" s="12"/>
      <c r="J5488" s="41">
        <f ca="1">ROUNDDOWN(表3[[#This Row],[日期]]-TODAY(),1)</f>
        <v>-11</v>
      </c>
    </row>
    <row r="5489" spans="1:10" hidden="1" x14ac:dyDescent="0.2">
      <c r="A5489" s="4" t="s">
        <v>1371</v>
      </c>
      <c r="B5489" s="37">
        <v>43762</v>
      </c>
      <c r="C5489" s="12">
        <v>25</v>
      </c>
      <c r="D5489" s="38" t="s">
        <v>2020</v>
      </c>
      <c r="E5489" s="39">
        <v>43766</v>
      </c>
      <c r="F5489" s="40" t="s">
        <v>287</v>
      </c>
      <c r="G5489" s="12"/>
      <c r="H5489" s="12"/>
      <c r="J5489" s="41">
        <f ca="1">ROUNDDOWN(表3[[#This Row],[日期]]-TODAY(),1)</f>
        <v>-11</v>
      </c>
    </row>
    <row r="5490" spans="1:10" hidden="1" x14ac:dyDescent="0.2">
      <c r="A5490" s="4" t="s">
        <v>3654</v>
      </c>
      <c r="B5490" s="37">
        <v>43763</v>
      </c>
      <c r="C5490" s="12">
        <v>1</v>
      </c>
      <c r="D5490" s="38" t="s">
        <v>3672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-17</v>
      </c>
    </row>
    <row r="5491" spans="1:10" hidden="1" x14ac:dyDescent="0.2">
      <c r="A5491" s="4" t="s">
        <v>3654</v>
      </c>
      <c r="B5491" s="37">
        <v>43763</v>
      </c>
      <c r="C5491" s="12">
        <v>2</v>
      </c>
      <c r="D5491" s="38" t="s">
        <v>3673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-16</v>
      </c>
    </row>
    <row r="5492" spans="1:10" hidden="1" x14ac:dyDescent="0.2">
      <c r="A5492" s="4" t="s">
        <v>3654</v>
      </c>
      <c r="B5492" s="37">
        <v>43763</v>
      </c>
      <c r="C5492" s="12">
        <v>3</v>
      </c>
      <c r="D5492" s="38" t="s">
        <v>3700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-14</v>
      </c>
    </row>
    <row r="5493" spans="1:10" hidden="1" x14ac:dyDescent="0.2">
      <c r="A5493" s="4" t="s">
        <v>3654</v>
      </c>
      <c r="B5493" s="37">
        <v>43763</v>
      </c>
      <c r="C5493" s="12">
        <v>4</v>
      </c>
      <c r="D5493" s="38" t="s">
        <v>3816</v>
      </c>
      <c r="E5493" s="39">
        <v>43768</v>
      </c>
      <c r="F5493" s="40" t="s">
        <v>242</v>
      </c>
      <c r="G5493" s="12"/>
      <c r="H5493" s="12"/>
      <c r="J5493" s="41">
        <f ca="1">ROUNDDOWN(表3[[#This Row],[日期]]-TODAY(),1)</f>
        <v>-9</v>
      </c>
    </row>
    <row r="5494" spans="1:10" hidden="1" x14ac:dyDescent="0.2">
      <c r="A5494" s="4" t="s">
        <v>3654</v>
      </c>
      <c r="B5494" s="37">
        <v>43763</v>
      </c>
      <c r="C5494" s="12">
        <v>5</v>
      </c>
      <c r="D5494" s="38" t="s">
        <v>3827</v>
      </c>
      <c r="E5494" s="39">
        <v>43770</v>
      </c>
      <c r="F5494" s="40" t="s">
        <v>242</v>
      </c>
      <c r="G5494" s="12"/>
      <c r="H5494" s="12"/>
      <c r="J5494" s="41">
        <f ca="1">ROUNDDOWN(表3[[#This Row],[日期]]-TODAY(),1)</f>
        <v>-7</v>
      </c>
    </row>
    <row r="5495" spans="1:10" hidden="1" x14ac:dyDescent="0.2">
      <c r="A5495" s="4" t="s">
        <v>3654</v>
      </c>
      <c r="B5495" s="37">
        <v>43763</v>
      </c>
      <c r="C5495" s="12">
        <v>6</v>
      </c>
      <c r="D5495" s="38" t="s">
        <v>3758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-10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3274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-26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3478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-22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3582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-17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3596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-17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3609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-17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3597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-17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3599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-17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3598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-17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3616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-16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3364</v>
      </c>
      <c r="E5505" s="39">
        <v>43760</v>
      </c>
      <c r="F5505" s="40" t="s">
        <v>1184</v>
      </c>
      <c r="G5505" s="12"/>
      <c r="H5505" s="12"/>
      <c r="J5505" s="41">
        <f ca="1">ROUNDDOWN(表3[[#This Row],[日期]]-TODAY(),1)</f>
        <v>-17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3697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-13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3370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-11</v>
      </c>
    </row>
    <row r="5508" spans="1:10" hidden="1" x14ac:dyDescent="0.2">
      <c r="A5508" s="4" t="s">
        <v>3537</v>
      </c>
      <c r="B5508" s="37">
        <v>43763</v>
      </c>
      <c r="C5508" s="12">
        <v>1</v>
      </c>
      <c r="D5508" s="38" t="s">
        <v>3574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-17</v>
      </c>
    </row>
    <row r="5509" spans="1:10" hidden="1" x14ac:dyDescent="0.2">
      <c r="A5509" s="4" t="s">
        <v>3537</v>
      </c>
      <c r="B5509" s="37">
        <v>43763</v>
      </c>
      <c r="C5509" s="12">
        <v>2</v>
      </c>
      <c r="D5509" s="38" t="s">
        <v>3575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-17</v>
      </c>
    </row>
    <row r="5510" spans="1:10" hidden="1" x14ac:dyDescent="0.2">
      <c r="A5510" s="4" t="s">
        <v>3537</v>
      </c>
      <c r="B5510" s="37">
        <v>43763</v>
      </c>
      <c r="C5510" s="12">
        <v>3</v>
      </c>
      <c r="D5510" s="38" t="s">
        <v>3767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-10</v>
      </c>
    </row>
    <row r="5511" spans="1:10" hidden="1" x14ac:dyDescent="0.2">
      <c r="A5511" s="4" t="s">
        <v>3537</v>
      </c>
      <c r="B5511" s="37">
        <v>43763</v>
      </c>
      <c r="C5511" s="12">
        <v>4</v>
      </c>
      <c r="D5511" s="38" t="s">
        <v>3787</v>
      </c>
      <c r="E5511" s="39">
        <v>43780</v>
      </c>
      <c r="F5511" s="40" t="s">
        <v>199</v>
      </c>
      <c r="G5511" s="12"/>
      <c r="H5511" s="12"/>
      <c r="J5511" s="41">
        <f ca="1">ROUNDDOWN(表3[[#This Row],[日期]]-TODAY(),1)</f>
        <v>3</v>
      </c>
    </row>
    <row r="5512" spans="1:10" hidden="1" x14ac:dyDescent="0.2">
      <c r="A5512" s="4" t="s">
        <v>3537</v>
      </c>
      <c r="B5512" s="37">
        <v>43763</v>
      </c>
      <c r="C5512" s="12">
        <v>5</v>
      </c>
      <c r="D5512" s="38" t="s">
        <v>3788</v>
      </c>
      <c r="E5512" s="39">
        <v>43764</v>
      </c>
      <c r="F5512" s="40" t="s">
        <v>242</v>
      </c>
      <c r="G5512" s="12"/>
      <c r="H5512" s="12"/>
      <c r="J5512" s="41">
        <f ca="1">ROUNDDOWN(表3[[#This Row],[日期]]-TODAY(),1)</f>
        <v>-13</v>
      </c>
    </row>
    <row r="5513" spans="1:10" hidden="1" x14ac:dyDescent="0.2">
      <c r="A5513" s="4" t="s">
        <v>3269</v>
      </c>
      <c r="B5513" s="37">
        <v>43764</v>
      </c>
      <c r="C5513" s="12">
        <v>1</v>
      </c>
      <c r="D5513" s="38" t="s">
        <v>364</v>
      </c>
      <c r="E5513" s="39">
        <v>43749</v>
      </c>
      <c r="F5513" s="40" t="s">
        <v>3260</v>
      </c>
      <c r="G5513" s="12"/>
      <c r="H5513" s="12"/>
      <c r="J5513" s="41">
        <f ca="1">ROUNDDOWN(表3[[#This Row],[日期]]-TODAY(),1)</f>
        <v>-28</v>
      </c>
    </row>
    <row r="5514" spans="1:10" hidden="1" x14ac:dyDescent="0.2">
      <c r="A5514" s="4" t="s">
        <v>3269</v>
      </c>
      <c r="B5514" s="37">
        <v>43764</v>
      </c>
      <c r="C5514" s="12">
        <v>2</v>
      </c>
      <c r="D5514" s="38" t="s">
        <v>863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-23</v>
      </c>
    </row>
    <row r="5515" spans="1:10" hidden="1" x14ac:dyDescent="0.2">
      <c r="A5515" s="4" t="s">
        <v>3269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-23</v>
      </c>
    </row>
    <row r="5516" spans="1:10" hidden="1" x14ac:dyDescent="0.2">
      <c r="A5516" s="4" t="s">
        <v>3269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3527</v>
      </c>
      <c r="G5516" s="12"/>
      <c r="H5516" s="12"/>
      <c r="I5516" s="4" t="s">
        <v>131</v>
      </c>
      <c r="J5516" s="41">
        <f ca="1">ROUNDDOWN(表3[[#This Row],[日期]]-TODAY(),1)</f>
        <v>-21</v>
      </c>
    </row>
    <row r="5517" spans="1:10" hidden="1" x14ac:dyDescent="0.2">
      <c r="A5517" s="4" t="s">
        <v>3269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3527</v>
      </c>
      <c r="G5517" s="12"/>
      <c r="H5517" s="12"/>
      <c r="J5517" s="41">
        <f ca="1">ROUNDDOWN(表3[[#This Row],[日期]]-TODAY(),1)</f>
        <v>-20</v>
      </c>
    </row>
    <row r="5518" spans="1:10" hidden="1" x14ac:dyDescent="0.2">
      <c r="A5518" s="4" t="s">
        <v>3269</v>
      </c>
      <c r="B5518" s="37">
        <v>43764</v>
      </c>
      <c r="C5518" s="12">
        <v>6</v>
      </c>
      <c r="D5518" s="38" t="s">
        <v>864</v>
      </c>
      <c r="E5518" s="39">
        <v>43757</v>
      </c>
      <c r="F5518" s="40" t="s">
        <v>3527</v>
      </c>
      <c r="G5518" s="12"/>
      <c r="H5518" s="12"/>
      <c r="J5518" s="41">
        <f ca="1">ROUNDDOWN(表3[[#This Row],[日期]]-TODAY(),1)</f>
        <v>-20</v>
      </c>
    </row>
    <row r="5519" spans="1:10" hidden="1" x14ac:dyDescent="0.2">
      <c r="A5519" s="4" t="s">
        <v>3269</v>
      </c>
      <c r="B5519" s="37">
        <v>43764</v>
      </c>
      <c r="C5519" s="12">
        <v>7</v>
      </c>
      <c r="D5519" s="38" t="s">
        <v>3595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-17</v>
      </c>
    </row>
    <row r="5520" spans="1:10" hidden="1" x14ac:dyDescent="0.2">
      <c r="A5520" s="4" t="s">
        <v>3269</v>
      </c>
      <c r="B5520" s="37">
        <v>43764</v>
      </c>
      <c r="C5520" s="12">
        <v>8</v>
      </c>
      <c r="D5520" s="38" t="s">
        <v>307</v>
      </c>
      <c r="E5520" s="39">
        <v>43757</v>
      </c>
      <c r="F5520" s="40" t="s">
        <v>3527</v>
      </c>
      <c r="G5520" s="12"/>
      <c r="H5520" s="12"/>
      <c r="I5520" s="4" t="s">
        <v>137</v>
      </c>
      <c r="J5520" s="41">
        <f ca="1">ROUNDDOWN(表3[[#This Row],[日期]]-TODAY(),1)</f>
        <v>-20</v>
      </c>
    </row>
    <row r="5521" spans="1:10" hidden="1" x14ac:dyDescent="0.2">
      <c r="A5521" s="4" t="s">
        <v>3269</v>
      </c>
      <c r="B5521" s="37">
        <v>43764</v>
      </c>
      <c r="C5521" s="12">
        <v>9</v>
      </c>
      <c r="D5521" s="38" t="s">
        <v>3591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-17</v>
      </c>
    </row>
    <row r="5522" spans="1:10" hidden="1" x14ac:dyDescent="0.2">
      <c r="A5522" s="4" t="s">
        <v>3269</v>
      </c>
      <c r="B5522" s="37">
        <v>43764</v>
      </c>
      <c r="C5522" s="12">
        <v>10</v>
      </c>
      <c r="D5522" s="38" t="s">
        <v>2622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-18</v>
      </c>
    </row>
    <row r="5523" spans="1:10" hidden="1" x14ac:dyDescent="0.2">
      <c r="A5523" s="4" t="s">
        <v>3269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-17</v>
      </c>
    </row>
    <row r="5524" spans="1:10" hidden="1" x14ac:dyDescent="0.2">
      <c r="A5524" s="4" t="s">
        <v>3269</v>
      </c>
      <c r="B5524" s="37">
        <v>43764</v>
      </c>
      <c r="C5524" s="12">
        <v>12</v>
      </c>
      <c r="D5524" s="38" t="s">
        <v>309</v>
      </c>
      <c r="E5524" s="39">
        <v>43760</v>
      </c>
      <c r="F5524" s="40" t="s">
        <v>242</v>
      </c>
      <c r="G5524" s="12"/>
      <c r="H5524" s="12"/>
      <c r="I5524" s="4" t="s">
        <v>310</v>
      </c>
      <c r="J5524" s="41">
        <f ca="1">ROUNDDOWN(表3[[#This Row],[日期]]-TODAY(),1)</f>
        <v>-17</v>
      </c>
    </row>
    <row r="5525" spans="1:10" hidden="1" x14ac:dyDescent="0.2">
      <c r="A5525" s="4" t="s">
        <v>3269</v>
      </c>
      <c r="B5525" s="37">
        <v>43764</v>
      </c>
      <c r="C5525" s="12">
        <v>13</v>
      </c>
      <c r="D5525" s="38" t="s">
        <v>2572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-23</v>
      </c>
    </row>
    <row r="5526" spans="1:10" hidden="1" x14ac:dyDescent="0.2">
      <c r="A5526" s="4" t="s">
        <v>3269</v>
      </c>
      <c r="B5526" s="37">
        <v>43764</v>
      </c>
      <c r="C5526" s="12">
        <v>14</v>
      </c>
      <c r="D5526" s="38" t="s">
        <v>3618</v>
      </c>
      <c r="E5526" s="39">
        <v>43760</v>
      </c>
      <c r="F5526" s="40" t="s">
        <v>242</v>
      </c>
      <c r="G5526" s="12"/>
      <c r="H5526" s="12"/>
      <c r="I5526" s="4" t="s">
        <v>310</v>
      </c>
      <c r="J5526" s="41">
        <f ca="1">ROUNDDOWN(表3[[#This Row],[日期]]-TODAY(),1)</f>
        <v>-17</v>
      </c>
    </row>
    <row r="5527" spans="1:10" hidden="1" x14ac:dyDescent="0.2">
      <c r="A5527" s="4" t="s">
        <v>3269</v>
      </c>
      <c r="B5527" s="37">
        <v>43764</v>
      </c>
      <c r="C5527" s="12">
        <v>18</v>
      </c>
      <c r="D5527" s="38" t="s">
        <v>273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-13</v>
      </c>
    </row>
    <row r="5528" spans="1:10" hidden="1" x14ac:dyDescent="0.2">
      <c r="A5528" s="4" t="s">
        <v>3269</v>
      </c>
      <c r="B5528" s="37">
        <v>43764</v>
      </c>
      <c r="C5528" s="12">
        <v>19</v>
      </c>
      <c r="D5528" s="38" t="s">
        <v>275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-13</v>
      </c>
    </row>
    <row r="5529" spans="1:10" hidden="1" x14ac:dyDescent="0.2">
      <c r="A5529" s="4" t="s">
        <v>3269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-12</v>
      </c>
    </row>
    <row r="5530" spans="1:10" hidden="1" x14ac:dyDescent="0.2">
      <c r="A5530" s="4" t="s">
        <v>3269</v>
      </c>
      <c r="B5530" s="37">
        <v>43764</v>
      </c>
      <c r="C5530" s="12">
        <v>21</v>
      </c>
      <c r="D5530" s="38" t="s">
        <v>1387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-12</v>
      </c>
    </row>
    <row r="5531" spans="1:10" hidden="1" x14ac:dyDescent="0.2">
      <c r="A5531" s="4" t="s">
        <v>3269</v>
      </c>
      <c r="B5531" s="37">
        <v>43764</v>
      </c>
      <c r="C5531" s="12">
        <v>22</v>
      </c>
      <c r="D5531" s="38" t="s">
        <v>305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-12</v>
      </c>
    </row>
    <row r="5532" spans="1:10" hidden="1" x14ac:dyDescent="0.2">
      <c r="A5532" s="4" t="s">
        <v>1371</v>
      </c>
      <c r="B5532" s="37">
        <v>43766</v>
      </c>
      <c r="C5532" s="12">
        <v>0</v>
      </c>
      <c r="D5532" s="38" t="s">
        <v>3299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-26</v>
      </c>
    </row>
    <row r="5533" spans="1:10" hidden="1" x14ac:dyDescent="0.2">
      <c r="A5533" s="4" t="s">
        <v>1371</v>
      </c>
      <c r="B5533" s="37">
        <v>43766</v>
      </c>
      <c r="C5533" s="12">
        <v>1</v>
      </c>
      <c r="D5533" s="38" t="s">
        <v>3378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-25</v>
      </c>
    </row>
    <row r="5534" spans="1:10" hidden="1" x14ac:dyDescent="0.2">
      <c r="A5534" s="4" t="s">
        <v>1371</v>
      </c>
      <c r="B5534" s="37">
        <v>43766</v>
      </c>
      <c r="C5534" s="12">
        <v>2</v>
      </c>
      <c r="D5534" s="38" t="s">
        <v>3658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-15</v>
      </c>
    </row>
    <row r="5535" spans="1:10" hidden="1" x14ac:dyDescent="0.2">
      <c r="A5535" s="4" t="s">
        <v>1371</v>
      </c>
      <c r="B5535" s="37">
        <v>43766</v>
      </c>
      <c r="C5535" s="12">
        <v>3</v>
      </c>
      <c r="D5535" s="38" t="s">
        <v>3659</v>
      </c>
      <c r="E5535" s="39">
        <v>43762</v>
      </c>
      <c r="F5535" s="40" t="s">
        <v>242</v>
      </c>
      <c r="G5535" s="12"/>
      <c r="H5535" s="12"/>
      <c r="I5535" s="4" t="s">
        <v>3303</v>
      </c>
      <c r="J5535" s="41">
        <f ca="1">ROUNDDOWN(表3[[#This Row],[日期]]-TODAY(),1)</f>
        <v>-15</v>
      </c>
    </row>
    <row r="5536" spans="1:10" hidden="1" x14ac:dyDescent="0.2">
      <c r="A5536" s="4" t="s">
        <v>1371</v>
      </c>
      <c r="B5536" s="37">
        <v>43766</v>
      </c>
      <c r="C5536" s="12">
        <v>4</v>
      </c>
      <c r="D5536" s="38" t="s">
        <v>3305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-15</v>
      </c>
    </row>
    <row r="5537" spans="1:10" hidden="1" x14ac:dyDescent="0.2">
      <c r="A5537" s="4" t="s">
        <v>1371</v>
      </c>
      <c r="B5537" s="37">
        <v>43766</v>
      </c>
      <c r="C5537" s="12">
        <v>5</v>
      </c>
      <c r="D5537" s="38" t="s">
        <v>3309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-14</v>
      </c>
    </row>
    <row r="5538" spans="1:10" hidden="1" x14ac:dyDescent="0.2">
      <c r="A5538" s="4" t="s">
        <v>1371</v>
      </c>
      <c r="B5538" s="37">
        <v>43766</v>
      </c>
      <c r="C5538" s="12">
        <v>6</v>
      </c>
      <c r="D5538" s="38" t="s">
        <v>3861</v>
      </c>
      <c r="E5538" s="39">
        <v>43774</v>
      </c>
      <c r="F5538" s="40" t="s">
        <v>242</v>
      </c>
      <c r="G5538" s="12"/>
      <c r="H5538" s="12"/>
      <c r="I5538" s="4" t="s">
        <v>3765</v>
      </c>
      <c r="J5538" s="41">
        <f ca="1">ROUNDDOWN(表3[[#This Row],[日期]]-TODAY(),1)</f>
        <v>-3</v>
      </c>
    </row>
    <row r="5539" spans="1:10" hidden="1" x14ac:dyDescent="0.2">
      <c r="A5539" s="4" t="s">
        <v>1371</v>
      </c>
      <c r="B5539" s="37">
        <v>43766</v>
      </c>
      <c r="C5539" s="12">
        <v>7</v>
      </c>
      <c r="D5539" s="38" t="s">
        <v>3315</v>
      </c>
      <c r="E5539" s="39">
        <v>43777</v>
      </c>
      <c r="F5539" s="40" t="s">
        <v>242</v>
      </c>
      <c r="G5539" s="12"/>
      <c r="H5539" s="12"/>
      <c r="I5539" s="4" t="s">
        <v>3765</v>
      </c>
      <c r="J5539" s="41">
        <f ca="1">ROUNDDOWN(表3[[#This Row],[日期]]-TODAY(),1)</f>
        <v>0</v>
      </c>
    </row>
    <row r="5540" spans="1:10" hidden="1" x14ac:dyDescent="0.2">
      <c r="A5540" s="4" t="s">
        <v>702</v>
      </c>
      <c r="B5540" s="37">
        <v>43766</v>
      </c>
      <c r="C5540" s="12">
        <v>1</v>
      </c>
      <c r="D5540" s="38" t="s">
        <v>3270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-30</v>
      </c>
    </row>
    <row r="5541" spans="1:10" hidden="1" x14ac:dyDescent="0.2">
      <c r="A5541" s="4" t="s">
        <v>702</v>
      </c>
      <c r="B5541" s="37">
        <v>43766</v>
      </c>
      <c r="C5541" s="12">
        <v>2</v>
      </c>
      <c r="D5541" s="38" t="s">
        <v>3229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-28</v>
      </c>
    </row>
    <row r="5542" spans="1:10" hidden="1" x14ac:dyDescent="0.2">
      <c r="A5542" s="4" t="s">
        <v>702</v>
      </c>
      <c r="B5542" s="37">
        <v>43766</v>
      </c>
      <c r="C5542" s="12">
        <v>3</v>
      </c>
      <c r="D5542" s="38" t="s">
        <v>3516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-16</v>
      </c>
    </row>
    <row r="5543" spans="1:10" hidden="1" x14ac:dyDescent="0.2">
      <c r="A5543" s="4" t="s">
        <v>702</v>
      </c>
      <c r="B5543" s="37">
        <v>43766</v>
      </c>
      <c r="C5543" s="12">
        <v>4</v>
      </c>
      <c r="D5543" s="38" t="s">
        <v>3619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-16</v>
      </c>
    </row>
    <row r="5544" spans="1:10" hidden="1" x14ac:dyDescent="0.2">
      <c r="A5544" s="4" t="s">
        <v>702</v>
      </c>
      <c r="B5544" s="37">
        <v>43766</v>
      </c>
      <c r="C5544" s="12">
        <v>5</v>
      </c>
      <c r="D5544" s="38" t="s">
        <v>3227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-16</v>
      </c>
    </row>
    <row r="5545" spans="1:10" hidden="1" x14ac:dyDescent="0.2">
      <c r="A5545" s="4" t="s">
        <v>702</v>
      </c>
      <c r="B5545" s="37">
        <v>43766</v>
      </c>
      <c r="C5545" s="12">
        <v>6</v>
      </c>
      <c r="D5545" s="38" t="s">
        <v>3221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-16</v>
      </c>
    </row>
    <row r="5546" spans="1:10" hidden="1" x14ac:dyDescent="0.2">
      <c r="A5546" s="4" t="s">
        <v>702</v>
      </c>
      <c r="B5546" s="37">
        <v>43766</v>
      </c>
      <c r="C5546" s="12">
        <v>7</v>
      </c>
      <c r="D5546" s="38" t="s">
        <v>3228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-16</v>
      </c>
    </row>
    <row r="5547" spans="1:10" hidden="1" x14ac:dyDescent="0.2">
      <c r="A5547" s="4" t="s">
        <v>702</v>
      </c>
      <c r="B5547" s="37">
        <v>43766</v>
      </c>
      <c r="C5547" s="12">
        <v>8</v>
      </c>
      <c r="D5547" s="38" t="s">
        <v>3626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-16</v>
      </c>
    </row>
    <row r="5548" spans="1:10" hidden="1" x14ac:dyDescent="0.2">
      <c r="A5548" s="4" t="s">
        <v>702</v>
      </c>
      <c r="B5548" s="37">
        <v>43766</v>
      </c>
      <c r="C5548" s="12">
        <v>9</v>
      </c>
      <c r="D5548" s="38" t="s">
        <v>3831</v>
      </c>
      <c r="E5548" s="39">
        <v>43773</v>
      </c>
      <c r="F5548" s="40" t="s">
        <v>242</v>
      </c>
      <c r="G5548" s="12"/>
      <c r="H5548" s="12"/>
      <c r="I5548" s="4" t="s">
        <v>3765</v>
      </c>
      <c r="J5548" s="41">
        <f ca="1">ROUNDDOWN(表3[[#This Row],[日期]]-TODAY(),1)</f>
        <v>-4</v>
      </c>
    </row>
    <row r="5549" spans="1:10" hidden="1" x14ac:dyDescent="0.2">
      <c r="A5549" s="4" t="s">
        <v>702</v>
      </c>
      <c r="B5549" s="37">
        <v>43766</v>
      </c>
      <c r="C5549" s="12">
        <v>10</v>
      </c>
      <c r="D5549" s="38" t="s">
        <v>3746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-10</v>
      </c>
    </row>
    <row r="5550" spans="1:10" hidden="1" x14ac:dyDescent="0.2">
      <c r="A5550" s="4" t="s">
        <v>702</v>
      </c>
      <c r="B5550" s="37">
        <v>43766</v>
      </c>
      <c r="C5550" s="12">
        <v>11</v>
      </c>
      <c r="D5550" s="38" t="s">
        <v>277</v>
      </c>
      <c r="E5550" s="39">
        <v>43774</v>
      </c>
      <c r="F5550" s="40" t="s">
        <v>242</v>
      </c>
      <c r="G5550" s="12"/>
      <c r="H5550" s="12"/>
      <c r="I5550" s="4" t="s">
        <v>3765</v>
      </c>
      <c r="J5550" s="41">
        <f ca="1">ROUNDDOWN(表3[[#This Row],[日期]]-TODAY(),1)</f>
        <v>-3</v>
      </c>
    </row>
    <row r="5551" spans="1:10" hidden="1" x14ac:dyDescent="0.2">
      <c r="A5551" s="4" t="s">
        <v>702</v>
      </c>
      <c r="B5551" s="37">
        <v>43766</v>
      </c>
      <c r="C5551" s="12">
        <v>12</v>
      </c>
      <c r="D5551" s="38" t="s">
        <v>3932</v>
      </c>
      <c r="E5551" s="39">
        <v>43777</v>
      </c>
      <c r="F5551" s="40" t="s">
        <v>242</v>
      </c>
      <c r="G5551" s="12"/>
      <c r="H5551" s="12"/>
      <c r="I5551" s="4" t="s">
        <v>3765</v>
      </c>
      <c r="J5551" s="41">
        <f ca="1">ROUNDDOWN(表3[[#This Row],[日期]]-TODAY(),1)</f>
        <v>0</v>
      </c>
    </row>
    <row r="5552" spans="1:10" hidden="1" x14ac:dyDescent="0.2">
      <c r="A5552" s="4" t="s">
        <v>702</v>
      </c>
      <c r="B5552" s="37">
        <v>43766</v>
      </c>
      <c r="C5552" s="12"/>
      <c r="D5552" s="38" t="s">
        <v>3630</v>
      </c>
      <c r="E5552" s="39">
        <v>43762</v>
      </c>
      <c r="F5552" s="40" t="s">
        <v>1184</v>
      </c>
      <c r="G5552" s="12"/>
      <c r="H5552" s="12"/>
      <c r="J5552" s="41">
        <f ca="1">ROUNDDOWN(表3[[#This Row],[日期]]-TODAY(),1)</f>
        <v>-15</v>
      </c>
    </row>
    <row r="5553" spans="1:10" hidden="1" x14ac:dyDescent="0.2">
      <c r="A5553" s="4" t="s">
        <v>702</v>
      </c>
      <c r="B5553" s="37">
        <v>43766</v>
      </c>
      <c r="C5553" s="12"/>
      <c r="D5553" s="38" t="s">
        <v>3666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-15</v>
      </c>
    </row>
    <row r="5554" spans="1:10" hidden="1" x14ac:dyDescent="0.2">
      <c r="A5554" s="4" t="s">
        <v>2844</v>
      </c>
      <c r="B5554" s="37">
        <v>43766</v>
      </c>
      <c r="C5554" s="12">
        <v>0</v>
      </c>
      <c r="D5554" s="38" t="s">
        <v>3347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-10</v>
      </c>
    </row>
    <row r="5555" spans="1:10" hidden="1" x14ac:dyDescent="0.2">
      <c r="A5555" s="4" t="s">
        <v>2844</v>
      </c>
      <c r="B5555" s="37">
        <v>43766</v>
      </c>
      <c r="C5555" s="12">
        <v>1</v>
      </c>
      <c r="D5555" s="38" t="s">
        <v>3534</v>
      </c>
      <c r="E5555" s="39">
        <v>43769</v>
      </c>
      <c r="F5555" s="40" t="s">
        <v>242</v>
      </c>
      <c r="G5555" s="12"/>
      <c r="H5555" s="12"/>
      <c r="I5555" s="4" t="s">
        <v>220</v>
      </c>
      <c r="J5555" s="41">
        <f ca="1">ROUNDDOWN(表3[[#This Row],[日期]]-TODAY(),1)</f>
        <v>-8</v>
      </c>
    </row>
    <row r="5556" spans="1:10" hidden="1" x14ac:dyDescent="0.2">
      <c r="A5556" s="4" t="s">
        <v>2844</v>
      </c>
      <c r="B5556" s="37">
        <v>43766</v>
      </c>
      <c r="C5556" s="12">
        <v>2</v>
      </c>
      <c r="D5556" s="38" t="s">
        <v>3532</v>
      </c>
      <c r="E5556" s="39">
        <v>43771</v>
      </c>
      <c r="F5556" s="40" t="s">
        <v>242</v>
      </c>
      <c r="G5556" s="12"/>
      <c r="H5556" s="12"/>
      <c r="J5556" s="41">
        <f ca="1">ROUNDDOWN(表3[[#This Row],[日期]]-TODAY(),1)</f>
        <v>-6</v>
      </c>
    </row>
    <row r="5557" spans="1:10" hidden="1" x14ac:dyDescent="0.2">
      <c r="A5557" s="4" t="s">
        <v>3729</v>
      </c>
      <c r="B5557" s="37">
        <v>43766</v>
      </c>
      <c r="C5557" s="12"/>
      <c r="D5557" s="38" t="s">
        <v>3728</v>
      </c>
      <c r="E5557" s="39">
        <v>43775</v>
      </c>
      <c r="F5557" s="40" t="s">
        <v>242</v>
      </c>
      <c r="G5557" s="12"/>
      <c r="H5557" s="12"/>
      <c r="J5557" s="41">
        <f ca="1">ROUNDDOWN(表3[[#This Row],[日期]]-TODAY(),1)</f>
        <v>-2</v>
      </c>
    </row>
    <row r="5558" spans="1:10" hidden="1" x14ac:dyDescent="0.2">
      <c r="A5558" s="4" t="s">
        <v>3501</v>
      </c>
      <c r="B5558" s="37">
        <v>43768</v>
      </c>
      <c r="C5558" s="12">
        <v>1</v>
      </c>
      <c r="D5558" s="38" t="s">
        <v>3500</v>
      </c>
      <c r="E5558" s="39">
        <v>43761</v>
      </c>
      <c r="F5558" s="40" t="s">
        <v>242</v>
      </c>
      <c r="G5558" s="12"/>
      <c r="H5558" s="12"/>
      <c r="J5558" s="41">
        <f ca="1">ROUNDDOWN(表3[[#This Row],[日期]]-TODAY(),1)</f>
        <v>-16</v>
      </c>
    </row>
    <row r="5559" spans="1:10" hidden="1" x14ac:dyDescent="0.2">
      <c r="A5559" s="4" t="s">
        <v>3501</v>
      </c>
      <c r="B5559" s="37">
        <v>43768</v>
      </c>
      <c r="C5559" s="12">
        <v>2</v>
      </c>
      <c r="D5559" s="38" t="s">
        <v>3499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-14</v>
      </c>
    </row>
    <row r="5560" spans="1:10" hidden="1" x14ac:dyDescent="0.2">
      <c r="A5560" s="4" t="s">
        <v>3501</v>
      </c>
      <c r="B5560" s="37">
        <v>43768</v>
      </c>
      <c r="C5560" s="12">
        <v>3</v>
      </c>
      <c r="D5560" s="38" t="s">
        <v>3436</v>
      </c>
      <c r="E5560" s="39">
        <v>43763</v>
      </c>
      <c r="F5560" s="40" t="s">
        <v>242</v>
      </c>
      <c r="G5560" s="12"/>
      <c r="H5560" s="12"/>
      <c r="J5560" s="41">
        <f ca="1">ROUNDDOWN(表3[[#This Row],[日期]]-TODAY(),1)</f>
        <v>-14</v>
      </c>
    </row>
    <row r="5561" spans="1:10" hidden="1" x14ac:dyDescent="0.2">
      <c r="A5561" s="4" t="s">
        <v>3501</v>
      </c>
      <c r="B5561" s="37">
        <v>43768</v>
      </c>
      <c r="C5561" s="12">
        <v>4</v>
      </c>
      <c r="D5561" s="38" t="s">
        <v>3723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-11</v>
      </c>
    </row>
    <row r="5562" spans="1:10" hidden="1" x14ac:dyDescent="0.2">
      <c r="A5562" s="4" t="s">
        <v>3501</v>
      </c>
      <c r="B5562" s="37">
        <v>43768</v>
      </c>
      <c r="C5562" s="12">
        <v>5</v>
      </c>
      <c r="D5562" s="38" t="s">
        <v>3734</v>
      </c>
      <c r="E5562" s="39">
        <v>43766</v>
      </c>
      <c r="F5562" s="40" t="s">
        <v>242</v>
      </c>
      <c r="G5562" s="12"/>
      <c r="H5562" s="12"/>
      <c r="J5562" s="41">
        <f ca="1">ROUNDDOWN(表3[[#This Row],[日期]]-TODAY(),1)</f>
        <v>-11</v>
      </c>
    </row>
    <row r="5563" spans="1:10" hidden="1" x14ac:dyDescent="0.2">
      <c r="A5563" s="4" t="s">
        <v>3501</v>
      </c>
      <c r="B5563" s="37">
        <v>43768</v>
      </c>
      <c r="C5563" s="12">
        <v>6</v>
      </c>
      <c r="D5563" s="38" t="s">
        <v>3442</v>
      </c>
      <c r="E5563" s="39">
        <v>43765</v>
      </c>
      <c r="F5563" s="40" t="s">
        <v>1184</v>
      </c>
      <c r="G5563" s="12"/>
      <c r="H5563" s="12"/>
      <c r="J5563" s="41">
        <f ca="1">ROUNDDOWN(表3[[#This Row],[日期]]-TODAY(),1)</f>
        <v>-12</v>
      </c>
    </row>
    <row r="5564" spans="1:10" hidden="1" x14ac:dyDescent="0.2">
      <c r="A5564" s="4" t="s">
        <v>3501</v>
      </c>
      <c r="B5564" s="37">
        <v>43768</v>
      </c>
      <c r="C5564" s="12">
        <v>7</v>
      </c>
      <c r="D5564" s="38" t="s">
        <v>3776</v>
      </c>
      <c r="E5564" s="39">
        <v>43769</v>
      </c>
      <c r="F5564" s="40" t="s">
        <v>242</v>
      </c>
      <c r="G5564" s="12"/>
      <c r="H5564" s="12"/>
      <c r="J5564" s="41">
        <f ca="1">ROUNDDOWN(表3[[#This Row],[日期]]-TODAY(),1)</f>
        <v>-8</v>
      </c>
    </row>
    <row r="5565" spans="1:10" hidden="1" x14ac:dyDescent="0.2">
      <c r="A5565" s="4" t="s">
        <v>3501</v>
      </c>
      <c r="B5565" s="37">
        <v>43768</v>
      </c>
      <c r="C5565" s="12">
        <v>8</v>
      </c>
      <c r="D5565" s="38" t="s">
        <v>3445</v>
      </c>
      <c r="E5565" s="39">
        <v>43767</v>
      </c>
      <c r="F5565" s="40" t="s">
        <v>242</v>
      </c>
      <c r="G5565" s="12"/>
      <c r="H5565" s="12"/>
      <c r="I5565" s="4" t="s">
        <v>3730</v>
      </c>
      <c r="J5565" s="41">
        <f ca="1">ROUNDDOWN(表3[[#This Row],[日期]]-TODAY(),1)</f>
        <v>-10</v>
      </c>
    </row>
    <row r="5566" spans="1:10" hidden="1" x14ac:dyDescent="0.2">
      <c r="A5566" s="4" t="s">
        <v>3707</v>
      </c>
      <c r="B5566" s="37">
        <v>43768</v>
      </c>
      <c r="C5566" s="12"/>
      <c r="D5566" s="38" t="s">
        <v>3706</v>
      </c>
      <c r="E5566" s="39">
        <v>43766</v>
      </c>
      <c r="F5566" s="40" t="s">
        <v>242</v>
      </c>
      <c r="G5566" s="12"/>
      <c r="H5566" s="12"/>
      <c r="J5566" s="41">
        <f ca="1">ROUNDDOWN(表3[[#This Row],[日期]]-TODAY(),1)</f>
        <v>-11</v>
      </c>
    </row>
    <row r="5567" spans="1:10" hidden="1" x14ac:dyDescent="0.2">
      <c r="A5567" s="4" t="s">
        <v>2</v>
      </c>
      <c r="B5567" s="37">
        <v>43768</v>
      </c>
      <c r="C5567" s="12">
        <v>1</v>
      </c>
      <c r="D5567" s="38" t="s">
        <v>3592</v>
      </c>
      <c r="E5567" s="39">
        <v>43760</v>
      </c>
      <c r="F5567" s="40" t="s">
        <v>242</v>
      </c>
      <c r="G5567" s="12"/>
      <c r="H5567" s="12"/>
      <c r="J5567" s="41">
        <f ca="1">ROUNDDOWN(表3[[#This Row],[日期]]-TODAY(),1)</f>
        <v>-17</v>
      </c>
    </row>
    <row r="5568" spans="1:10" hidden="1" x14ac:dyDescent="0.2">
      <c r="A5568" s="4" t="s">
        <v>2</v>
      </c>
      <c r="B5568" s="37">
        <v>43768</v>
      </c>
      <c r="C5568" s="12">
        <v>2</v>
      </c>
      <c r="D5568" s="38" t="s">
        <v>3587</v>
      </c>
      <c r="E5568" s="39">
        <v>43762</v>
      </c>
      <c r="F5568" s="40" t="s">
        <v>1184</v>
      </c>
      <c r="G5568" s="12"/>
      <c r="H5568" s="12"/>
      <c r="I5568" s="4" t="s">
        <v>3612</v>
      </c>
      <c r="J5568" s="41">
        <f ca="1">ROUNDDOWN(表3[[#This Row],[日期]]-TODAY(),1)</f>
        <v>-15</v>
      </c>
    </row>
    <row r="5569" spans="1:10" hidden="1" x14ac:dyDescent="0.2">
      <c r="A5569" s="4" t="s">
        <v>2</v>
      </c>
      <c r="B5569" s="37">
        <v>43768</v>
      </c>
      <c r="C5569" s="12">
        <v>3</v>
      </c>
      <c r="D5569" s="38" t="s">
        <v>3354</v>
      </c>
      <c r="E5569" s="39">
        <v>43763</v>
      </c>
      <c r="F5569" s="40" t="s">
        <v>1184</v>
      </c>
      <c r="G5569" s="12"/>
      <c r="H5569" s="12"/>
      <c r="J5569" s="41">
        <f ca="1">ROUNDDOWN(表3[[#This Row],[日期]]-TODAY(),1)</f>
        <v>-14</v>
      </c>
    </row>
    <row r="5570" spans="1:10" hidden="1" x14ac:dyDescent="0.2">
      <c r="A5570" s="4" t="s">
        <v>2</v>
      </c>
      <c r="B5570" s="37">
        <v>43768</v>
      </c>
      <c r="C5570" s="12">
        <v>4</v>
      </c>
      <c r="D5570" s="38" t="s">
        <v>3356</v>
      </c>
      <c r="E5570" s="39">
        <v>43763</v>
      </c>
      <c r="F5570" s="40" t="s">
        <v>1184</v>
      </c>
      <c r="G5570" s="12"/>
      <c r="H5570" s="12"/>
      <c r="J5570" s="41">
        <f ca="1">ROUNDDOWN(表3[[#This Row],[日期]]-TODAY(),1)</f>
        <v>-14</v>
      </c>
    </row>
    <row r="5571" spans="1:10" hidden="1" x14ac:dyDescent="0.2">
      <c r="A5571" s="4" t="s">
        <v>2</v>
      </c>
      <c r="B5571" s="37">
        <v>43768</v>
      </c>
      <c r="C5571" s="12">
        <v>5</v>
      </c>
      <c r="D5571" s="38" t="s">
        <v>3360</v>
      </c>
      <c r="E5571" s="39">
        <v>43763</v>
      </c>
      <c r="F5571" s="40" t="s">
        <v>1184</v>
      </c>
      <c r="G5571" s="12"/>
      <c r="H5571" s="12"/>
      <c r="J5571" s="41">
        <f ca="1">ROUNDDOWN(表3[[#This Row],[日期]]-TODAY(),1)</f>
        <v>-14</v>
      </c>
    </row>
    <row r="5572" spans="1:10" hidden="1" x14ac:dyDescent="0.2">
      <c r="A5572" s="4" t="s">
        <v>2</v>
      </c>
      <c r="B5572" s="37">
        <v>43768</v>
      </c>
      <c r="C5572" s="12">
        <v>6</v>
      </c>
      <c r="D5572" s="38" t="s">
        <v>3358</v>
      </c>
      <c r="E5572" s="39">
        <v>43763</v>
      </c>
      <c r="F5572" s="40" t="s">
        <v>1184</v>
      </c>
      <c r="G5572" s="12"/>
      <c r="H5572" s="12"/>
      <c r="J5572" s="41">
        <f ca="1">ROUNDDOWN(表3[[#This Row],[日期]]-TODAY(),1)</f>
        <v>-14</v>
      </c>
    </row>
    <row r="5573" spans="1:10" hidden="1" x14ac:dyDescent="0.2">
      <c r="A5573" s="4" t="s">
        <v>2</v>
      </c>
      <c r="B5573" s="37">
        <v>43768</v>
      </c>
      <c r="C5573" s="12">
        <v>7</v>
      </c>
      <c r="D5573" s="38" t="s">
        <v>3362</v>
      </c>
      <c r="E5573" s="39">
        <v>43763</v>
      </c>
      <c r="F5573" s="40" t="s">
        <v>1184</v>
      </c>
      <c r="G5573" s="12"/>
      <c r="H5573" s="12"/>
      <c r="J5573" s="41">
        <f ca="1">ROUNDDOWN(表3[[#This Row],[日期]]-TODAY(),1)</f>
        <v>-14</v>
      </c>
    </row>
    <row r="5574" spans="1:10" hidden="1" x14ac:dyDescent="0.2">
      <c r="A5574" s="4" t="s">
        <v>2</v>
      </c>
      <c r="B5574" s="37">
        <v>43768</v>
      </c>
      <c r="C5574" s="12">
        <v>8</v>
      </c>
      <c r="D5574" s="38" t="s">
        <v>3366</v>
      </c>
      <c r="E5574" s="39">
        <v>43763</v>
      </c>
      <c r="F5574" s="40" t="s">
        <v>1184</v>
      </c>
      <c r="G5574" s="12"/>
      <c r="H5574" s="12"/>
      <c r="J5574" s="41">
        <f ca="1">ROUNDDOWN(表3[[#This Row],[日期]]-TODAY(),1)</f>
        <v>-14</v>
      </c>
    </row>
    <row r="5575" spans="1:10" hidden="1" x14ac:dyDescent="0.2">
      <c r="A5575" s="4" t="s">
        <v>2</v>
      </c>
      <c r="B5575" s="37">
        <v>43768</v>
      </c>
      <c r="C5575" s="12">
        <v>9</v>
      </c>
      <c r="D5575" s="38" t="s">
        <v>3364</v>
      </c>
      <c r="E5575" s="39">
        <v>43764</v>
      </c>
      <c r="F5575" s="40" t="s">
        <v>1184</v>
      </c>
      <c r="G5575" s="12"/>
      <c r="H5575" s="12"/>
      <c r="J5575" s="41">
        <f ca="1">ROUNDDOWN(表3[[#This Row],[日期]]-TODAY(),1)</f>
        <v>-13</v>
      </c>
    </row>
    <row r="5576" spans="1:10" hidden="1" x14ac:dyDescent="0.2">
      <c r="A5576" s="4" t="s">
        <v>2</v>
      </c>
      <c r="B5576" s="37">
        <v>43768</v>
      </c>
      <c r="C5576" s="12">
        <v>10</v>
      </c>
      <c r="D5576" s="38" t="s">
        <v>3368</v>
      </c>
      <c r="E5576" s="39">
        <v>43764</v>
      </c>
      <c r="F5576" s="40" t="s">
        <v>1184</v>
      </c>
      <c r="G5576" s="12"/>
      <c r="H5576" s="12"/>
      <c r="J5576" s="41">
        <f ca="1">ROUNDDOWN(表3[[#This Row],[日期]]-TODAY(),1)</f>
        <v>-13</v>
      </c>
    </row>
    <row r="5577" spans="1:10" hidden="1" x14ac:dyDescent="0.2">
      <c r="A5577" s="4" t="s">
        <v>2</v>
      </c>
      <c r="B5577" s="37">
        <v>43768</v>
      </c>
      <c r="C5577" s="12">
        <v>11</v>
      </c>
      <c r="D5577" s="38" t="s">
        <v>3370</v>
      </c>
      <c r="E5577" s="39">
        <v>43768</v>
      </c>
      <c r="F5577" s="40" t="s">
        <v>1184</v>
      </c>
      <c r="G5577" s="12"/>
      <c r="H5577" s="12"/>
      <c r="J5577" s="41">
        <f ca="1">ROUNDDOWN(表3[[#This Row],[日期]]-TODAY(),1)</f>
        <v>-9</v>
      </c>
    </row>
    <row r="5578" spans="1:10" hidden="1" x14ac:dyDescent="0.2">
      <c r="A5578" s="4" t="s">
        <v>3498</v>
      </c>
      <c r="B5578" s="37">
        <v>43768</v>
      </c>
      <c r="C5578" s="12">
        <v>1</v>
      </c>
      <c r="D5578" s="38" t="s">
        <v>3642</v>
      </c>
      <c r="E5578" s="39">
        <v>43762</v>
      </c>
      <c r="F5578" s="40" t="s">
        <v>242</v>
      </c>
      <c r="G5578" s="12">
        <v>1</v>
      </c>
      <c r="H5578" s="12"/>
      <c r="J5578" s="41">
        <f ca="1">ROUNDDOWN(表3[[#This Row],[日期]]-TODAY(),1)</f>
        <v>-15</v>
      </c>
    </row>
    <row r="5579" spans="1:10" hidden="1" x14ac:dyDescent="0.2">
      <c r="A5579" s="4" t="s">
        <v>3498</v>
      </c>
      <c r="B5579" s="37">
        <v>43768</v>
      </c>
      <c r="C5579" s="12">
        <v>2</v>
      </c>
      <c r="D5579" s="38" t="s">
        <v>3499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-15</v>
      </c>
    </row>
    <row r="5580" spans="1:10" hidden="1" x14ac:dyDescent="0.2">
      <c r="A5580" s="4" t="s">
        <v>3498</v>
      </c>
      <c r="B5580" s="37">
        <v>43768</v>
      </c>
      <c r="C5580" s="12">
        <v>3</v>
      </c>
      <c r="D5580" s="38" t="s">
        <v>3436</v>
      </c>
      <c r="E5580" s="39">
        <v>43762</v>
      </c>
      <c r="F5580" s="40" t="s">
        <v>242</v>
      </c>
      <c r="G5580" s="12"/>
      <c r="H5580" s="12"/>
      <c r="J5580" s="41">
        <f ca="1">ROUNDDOWN(表3[[#This Row],[日期]]-TODAY(),1)</f>
        <v>-15</v>
      </c>
    </row>
    <row r="5581" spans="1:10" hidden="1" x14ac:dyDescent="0.2">
      <c r="A5581" s="4" t="s">
        <v>3498</v>
      </c>
      <c r="B5581" s="37">
        <v>43768</v>
      </c>
      <c r="C5581" s="12">
        <v>4</v>
      </c>
      <c r="D5581" s="38" t="s">
        <v>3681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-14</v>
      </c>
    </row>
    <row r="5582" spans="1:10" hidden="1" x14ac:dyDescent="0.2">
      <c r="A5582" s="4" t="s">
        <v>3498</v>
      </c>
      <c r="B5582" s="37">
        <v>43768</v>
      </c>
      <c r="C5582" s="12">
        <v>5</v>
      </c>
      <c r="D5582" s="38" t="s">
        <v>3440</v>
      </c>
      <c r="E5582" s="39">
        <v>43763</v>
      </c>
      <c r="F5582" s="40" t="s">
        <v>242</v>
      </c>
      <c r="G5582" s="12"/>
      <c r="H5582" s="12"/>
      <c r="J5582" s="41">
        <f ca="1">ROUNDDOWN(表3[[#This Row],[日期]]-TODAY(),1)</f>
        <v>-14</v>
      </c>
    </row>
    <row r="5583" spans="1:10" hidden="1" x14ac:dyDescent="0.2">
      <c r="A5583" s="4" t="s">
        <v>3498</v>
      </c>
      <c r="B5583" s="37">
        <v>43768</v>
      </c>
      <c r="C5583" s="12">
        <v>6</v>
      </c>
      <c r="D5583" s="38" t="s">
        <v>3698</v>
      </c>
      <c r="E5583" s="39">
        <v>43764</v>
      </c>
      <c r="F5583" s="40" t="s">
        <v>242</v>
      </c>
      <c r="G5583" s="12"/>
      <c r="H5583" s="12"/>
      <c r="J5583" s="41">
        <f ca="1">ROUNDDOWN(表3[[#This Row],[日期]]-TODAY(),1)</f>
        <v>-13</v>
      </c>
    </row>
    <row r="5584" spans="1:10" hidden="1" x14ac:dyDescent="0.2">
      <c r="A5584" s="4" t="s">
        <v>3498</v>
      </c>
      <c r="B5584" s="37">
        <v>43768</v>
      </c>
      <c r="C5584" s="12">
        <v>7</v>
      </c>
      <c r="D5584" s="38" t="s">
        <v>3774</v>
      </c>
      <c r="E5584" s="39">
        <v>43769</v>
      </c>
      <c r="F5584" s="40" t="s">
        <v>242</v>
      </c>
      <c r="G5584" s="12"/>
      <c r="H5584" s="12"/>
      <c r="J5584" s="41">
        <f ca="1">ROUNDDOWN(表3[[#This Row],[日期]]-TODAY(),1)</f>
        <v>-8</v>
      </c>
    </row>
    <row r="5585" spans="1:10" hidden="1" x14ac:dyDescent="0.2">
      <c r="A5585" s="4" t="s">
        <v>3498</v>
      </c>
      <c r="B5585" s="37">
        <v>43768</v>
      </c>
      <c r="C5585" s="12">
        <v>8</v>
      </c>
      <c r="D5585" s="38" t="s">
        <v>3445</v>
      </c>
      <c r="E5585" s="39">
        <v>43767</v>
      </c>
      <c r="F5585" s="40" t="s">
        <v>242</v>
      </c>
      <c r="G5585" s="12"/>
      <c r="H5585" s="12"/>
      <c r="J5585" s="41">
        <f ca="1">ROUNDDOWN(表3[[#This Row],[日期]]-TODAY(),1)</f>
        <v>-10</v>
      </c>
    </row>
    <row r="5586" spans="1:10" hidden="1" x14ac:dyDescent="0.2">
      <c r="A5586" s="4" t="s">
        <v>2</v>
      </c>
      <c r="B5586" s="37">
        <v>43770</v>
      </c>
      <c r="C5586" s="12">
        <v>1</v>
      </c>
      <c r="D5586" s="38" t="s">
        <v>3592</v>
      </c>
      <c r="E5586" s="39">
        <v>43760</v>
      </c>
      <c r="F5586" s="40" t="s">
        <v>242</v>
      </c>
      <c r="G5586" s="12"/>
      <c r="H5586" s="12"/>
      <c r="J5586" s="41">
        <f ca="1">ROUNDDOWN(表3[[#This Row],[日期]]-TODAY(),1)</f>
        <v>-17</v>
      </c>
    </row>
    <row r="5587" spans="1:10" hidden="1" x14ac:dyDescent="0.2">
      <c r="A5587" s="4" t="s">
        <v>2</v>
      </c>
      <c r="B5587" s="37">
        <v>43770</v>
      </c>
      <c r="C5587" s="12">
        <v>2</v>
      </c>
      <c r="D5587" s="38" t="s">
        <v>3743</v>
      </c>
      <c r="E5587" s="39">
        <v>43766</v>
      </c>
      <c r="F5587" s="40" t="s">
        <v>242</v>
      </c>
      <c r="G5587" s="12"/>
      <c r="H5587" s="12"/>
      <c r="J5587" s="41">
        <f ca="1">ROUNDDOWN(表3[[#This Row],[日期]]-TODAY(),1)</f>
        <v>-11</v>
      </c>
    </row>
    <row r="5588" spans="1:10" hidden="1" x14ac:dyDescent="0.2">
      <c r="A5588" s="4" t="s">
        <v>2</v>
      </c>
      <c r="B5588" s="37">
        <v>43770</v>
      </c>
      <c r="C5588" s="12">
        <v>3</v>
      </c>
      <c r="D5588" s="38" t="s">
        <v>3354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-10</v>
      </c>
    </row>
    <row r="5589" spans="1:10" hidden="1" x14ac:dyDescent="0.2">
      <c r="A5589" s="4" t="s">
        <v>2</v>
      </c>
      <c r="B5589" s="37">
        <v>43770</v>
      </c>
      <c r="C5589" s="12">
        <v>4</v>
      </c>
      <c r="D5589" s="38" t="s">
        <v>3768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-10</v>
      </c>
    </row>
    <row r="5590" spans="1:10" hidden="1" x14ac:dyDescent="0.2">
      <c r="A5590" s="4" t="s">
        <v>2</v>
      </c>
      <c r="B5590" s="37">
        <v>43770</v>
      </c>
      <c r="C5590" s="12">
        <v>5</v>
      </c>
      <c r="D5590" s="38" t="s">
        <v>3763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-10</v>
      </c>
    </row>
    <row r="5591" spans="1:10" hidden="1" x14ac:dyDescent="0.2">
      <c r="A5591" s="4" t="s">
        <v>2</v>
      </c>
      <c r="B5591" s="37">
        <v>43770</v>
      </c>
      <c r="C5591" s="12">
        <v>6</v>
      </c>
      <c r="D5591" s="38" t="s">
        <v>3358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-10</v>
      </c>
    </row>
    <row r="5592" spans="1:10" hidden="1" x14ac:dyDescent="0.2">
      <c r="A5592" s="4" t="s">
        <v>2</v>
      </c>
      <c r="B5592" s="37">
        <v>43770</v>
      </c>
      <c r="C5592" s="12">
        <v>7</v>
      </c>
      <c r="D5592" s="38" t="s">
        <v>3362</v>
      </c>
      <c r="E5592" s="39">
        <v>43767</v>
      </c>
      <c r="F5592" s="40" t="s">
        <v>242</v>
      </c>
      <c r="G5592" s="12"/>
      <c r="H5592" s="12"/>
      <c r="J5592" s="41">
        <f ca="1">ROUNDDOWN(表3[[#This Row],[日期]]-TODAY(),1)</f>
        <v>-10</v>
      </c>
    </row>
    <row r="5593" spans="1:10" hidden="1" x14ac:dyDescent="0.2">
      <c r="A5593" s="4" t="s">
        <v>2</v>
      </c>
      <c r="B5593" s="37">
        <v>43770</v>
      </c>
      <c r="C5593" s="12">
        <v>8</v>
      </c>
      <c r="D5593" s="38" t="s">
        <v>3775</v>
      </c>
      <c r="E5593" s="39">
        <v>43768</v>
      </c>
      <c r="F5593" s="40" t="s">
        <v>242</v>
      </c>
      <c r="G5593" s="12"/>
      <c r="H5593" s="12"/>
      <c r="J5593" s="41">
        <f ca="1">ROUNDDOWN(表3[[#This Row],[日期]]-TODAY(),1)</f>
        <v>-9</v>
      </c>
    </row>
    <row r="5594" spans="1:10" hidden="1" x14ac:dyDescent="0.2">
      <c r="A5594" s="4" t="s">
        <v>2</v>
      </c>
      <c r="B5594" s="37">
        <v>43770</v>
      </c>
      <c r="C5594" s="12">
        <v>9</v>
      </c>
      <c r="D5594" s="38" t="s">
        <v>3364</v>
      </c>
      <c r="E5594" s="39">
        <v>43766</v>
      </c>
      <c r="F5594" s="40" t="s">
        <v>1184</v>
      </c>
      <c r="G5594" s="12"/>
      <c r="H5594" s="12"/>
      <c r="J5594" s="41">
        <f ca="1">ROUNDDOWN(表3[[#This Row],[日期]]-TODAY(),1)</f>
        <v>-11</v>
      </c>
    </row>
    <row r="5595" spans="1:10" hidden="1" x14ac:dyDescent="0.2">
      <c r="A5595" s="4" t="s">
        <v>2</v>
      </c>
      <c r="B5595" s="37">
        <v>43770</v>
      </c>
      <c r="C5595" s="12">
        <v>10</v>
      </c>
      <c r="D5595" s="38" t="s">
        <v>3826</v>
      </c>
      <c r="E5595" s="39">
        <v>43771</v>
      </c>
      <c r="F5595" s="40" t="s">
        <v>242</v>
      </c>
      <c r="G5595" s="12"/>
      <c r="H5595" s="12"/>
      <c r="J5595" s="41">
        <f ca="1">ROUNDDOWN(表3[[#This Row],[日期]]-TODAY(),1)</f>
        <v>-6</v>
      </c>
    </row>
    <row r="5596" spans="1:10" hidden="1" x14ac:dyDescent="0.2">
      <c r="A5596" s="4" t="s">
        <v>2</v>
      </c>
      <c r="B5596" s="37">
        <v>43770</v>
      </c>
      <c r="C5596" s="12">
        <v>11</v>
      </c>
      <c r="D5596" s="38" t="s">
        <v>3370</v>
      </c>
      <c r="E5596" s="39">
        <v>43773</v>
      </c>
      <c r="F5596" s="40" t="s">
        <v>242</v>
      </c>
      <c r="G5596" s="12"/>
      <c r="H5596" s="12"/>
      <c r="J5596" s="41">
        <f ca="1">ROUNDDOWN(表3[[#This Row],[日期]]-TODAY(),1)</f>
        <v>-4</v>
      </c>
    </row>
    <row r="5597" spans="1:10" hidden="1" x14ac:dyDescent="0.2">
      <c r="A5597" s="4" t="s">
        <v>3337</v>
      </c>
      <c r="B5597" s="37">
        <v>43770</v>
      </c>
      <c r="C5597" s="12">
        <v>1</v>
      </c>
      <c r="D5597" s="38" t="s">
        <v>3724</v>
      </c>
      <c r="E5597" s="39">
        <v>43764</v>
      </c>
      <c r="F5597" s="40" t="s">
        <v>242</v>
      </c>
      <c r="G5597" s="12"/>
      <c r="H5597" s="12"/>
      <c r="I5597" s="4" t="s">
        <v>3319</v>
      </c>
      <c r="J5597" s="41">
        <f ca="1">ROUNDDOWN(表3[[#This Row],[日期]]-TODAY(),1)</f>
        <v>-13</v>
      </c>
    </row>
    <row r="5598" spans="1:10" hidden="1" x14ac:dyDescent="0.2">
      <c r="A5598" s="4" t="s">
        <v>3337</v>
      </c>
      <c r="B5598" s="37">
        <v>43770</v>
      </c>
      <c r="C5598" s="12">
        <v>2</v>
      </c>
      <c r="D5598" s="38" t="s">
        <v>3322</v>
      </c>
      <c r="E5598" s="39">
        <v>43764</v>
      </c>
      <c r="F5598" s="40" t="s">
        <v>242</v>
      </c>
      <c r="G5598" s="12"/>
      <c r="H5598" s="12"/>
      <c r="I5598" s="4" t="s">
        <v>3319</v>
      </c>
      <c r="J5598" s="41">
        <f ca="1">ROUNDDOWN(表3[[#This Row],[日期]]-TODAY(),1)</f>
        <v>-13</v>
      </c>
    </row>
    <row r="5599" spans="1:10" hidden="1" x14ac:dyDescent="0.2">
      <c r="A5599" s="4" t="s">
        <v>3337</v>
      </c>
      <c r="B5599" s="37">
        <v>43770</v>
      </c>
      <c r="C5599" s="12">
        <v>3</v>
      </c>
      <c r="D5599" s="38" t="s">
        <v>3727</v>
      </c>
      <c r="E5599" s="39">
        <v>43764</v>
      </c>
      <c r="F5599" s="40" t="s">
        <v>242</v>
      </c>
      <c r="G5599" s="12"/>
      <c r="H5599" s="12"/>
      <c r="I5599" s="4" t="s">
        <v>3319</v>
      </c>
      <c r="J5599" s="41">
        <f ca="1">ROUNDDOWN(表3[[#This Row],[日期]]-TODAY(),1)</f>
        <v>-13</v>
      </c>
    </row>
    <row r="5600" spans="1:10" hidden="1" x14ac:dyDescent="0.2">
      <c r="A5600" s="4" t="s">
        <v>3337</v>
      </c>
      <c r="B5600" s="37">
        <v>43770</v>
      </c>
      <c r="C5600" s="12">
        <v>4</v>
      </c>
      <c r="D5600" s="38" t="s">
        <v>738</v>
      </c>
      <c r="E5600" s="39">
        <v>43769</v>
      </c>
      <c r="F5600" s="40" t="s">
        <v>242</v>
      </c>
      <c r="G5600" s="12"/>
      <c r="H5600" s="12"/>
      <c r="J5600" s="41">
        <f ca="1">ROUNDDOWN(表3[[#This Row],[日期]]-TODAY(),1)</f>
        <v>-8</v>
      </c>
    </row>
    <row r="5601" spans="1:10" hidden="1" x14ac:dyDescent="0.2">
      <c r="A5601" s="4" t="s">
        <v>3337</v>
      </c>
      <c r="B5601" s="37">
        <v>43770</v>
      </c>
      <c r="C5601" s="12">
        <v>5</v>
      </c>
      <c r="D5601" s="38" t="s">
        <v>3862</v>
      </c>
      <c r="E5601" s="39">
        <v>43774</v>
      </c>
      <c r="F5601" s="40" t="s">
        <v>242</v>
      </c>
      <c r="G5601" s="12">
        <v>4</v>
      </c>
      <c r="H5601" s="12"/>
      <c r="J5601" s="41">
        <f ca="1">ROUNDDOWN(表3[[#This Row],[日期]]-TODAY(),1)</f>
        <v>-3</v>
      </c>
    </row>
    <row r="5602" spans="1:10" hidden="1" x14ac:dyDescent="0.2">
      <c r="A5602" s="4" t="s">
        <v>3337</v>
      </c>
      <c r="B5602" s="37">
        <v>43770</v>
      </c>
      <c r="C5602" s="12">
        <v>6</v>
      </c>
      <c r="D5602" s="38" t="s">
        <v>3338</v>
      </c>
      <c r="E5602" s="39">
        <v>43770</v>
      </c>
      <c r="F5602" s="40" t="s">
        <v>242</v>
      </c>
      <c r="G5602" s="12"/>
      <c r="H5602" s="12"/>
      <c r="I5602" s="4" t="s">
        <v>3674</v>
      </c>
      <c r="J5602" s="41">
        <f ca="1">ROUNDDOWN(表3[[#This Row],[日期]]-TODAY(),1)</f>
        <v>-7</v>
      </c>
    </row>
    <row r="5603" spans="1:10" hidden="1" x14ac:dyDescent="0.2">
      <c r="A5603" s="4" t="s">
        <v>3337</v>
      </c>
      <c r="B5603" s="37">
        <v>43770</v>
      </c>
      <c r="C5603" s="12">
        <v>7</v>
      </c>
      <c r="D5603" s="38" t="s">
        <v>3725</v>
      </c>
      <c r="E5603" s="39">
        <v>43773</v>
      </c>
      <c r="F5603" s="40" t="s">
        <v>242</v>
      </c>
      <c r="G5603" s="12"/>
      <c r="H5603" s="12"/>
      <c r="J5603" s="41">
        <f ca="1">ROUNDDOWN(表3[[#This Row],[日期]]-TODAY(),1)</f>
        <v>-4</v>
      </c>
    </row>
    <row r="5604" spans="1:10" hidden="1" x14ac:dyDescent="0.2">
      <c r="A5604" s="4" t="s">
        <v>3337</v>
      </c>
      <c r="B5604" s="37">
        <v>43770</v>
      </c>
      <c r="C5604" s="12">
        <v>8</v>
      </c>
      <c r="D5604" s="38" t="s">
        <v>3918</v>
      </c>
      <c r="E5604" s="39">
        <v>43776</v>
      </c>
      <c r="F5604" s="40" t="s">
        <v>242</v>
      </c>
      <c r="G5604" s="12">
        <v>4</v>
      </c>
      <c r="H5604" s="12"/>
      <c r="J5604" s="41">
        <f ca="1">ROUNDDOWN(表3[[#This Row],[日期]]-TODAY(),1)</f>
        <v>-1</v>
      </c>
    </row>
    <row r="5605" spans="1:10" hidden="1" x14ac:dyDescent="0.2">
      <c r="A5605" s="4" t="s">
        <v>3337</v>
      </c>
      <c r="B5605" s="37">
        <v>43770</v>
      </c>
      <c r="C5605" s="12">
        <v>9</v>
      </c>
      <c r="D5605" s="38" t="s">
        <v>738</v>
      </c>
      <c r="E5605" s="39">
        <v>43775</v>
      </c>
      <c r="F5605" s="40" t="s">
        <v>242</v>
      </c>
      <c r="G5605" s="12"/>
      <c r="H5605" s="12"/>
      <c r="J5605" s="41">
        <f ca="1">ROUNDDOWN(表3[[#This Row],[日期]]-TODAY(),1)</f>
        <v>-2</v>
      </c>
    </row>
    <row r="5606" spans="1:10" hidden="1" x14ac:dyDescent="0.2">
      <c r="A5606" s="4" t="s">
        <v>3337</v>
      </c>
      <c r="B5606" s="37">
        <v>43770</v>
      </c>
      <c r="C5606" s="12">
        <v>10</v>
      </c>
      <c r="D5606" s="38" t="s">
        <v>3675</v>
      </c>
      <c r="E5606" s="39">
        <v>43777</v>
      </c>
      <c r="F5606" s="40" t="s">
        <v>242</v>
      </c>
      <c r="G5606" s="12"/>
      <c r="H5606" s="12"/>
      <c r="I5606" s="4" t="s">
        <v>3676</v>
      </c>
      <c r="J5606" s="41">
        <f ca="1">ROUNDDOWN(表3[[#This Row],[日期]]-TODAY(),1)</f>
        <v>0</v>
      </c>
    </row>
    <row r="5607" spans="1:10" hidden="1" x14ac:dyDescent="0.2">
      <c r="A5607" s="4" t="s">
        <v>3337</v>
      </c>
      <c r="B5607" s="37">
        <v>43770</v>
      </c>
      <c r="C5607" s="12">
        <v>11</v>
      </c>
      <c r="D5607" s="38" t="s">
        <v>738</v>
      </c>
      <c r="E5607" s="39">
        <v>43777</v>
      </c>
      <c r="F5607" s="40" t="s">
        <v>242</v>
      </c>
      <c r="G5607" s="12"/>
      <c r="H5607" s="12"/>
      <c r="J5607" s="41">
        <f ca="1">ROUNDDOWN(表3[[#This Row],[日期]]-TODAY(),1)</f>
        <v>0</v>
      </c>
    </row>
    <row r="5608" spans="1:10" x14ac:dyDescent="0.2">
      <c r="A5608" s="4" t="s">
        <v>3337</v>
      </c>
      <c r="B5608" s="37">
        <v>43770</v>
      </c>
      <c r="C5608" s="12">
        <v>12</v>
      </c>
      <c r="D5608" s="38" t="s">
        <v>3956</v>
      </c>
      <c r="E5608" s="39">
        <v>43780</v>
      </c>
      <c r="F5608" s="40" t="s">
        <v>199</v>
      </c>
      <c r="G5608" s="12"/>
      <c r="H5608" s="12"/>
      <c r="J5608" s="41">
        <f ca="1">ROUNDDOWN(表3[[#This Row],[日期]]-TODAY(),1)</f>
        <v>3</v>
      </c>
    </row>
    <row r="5609" spans="1:10" hidden="1" x14ac:dyDescent="0.2">
      <c r="A5609" s="4" t="s">
        <v>3337</v>
      </c>
      <c r="B5609" s="37">
        <v>43770</v>
      </c>
      <c r="C5609" s="12">
        <v>13</v>
      </c>
      <c r="D5609" s="38" t="s">
        <v>3725</v>
      </c>
      <c r="E5609" s="39">
        <v>43780</v>
      </c>
      <c r="F5609" s="40" t="s">
        <v>199</v>
      </c>
      <c r="G5609" s="12"/>
      <c r="H5609" s="12"/>
      <c r="J5609" s="41">
        <f ca="1">ROUNDDOWN(表3[[#This Row],[日期]]-TODAY(),1)</f>
        <v>3</v>
      </c>
    </row>
    <row r="5610" spans="1:10" hidden="1" x14ac:dyDescent="0.2">
      <c r="A5610" s="4" t="s">
        <v>3337</v>
      </c>
      <c r="B5610" s="37">
        <v>43770</v>
      </c>
      <c r="C5610" s="12">
        <v>14</v>
      </c>
      <c r="D5610" s="38" t="s">
        <v>3917</v>
      </c>
      <c r="E5610" s="39">
        <v>43780</v>
      </c>
      <c r="F5610" s="40" t="s">
        <v>199</v>
      </c>
      <c r="G5610" s="12"/>
      <c r="H5610" s="12"/>
      <c r="J5610" s="41">
        <f ca="1">ROUNDDOWN(表3[[#This Row],[日期]]-TODAY(),1)</f>
        <v>3</v>
      </c>
    </row>
    <row r="5611" spans="1:10" hidden="1" x14ac:dyDescent="0.2">
      <c r="A5611" s="4" t="s">
        <v>3337</v>
      </c>
      <c r="B5611" s="37">
        <v>43770</v>
      </c>
      <c r="C5611" s="12">
        <v>15</v>
      </c>
      <c r="D5611" s="38" t="s">
        <v>738</v>
      </c>
      <c r="E5611" s="39">
        <v>43782</v>
      </c>
      <c r="F5611" s="40" t="s">
        <v>199</v>
      </c>
      <c r="G5611" s="12"/>
      <c r="H5611" s="12"/>
      <c r="J5611" s="41">
        <f ca="1">ROUNDDOWN(表3[[#This Row],[日期]]-TODAY(),1)</f>
        <v>5</v>
      </c>
    </row>
    <row r="5612" spans="1:10" hidden="1" x14ac:dyDescent="0.2">
      <c r="A5612" s="4" t="s">
        <v>3337</v>
      </c>
      <c r="B5612" s="37">
        <v>43770</v>
      </c>
      <c r="C5612" s="12">
        <v>16</v>
      </c>
      <c r="D5612" s="38" t="s">
        <v>738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7</v>
      </c>
    </row>
    <row r="5613" spans="1:10" hidden="1" x14ac:dyDescent="0.2">
      <c r="A5613" s="4" t="s">
        <v>3337</v>
      </c>
      <c r="B5613" s="37">
        <v>43770</v>
      </c>
      <c r="C5613" s="12">
        <v>17</v>
      </c>
      <c r="D5613" s="38" t="s">
        <v>3799</v>
      </c>
      <c r="E5613" s="39">
        <v>43781</v>
      </c>
      <c r="F5613" s="40" t="s">
        <v>199</v>
      </c>
      <c r="G5613" s="12"/>
      <c r="H5613" s="12"/>
      <c r="J5613" s="41">
        <f ca="1">ROUNDDOWN(表3[[#This Row],[日期]]-TODAY(),1)</f>
        <v>4</v>
      </c>
    </row>
    <row r="5614" spans="1:10" hidden="1" x14ac:dyDescent="0.2">
      <c r="A5614" s="4" t="s">
        <v>3337</v>
      </c>
      <c r="B5614" s="37">
        <v>43770</v>
      </c>
      <c r="C5614" s="12">
        <v>18</v>
      </c>
      <c r="D5614" s="38" t="s">
        <v>3725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10</v>
      </c>
    </row>
    <row r="5615" spans="1:10" hidden="1" x14ac:dyDescent="0.2">
      <c r="A5615" s="4" t="s">
        <v>3337</v>
      </c>
      <c r="B5615" s="37">
        <v>43770</v>
      </c>
      <c r="C5615" s="12">
        <v>19</v>
      </c>
      <c r="D5615" s="38" t="s">
        <v>3800</v>
      </c>
      <c r="E5615" s="39">
        <v>43783</v>
      </c>
      <c r="F5615" s="40" t="s">
        <v>199</v>
      </c>
      <c r="G5615" s="12"/>
      <c r="H5615" s="12"/>
      <c r="J5615" s="41">
        <f ca="1">ROUNDDOWN(表3[[#This Row],[日期]]-TODAY(),1)</f>
        <v>6</v>
      </c>
    </row>
    <row r="5616" spans="1:10" hidden="1" x14ac:dyDescent="0.2">
      <c r="A5616" s="4" t="s">
        <v>3337</v>
      </c>
      <c r="B5616" s="37">
        <v>43770</v>
      </c>
      <c r="C5616" s="12">
        <v>20</v>
      </c>
      <c r="D5616" s="38" t="s">
        <v>738</v>
      </c>
      <c r="E5616" s="39">
        <v>43789</v>
      </c>
      <c r="F5616" s="40" t="s">
        <v>199</v>
      </c>
      <c r="G5616" s="12"/>
      <c r="H5616" s="12"/>
      <c r="J5616" s="41">
        <f ca="1">ROUNDDOWN(表3[[#This Row],[日期]]-TODAY(),1)</f>
        <v>12</v>
      </c>
    </row>
    <row r="5617" spans="1:10" hidden="1" x14ac:dyDescent="0.2">
      <c r="A5617" s="4" t="s">
        <v>3337</v>
      </c>
      <c r="B5617" s="37">
        <v>43770</v>
      </c>
      <c r="C5617" s="12">
        <v>21</v>
      </c>
      <c r="D5617" s="38" t="s">
        <v>738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14</v>
      </c>
    </row>
    <row r="5618" spans="1:10" hidden="1" x14ac:dyDescent="0.2">
      <c r="A5618" s="4" t="s">
        <v>3337</v>
      </c>
      <c r="B5618" s="37">
        <v>43770</v>
      </c>
      <c r="C5618" s="12">
        <v>22</v>
      </c>
      <c r="D5618" s="38" t="s">
        <v>3801</v>
      </c>
      <c r="E5618" s="39">
        <v>43788</v>
      </c>
      <c r="F5618" s="40" t="s">
        <v>199</v>
      </c>
      <c r="G5618" s="12"/>
      <c r="H5618" s="12"/>
      <c r="J5618" s="41">
        <f ca="1">ROUNDDOWN(表3[[#This Row],[日期]]-TODAY(),1)</f>
        <v>11</v>
      </c>
    </row>
    <row r="5619" spans="1:10" hidden="1" x14ac:dyDescent="0.2">
      <c r="A5619" s="4" t="s">
        <v>3337</v>
      </c>
      <c r="B5619" s="37">
        <v>43770</v>
      </c>
      <c r="C5619" s="12">
        <v>23</v>
      </c>
      <c r="D5619" s="38" t="s">
        <v>3807</v>
      </c>
      <c r="E5619" s="39">
        <v>43792</v>
      </c>
      <c r="F5619" s="40" t="s">
        <v>199</v>
      </c>
      <c r="G5619" s="12"/>
      <c r="H5619" s="12"/>
      <c r="I5619" s="4" t="s">
        <v>3332</v>
      </c>
      <c r="J5619" s="41">
        <f ca="1">ROUNDDOWN(表3[[#This Row],[日期]]-TODAY(),1)</f>
        <v>15</v>
      </c>
    </row>
    <row r="5620" spans="1:10" hidden="1" x14ac:dyDescent="0.2">
      <c r="A5620" s="4" t="s">
        <v>3337</v>
      </c>
      <c r="B5620" s="37">
        <v>43770</v>
      </c>
      <c r="C5620" s="12">
        <v>24</v>
      </c>
      <c r="D5620" s="38" t="s">
        <v>3683</v>
      </c>
      <c r="E5620" s="39">
        <v>43792</v>
      </c>
      <c r="F5620" s="40" t="s">
        <v>199</v>
      </c>
      <c r="G5620" s="12"/>
      <c r="H5620" s="12"/>
      <c r="I5620" s="4" t="s">
        <v>3330</v>
      </c>
      <c r="J5620" s="41">
        <f ca="1">ROUNDDOWN(表3[[#This Row],[日期]]-TODAY(),1)</f>
        <v>15</v>
      </c>
    </row>
    <row r="5621" spans="1:10" hidden="1" x14ac:dyDescent="0.2">
      <c r="A5621" s="4" t="s">
        <v>3337</v>
      </c>
      <c r="B5621" s="37">
        <v>43770</v>
      </c>
      <c r="C5621" s="12">
        <v>25</v>
      </c>
      <c r="D5621" s="38" t="s">
        <v>3339</v>
      </c>
      <c r="E5621" s="39">
        <v>43792</v>
      </c>
      <c r="F5621" s="40" t="s">
        <v>199</v>
      </c>
      <c r="G5621" s="12"/>
      <c r="H5621" s="12"/>
      <c r="I5621" s="4" t="s">
        <v>3330</v>
      </c>
      <c r="J5621" s="41">
        <f ca="1">ROUNDDOWN(表3[[#This Row],[日期]]-TODAY(),1)</f>
        <v>15</v>
      </c>
    </row>
    <row r="5622" spans="1:10" hidden="1" x14ac:dyDescent="0.2">
      <c r="A5622" s="4" t="s">
        <v>3337</v>
      </c>
      <c r="B5622" s="37">
        <v>43770</v>
      </c>
      <c r="C5622" s="12">
        <v>26</v>
      </c>
      <c r="D5622" s="38" t="s">
        <v>3678</v>
      </c>
      <c r="E5622" s="39">
        <v>43792</v>
      </c>
      <c r="F5622" s="40" t="s">
        <v>199</v>
      </c>
      <c r="G5622" s="12"/>
      <c r="H5622" s="12"/>
      <c r="I5622" s="4" t="s">
        <v>219</v>
      </c>
      <c r="J5622" s="41">
        <f ca="1">ROUNDDOWN(表3[[#This Row],[日期]]-TODAY(),1)</f>
        <v>15</v>
      </c>
    </row>
    <row r="5623" spans="1:10" hidden="1" x14ac:dyDescent="0.2">
      <c r="A5623" s="4" t="s">
        <v>3337</v>
      </c>
      <c r="B5623" s="37">
        <v>43770</v>
      </c>
      <c r="C5623" s="12">
        <v>27</v>
      </c>
      <c r="D5623" s="38" t="s">
        <v>3726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17</v>
      </c>
    </row>
    <row r="5624" spans="1:10" hidden="1" x14ac:dyDescent="0.2">
      <c r="A5624" s="4" t="s">
        <v>3337</v>
      </c>
      <c r="B5624" s="37">
        <v>43770</v>
      </c>
      <c r="C5624" s="12">
        <v>28</v>
      </c>
      <c r="D5624" s="38" t="s">
        <v>3802</v>
      </c>
      <c r="E5624" s="39">
        <v>43790</v>
      </c>
      <c r="F5624" s="40" t="s">
        <v>199</v>
      </c>
      <c r="G5624" s="12"/>
      <c r="H5624" s="12"/>
      <c r="J5624" s="41">
        <f ca="1">ROUNDDOWN(表3[[#This Row],[日期]]-TODAY(),1)</f>
        <v>13</v>
      </c>
    </row>
    <row r="5625" spans="1:10" hidden="1" x14ac:dyDescent="0.2">
      <c r="A5625" s="4" t="s">
        <v>3337</v>
      </c>
      <c r="B5625" s="37">
        <v>43770</v>
      </c>
      <c r="C5625" s="12">
        <v>29</v>
      </c>
      <c r="D5625" s="38" t="s">
        <v>3334</v>
      </c>
      <c r="E5625" s="39">
        <v>43795</v>
      </c>
      <c r="F5625" s="40" t="s">
        <v>199</v>
      </c>
      <c r="G5625" s="12"/>
      <c r="H5625" s="12"/>
      <c r="I5625" s="4" t="s">
        <v>3330</v>
      </c>
      <c r="J5625" s="41">
        <f ca="1">ROUNDDOWN(表3[[#This Row],[日期]]-TODAY(),1)</f>
        <v>18</v>
      </c>
    </row>
    <row r="5626" spans="1:10" hidden="1" x14ac:dyDescent="0.2">
      <c r="A5626" s="4" t="s">
        <v>3337</v>
      </c>
      <c r="B5626" s="37">
        <v>43770</v>
      </c>
      <c r="C5626" s="12">
        <v>30</v>
      </c>
      <c r="D5626" s="38" t="s">
        <v>1157</v>
      </c>
      <c r="E5626" s="39">
        <v>43796</v>
      </c>
      <c r="F5626" s="40" t="s">
        <v>199</v>
      </c>
      <c r="G5626" s="12"/>
      <c r="H5626" s="12"/>
      <c r="I5626" s="4" t="s">
        <v>3677</v>
      </c>
      <c r="J5626" s="41">
        <f ca="1">ROUNDDOWN(表3[[#This Row],[日期]]-TODAY(),1)</f>
        <v>19</v>
      </c>
    </row>
    <row r="5627" spans="1:10" hidden="1" x14ac:dyDescent="0.2">
      <c r="A5627" s="4" t="s">
        <v>3337</v>
      </c>
      <c r="B5627" s="37">
        <v>43770</v>
      </c>
      <c r="C5627" s="12">
        <v>31</v>
      </c>
      <c r="D5627" s="38" t="s">
        <v>738</v>
      </c>
      <c r="E5627" s="39">
        <v>43796</v>
      </c>
      <c r="F5627" s="40" t="s">
        <v>199</v>
      </c>
      <c r="G5627" s="12"/>
      <c r="H5627" s="12"/>
      <c r="J5627" s="41">
        <f ca="1">ROUNDDOWN(表3[[#This Row],[日期]]-TODAY(),1)</f>
        <v>19</v>
      </c>
    </row>
    <row r="5628" spans="1:10" hidden="1" x14ac:dyDescent="0.2">
      <c r="A5628" s="4" t="s">
        <v>3337</v>
      </c>
      <c r="B5628" s="37">
        <v>43770</v>
      </c>
      <c r="C5628" s="12">
        <v>32</v>
      </c>
      <c r="D5628" s="38" t="s">
        <v>1980</v>
      </c>
      <c r="E5628" s="39">
        <v>43797</v>
      </c>
      <c r="F5628" s="40" t="s">
        <v>199</v>
      </c>
      <c r="G5628" s="12"/>
      <c r="H5628" s="12"/>
      <c r="I5628" s="4" t="s">
        <v>3677</v>
      </c>
      <c r="J5628" s="41">
        <f ca="1">ROUNDDOWN(表3[[#This Row],[日期]]-TODAY(),1)</f>
        <v>20</v>
      </c>
    </row>
    <row r="5629" spans="1:10" hidden="1" x14ac:dyDescent="0.2">
      <c r="A5629" s="4" t="s">
        <v>3337</v>
      </c>
      <c r="B5629" s="37">
        <v>43770</v>
      </c>
      <c r="C5629" s="12">
        <v>33</v>
      </c>
      <c r="D5629" s="38" t="s">
        <v>738</v>
      </c>
      <c r="E5629" s="39">
        <v>43798</v>
      </c>
      <c r="F5629" s="40" t="s">
        <v>199</v>
      </c>
      <c r="G5629" s="12"/>
      <c r="H5629" s="12"/>
      <c r="J5629" s="41">
        <f ca="1">ROUNDDOWN(表3[[#This Row],[日期]]-TODAY(),1)</f>
        <v>21</v>
      </c>
    </row>
    <row r="5630" spans="1:10" hidden="1" x14ac:dyDescent="0.2">
      <c r="A5630" s="4" t="s">
        <v>3780</v>
      </c>
      <c r="B5630" s="37">
        <v>43772</v>
      </c>
      <c r="C5630" s="12">
        <v>1</v>
      </c>
      <c r="D5630" s="38" t="s">
        <v>3783</v>
      </c>
      <c r="E5630" s="39">
        <v>43780</v>
      </c>
      <c r="F5630" s="40" t="s">
        <v>3782</v>
      </c>
      <c r="G5630" s="12"/>
      <c r="H5630" s="12"/>
      <c r="J5630" s="41">
        <f ca="1">ROUNDDOWN(表3[[#This Row],[日期]]-TODAY(),1)</f>
        <v>3</v>
      </c>
    </row>
    <row r="5631" spans="1:10" hidden="1" x14ac:dyDescent="0.2">
      <c r="A5631" s="4" t="s">
        <v>3780</v>
      </c>
      <c r="B5631" s="37">
        <v>43772</v>
      </c>
      <c r="C5631" s="12">
        <v>2</v>
      </c>
      <c r="D5631" s="38" t="s">
        <v>3810</v>
      </c>
      <c r="E5631" s="39">
        <v>43769</v>
      </c>
      <c r="F5631" s="40" t="s">
        <v>242</v>
      </c>
      <c r="G5631" s="12"/>
      <c r="H5631" s="12"/>
      <c r="J5631" s="41">
        <f ca="1">ROUNDDOWN(表3[[#This Row],[日期]]-TODAY(),1)</f>
        <v>-8</v>
      </c>
    </row>
    <row r="5632" spans="1:10" hidden="1" x14ac:dyDescent="0.2">
      <c r="A5632" s="4" t="s">
        <v>3780</v>
      </c>
      <c r="B5632" s="37">
        <v>43772</v>
      </c>
      <c r="C5632" s="12">
        <v>3</v>
      </c>
      <c r="D5632" s="38" t="s">
        <v>3857</v>
      </c>
      <c r="E5632" s="39">
        <v>43780</v>
      </c>
      <c r="F5632" s="40" t="s">
        <v>3782</v>
      </c>
      <c r="G5632" s="12"/>
      <c r="H5632" s="12"/>
      <c r="J5632" s="41">
        <f ca="1">ROUNDDOWN(表3[[#This Row],[日期]]-TODAY(),1)</f>
        <v>3</v>
      </c>
    </row>
    <row r="5633" spans="1:10" hidden="1" x14ac:dyDescent="0.2">
      <c r="A5633" s="4" t="s">
        <v>3780</v>
      </c>
      <c r="B5633" s="37">
        <v>43772</v>
      </c>
      <c r="C5633" s="12">
        <v>4</v>
      </c>
      <c r="D5633" s="38" t="s">
        <v>3856</v>
      </c>
      <c r="E5633" s="39">
        <v>43780</v>
      </c>
      <c r="F5633" s="40" t="s">
        <v>3782</v>
      </c>
      <c r="G5633" s="12"/>
      <c r="H5633" s="12"/>
      <c r="J5633" s="41">
        <f ca="1">ROUNDDOWN(表3[[#This Row],[日期]]-TODAY(),1)</f>
        <v>3</v>
      </c>
    </row>
    <row r="5634" spans="1:10" hidden="1" x14ac:dyDescent="0.2">
      <c r="A5634" s="4" t="s">
        <v>3780</v>
      </c>
      <c r="B5634" s="37">
        <v>43772</v>
      </c>
      <c r="C5634" s="12">
        <v>5</v>
      </c>
      <c r="D5634" s="38" t="s">
        <v>3884</v>
      </c>
      <c r="E5634" s="39">
        <v>43780</v>
      </c>
      <c r="F5634" s="40" t="s">
        <v>3782</v>
      </c>
      <c r="G5634" s="12"/>
      <c r="H5634" s="12"/>
      <c r="J5634" s="41">
        <f ca="1">ROUNDDOWN(表3[[#This Row],[日期]]-TODAY(),1)</f>
        <v>3</v>
      </c>
    </row>
    <row r="5635" spans="1:10" hidden="1" x14ac:dyDescent="0.2">
      <c r="A5635" s="4" t="s">
        <v>1371</v>
      </c>
      <c r="B5635" s="37">
        <v>43772</v>
      </c>
      <c r="C5635" s="12">
        <v>0</v>
      </c>
      <c r="D5635" s="38" t="s">
        <v>3299</v>
      </c>
      <c r="E5635" s="39">
        <v>43751</v>
      </c>
      <c r="F5635" s="40" t="s">
        <v>242</v>
      </c>
      <c r="G5635" s="12"/>
      <c r="H5635" s="12"/>
      <c r="J5635" s="41">
        <f ca="1">ROUNDDOWN(表3[[#This Row],[日期]]-TODAY(),1)</f>
        <v>-26</v>
      </c>
    </row>
    <row r="5636" spans="1:10" hidden="1" x14ac:dyDescent="0.2">
      <c r="A5636" s="4" t="s">
        <v>1371</v>
      </c>
      <c r="B5636" s="37">
        <v>43772</v>
      </c>
      <c r="C5636" s="12">
        <v>1</v>
      </c>
      <c r="D5636" s="38" t="s">
        <v>3378</v>
      </c>
      <c r="E5636" s="39">
        <v>43752</v>
      </c>
      <c r="F5636" s="40" t="s">
        <v>242</v>
      </c>
      <c r="G5636" s="12"/>
      <c r="H5636" s="12"/>
      <c r="J5636" s="41">
        <f ca="1">ROUNDDOWN(表3[[#This Row],[日期]]-TODAY(),1)</f>
        <v>-25</v>
      </c>
    </row>
    <row r="5637" spans="1:10" hidden="1" x14ac:dyDescent="0.2">
      <c r="A5637" s="4" t="s">
        <v>1371</v>
      </c>
      <c r="B5637" s="37">
        <v>43772</v>
      </c>
      <c r="C5637" s="12">
        <v>2</v>
      </c>
      <c r="D5637" s="38" t="s">
        <v>3301</v>
      </c>
      <c r="E5637" s="39">
        <v>43768</v>
      </c>
      <c r="F5637" s="40" t="s">
        <v>3764</v>
      </c>
      <c r="G5637" s="12"/>
      <c r="H5637" s="12"/>
      <c r="J5637" s="41">
        <f ca="1">ROUNDDOWN(表3[[#This Row],[日期]]-TODAY(),1)</f>
        <v>-9</v>
      </c>
    </row>
    <row r="5638" spans="1:10" hidden="1" x14ac:dyDescent="0.2">
      <c r="A5638" s="4" t="s">
        <v>1371</v>
      </c>
      <c r="B5638" s="37">
        <v>43772</v>
      </c>
      <c r="C5638" s="12">
        <v>3</v>
      </c>
      <c r="D5638" s="38" t="s">
        <v>3307</v>
      </c>
      <c r="E5638" s="39">
        <v>43769</v>
      </c>
      <c r="F5638" s="40" t="s">
        <v>3764</v>
      </c>
      <c r="G5638" s="12"/>
      <c r="H5638" s="12"/>
      <c r="I5638" s="4" t="s">
        <v>3303</v>
      </c>
      <c r="J5638" s="41">
        <f ca="1">ROUNDDOWN(表3[[#This Row],[日期]]-TODAY(),1)</f>
        <v>-8</v>
      </c>
    </row>
    <row r="5639" spans="1:10" hidden="1" x14ac:dyDescent="0.2">
      <c r="A5639" s="4" t="s">
        <v>1371</v>
      </c>
      <c r="B5639" s="37">
        <v>43772</v>
      </c>
      <c r="C5639" s="12">
        <v>4</v>
      </c>
      <c r="D5639" s="38" t="s">
        <v>3305</v>
      </c>
      <c r="E5639" s="39">
        <v>43769</v>
      </c>
      <c r="F5639" s="40" t="s">
        <v>3764</v>
      </c>
      <c r="G5639" s="12"/>
      <c r="H5639" s="12"/>
      <c r="J5639" s="41">
        <f ca="1">ROUNDDOWN(表3[[#This Row],[日期]]-TODAY(),1)</f>
        <v>-8</v>
      </c>
    </row>
    <row r="5640" spans="1:10" hidden="1" x14ac:dyDescent="0.2">
      <c r="A5640" s="4" t="s">
        <v>1371</v>
      </c>
      <c r="B5640" s="37">
        <v>43772</v>
      </c>
      <c r="C5640" s="12">
        <v>5</v>
      </c>
      <c r="D5640" s="38" t="s">
        <v>3309</v>
      </c>
      <c r="E5640" s="39">
        <v>43770</v>
      </c>
      <c r="F5640" s="40" t="s">
        <v>3764</v>
      </c>
      <c r="G5640" s="12"/>
      <c r="H5640" s="12"/>
      <c r="J5640" s="41">
        <f ca="1">ROUNDDOWN(表3[[#This Row],[日期]]-TODAY(),1)</f>
        <v>-7</v>
      </c>
    </row>
    <row r="5641" spans="1:10" hidden="1" x14ac:dyDescent="0.2">
      <c r="A5641" s="4" t="s">
        <v>1371</v>
      </c>
      <c r="B5641" s="37">
        <v>43772</v>
      </c>
      <c r="C5641" s="12">
        <v>6</v>
      </c>
      <c r="D5641" s="38" t="s">
        <v>3311</v>
      </c>
      <c r="E5641" s="39">
        <v>43770</v>
      </c>
      <c r="F5641" s="40" t="s">
        <v>3764</v>
      </c>
      <c r="G5641" s="12"/>
      <c r="H5641" s="12"/>
      <c r="J5641" s="41">
        <f ca="1">ROUNDDOWN(表3[[#This Row],[日期]]-TODAY(),1)</f>
        <v>-7</v>
      </c>
    </row>
    <row r="5642" spans="1:10" hidden="1" x14ac:dyDescent="0.2">
      <c r="A5642" s="4" t="s">
        <v>1371</v>
      </c>
      <c r="B5642" s="37">
        <v>43772</v>
      </c>
      <c r="C5642" s="12">
        <v>7</v>
      </c>
      <c r="D5642" s="38" t="s">
        <v>3315</v>
      </c>
      <c r="E5642" s="39">
        <v>43776</v>
      </c>
      <c r="F5642" s="40" t="s">
        <v>3764</v>
      </c>
      <c r="G5642" s="12"/>
      <c r="H5642" s="12"/>
      <c r="J5642" s="41">
        <f ca="1">ROUNDDOWN(表3[[#This Row],[日期]]-TODAY(),1)</f>
        <v>-1</v>
      </c>
    </row>
    <row r="5643" spans="1:10" hidden="1" x14ac:dyDescent="0.2">
      <c r="A5643" s="4" t="s">
        <v>2845</v>
      </c>
      <c r="B5643" s="37">
        <v>43773</v>
      </c>
      <c r="C5643" s="12"/>
      <c r="D5643" s="38" t="s">
        <v>3880</v>
      </c>
      <c r="E5643" s="39">
        <v>43775</v>
      </c>
      <c r="F5643" s="40" t="s">
        <v>242</v>
      </c>
      <c r="G5643" s="12"/>
      <c r="H5643" s="12"/>
      <c r="J5643" s="41">
        <f ca="1">ROUNDDOWN(表3[[#This Row],[日期]]-TODAY(),1)</f>
        <v>-2</v>
      </c>
    </row>
    <row r="5644" spans="1:10" hidden="1" x14ac:dyDescent="0.2">
      <c r="A5644" s="4" t="s">
        <v>156</v>
      </c>
      <c r="B5644" s="37">
        <v>43774</v>
      </c>
      <c r="C5644" s="12">
        <v>1</v>
      </c>
      <c r="D5644" s="38" t="s">
        <v>208</v>
      </c>
      <c r="E5644" s="39">
        <v>43749</v>
      </c>
      <c r="F5644" s="40" t="s">
        <v>3260</v>
      </c>
      <c r="G5644" s="12"/>
      <c r="H5644" s="12"/>
      <c r="J5644" s="41">
        <f ca="1">ROUNDDOWN(表3[[#This Row],[日期]]-TODAY(),1)</f>
        <v>-28</v>
      </c>
    </row>
    <row r="5645" spans="1:10" hidden="1" x14ac:dyDescent="0.2">
      <c r="A5645" s="4" t="s">
        <v>156</v>
      </c>
      <c r="B5645" s="37">
        <v>43774</v>
      </c>
      <c r="C5645" s="12">
        <v>2</v>
      </c>
      <c r="D5645" s="38" t="s">
        <v>209</v>
      </c>
      <c r="E5645" s="39">
        <v>43749</v>
      </c>
      <c r="F5645" s="40" t="s">
        <v>3260</v>
      </c>
      <c r="G5645" s="12"/>
      <c r="H5645" s="12"/>
      <c r="J5645" s="41">
        <f ca="1">ROUNDDOWN(表3[[#This Row],[日期]]-TODAY(),1)</f>
        <v>-28</v>
      </c>
    </row>
    <row r="5646" spans="1:10" hidden="1" x14ac:dyDescent="0.2">
      <c r="A5646" s="4" t="s">
        <v>156</v>
      </c>
      <c r="B5646" s="37">
        <v>43774</v>
      </c>
      <c r="C5646" s="12">
        <v>3</v>
      </c>
      <c r="D5646" s="38" t="s">
        <v>2696</v>
      </c>
      <c r="E5646" s="39">
        <v>43749</v>
      </c>
      <c r="F5646" s="40" t="s">
        <v>242</v>
      </c>
      <c r="G5646" s="12"/>
      <c r="H5646" s="12"/>
      <c r="I5646" s="4" t="s">
        <v>211</v>
      </c>
      <c r="J5646" s="41">
        <f ca="1">ROUNDDOWN(表3[[#This Row],[日期]]-TODAY(),1)</f>
        <v>-28</v>
      </c>
    </row>
    <row r="5647" spans="1:10" hidden="1" x14ac:dyDescent="0.2">
      <c r="A5647" s="4" t="s">
        <v>156</v>
      </c>
      <c r="B5647" s="37">
        <v>43774</v>
      </c>
      <c r="C5647" s="12">
        <v>5</v>
      </c>
      <c r="D5647" s="38" t="s">
        <v>1263</v>
      </c>
      <c r="E5647" s="39">
        <v>43749</v>
      </c>
      <c r="F5647" s="40" t="s">
        <v>242</v>
      </c>
      <c r="G5647" s="12"/>
      <c r="H5647" s="12"/>
      <c r="J5647" s="41">
        <f ca="1">ROUNDDOWN(表3[[#This Row],[日期]]-TODAY(),1)</f>
        <v>-28</v>
      </c>
    </row>
    <row r="5648" spans="1:10" hidden="1" x14ac:dyDescent="0.2">
      <c r="A5648" s="4" t="s">
        <v>156</v>
      </c>
      <c r="B5648" s="37">
        <v>43774</v>
      </c>
      <c r="C5648" s="12">
        <v>6</v>
      </c>
      <c r="D5648" s="38" t="s">
        <v>1859</v>
      </c>
      <c r="E5648" s="39">
        <v>43749</v>
      </c>
      <c r="F5648" s="40" t="s">
        <v>242</v>
      </c>
      <c r="G5648" s="12"/>
      <c r="H5648" s="12"/>
      <c r="J5648" s="41">
        <f ca="1">ROUNDDOWN(表3[[#This Row],[日期]]-TODAY(),1)</f>
        <v>-28</v>
      </c>
    </row>
    <row r="5649" spans="1:10" hidden="1" x14ac:dyDescent="0.2">
      <c r="A5649" s="4" t="s">
        <v>156</v>
      </c>
      <c r="B5649" s="37">
        <v>43774</v>
      </c>
      <c r="C5649" s="12">
        <v>7</v>
      </c>
      <c r="D5649" s="38" t="s">
        <v>3748</v>
      </c>
      <c r="E5649" s="39">
        <v>43767</v>
      </c>
      <c r="F5649" s="40" t="s">
        <v>242</v>
      </c>
      <c r="G5649" s="12">
        <v>3</v>
      </c>
      <c r="H5649" s="12"/>
      <c r="I5649" s="4" t="s">
        <v>1265</v>
      </c>
      <c r="J5649" s="41">
        <f ca="1">ROUNDDOWN(表3[[#This Row],[日期]]-TODAY(),1)</f>
        <v>-10</v>
      </c>
    </row>
    <row r="5650" spans="1:10" hidden="1" x14ac:dyDescent="0.2">
      <c r="A5650" s="4" t="s">
        <v>156</v>
      </c>
      <c r="B5650" s="37">
        <v>43774</v>
      </c>
      <c r="C5650" s="12">
        <v>8</v>
      </c>
      <c r="D5650" s="38" t="s">
        <v>972</v>
      </c>
      <c r="E5650" s="39">
        <v>43766</v>
      </c>
      <c r="F5650" s="40" t="s">
        <v>3749</v>
      </c>
      <c r="G5650" s="12"/>
      <c r="H5650" s="12"/>
      <c r="I5650" s="4" t="s">
        <v>246</v>
      </c>
      <c r="J5650" s="41">
        <f ca="1">ROUNDDOWN(表3[[#This Row],[日期]]-TODAY(),1)</f>
        <v>-11</v>
      </c>
    </row>
    <row r="5651" spans="1:10" hidden="1" x14ac:dyDescent="0.2">
      <c r="A5651" s="4" t="s">
        <v>156</v>
      </c>
      <c r="B5651" s="37">
        <v>43774</v>
      </c>
      <c r="C5651" s="12">
        <v>9</v>
      </c>
      <c r="D5651" s="38" t="s">
        <v>3759</v>
      </c>
      <c r="E5651" s="39">
        <v>43767</v>
      </c>
      <c r="F5651" s="40" t="s">
        <v>242</v>
      </c>
      <c r="G5651" s="12"/>
      <c r="H5651" s="12"/>
      <c r="J5651" s="41">
        <f ca="1">ROUNDDOWN(表3[[#This Row],[日期]]-TODAY(),1)</f>
        <v>-10</v>
      </c>
    </row>
    <row r="5652" spans="1:10" hidden="1" x14ac:dyDescent="0.2">
      <c r="A5652" s="4" t="s">
        <v>156</v>
      </c>
      <c r="B5652" s="37">
        <v>43774</v>
      </c>
      <c r="C5652" s="12">
        <v>10</v>
      </c>
      <c r="D5652" s="38" t="s">
        <v>74</v>
      </c>
      <c r="E5652" s="39">
        <v>43767</v>
      </c>
      <c r="F5652" s="40" t="s">
        <v>242</v>
      </c>
      <c r="G5652" s="12"/>
      <c r="H5652" s="12"/>
      <c r="J5652" s="41">
        <f ca="1">ROUNDDOWN(表3[[#This Row],[日期]]-TODAY(),1)</f>
        <v>-10</v>
      </c>
    </row>
    <row r="5653" spans="1:10" hidden="1" x14ac:dyDescent="0.2">
      <c r="A5653" s="4" t="s">
        <v>156</v>
      </c>
      <c r="B5653" s="37">
        <v>43774</v>
      </c>
      <c r="C5653" s="12">
        <v>11</v>
      </c>
      <c r="D5653" s="38" t="s">
        <v>1861</v>
      </c>
      <c r="E5653" s="39">
        <v>43767</v>
      </c>
      <c r="F5653" s="40" t="s">
        <v>242</v>
      </c>
      <c r="G5653" s="12"/>
      <c r="H5653" s="12"/>
      <c r="J5653" s="41">
        <f ca="1">ROUNDDOWN(表3[[#This Row],[日期]]-TODAY(),1)</f>
        <v>-10</v>
      </c>
    </row>
    <row r="5654" spans="1:10" hidden="1" x14ac:dyDescent="0.2">
      <c r="A5654" s="4" t="s">
        <v>156</v>
      </c>
      <c r="B5654" s="37">
        <v>43774</v>
      </c>
      <c r="C5654" s="12">
        <v>12</v>
      </c>
      <c r="D5654" s="38" t="s">
        <v>254</v>
      </c>
      <c r="E5654" s="39">
        <v>43767</v>
      </c>
      <c r="F5654" s="40" t="s">
        <v>3769</v>
      </c>
      <c r="G5654" s="12"/>
      <c r="H5654" s="12"/>
      <c r="I5654" s="4" t="s">
        <v>40</v>
      </c>
      <c r="J5654" s="41">
        <f ca="1">ROUNDDOWN(表3[[#This Row],[日期]]-TODAY(),1)</f>
        <v>-10</v>
      </c>
    </row>
    <row r="5655" spans="1:10" hidden="1" x14ac:dyDescent="0.2">
      <c r="A5655" s="4" t="s">
        <v>156</v>
      </c>
      <c r="B5655" s="37">
        <v>43774</v>
      </c>
      <c r="C5655" s="12">
        <v>13</v>
      </c>
      <c r="D5655" s="38" t="s">
        <v>2698</v>
      </c>
      <c r="E5655" s="39">
        <v>43767</v>
      </c>
      <c r="F5655" s="40" t="s">
        <v>242</v>
      </c>
      <c r="G5655" s="12"/>
      <c r="H5655" s="12"/>
      <c r="I5655" s="4" t="s">
        <v>30</v>
      </c>
      <c r="J5655" s="41">
        <f ca="1">ROUNDDOWN(表3[[#This Row],[日期]]-TODAY(),1)</f>
        <v>-10</v>
      </c>
    </row>
    <row r="5656" spans="1:10" hidden="1" x14ac:dyDescent="0.2">
      <c r="A5656" s="4" t="s">
        <v>156</v>
      </c>
      <c r="B5656" s="37">
        <v>43774</v>
      </c>
      <c r="C5656" s="12">
        <v>14</v>
      </c>
      <c r="D5656" s="38" t="s">
        <v>250</v>
      </c>
      <c r="E5656" s="39">
        <v>43767</v>
      </c>
      <c r="F5656" s="40" t="s">
        <v>242</v>
      </c>
      <c r="G5656" s="12"/>
      <c r="H5656" s="12"/>
      <c r="I5656" s="4" t="s">
        <v>40</v>
      </c>
      <c r="J5656" s="41">
        <f ca="1">ROUNDDOWN(表3[[#This Row],[日期]]-TODAY(),1)</f>
        <v>-10</v>
      </c>
    </row>
    <row r="5657" spans="1:10" hidden="1" x14ac:dyDescent="0.2">
      <c r="A5657" s="4" t="s">
        <v>156</v>
      </c>
      <c r="B5657" s="37">
        <v>43774</v>
      </c>
      <c r="C5657" s="12">
        <v>15</v>
      </c>
      <c r="D5657" s="38" t="s">
        <v>974</v>
      </c>
      <c r="E5657" s="39">
        <v>43769</v>
      </c>
      <c r="F5657" s="40" t="s">
        <v>1184</v>
      </c>
      <c r="G5657" s="12"/>
      <c r="H5657" s="12"/>
      <c r="I5657" s="4" t="s">
        <v>256</v>
      </c>
      <c r="J5657" s="41">
        <f ca="1">ROUNDDOWN(表3[[#This Row],[日期]]-TODAY(),1)</f>
        <v>-8</v>
      </c>
    </row>
    <row r="5658" spans="1:10" hidden="1" x14ac:dyDescent="0.2">
      <c r="A5658" s="4" t="s">
        <v>156</v>
      </c>
      <c r="B5658" s="37">
        <v>43774</v>
      </c>
      <c r="C5658" s="12">
        <v>16</v>
      </c>
      <c r="D5658" s="38" t="s">
        <v>261</v>
      </c>
      <c r="E5658" s="39">
        <v>43770</v>
      </c>
      <c r="F5658" s="40" t="s">
        <v>242</v>
      </c>
      <c r="G5658" s="12"/>
      <c r="H5658" s="12"/>
      <c r="I5658" s="4" t="s">
        <v>259</v>
      </c>
      <c r="J5658" s="41">
        <f ca="1">ROUNDDOWN(表3[[#This Row],[日期]]-TODAY(),1)</f>
        <v>-7</v>
      </c>
    </row>
    <row r="5659" spans="1:10" hidden="1" x14ac:dyDescent="0.2">
      <c r="A5659" s="4" t="s">
        <v>156</v>
      </c>
      <c r="B5659" s="37">
        <v>43774</v>
      </c>
      <c r="C5659" s="12">
        <v>17</v>
      </c>
      <c r="D5659" s="38" t="s">
        <v>263</v>
      </c>
      <c r="E5659" s="39">
        <v>43770</v>
      </c>
      <c r="F5659" s="40" t="s">
        <v>242</v>
      </c>
      <c r="G5659" s="12"/>
      <c r="H5659" s="12"/>
      <c r="J5659" s="41">
        <f ca="1">ROUNDDOWN(表3[[#This Row],[日期]]-TODAY(),1)</f>
        <v>-7</v>
      </c>
    </row>
    <row r="5660" spans="1:10" hidden="1" x14ac:dyDescent="0.2">
      <c r="A5660" s="4" t="s">
        <v>156</v>
      </c>
      <c r="B5660" s="37">
        <v>43774</v>
      </c>
      <c r="C5660" s="12">
        <v>18</v>
      </c>
      <c r="D5660" s="38" t="s">
        <v>265</v>
      </c>
      <c r="E5660" s="39">
        <v>43770</v>
      </c>
      <c r="F5660" s="40" t="s">
        <v>242</v>
      </c>
      <c r="G5660" s="12"/>
      <c r="H5660" s="12"/>
      <c r="J5660" s="41">
        <f ca="1">ROUNDDOWN(表3[[#This Row],[日期]]-TODAY(),1)</f>
        <v>-7</v>
      </c>
    </row>
    <row r="5661" spans="1:10" hidden="1" x14ac:dyDescent="0.2">
      <c r="A5661" s="4" t="s">
        <v>156</v>
      </c>
      <c r="B5661" s="37">
        <v>43774</v>
      </c>
      <c r="C5661" s="12">
        <v>19</v>
      </c>
      <c r="D5661" s="38" t="s">
        <v>279</v>
      </c>
      <c r="E5661" s="39">
        <v>43773</v>
      </c>
      <c r="F5661" s="40" t="s">
        <v>242</v>
      </c>
      <c r="G5661" s="12"/>
      <c r="H5661" s="12"/>
      <c r="J5661" s="41">
        <f ca="1">ROUNDDOWN(表3[[#This Row],[日期]]-TODAY(),1)</f>
        <v>-4</v>
      </c>
    </row>
    <row r="5662" spans="1:10" hidden="1" x14ac:dyDescent="0.2">
      <c r="A5662" s="4" t="s">
        <v>156</v>
      </c>
      <c r="B5662" s="37">
        <v>43774</v>
      </c>
      <c r="C5662" s="12">
        <v>20</v>
      </c>
      <c r="D5662" s="38" t="s">
        <v>281</v>
      </c>
      <c r="E5662" s="39">
        <v>43773</v>
      </c>
      <c r="F5662" s="40" t="s">
        <v>242</v>
      </c>
      <c r="G5662" s="12"/>
      <c r="H5662" s="12"/>
      <c r="J5662" s="41">
        <f ca="1">ROUNDDOWN(表3[[#This Row],[日期]]-TODAY(),1)</f>
        <v>-4</v>
      </c>
    </row>
    <row r="5663" spans="1:10" hidden="1" x14ac:dyDescent="0.2">
      <c r="A5663" s="4" t="s">
        <v>156</v>
      </c>
      <c r="B5663" s="37">
        <v>43774</v>
      </c>
      <c r="C5663" s="12">
        <v>21</v>
      </c>
      <c r="D5663" s="38" t="s">
        <v>283</v>
      </c>
      <c r="E5663" s="39">
        <v>43773</v>
      </c>
      <c r="F5663" s="40" t="s">
        <v>242</v>
      </c>
      <c r="G5663" s="12"/>
      <c r="H5663" s="12"/>
      <c r="J5663" s="41">
        <f ca="1">ROUNDDOWN(表3[[#This Row],[日期]]-TODAY(),1)</f>
        <v>-4</v>
      </c>
    </row>
    <row r="5664" spans="1:10" hidden="1" x14ac:dyDescent="0.2">
      <c r="A5664" s="4" t="s">
        <v>156</v>
      </c>
      <c r="B5664" s="37">
        <v>43774</v>
      </c>
      <c r="C5664" s="12">
        <v>22</v>
      </c>
      <c r="D5664" s="38" t="s">
        <v>267</v>
      </c>
      <c r="E5664" s="39">
        <v>43770</v>
      </c>
      <c r="F5664" s="40" t="s">
        <v>242</v>
      </c>
      <c r="G5664" s="12"/>
      <c r="H5664" s="12"/>
      <c r="J5664" s="41">
        <f ca="1">ROUNDDOWN(表3[[#This Row],[日期]]-TODAY(),1)</f>
        <v>-7</v>
      </c>
    </row>
    <row r="5665" spans="1:10" hidden="1" x14ac:dyDescent="0.2">
      <c r="A5665" s="4" t="s">
        <v>156</v>
      </c>
      <c r="B5665" s="37">
        <v>43774</v>
      </c>
      <c r="C5665" s="12">
        <v>23</v>
      </c>
      <c r="D5665" s="38" t="s">
        <v>269</v>
      </c>
      <c r="E5665" s="39">
        <v>43771</v>
      </c>
      <c r="F5665" s="40" t="s">
        <v>242</v>
      </c>
      <c r="G5665" s="12"/>
      <c r="H5665" s="12"/>
      <c r="J5665" s="41">
        <f ca="1">ROUNDDOWN(表3[[#This Row],[日期]]-TODAY(),1)</f>
        <v>-6</v>
      </c>
    </row>
    <row r="5666" spans="1:10" hidden="1" x14ac:dyDescent="0.2">
      <c r="A5666" s="4" t="s">
        <v>156</v>
      </c>
      <c r="B5666" s="37">
        <v>43774</v>
      </c>
      <c r="C5666" s="12">
        <v>24</v>
      </c>
      <c r="D5666" s="38" t="s">
        <v>271</v>
      </c>
      <c r="E5666" s="39">
        <v>43771</v>
      </c>
      <c r="F5666" s="40" t="s">
        <v>242</v>
      </c>
      <c r="G5666" s="12"/>
      <c r="H5666" s="12"/>
      <c r="J5666" s="41">
        <f ca="1">ROUNDDOWN(表3[[#This Row],[日期]]-TODAY(),1)</f>
        <v>-6</v>
      </c>
    </row>
    <row r="5667" spans="1:10" hidden="1" x14ac:dyDescent="0.2">
      <c r="A5667" s="4" t="s">
        <v>156</v>
      </c>
      <c r="B5667" s="37">
        <v>43774</v>
      </c>
      <c r="C5667" s="12">
        <v>25</v>
      </c>
      <c r="D5667" s="38" t="s">
        <v>3832</v>
      </c>
      <c r="E5667" s="39">
        <v>43775</v>
      </c>
      <c r="F5667" s="40" t="s">
        <v>242</v>
      </c>
      <c r="G5667" s="12"/>
      <c r="H5667" s="12"/>
      <c r="J5667" s="41">
        <f ca="1">ROUNDDOWN(表3[[#This Row],[日期]]-TODAY(),1)</f>
        <v>-2</v>
      </c>
    </row>
    <row r="5668" spans="1:10" hidden="1" x14ac:dyDescent="0.2">
      <c r="A5668" s="4" t="s">
        <v>156</v>
      </c>
      <c r="B5668" s="37">
        <v>43774</v>
      </c>
      <c r="C5668" s="12">
        <v>26</v>
      </c>
      <c r="D5668" s="38" t="s">
        <v>275</v>
      </c>
      <c r="E5668" s="39">
        <v>43774</v>
      </c>
      <c r="F5668" s="40" t="s">
        <v>1184</v>
      </c>
      <c r="G5668" s="12"/>
      <c r="H5668" s="12"/>
      <c r="J5668" s="41">
        <f ca="1">ROUNDDOWN(表3[[#This Row],[日期]]-TODAY(),1)</f>
        <v>-3</v>
      </c>
    </row>
    <row r="5669" spans="1:10" hidden="1" x14ac:dyDescent="0.2">
      <c r="A5669" s="4" t="s">
        <v>156</v>
      </c>
      <c r="B5669" s="37">
        <v>43774</v>
      </c>
      <c r="C5669" s="12">
        <v>27</v>
      </c>
      <c r="D5669" s="38" t="s">
        <v>277</v>
      </c>
      <c r="E5669" s="39">
        <v>43776</v>
      </c>
      <c r="F5669" s="40" t="s">
        <v>242</v>
      </c>
      <c r="G5669" s="12"/>
      <c r="H5669" s="12"/>
      <c r="J5669" s="41">
        <f ca="1">ROUNDDOWN(表3[[#This Row],[日期]]-TODAY(),1)</f>
        <v>-1</v>
      </c>
    </row>
    <row r="5670" spans="1:10" hidden="1" x14ac:dyDescent="0.2">
      <c r="A5670" s="4" t="s">
        <v>156</v>
      </c>
      <c r="B5670" s="37">
        <v>43774</v>
      </c>
      <c r="C5670" s="12">
        <v>28</v>
      </c>
      <c r="D5670" s="38" t="s">
        <v>2699</v>
      </c>
      <c r="E5670" s="39">
        <v>43776</v>
      </c>
      <c r="F5670" s="40" t="s">
        <v>242</v>
      </c>
      <c r="G5670" s="12"/>
      <c r="H5670" s="12"/>
      <c r="J5670" s="41">
        <f ca="1">ROUNDDOWN(表3[[#This Row],[日期]]-TODAY(),1)</f>
        <v>-1</v>
      </c>
    </row>
    <row r="5671" spans="1:10" hidden="1" x14ac:dyDescent="0.2">
      <c r="A5671" s="4" t="s">
        <v>156</v>
      </c>
      <c r="B5671" s="37">
        <v>43774</v>
      </c>
      <c r="C5671" s="12">
        <v>29</v>
      </c>
      <c r="D5671" s="38" t="s">
        <v>3745</v>
      </c>
      <c r="E5671" s="39">
        <v>43777</v>
      </c>
      <c r="F5671" s="40" t="s">
        <v>242</v>
      </c>
      <c r="G5671" s="12"/>
      <c r="H5671" s="12"/>
      <c r="J5671" s="41">
        <f ca="1">ROUNDDOWN(表3[[#This Row],[日期]]-TODAY(),1)</f>
        <v>0</v>
      </c>
    </row>
    <row r="5672" spans="1:10" hidden="1" x14ac:dyDescent="0.2">
      <c r="A5672" s="4" t="s">
        <v>3685</v>
      </c>
      <c r="B5672" s="37">
        <v>43775</v>
      </c>
      <c r="C5672" s="12">
        <v>1</v>
      </c>
      <c r="D5672" s="38" t="s">
        <v>3686</v>
      </c>
      <c r="E5672" s="39">
        <v>43768</v>
      </c>
      <c r="F5672" s="40" t="s">
        <v>242</v>
      </c>
      <c r="G5672" s="12"/>
      <c r="H5672" s="12"/>
      <c r="J5672" s="41">
        <f ca="1">ROUNDDOWN(表3[[#This Row],[日期]]-TODAY(),1)</f>
        <v>-9</v>
      </c>
    </row>
    <row r="5673" spans="1:10" hidden="1" x14ac:dyDescent="0.2">
      <c r="A5673" s="4" t="s">
        <v>3685</v>
      </c>
      <c r="B5673" s="37">
        <v>43775</v>
      </c>
      <c r="C5673" s="12">
        <v>2</v>
      </c>
      <c r="D5673" s="38" t="s">
        <v>3499</v>
      </c>
      <c r="E5673" s="39">
        <v>43769</v>
      </c>
      <c r="F5673" s="40" t="s">
        <v>242</v>
      </c>
      <c r="G5673" s="12"/>
      <c r="H5673" s="12"/>
      <c r="J5673" s="41">
        <f ca="1">ROUNDDOWN(表3[[#This Row],[日期]]-TODAY(),1)</f>
        <v>-8</v>
      </c>
    </row>
    <row r="5674" spans="1:10" hidden="1" x14ac:dyDescent="0.2">
      <c r="A5674" s="4" t="s">
        <v>3685</v>
      </c>
      <c r="B5674" s="37">
        <v>43775</v>
      </c>
      <c r="C5674" s="12">
        <v>3</v>
      </c>
      <c r="D5674" s="38" t="s">
        <v>3436</v>
      </c>
      <c r="E5674" s="39">
        <v>43770</v>
      </c>
      <c r="F5674" s="40" t="s">
        <v>242</v>
      </c>
      <c r="G5674" s="12"/>
      <c r="H5674" s="12"/>
      <c r="J5674" s="41">
        <f ca="1">ROUNDDOWN(表3[[#This Row],[日期]]-TODAY(),1)</f>
        <v>-7</v>
      </c>
    </row>
    <row r="5675" spans="1:10" hidden="1" x14ac:dyDescent="0.2">
      <c r="A5675" s="4" t="s">
        <v>3685</v>
      </c>
      <c r="B5675" s="37">
        <v>43775</v>
      </c>
      <c r="C5675" s="12">
        <v>4</v>
      </c>
      <c r="D5675" s="38" t="s">
        <v>3835</v>
      </c>
      <c r="E5675" s="39">
        <v>43773</v>
      </c>
      <c r="F5675" s="40" t="s">
        <v>242</v>
      </c>
      <c r="G5675" s="12"/>
      <c r="H5675" s="12"/>
      <c r="J5675" s="41">
        <f ca="1">ROUNDDOWN(表3[[#This Row],[日期]]-TODAY(),1)</f>
        <v>-4</v>
      </c>
    </row>
    <row r="5676" spans="1:10" hidden="1" x14ac:dyDescent="0.2">
      <c r="A5676" s="4" t="s">
        <v>3685</v>
      </c>
      <c r="B5676" s="37">
        <v>43775</v>
      </c>
      <c r="C5676" s="12">
        <v>5</v>
      </c>
      <c r="D5676" s="38" t="s">
        <v>3836</v>
      </c>
      <c r="E5676" s="39">
        <v>43773</v>
      </c>
      <c r="F5676" s="40" t="s">
        <v>242</v>
      </c>
      <c r="G5676" s="12"/>
      <c r="H5676" s="12"/>
      <c r="J5676" s="41">
        <f ca="1">ROUNDDOWN(表3[[#This Row],[日期]]-TODAY(),1)</f>
        <v>-4</v>
      </c>
    </row>
    <row r="5677" spans="1:10" hidden="1" x14ac:dyDescent="0.2">
      <c r="A5677" s="4" t="s">
        <v>3685</v>
      </c>
      <c r="B5677" s="37">
        <v>43775</v>
      </c>
      <c r="C5677" s="12">
        <v>6</v>
      </c>
      <c r="D5677" s="38" t="s">
        <v>3442</v>
      </c>
      <c r="E5677" s="39">
        <v>43772</v>
      </c>
      <c r="F5677" s="40" t="s">
        <v>1184</v>
      </c>
      <c r="G5677" s="12"/>
      <c r="H5677" s="12"/>
      <c r="J5677" s="41">
        <f ca="1">ROUNDDOWN(表3[[#This Row],[日期]]-TODAY(),1)</f>
        <v>-5</v>
      </c>
    </row>
    <row r="5678" spans="1:10" hidden="1" x14ac:dyDescent="0.2">
      <c r="A5678" s="4" t="s">
        <v>3685</v>
      </c>
      <c r="B5678" s="37">
        <v>43775</v>
      </c>
      <c r="C5678" s="12">
        <v>7</v>
      </c>
      <c r="D5678" s="38" t="s">
        <v>3881</v>
      </c>
      <c r="E5678" s="39">
        <v>43775</v>
      </c>
      <c r="F5678" s="40" t="s">
        <v>242</v>
      </c>
      <c r="G5678" s="12">
        <v>3</v>
      </c>
      <c r="H5678" s="12"/>
      <c r="J5678" s="41">
        <f ca="1">ROUNDDOWN(表3[[#This Row],[日期]]-TODAY(),1)</f>
        <v>-2</v>
      </c>
    </row>
    <row r="5679" spans="1:10" hidden="1" x14ac:dyDescent="0.2">
      <c r="A5679" s="4" t="s">
        <v>3685</v>
      </c>
      <c r="B5679" s="37">
        <v>43775</v>
      </c>
      <c r="C5679" s="12">
        <v>8</v>
      </c>
      <c r="D5679" s="38" t="s">
        <v>3445</v>
      </c>
      <c r="E5679" s="39">
        <v>43775</v>
      </c>
      <c r="F5679" s="40" t="s">
        <v>242</v>
      </c>
      <c r="G5679" s="12"/>
      <c r="H5679" s="12"/>
      <c r="J5679" s="41">
        <f ca="1">ROUNDDOWN(表3[[#This Row],[日期]]-TODAY(),1)</f>
        <v>-2</v>
      </c>
    </row>
    <row r="5680" spans="1:10" hidden="1" x14ac:dyDescent="0.2">
      <c r="A5680" s="4" t="s">
        <v>2</v>
      </c>
      <c r="B5680" s="37">
        <v>43775</v>
      </c>
      <c r="C5680" s="12">
        <v>1</v>
      </c>
      <c r="D5680" s="38" t="s">
        <v>3755</v>
      </c>
      <c r="E5680" s="39">
        <v>43767</v>
      </c>
      <c r="F5680" s="40" t="s">
        <v>242</v>
      </c>
      <c r="G5680" s="12"/>
      <c r="H5680" s="12"/>
      <c r="J5680" s="41">
        <f ca="1">ROUNDDOWN(表3[[#This Row],[日期]]-TODAY(),1)</f>
        <v>-10</v>
      </c>
    </row>
    <row r="5681" spans="1:10" hidden="1" x14ac:dyDescent="0.2">
      <c r="A5681" s="4" t="s">
        <v>2</v>
      </c>
      <c r="B5681" s="37">
        <v>43775</v>
      </c>
      <c r="C5681" s="12">
        <v>2</v>
      </c>
      <c r="D5681" s="38" t="s">
        <v>3587</v>
      </c>
      <c r="E5681" s="39">
        <v>43769</v>
      </c>
      <c r="F5681" s="40" t="s">
        <v>1184</v>
      </c>
      <c r="G5681" s="12"/>
      <c r="H5681" s="12"/>
      <c r="J5681" s="41">
        <f ca="1">ROUNDDOWN(表3[[#This Row],[日期]]-TODAY(),1)</f>
        <v>-8</v>
      </c>
    </row>
    <row r="5682" spans="1:10" hidden="1" x14ac:dyDescent="0.2">
      <c r="A5682" s="4" t="s">
        <v>2</v>
      </c>
      <c r="B5682" s="37">
        <v>43775</v>
      </c>
      <c r="C5682" s="12">
        <v>3</v>
      </c>
      <c r="D5682" s="38" t="s">
        <v>3354</v>
      </c>
      <c r="E5682" s="39">
        <v>43770</v>
      </c>
      <c r="F5682" s="40" t="s">
        <v>1184</v>
      </c>
      <c r="G5682" s="12"/>
      <c r="H5682" s="12"/>
      <c r="J5682" s="41">
        <f ca="1">ROUNDDOWN(表3[[#This Row],[日期]]-TODAY(),1)</f>
        <v>-7</v>
      </c>
    </row>
    <row r="5683" spans="1:10" hidden="1" x14ac:dyDescent="0.2">
      <c r="A5683" s="4" t="s">
        <v>2</v>
      </c>
      <c r="B5683" s="37">
        <v>43775</v>
      </c>
      <c r="C5683" s="12">
        <v>4</v>
      </c>
      <c r="D5683" s="38" t="s">
        <v>3356</v>
      </c>
      <c r="E5683" s="39">
        <v>43770</v>
      </c>
      <c r="F5683" s="40" t="s">
        <v>1184</v>
      </c>
      <c r="G5683" s="12"/>
      <c r="H5683" s="12"/>
      <c r="J5683" s="41">
        <f ca="1">ROUNDDOWN(表3[[#This Row],[日期]]-TODAY(),1)</f>
        <v>-7</v>
      </c>
    </row>
    <row r="5684" spans="1:10" hidden="1" x14ac:dyDescent="0.2">
      <c r="A5684" s="4" t="s">
        <v>2</v>
      </c>
      <c r="B5684" s="37">
        <v>43775</v>
      </c>
      <c r="C5684" s="12">
        <v>5</v>
      </c>
      <c r="D5684" s="38" t="s">
        <v>3360</v>
      </c>
      <c r="E5684" s="39">
        <v>43770</v>
      </c>
      <c r="F5684" s="40" t="s">
        <v>1184</v>
      </c>
      <c r="G5684" s="12"/>
      <c r="H5684" s="12"/>
      <c r="J5684" s="41">
        <f ca="1">ROUNDDOWN(表3[[#This Row],[日期]]-TODAY(),1)</f>
        <v>-7</v>
      </c>
    </row>
    <row r="5685" spans="1:10" hidden="1" x14ac:dyDescent="0.2">
      <c r="A5685" s="4" t="s">
        <v>2</v>
      </c>
      <c r="B5685" s="37">
        <v>43775</v>
      </c>
      <c r="C5685" s="12">
        <v>6</v>
      </c>
      <c r="D5685" s="38" t="s">
        <v>3358</v>
      </c>
      <c r="E5685" s="39">
        <v>43770</v>
      </c>
      <c r="F5685" s="40" t="s">
        <v>1184</v>
      </c>
      <c r="G5685" s="12"/>
      <c r="H5685" s="12"/>
      <c r="J5685" s="41">
        <f ca="1">ROUNDDOWN(表3[[#This Row],[日期]]-TODAY(),1)</f>
        <v>-7</v>
      </c>
    </row>
    <row r="5686" spans="1:10" hidden="1" x14ac:dyDescent="0.2">
      <c r="A5686" s="4" t="s">
        <v>2</v>
      </c>
      <c r="B5686" s="37">
        <v>43775</v>
      </c>
      <c r="C5686" s="12">
        <v>7</v>
      </c>
      <c r="D5686" s="38" t="s">
        <v>3362</v>
      </c>
      <c r="E5686" s="39">
        <v>43770</v>
      </c>
      <c r="F5686" s="40" t="s">
        <v>1184</v>
      </c>
      <c r="G5686" s="12"/>
      <c r="H5686" s="12"/>
      <c r="J5686" s="41">
        <f ca="1">ROUNDDOWN(表3[[#This Row],[日期]]-TODAY(),1)</f>
        <v>-7</v>
      </c>
    </row>
    <row r="5687" spans="1:10" hidden="1" x14ac:dyDescent="0.2">
      <c r="A5687" s="4" t="s">
        <v>2</v>
      </c>
      <c r="B5687" s="37">
        <v>43775</v>
      </c>
      <c r="C5687" s="12">
        <v>8</v>
      </c>
      <c r="D5687" s="38" t="s">
        <v>3366</v>
      </c>
      <c r="E5687" s="39">
        <v>43770</v>
      </c>
      <c r="F5687" s="40" t="s">
        <v>1184</v>
      </c>
      <c r="G5687" s="12"/>
      <c r="H5687" s="12"/>
      <c r="J5687" s="41">
        <f ca="1">ROUNDDOWN(表3[[#This Row],[日期]]-TODAY(),1)</f>
        <v>-7</v>
      </c>
    </row>
    <row r="5688" spans="1:10" hidden="1" x14ac:dyDescent="0.2">
      <c r="A5688" s="4" t="s">
        <v>2</v>
      </c>
      <c r="B5688" s="37">
        <v>43775</v>
      </c>
      <c r="C5688" s="12">
        <v>9</v>
      </c>
      <c r="D5688" s="38" t="s">
        <v>3364</v>
      </c>
      <c r="E5688" s="39">
        <v>43771</v>
      </c>
      <c r="F5688" s="40" t="s">
        <v>1184</v>
      </c>
      <c r="G5688" s="12"/>
      <c r="H5688" s="12"/>
      <c r="J5688" s="41">
        <f ca="1">ROUNDDOWN(表3[[#This Row],[日期]]-TODAY(),1)</f>
        <v>-6</v>
      </c>
    </row>
    <row r="5689" spans="1:10" hidden="1" x14ac:dyDescent="0.2">
      <c r="A5689" s="4" t="s">
        <v>2</v>
      </c>
      <c r="B5689" s="37">
        <v>43775</v>
      </c>
      <c r="C5689" s="12">
        <v>10</v>
      </c>
      <c r="D5689" s="38" t="s">
        <v>3368</v>
      </c>
      <c r="E5689" s="39">
        <v>43773</v>
      </c>
      <c r="F5689" s="40" t="s">
        <v>1184</v>
      </c>
      <c r="G5689" s="12"/>
      <c r="H5689" s="12"/>
      <c r="J5689" s="41">
        <f ca="1">ROUNDDOWN(表3[[#This Row],[日期]]-TODAY(),1)</f>
        <v>-4</v>
      </c>
    </row>
    <row r="5690" spans="1:10" hidden="1" x14ac:dyDescent="0.2">
      <c r="A5690" s="4" t="s">
        <v>2</v>
      </c>
      <c r="B5690" s="37">
        <v>43775</v>
      </c>
      <c r="C5690" s="12">
        <v>11</v>
      </c>
      <c r="D5690" s="38" t="s">
        <v>3370</v>
      </c>
      <c r="E5690" s="39">
        <v>43776</v>
      </c>
      <c r="F5690" s="40" t="s">
        <v>1184</v>
      </c>
      <c r="G5690" s="12"/>
      <c r="H5690" s="12"/>
      <c r="J5690" s="41">
        <f ca="1">ROUNDDOWN(表3[[#This Row],[日期]]-TODAY(),1)</f>
        <v>-1</v>
      </c>
    </row>
    <row r="5691" spans="1:10" hidden="1" x14ac:dyDescent="0.2">
      <c r="A5691" s="4" t="s">
        <v>3627</v>
      </c>
      <c r="B5691" s="37">
        <v>43775</v>
      </c>
      <c r="C5691" s="12">
        <v>1</v>
      </c>
      <c r="D5691" s="38" t="s">
        <v>3628</v>
      </c>
      <c r="E5691" s="39">
        <v>43768</v>
      </c>
      <c r="F5691" s="40" t="s">
        <v>242</v>
      </c>
      <c r="G5691" s="12"/>
      <c r="H5691" s="12"/>
      <c r="J5691" s="41">
        <f ca="1">ROUNDDOWN(表3[[#This Row],[日期]]-TODAY(),1)</f>
        <v>-9</v>
      </c>
    </row>
    <row r="5692" spans="1:10" hidden="1" x14ac:dyDescent="0.2">
      <c r="A5692" s="4" t="s">
        <v>3627</v>
      </c>
      <c r="B5692" s="37">
        <v>43775</v>
      </c>
      <c r="C5692" s="12">
        <v>2</v>
      </c>
      <c r="D5692" s="38" t="s">
        <v>3499</v>
      </c>
      <c r="E5692" s="39">
        <v>43769</v>
      </c>
      <c r="F5692" s="40" t="s">
        <v>242</v>
      </c>
      <c r="G5692" s="12"/>
      <c r="H5692" s="12"/>
      <c r="J5692" s="41">
        <f ca="1">ROUNDDOWN(表3[[#This Row],[日期]]-TODAY(),1)</f>
        <v>-8</v>
      </c>
    </row>
    <row r="5693" spans="1:10" hidden="1" x14ac:dyDescent="0.2">
      <c r="A5693" s="4" t="s">
        <v>3627</v>
      </c>
      <c r="B5693" s="37">
        <v>43775</v>
      </c>
      <c r="C5693" s="12">
        <v>3</v>
      </c>
      <c r="D5693" s="38" t="s">
        <v>3789</v>
      </c>
      <c r="E5693" s="39">
        <v>43770</v>
      </c>
      <c r="F5693" s="40" t="s">
        <v>242</v>
      </c>
      <c r="G5693" s="12"/>
      <c r="H5693" s="12"/>
      <c r="J5693" s="41">
        <f ca="1">ROUNDDOWN(表3[[#This Row],[日期]]-TODAY(),1)</f>
        <v>-7</v>
      </c>
    </row>
    <row r="5694" spans="1:10" hidden="1" x14ac:dyDescent="0.2">
      <c r="A5694" s="4" t="s">
        <v>3627</v>
      </c>
      <c r="B5694" s="37">
        <v>43775</v>
      </c>
      <c r="C5694" s="12">
        <v>4</v>
      </c>
      <c r="D5694" s="38" t="s">
        <v>3820</v>
      </c>
      <c r="E5694" s="39">
        <v>43770</v>
      </c>
      <c r="F5694" s="40" t="s">
        <v>242</v>
      </c>
      <c r="G5694" s="12"/>
      <c r="H5694" s="12"/>
      <c r="J5694" s="41">
        <f ca="1">ROUNDDOWN(表3[[#This Row],[日期]]-TODAY(),1)</f>
        <v>-7</v>
      </c>
    </row>
    <row r="5695" spans="1:10" hidden="1" x14ac:dyDescent="0.2">
      <c r="A5695" s="4" t="s">
        <v>3627</v>
      </c>
      <c r="B5695" s="37">
        <v>43775</v>
      </c>
      <c r="C5695" s="12">
        <v>5</v>
      </c>
      <c r="D5695" s="38" t="s">
        <v>3440</v>
      </c>
      <c r="E5695" s="39">
        <v>43770</v>
      </c>
      <c r="F5695" s="40" t="s">
        <v>1184</v>
      </c>
      <c r="G5695" s="12"/>
      <c r="H5695" s="12"/>
      <c r="J5695" s="41">
        <f ca="1">ROUNDDOWN(表3[[#This Row],[日期]]-TODAY(),1)</f>
        <v>-7</v>
      </c>
    </row>
    <row r="5696" spans="1:10" hidden="1" x14ac:dyDescent="0.2">
      <c r="A5696" s="4" t="s">
        <v>3627</v>
      </c>
      <c r="B5696" s="37">
        <v>43775</v>
      </c>
      <c r="C5696" s="12">
        <v>6</v>
      </c>
      <c r="D5696" s="38" t="s">
        <v>3830</v>
      </c>
      <c r="E5696" s="39">
        <v>43774</v>
      </c>
      <c r="F5696" s="40" t="s">
        <v>242</v>
      </c>
      <c r="G5696" s="12"/>
      <c r="H5696" s="12"/>
      <c r="J5696" s="41">
        <f ca="1">ROUNDDOWN(表3[[#This Row],[日期]]-TODAY(),1)</f>
        <v>-3</v>
      </c>
    </row>
    <row r="5697" spans="1:10" hidden="1" x14ac:dyDescent="0.2">
      <c r="A5697" s="4" t="s">
        <v>3627</v>
      </c>
      <c r="B5697" s="37">
        <v>43775</v>
      </c>
      <c r="C5697" s="12">
        <v>7</v>
      </c>
      <c r="D5697" s="38" t="s">
        <v>3887</v>
      </c>
      <c r="E5697" s="39">
        <v>43776</v>
      </c>
      <c r="F5697" s="40" t="s">
        <v>242</v>
      </c>
      <c r="G5697" s="12"/>
      <c r="H5697" s="12"/>
      <c r="J5697" s="41">
        <f ca="1">ROUNDDOWN(表3[[#This Row],[日期]]-TODAY(),1)</f>
        <v>-1</v>
      </c>
    </row>
    <row r="5698" spans="1:10" hidden="1" x14ac:dyDescent="0.2">
      <c r="A5698" s="4" t="s">
        <v>3627</v>
      </c>
      <c r="B5698" s="37">
        <v>43775</v>
      </c>
      <c r="C5698" s="12">
        <v>8</v>
      </c>
      <c r="D5698" s="38" t="s">
        <v>3445</v>
      </c>
      <c r="E5698" s="39">
        <v>43775</v>
      </c>
      <c r="F5698" s="40" t="s">
        <v>242</v>
      </c>
      <c r="G5698" s="12"/>
      <c r="H5698" s="12"/>
      <c r="J5698" s="41">
        <f ca="1">ROUNDDOWN(表3[[#This Row],[日期]]-TODAY(),1)</f>
        <v>-2</v>
      </c>
    </row>
    <row r="5699" spans="1:10" hidden="1" x14ac:dyDescent="0.2">
      <c r="A5699" t="s">
        <v>1385</v>
      </c>
      <c r="B5699" s="37">
        <v>43776</v>
      </c>
      <c r="C5699" s="12">
        <v>1</v>
      </c>
      <c r="D5699" s="38" t="s">
        <v>3790</v>
      </c>
      <c r="E5699" s="39">
        <v>43769</v>
      </c>
      <c r="F5699" s="40" t="s">
        <v>242</v>
      </c>
      <c r="G5699" s="12"/>
      <c r="H5699" s="12"/>
      <c r="J5699" s="41">
        <f ca="1">ROUNDDOWN(表3[[#This Row],[日期]]-TODAY(),1)</f>
        <v>-8</v>
      </c>
    </row>
    <row r="5700" spans="1:10" hidden="1" x14ac:dyDescent="0.2">
      <c r="A5700" t="s">
        <v>1385</v>
      </c>
      <c r="B5700" s="37">
        <v>43776</v>
      </c>
      <c r="C5700" s="12">
        <v>2</v>
      </c>
      <c r="D5700" s="38" t="s">
        <v>3719</v>
      </c>
      <c r="E5700" s="39">
        <v>43773</v>
      </c>
      <c r="F5700" s="40" t="s">
        <v>242</v>
      </c>
      <c r="G5700" s="12"/>
      <c r="H5700" s="12"/>
      <c r="J5700" s="41">
        <f ca="1">ROUNDDOWN(表3[[#This Row],[日期]]-TODAY(),1)</f>
        <v>-4</v>
      </c>
    </row>
    <row r="5701" spans="1:10" hidden="1" x14ac:dyDescent="0.2">
      <c r="A5701" t="s">
        <v>1385</v>
      </c>
      <c r="B5701" s="37">
        <v>43776</v>
      </c>
      <c r="C5701" s="12">
        <v>3</v>
      </c>
      <c r="D5701" s="38" t="s">
        <v>3859</v>
      </c>
      <c r="E5701" s="39">
        <v>43774</v>
      </c>
      <c r="F5701" s="40" t="s">
        <v>242</v>
      </c>
      <c r="G5701" s="12"/>
      <c r="H5701" s="12"/>
      <c r="J5701" s="41">
        <f ca="1">ROUNDDOWN(表3[[#This Row],[日期]]-TODAY(),1)</f>
        <v>-3</v>
      </c>
    </row>
    <row r="5702" spans="1:10" hidden="1" x14ac:dyDescent="0.2">
      <c r="A5702" t="s">
        <v>1385</v>
      </c>
      <c r="B5702" s="37">
        <v>43776</v>
      </c>
      <c r="C5702" s="12">
        <v>4</v>
      </c>
      <c r="D5702" s="38" t="s">
        <v>3888</v>
      </c>
      <c r="E5702" s="39">
        <v>43776</v>
      </c>
      <c r="F5702" s="40" t="s">
        <v>242</v>
      </c>
      <c r="G5702" s="12">
        <v>3</v>
      </c>
      <c r="H5702" s="12"/>
      <c r="J5702" s="41">
        <f ca="1">ROUNDDOWN(表3[[#This Row],[日期]]-TODAY(),1)</f>
        <v>-1</v>
      </c>
    </row>
    <row r="5703" spans="1:10" hidden="1" x14ac:dyDescent="0.2">
      <c r="A5703" t="s">
        <v>1385</v>
      </c>
      <c r="B5703" s="37">
        <v>43776</v>
      </c>
      <c r="C5703" s="12">
        <v>5</v>
      </c>
      <c r="D5703" s="38" t="s">
        <v>3935</v>
      </c>
      <c r="E5703" s="39">
        <v>43777</v>
      </c>
      <c r="F5703" s="40" t="s">
        <v>242</v>
      </c>
      <c r="G5703" s="12"/>
      <c r="H5703" s="12"/>
      <c r="J5703" s="41">
        <f ca="1">ROUNDDOWN(表3[[#This Row],[日期]]-TODAY(),1)</f>
        <v>0</v>
      </c>
    </row>
    <row r="5704" spans="1:10" hidden="1" x14ac:dyDescent="0.2">
      <c r="A5704" t="s">
        <v>1385</v>
      </c>
      <c r="B5704" s="37">
        <v>43776</v>
      </c>
      <c r="C5704" s="12">
        <v>6</v>
      </c>
      <c r="D5704" s="38" t="s">
        <v>3721</v>
      </c>
      <c r="E5704" s="39">
        <v>43780</v>
      </c>
      <c r="F5704" s="40" t="s">
        <v>199</v>
      </c>
      <c r="G5704" s="12"/>
      <c r="H5704" s="12"/>
      <c r="J5704" s="41">
        <f ca="1">ROUNDDOWN(表3[[#This Row],[日期]]-TODAY(),1)</f>
        <v>3</v>
      </c>
    </row>
    <row r="5705" spans="1:10" hidden="1" x14ac:dyDescent="0.2">
      <c r="A5705" t="s">
        <v>1385</v>
      </c>
      <c r="B5705" s="37">
        <v>43776</v>
      </c>
      <c r="C5705" s="12">
        <v>7</v>
      </c>
      <c r="D5705" s="38" t="s">
        <v>3720</v>
      </c>
      <c r="E5705" s="39">
        <v>43780</v>
      </c>
      <c r="F5705" s="40" t="s">
        <v>199</v>
      </c>
      <c r="G5705" s="12"/>
      <c r="H5705" s="12"/>
      <c r="J5705" s="41">
        <f ca="1">ROUNDDOWN(表3[[#This Row],[日期]]-TODAY(),1)</f>
        <v>3</v>
      </c>
    </row>
    <row r="5706" spans="1:10" hidden="1" x14ac:dyDescent="0.2">
      <c r="A5706" s="4" t="s">
        <v>149</v>
      </c>
      <c r="B5706" s="37">
        <v>43778</v>
      </c>
      <c r="C5706" s="12">
        <v>1</v>
      </c>
      <c r="D5706" s="38" t="s">
        <v>3747</v>
      </c>
      <c r="E5706" s="39">
        <v>43769</v>
      </c>
      <c r="F5706" s="40" t="s">
        <v>242</v>
      </c>
      <c r="G5706" s="12"/>
      <c r="H5706" s="12"/>
      <c r="J5706" s="41">
        <f ca="1">ROUNDDOWN(表3[[#This Row],[日期]]-TODAY(),1)</f>
        <v>-8</v>
      </c>
    </row>
    <row r="5707" spans="1:10" hidden="1" x14ac:dyDescent="0.2">
      <c r="A5707" s="4" t="s">
        <v>149</v>
      </c>
      <c r="B5707" s="37">
        <v>43778</v>
      </c>
      <c r="C5707" s="12">
        <v>2</v>
      </c>
      <c r="D5707" s="38" t="s">
        <v>3499</v>
      </c>
      <c r="E5707" s="39">
        <v>43773</v>
      </c>
      <c r="F5707" s="40" t="s">
        <v>242</v>
      </c>
      <c r="G5707" s="12"/>
      <c r="H5707" s="12"/>
      <c r="J5707" s="41">
        <f ca="1">ROUNDDOWN(表3[[#This Row],[日期]]-TODAY(),1)</f>
        <v>-4</v>
      </c>
    </row>
    <row r="5708" spans="1:10" hidden="1" x14ac:dyDescent="0.2">
      <c r="A5708" s="4" t="s">
        <v>149</v>
      </c>
      <c r="B5708" s="37">
        <v>43778</v>
      </c>
      <c r="C5708" s="12">
        <v>3</v>
      </c>
      <c r="D5708" s="38" t="s">
        <v>3436</v>
      </c>
      <c r="E5708" s="39">
        <v>43774</v>
      </c>
      <c r="F5708" s="40" t="s">
        <v>242</v>
      </c>
      <c r="G5708" s="12"/>
      <c r="H5708" s="12"/>
      <c r="J5708" s="41">
        <f ca="1">ROUNDDOWN(表3[[#This Row],[日期]]-TODAY(),1)</f>
        <v>-3</v>
      </c>
    </row>
    <row r="5709" spans="1:10" hidden="1" x14ac:dyDescent="0.2">
      <c r="A5709" s="4" t="s">
        <v>149</v>
      </c>
      <c r="B5709" s="37">
        <v>43778</v>
      </c>
      <c r="C5709" s="12">
        <v>4</v>
      </c>
      <c r="D5709" s="38" t="s">
        <v>3906</v>
      </c>
      <c r="E5709" s="39">
        <v>43775</v>
      </c>
      <c r="F5709" s="40" t="s">
        <v>242</v>
      </c>
      <c r="G5709" s="12"/>
      <c r="H5709" s="12"/>
      <c r="J5709" s="41">
        <f ca="1">ROUNDDOWN(表3[[#This Row],[日期]]-TODAY(),1)</f>
        <v>-2</v>
      </c>
    </row>
    <row r="5710" spans="1:10" hidden="1" x14ac:dyDescent="0.2">
      <c r="A5710" s="4" t="s">
        <v>149</v>
      </c>
      <c r="B5710" s="37">
        <v>43778</v>
      </c>
      <c r="C5710" s="12">
        <v>5</v>
      </c>
      <c r="D5710" s="38" t="s">
        <v>3440</v>
      </c>
      <c r="E5710" s="39">
        <v>43775</v>
      </c>
      <c r="F5710" s="40" t="s">
        <v>242</v>
      </c>
      <c r="G5710" s="12"/>
      <c r="H5710" s="12"/>
      <c r="J5710" s="41">
        <f ca="1">ROUNDDOWN(表3[[#This Row],[日期]]-TODAY(),1)</f>
        <v>-2</v>
      </c>
    </row>
    <row r="5711" spans="1:10" hidden="1" x14ac:dyDescent="0.2">
      <c r="A5711" s="4" t="s">
        <v>149</v>
      </c>
      <c r="B5711" s="37">
        <v>43778</v>
      </c>
      <c r="C5711" s="12">
        <v>6</v>
      </c>
      <c r="D5711" s="38" t="s">
        <v>3442</v>
      </c>
      <c r="E5711" s="39">
        <v>43768</v>
      </c>
      <c r="F5711" s="40" t="s">
        <v>1184</v>
      </c>
      <c r="G5711" s="12"/>
      <c r="H5711" s="12"/>
      <c r="J5711" s="41">
        <f ca="1">ROUNDDOWN(表3[[#This Row],[日期]]-TODAY(),1)</f>
        <v>-9</v>
      </c>
    </row>
    <row r="5712" spans="1:10" hidden="1" x14ac:dyDescent="0.2">
      <c r="A5712" s="4" t="s">
        <v>149</v>
      </c>
      <c r="B5712" s="37">
        <v>43778</v>
      </c>
      <c r="C5712" s="12">
        <v>7</v>
      </c>
      <c r="D5712" s="38" t="s">
        <v>3955</v>
      </c>
      <c r="E5712" s="39">
        <v>43779</v>
      </c>
      <c r="F5712" s="40" t="s">
        <v>199</v>
      </c>
      <c r="G5712" s="12"/>
      <c r="H5712" s="12"/>
      <c r="J5712" s="41">
        <f ca="1">ROUNDDOWN(表3[[#This Row],[日期]]-TODAY(),1)</f>
        <v>2</v>
      </c>
    </row>
    <row r="5713" spans="1:10" hidden="1" x14ac:dyDescent="0.2">
      <c r="A5713" s="4" t="s">
        <v>149</v>
      </c>
      <c r="B5713" s="37">
        <v>43778</v>
      </c>
      <c r="C5713" s="12">
        <v>8</v>
      </c>
      <c r="D5713" s="38" t="s">
        <v>3445</v>
      </c>
      <c r="E5713" s="39">
        <v>43779</v>
      </c>
      <c r="F5713" s="40" t="s">
        <v>199</v>
      </c>
      <c r="G5713" s="12"/>
      <c r="H5713" s="12"/>
      <c r="J5713" s="41">
        <f ca="1">ROUNDDOWN(表3[[#This Row],[日期]]-TODAY(),1)</f>
        <v>2</v>
      </c>
    </row>
    <row r="5714" spans="1:10" hidden="1" x14ac:dyDescent="0.2">
      <c r="A5714" s="4" t="s">
        <v>2</v>
      </c>
      <c r="B5714" s="37">
        <v>43777</v>
      </c>
      <c r="C5714" s="12">
        <v>1</v>
      </c>
      <c r="D5714" s="38" t="s">
        <v>3755</v>
      </c>
      <c r="E5714" s="39">
        <v>43767</v>
      </c>
      <c r="F5714" s="40" t="s">
        <v>242</v>
      </c>
      <c r="G5714" s="12"/>
      <c r="H5714" s="12"/>
      <c r="J5714" s="41">
        <f ca="1">ROUNDDOWN(表3[[#This Row],[日期]]-TODAY(),1)</f>
        <v>-10</v>
      </c>
    </row>
    <row r="5715" spans="1:10" hidden="1" x14ac:dyDescent="0.2">
      <c r="A5715" s="4" t="s">
        <v>2</v>
      </c>
      <c r="B5715" s="37">
        <v>43777</v>
      </c>
      <c r="C5715" s="12">
        <v>2</v>
      </c>
      <c r="D5715" s="38" t="s">
        <v>3587</v>
      </c>
      <c r="E5715" s="39">
        <v>43773</v>
      </c>
      <c r="F5715" s="40" t="s">
        <v>242</v>
      </c>
      <c r="G5715" s="12"/>
      <c r="H5715" s="12"/>
      <c r="J5715" s="41">
        <f ca="1">ROUNDDOWN(表3[[#This Row],[日期]]-TODAY(),1)</f>
        <v>-4</v>
      </c>
    </row>
    <row r="5716" spans="1:10" hidden="1" x14ac:dyDescent="0.2">
      <c r="A5716" s="4" t="s">
        <v>2</v>
      </c>
      <c r="B5716" s="37">
        <v>43777</v>
      </c>
      <c r="C5716" s="12">
        <v>3</v>
      </c>
      <c r="D5716" s="38" t="s">
        <v>3354</v>
      </c>
      <c r="E5716" s="39">
        <v>43774</v>
      </c>
      <c r="F5716" s="40" t="s">
        <v>242</v>
      </c>
      <c r="G5716" s="12"/>
      <c r="H5716" s="12"/>
      <c r="J5716" s="41">
        <f ca="1">ROUNDDOWN(表3[[#This Row],[日期]]-TODAY(),1)</f>
        <v>-3</v>
      </c>
    </row>
    <row r="5717" spans="1:10" hidden="1" x14ac:dyDescent="0.2">
      <c r="A5717" s="4" t="s">
        <v>2</v>
      </c>
      <c r="B5717" s="37">
        <v>43777</v>
      </c>
      <c r="C5717" s="12">
        <v>4</v>
      </c>
      <c r="D5717" s="38" t="s">
        <v>3356</v>
      </c>
      <c r="E5717" s="39">
        <v>43774</v>
      </c>
      <c r="F5717" s="40" t="s">
        <v>242</v>
      </c>
      <c r="G5717" s="12"/>
      <c r="H5717" s="12"/>
      <c r="J5717" s="41">
        <f ca="1">ROUNDDOWN(表3[[#This Row],[日期]]-TODAY(),1)</f>
        <v>-3</v>
      </c>
    </row>
    <row r="5718" spans="1:10" hidden="1" x14ac:dyDescent="0.2">
      <c r="A5718" s="4" t="s">
        <v>2</v>
      </c>
      <c r="B5718" s="37">
        <v>43777</v>
      </c>
      <c r="C5718" s="12">
        <v>5</v>
      </c>
      <c r="D5718" s="38" t="s">
        <v>3360</v>
      </c>
      <c r="E5718" s="39">
        <v>43774</v>
      </c>
      <c r="F5718" s="40" t="s">
        <v>242</v>
      </c>
      <c r="G5718" s="12"/>
      <c r="H5718" s="12"/>
      <c r="J5718" s="41">
        <f ca="1">ROUNDDOWN(表3[[#This Row],[日期]]-TODAY(),1)</f>
        <v>-3</v>
      </c>
    </row>
    <row r="5719" spans="1:10" hidden="1" x14ac:dyDescent="0.2">
      <c r="A5719" s="4" t="s">
        <v>2</v>
      </c>
      <c r="B5719" s="37">
        <v>43777</v>
      </c>
      <c r="C5719" s="12">
        <v>6</v>
      </c>
      <c r="D5719" s="38" t="s">
        <v>3358</v>
      </c>
      <c r="E5719" s="39">
        <v>43774</v>
      </c>
      <c r="F5719" s="40" t="s">
        <v>242</v>
      </c>
      <c r="G5719" s="12"/>
      <c r="H5719" s="12"/>
      <c r="J5719" s="41">
        <f ca="1">ROUNDDOWN(表3[[#This Row],[日期]]-TODAY(),1)</f>
        <v>-3</v>
      </c>
    </row>
    <row r="5720" spans="1:10" hidden="1" x14ac:dyDescent="0.2">
      <c r="A5720" s="4" t="s">
        <v>2</v>
      </c>
      <c r="B5720" s="37">
        <v>43777</v>
      </c>
      <c r="C5720" s="12">
        <v>7</v>
      </c>
      <c r="D5720" s="38" t="s">
        <v>3362</v>
      </c>
      <c r="E5720" s="39">
        <v>43774</v>
      </c>
      <c r="F5720" s="40" t="s">
        <v>242</v>
      </c>
      <c r="G5720" s="12"/>
      <c r="H5720" s="12"/>
      <c r="J5720" s="41">
        <f ca="1">ROUNDDOWN(表3[[#This Row],[日期]]-TODAY(),1)</f>
        <v>-3</v>
      </c>
    </row>
    <row r="5721" spans="1:10" hidden="1" x14ac:dyDescent="0.2">
      <c r="A5721" s="4" t="s">
        <v>2</v>
      </c>
      <c r="B5721" s="37">
        <v>43777</v>
      </c>
      <c r="C5721" s="12">
        <v>8</v>
      </c>
      <c r="D5721" s="38" t="s">
        <v>3882</v>
      </c>
      <c r="E5721" s="39">
        <v>43775</v>
      </c>
      <c r="F5721" s="40" t="s">
        <v>242</v>
      </c>
      <c r="G5721" s="12"/>
      <c r="H5721" s="12"/>
      <c r="J5721" s="41">
        <f ca="1">ROUNDDOWN(表3[[#This Row],[日期]]-TODAY(),1)</f>
        <v>-2</v>
      </c>
    </row>
    <row r="5722" spans="1:10" hidden="1" x14ac:dyDescent="0.2">
      <c r="A5722" s="4" t="s">
        <v>2</v>
      </c>
      <c r="B5722" s="37">
        <v>43777</v>
      </c>
      <c r="C5722" s="12">
        <v>9</v>
      </c>
      <c r="D5722" s="38" t="s">
        <v>3364</v>
      </c>
      <c r="E5722" s="39">
        <v>43774</v>
      </c>
      <c r="F5722" s="40" t="s">
        <v>1184</v>
      </c>
      <c r="G5722" s="12"/>
      <c r="H5722" s="12"/>
      <c r="J5722" s="41">
        <f ca="1">ROUNDDOWN(表3[[#This Row],[日期]]-TODAY(),1)</f>
        <v>-3</v>
      </c>
    </row>
    <row r="5723" spans="1:10" hidden="1" x14ac:dyDescent="0.2">
      <c r="A5723" s="4" t="s">
        <v>2</v>
      </c>
      <c r="B5723" s="37">
        <v>43777</v>
      </c>
      <c r="C5723" s="12">
        <v>10</v>
      </c>
      <c r="D5723" s="38" t="s">
        <v>3937</v>
      </c>
      <c r="E5723" s="39">
        <v>43778</v>
      </c>
      <c r="F5723" s="40" t="s">
        <v>199</v>
      </c>
      <c r="G5723" s="12"/>
      <c r="H5723" s="12"/>
      <c r="J5723" s="41">
        <f ca="1">ROUNDDOWN(表3[[#This Row],[日期]]-TODAY(),1)</f>
        <v>1</v>
      </c>
    </row>
    <row r="5724" spans="1:10" hidden="1" x14ac:dyDescent="0.2">
      <c r="A5724" s="4" t="s">
        <v>2</v>
      </c>
      <c r="B5724" s="37">
        <v>43777</v>
      </c>
      <c r="C5724" s="12">
        <v>11</v>
      </c>
      <c r="D5724" s="38" t="s">
        <v>3370</v>
      </c>
      <c r="E5724" s="39">
        <v>43779</v>
      </c>
      <c r="F5724" s="40" t="s">
        <v>199</v>
      </c>
      <c r="G5724" s="12"/>
      <c r="H5724" s="12"/>
      <c r="J5724" s="41">
        <f ca="1">ROUNDDOWN(表3[[#This Row],[日期]]-TODAY(),1)</f>
        <v>2</v>
      </c>
    </row>
    <row r="5725" spans="1:10" hidden="1" x14ac:dyDescent="0.2">
      <c r="A5725" s="4" t="s">
        <v>1371</v>
      </c>
      <c r="B5725" s="37">
        <v>43779</v>
      </c>
      <c r="C5725" s="12">
        <v>0</v>
      </c>
      <c r="D5725" s="38" t="s">
        <v>3299</v>
      </c>
      <c r="E5725" s="39">
        <v>43751</v>
      </c>
      <c r="F5725" s="40" t="s">
        <v>242</v>
      </c>
      <c r="G5725" s="12"/>
      <c r="H5725" s="12"/>
      <c r="J5725" s="41">
        <f ca="1">ROUNDDOWN(表3[[#This Row],[日期]]-TODAY(),1)</f>
        <v>-26</v>
      </c>
    </row>
    <row r="5726" spans="1:10" hidden="1" x14ac:dyDescent="0.2">
      <c r="A5726" s="4" t="s">
        <v>1371</v>
      </c>
      <c r="B5726" s="37">
        <v>43779</v>
      </c>
      <c r="C5726" s="12">
        <v>1</v>
      </c>
      <c r="D5726" s="38" t="s">
        <v>3378</v>
      </c>
      <c r="E5726" s="39">
        <v>43752</v>
      </c>
      <c r="F5726" s="40" t="s">
        <v>242</v>
      </c>
      <c r="G5726" s="12"/>
      <c r="H5726" s="12"/>
      <c r="J5726" s="41">
        <f ca="1">ROUNDDOWN(表3[[#This Row],[日期]]-TODAY(),1)</f>
        <v>-25</v>
      </c>
    </row>
    <row r="5727" spans="1:10" hidden="1" x14ac:dyDescent="0.2">
      <c r="A5727" s="4" t="s">
        <v>1371</v>
      </c>
      <c r="B5727" s="37">
        <v>43779</v>
      </c>
      <c r="C5727" s="12">
        <v>2</v>
      </c>
      <c r="D5727" s="38" t="s">
        <v>3301</v>
      </c>
      <c r="E5727" s="39">
        <v>43774</v>
      </c>
      <c r="F5727" s="40" t="s">
        <v>3572</v>
      </c>
      <c r="G5727" s="12"/>
      <c r="H5727" s="12"/>
      <c r="J5727" s="41">
        <f ca="1">ROUNDDOWN(表3[[#This Row],[日期]]-TODAY(),1)</f>
        <v>-3</v>
      </c>
    </row>
    <row r="5728" spans="1:10" hidden="1" x14ac:dyDescent="0.2">
      <c r="A5728" s="4" t="s">
        <v>1371</v>
      </c>
      <c r="B5728" s="37">
        <v>43779</v>
      </c>
      <c r="C5728" s="12">
        <v>3</v>
      </c>
      <c r="D5728" s="38" t="s">
        <v>3307</v>
      </c>
      <c r="E5728" s="39">
        <v>43776</v>
      </c>
      <c r="F5728" s="40" t="s">
        <v>3572</v>
      </c>
      <c r="G5728" s="12"/>
      <c r="H5728" s="12"/>
      <c r="I5728" s="4" t="s">
        <v>3303</v>
      </c>
      <c r="J5728" s="41">
        <f ca="1">ROUNDDOWN(表3[[#This Row],[日期]]-TODAY(),1)</f>
        <v>-1</v>
      </c>
    </row>
    <row r="5729" spans="1:10" hidden="1" x14ac:dyDescent="0.2">
      <c r="A5729" s="4" t="s">
        <v>1371</v>
      </c>
      <c r="B5729" s="37">
        <v>43779</v>
      </c>
      <c r="C5729" s="12">
        <v>4</v>
      </c>
      <c r="D5729" s="38" t="s">
        <v>3305</v>
      </c>
      <c r="E5729" s="39">
        <v>43776</v>
      </c>
      <c r="F5729" s="40" t="s">
        <v>3572</v>
      </c>
      <c r="G5729" s="12"/>
      <c r="H5729" s="12"/>
      <c r="J5729" s="41">
        <f ca="1">ROUNDDOWN(表3[[#This Row],[日期]]-TODAY(),1)</f>
        <v>-1</v>
      </c>
    </row>
    <row r="5730" spans="1:10" hidden="1" x14ac:dyDescent="0.2">
      <c r="A5730" s="4" t="s">
        <v>1371</v>
      </c>
      <c r="B5730" s="37">
        <v>43779</v>
      </c>
      <c r="C5730" s="12">
        <v>5</v>
      </c>
      <c r="D5730" s="38" t="s">
        <v>3309</v>
      </c>
      <c r="E5730" s="39">
        <v>43777</v>
      </c>
      <c r="F5730" s="40" t="s">
        <v>3572</v>
      </c>
      <c r="G5730" s="12"/>
      <c r="H5730" s="12"/>
      <c r="J5730" s="41">
        <f ca="1">ROUNDDOWN(表3[[#This Row],[日期]]-TODAY(),1)</f>
        <v>0</v>
      </c>
    </row>
    <row r="5731" spans="1:10" hidden="1" x14ac:dyDescent="0.2">
      <c r="A5731" s="4" t="s">
        <v>1371</v>
      </c>
      <c r="B5731" s="37">
        <v>43779</v>
      </c>
      <c r="C5731" s="12">
        <v>6</v>
      </c>
      <c r="D5731" s="38" t="s">
        <v>3311</v>
      </c>
      <c r="E5731" s="39">
        <v>43777</v>
      </c>
      <c r="F5731" s="40" t="s">
        <v>3572</v>
      </c>
      <c r="G5731" s="12"/>
      <c r="H5731" s="12"/>
      <c r="J5731" s="41">
        <f ca="1">ROUNDDOWN(表3[[#This Row],[日期]]-TODAY(),1)</f>
        <v>0</v>
      </c>
    </row>
    <row r="5732" spans="1:10" hidden="1" x14ac:dyDescent="0.2">
      <c r="A5732" s="4" t="s">
        <v>1371</v>
      </c>
      <c r="B5732" s="37">
        <v>43779</v>
      </c>
      <c r="C5732" s="12">
        <v>7</v>
      </c>
      <c r="D5732" s="38" t="s">
        <v>3315</v>
      </c>
      <c r="E5732" s="39">
        <v>43783</v>
      </c>
      <c r="F5732" s="40" t="s">
        <v>3572</v>
      </c>
      <c r="G5732" s="12"/>
      <c r="H5732" s="12"/>
      <c r="J5732" s="41">
        <f ca="1">ROUNDDOWN(表3[[#This Row],[日期]]-TODAY(),1)</f>
        <v>6</v>
      </c>
    </row>
    <row r="5733" spans="1:10" hidden="1" x14ac:dyDescent="0.2">
      <c r="A5733" s="4" t="s">
        <v>3793</v>
      </c>
      <c r="B5733" s="37">
        <v>43782</v>
      </c>
      <c r="C5733" s="12">
        <v>1</v>
      </c>
      <c r="D5733" s="38" t="s">
        <v>3794</v>
      </c>
      <c r="E5733" s="39">
        <v>43769</v>
      </c>
      <c r="F5733" s="40" t="s">
        <v>242</v>
      </c>
      <c r="G5733" s="12"/>
      <c r="H5733" s="12"/>
      <c r="J5733" s="41">
        <f ca="1">ROUNDDOWN(表3[[#This Row],[日期]]-TODAY(),1)</f>
        <v>-8</v>
      </c>
    </row>
    <row r="5734" spans="1:10" hidden="1" x14ac:dyDescent="0.2">
      <c r="A5734" s="4" t="s">
        <v>3793</v>
      </c>
      <c r="B5734" s="37">
        <v>43782</v>
      </c>
      <c r="C5734" s="12">
        <v>2</v>
      </c>
      <c r="D5734" s="38" t="s">
        <v>3499</v>
      </c>
      <c r="E5734" s="39">
        <v>43775</v>
      </c>
      <c r="F5734" s="40" t="s">
        <v>242</v>
      </c>
      <c r="G5734" s="12"/>
      <c r="H5734" s="12"/>
      <c r="J5734" s="41">
        <f ca="1">ROUNDDOWN(表3[[#This Row],[日期]]-TODAY(),1)</f>
        <v>-2</v>
      </c>
    </row>
    <row r="5735" spans="1:10" hidden="1" x14ac:dyDescent="0.2">
      <c r="A5735" s="4" t="s">
        <v>3793</v>
      </c>
      <c r="B5735" s="37">
        <v>43782</v>
      </c>
      <c r="C5735" s="12">
        <v>3</v>
      </c>
      <c r="D5735" s="38" t="s">
        <v>3436</v>
      </c>
      <c r="E5735" s="39">
        <v>43775</v>
      </c>
      <c r="F5735" s="40" t="s">
        <v>242</v>
      </c>
      <c r="G5735" s="12"/>
      <c r="H5735" s="12"/>
      <c r="J5735" s="41">
        <f ca="1">ROUNDDOWN(表3[[#This Row],[日期]]-TODAY(),1)</f>
        <v>-2</v>
      </c>
    </row>
    <row r="5736" spans="1:10" hidden="1" x14ac:dyDescent="0.2">
      <c r="A5736" s="4" t="s">
        <v>3793</v>
      </c>
      <c r="B5736" s="37">
        <v>43782</v>
      </c>
      <c r="C5736" s="12">
        <v>4</v>
      </c>
      <c r="D5736" s="38" t="s">
        <v>3939</v>
      </c>
      <c r="E5736" s="39">
        <v>43777</v>
      </c>
      <c r="F5736" s="40" t="s">
        <v>242</v>
      </c>
      <c r="G5736" s="12"/>
      <c r="H5736" s="12"/>
      <c r="J5736" s="41">
        <f ca="1">ROUNDDOWN(表3[[#This Row],[日期]]-TODAY(),1)</f>
        <v>0</v>
      </c>
    </row>
    <row r="5737" spans="1:10" hidden="1" x14ac:dyDescent="0.2">
      <c r="A5737" s="4" t="s">
        <v>3793</v>
      </c>
      <c r="B5737" s="37">
        <v>43782</v>
      </c>
      <c r="C5737" s="12">
        <v>5</v>
      </c>
      <c r="D5737" s="38" t="s">
        <v>3440</v>
      </c>
      <c r="E5737" s="39">
        <v>43777</v>
      </c>
      <c r="F5737" s="40" t="s">
        <v>1184</v>
      </c>
      <c r="G5737" s="12"/>
      <c r="H5737" s="12"/>
      <c r="J5737" s="41">
        <f ca="1">ROUNDDOWN(表3[[#This Row],[日期]]-TODAY(),1)</f>
        <v>0</v>
      </c>
    </row>
    <row r="5738" spans="1:10" hidden="1" x14ac:dyDescent="0.2">
      <c r="A5738" s="4" t="s">
        <v>3793</v>
      </c>
      <c r="B5738" s="37">
        <v>43782</v>
      </c>
      <c r="C5738" s="12">
        <v>6</v>
      </c>
      <c r="D5738" s="38" t="s">
        <v>3941</v>
      </c>
      <c r="E5738" s="39">
        <v>43778</v>
      </c>
      <c r="F5738" s="40" t="s">
        <v>199</v>
      </c>
      <c r="G5738" s="12"/>
      <c r="H5738" s="12"/>
      <c r="J5738" s="41">
        <f ca="1">ROUNDDOWN(表3[[#This Row],[日期]]-TODAY(),1)</f>
        <v>1</v>
      </c>
    </row>
    <row r="5739" spans="1:10" hidden="1" x14ac:dyDescent="0.2">
      <c r="A5739" s="4" t="s">
        <v>3793</v>
      </c>
      <c r="B5739" s="37">
        <v>43782</v>
      </c>
      <c r="C5739" s="12">
        <v>7</v>
      </c>
      <c r="D5739" s="38" t="s">
        <v>3443</v>
      </c>
      <c r="E5739" s="39">
        <v>43778</v>
      </c>
      <c r="F5739" s="40" t="s">
        <v>199</v>
      </c>
      <c r="G5739" s="12"/>
      <c r="H5739" s="12"/>
      <c r="J5739" s="41">
        <f ca="1">ROUNDDOWN(表3[[#This Row],[日期]]-TODAY(),1)</f>
        <v>1</v>
      </c>
    </row>
    <row r="5740" spans="1:10" hidden="1" x14ac:dyDescent="0.2">
      <c r="A5740" s="4" t="s">
        <v>3793</v>
      </c>
      <c r="B5740" s="37">
        <v>43782</v>
      </c>
      <c r="C5740" s="12">
        <v>8</v>
      </c>
      <c r="D5740" s="38" t="s">
        <v>3445</v>
      </c>
      <c r="E5740" s="39">
        <v>43779</v>
      </c>
      <c r="F5740" s="40" t="s">
        <v>199</v>
      </c>
      <c r="G5740" s="12"/>
      <c r="H5740" s="12"/>
      <c r="J5740" s="41">
        <f ca="1">ROUNDDOWN(表3[[#This Row],[日期]]-TODAY(),1)</f>
        <v>2</v>
      </c>
    </row>
    <row r="5741" spans="1:10" hidden="1" x14ac:dyDescent="0.2">
      <c r="A5741" s="4" t="s">
        <v>1371</v>
      </c>
      <c r="B5741" s="37">
        <v>43786</v>
      </c>
      <c r="C5741" s="12">
        <v>0</v>
      </c>
      <c r="D5741" s="38" t="s">
        <v>3299</v>
      </c>
      <c r="E5741" s="39">
        <v>43751</v>
      </c>
      <c r="F5741" s="40" t="s">
        <v>242</v>
      </c>
      <c r="G5741" s="12"/>
      <c r="H5741" s="12"/>
      <c r="J5741" s="41">
        <f ca="1">ROUNDDOWN(表3[[#This Row],[日期]]-TODAY(),1)</f>
        <v>-26</v>
      </c>
    </row>
    <row r="5742" spans="1:10" hidden="1" x14ac:dyDescent="0.2">
      <c r="A5742" s="4" t="s">
        <v>1371</v>
      </c>
      <c r="B5742" s="37">
        <v>43786</v>
      </c>
      <c r="C5742" s="12">
        <v>1</v>
      </c>
      <c r="D5742" s="38" t="s">
        <v>3378</v>
      </c>
      <c r="E5742" s="39">
        <v>43752</v>
      </c>
      <c r="F5742" s="40" t="s">
        <v>242</v>
      </c>
      <c r="G5742" s="12"/>
      <c r="H5742" s="12"/>
      <c r="J5742" s="41">
        <f ca="1">ROUNDDOWN(表3[[#This Row],[日期]]-TODAY(),1)</f>
        <v>-25</v>
      </c>
    </row>
    <row r="5743" spans="1:10" hidden="1" x14ac:dyDescent="0.2">
      <c r="A5743" s="4" t="s">
        <v>1371</v>
      </c>
      <c r="B5743" s="37">
        <v>43786</v>
      </c>
      <c r="C5743" s="12">
        <v>2</v>
      </c>
      <c r="D5743" s="38" t="s">
        <v>3301</v>
      </c>
      <c r="E5743" s="39">
        <v>43781</v>
      </c>
      <c r="F5743" s="40" t="s">
        <v>199</v>
      </c>
      <c r="G5743" s="12"/>
      <c r="H5743" s="12"/>
      <c r="J5743" s="41">
        <f ca="1">ROUNDDOWN(表3[[#This Row],[日期]]-TODAY(),1)</f>
        <v>4</v>
      </c>
    </row>
    <row r="5744" spans="1:10" hidden="1" x14ac:dyDescent="0.2">
      <c r="A5744" s="4" t="s">
        <v>1371</v>
      </c>
      <c r="B5744" s="37">
        <v>43786</v>
      </c>
      <c r="C5744" s="12">
        <v>3</v>
      </c>
      <c r="D5744" s="38" t="s">
        <v>3307</v>
      </c>
      <c r="E5744" s="39">
        <v>43782</v>
      </c>
      <c r="F5744" s="40" t="s">
        <v>199</v>
      </c>
      <c r="G5744" s="12"/>
      <c r="H5744" s="12"/>
      <c r="I5744" s="4" t="s">
        <v>3303</v>
      </c>
      <c r="J5744" s="41">
        <f ca="1">ROUNDDOWN(表3[[#This Row],[日期]]-TODAY(),1)</f>
        <v>5</v>
      </c>
    </row>
    <row r="5745" spans="1:10" hidden="1" x14ac:dyDescent="0.2">
      <c r="A5745" s="4" t="s">
        <v>1371</v>
      </c>
      <c r="B5745" s="37">
        <v>43786</v>
      </c>
      <c r="C5745" s="12">
        <v>4</v>
      </c>
      <c r="D5745" s="38" t="s">
        <v>3305</v>
      </c>
      <c r="E5745" s="39">
        <v>43782</v>
      </c>
      <c r="F5745" s="40" t="s">
        <v>199</v>
      </c>
      <c r="G5745" s="12"/>
      <c r="H5745" s="12"/>
      <c r="J5745" s="41">
        <f ca="1">ROUNDDOWN(表3[[#This Row],[日期]]-TODAY(),1)</f>
        <v>5</v>
      </c>
    </row>
    <row r="5746" spans="1:10" hidden="1" x14ac:dyDescent="0.2">
      <c r="A5746" s="4" t="s">
        <v>1371</v>
      </c>
      <c r="B5746" s="37">
        <v>43786</v>
      </c>
      <c r="C5746" s="12">
        <v>5</v>
      </c>
      <c r="D5746" s="38" t="s">
        <v>3309</v>
      </c>
      <c r="E5746" s="39">
        <v>43783</v>
      </c>
      <c r="F5746" s="40" t="s">
        <v>199</v>
      </c>
      <c r="G5746" s="12"/>
      <c r="H5746" s="12"/>
      <c r="J5746" s="41">
        <f ca="1">ROUNDDOWN(表3[[#This Row],[日期]]-TODAY(),1)</f>
        <v>6</v>
      </c>
    </row>
    <row r="5747" spans="1:10" hidden="1" x14ac:dyDescent="0.2">
      <c r="A5747" s="4" t="s">
        <v>1371</v>
      </c>
      <c r="B5747" s="37">
        <v>43786</v>
      </c>
      <c r="C5747" s="12">
        <v>6</v>
      </c>
      <c r="D5747" s="38" t="s">
        <v>3311</v>
      </c>
      <c r="E5747" s="39">
        <v>43783</v>
      </c>
      <c r="F5747" s="40" t="s">
        <v>199</v>
      </c>
      <c r="G5747" s="12"/>
      <c r="H5747" s="12"/>
      <c r="J5747" s="41">
        <f ca="1">ROUNDDOWN(表3[[#This Row],[日期]]-TODAY(),1)</f>
        <v>6</v>
      </c>
    </row>
    <row r="5748" spans="1:10" hidden="1" x14ac:dyDescent="0.2">
      <c r="A5748" s="4" t="s">
        <v>1371</v>
      </c>
      <c r="B5748" s="37">
        <v>43786</v>
      </c>
      <c r="C5748" s="12">
        <v>7</v>
      </c>
      <c r="D5748" s="38" t="s">
        <v>3315</v>
      </c>
      <c r="E5748" s="39">
        <v>43789</v>
      </c>
      <c r="F5748" s="40" t="s">
        <v>199</v>
      </c>
      <c r="G5748" s="12"/>
      <c r="H5748" s="12"/>
      <c r="J5748" s="41">
        <f ca="1">ROUNDDOWN(表3[[#This Row],[日期]]-TODAY(),1)</f>
        <v>12</v>
      </c>
    </row>
    <row r="5749" spans="1:10" hidden="1" x14ac:dyDescent="0.2">
      <c r="A5749" s="4" t="s">
        <v>156</v>
      </c>
      <c r="B5749" s="37">
        <v>43789</v>
      </c>
      <c r="C5749" s="12">
        <v>1</v>
      </c>
      <c r="D5749" s="38" t="s">
        <v>208</v>
      </c>
      <c r="E5749" s="39">
        <v>43754</v>
      </c>
      <c r="F5749" s="40" t="s">
        <v>3462</v>
      </c>
      <c r="G5749" s="12"/>
      <c r="H5749" s="12"/>
      <c r="J5749" s="41">
        <f ca="1">ROUNDDOWN(表3[[#This Row],[日期]]-TODAY(),1)</f>
        <v>-23</v>
      </c>
    </row>
    <row r="5750" spans="1:10" hidden="1" x14ac:dyDescent="0.2">
      <c r="A5750" s="4" t="s">
        <v>156</v>
      </c>
      <c r="B5750" s="37">
        <v>43789</v>
      </c>
      <c r="C5750" s="12">
        <v>2</v>
      </c>
      <c r="D5750" s="38" t="s">
        <v>209</v>
      </c>
      <c r="E5750" s="39">
        <v>43754</v>
      </c>
      <c r="F5750" s="40" t="s">
        <v>3462</v>
      </c>
      <c r="G5750" s="12"/>
      <c r="H5750" s="12"/>
      <c r="J5750" s="41">
        <f ca="1">ROUNDDOWN(表3[[#This Row],[日期]]-TODAY(),1)</f>
        <v>-23</v>
      </c>
    </row>
    <row r="5751" spans="1:10" hidden="1" x14ac:dyDescent="0.2">
      <c r="A5751" s="4" t="s">
        <v>156</v>
      </c>
      <c r="B5751" s="37">
        <v>43789</v>
      </c>
      <c r="C5751" s="12">
        <v>3</v>
      </c>
      <c r="D5751" s="38" t="s">
        <v>2696</v>
      </c>
      <c r="E5751" s="39">
        <v>43762</v>
      </c>
      <c r="F5751" s="40" t="s">
        <v>242</v>
      </c>
      <c r="G5751" s="12"/>
      <c r="H5751" s="12"/>
      <c r="I5751" s="4" t="s">
        <v>211</v>
      </c>
      <c r="J5751" s="41">
        <f ca="1">ROUNDDOWN(表3[[#This Row],[日期]]-TODAY(),1)</f>
        <v>-15</v>
      </c>
    </row>
    <row r="5752" spans="1:10" hidden="1" x14ac:dyDescent="0.2">
      <c r="A5752" s="4" t="s">
        <v>156</v>
      </c>
      <c r="B5752" s="37">
        <v>43789</v>
      </c>
      <c r="C5752" s="12">
        <v>5</v>
      </c>
      <c r="D5752" s="38" t="s">
        <v>1263</v>
      </c>
      <c r="E5752" s="39">
        <v>43770</v>
      </c>
      <c r="F5752" s="40" t="s">
        <v>242</v>
      </c>
      <c r="G5752" s="12"/>
      <c r="H5752" s="12"/>
      <c r="J5752" s="41">
        <f ca="1">ROUNDDOWN(表3[[#This Row],[日期]]-TODAY(),1)</f>
        <v>-7</v>
      </c>
    </row>
    <row r="5753" spans="1:10" hidden="1" x14ac:dyDescent="0.2">
      <c r="A5753" s="4" t="s">
        <v>156</v>
      </c>
      <c r="B5753" s="37">
        <v>43789</v>
      </c>
      <c r="C5753" s="12">
        <v>6</v>
      </c>
      <c r="D5753" s="38" t="s">
        <v>1859</v>
      </c>
      <c r="E5753" s="39">
        <v>43770</v>
      </c>
      <c r="F5753" s="40" t="s">
        <v>242</v>
      </c>
      <c r="G5753" s="12"/>
      <c r="H5753" s="12"/>
      <c r="J5753" s="41">
        <f ca="1">ROUNDDOWN(表3[[#This Row],[日期]]-TODAY(),1)</f>
        <v>-7</v>
      </c>
    </row>
    <row r="5754" spans="1:10" hidden="1" x14ac:dyDescent="0.2">
      <c r="A5754" s="4" t="s">
        <v>156</v>
      </c>
      <c r="B5754" s="37">
        <v>43789</v>
      </c>
      <c r="C5754" s="12">
        <v>7</v>
      </c>
      <c r="D5754" s="38" t="s">
        <v>1860</v>
      </c>
      <c r="E5754" s="39">
        <v>43781</v>
      </c>
      <c r="F5754" s="40" t="s">
        <v>199</v>
      </c>
      <c r="G5754" s="12"/>
      <c r="H5754" s="12"/>
      <c r="I5754" s="4" t="s">
        <v>1265</v>
      </c>
      <c r="J5754" s="41">
        <f ca="1">ROUNDDOWN(表3[[#This Row],[日期]]-TODAY(),1)</f>
        <v>4</v>
      </c>
    </row>
    <row r="5755" spans="1:10" hidden="1" x14ac:dyDescent="0.2">
      <c r="A5755" s="4" t="s">
        <v>156</v>
      </c>
      <c r="B5755" s="37">
        <v>43789</v>
      </c>
      <c r="C5755" s="12">
        <v>8</v>
      </c>
      <c r="D5755" s="38" t="s">
        <v>972</v>
      </c>
      <c r="E5755" s="39">
        <v>43781</v>
      </c>
      <c r="F5755" s="40" t="s">
        <v>199</v>
      </c>
      <c r="G5755" s="12"/>
      <c r="H5755" s="12"/>
      <c r="I5755" s="4" t="s">
        <v>246</v>
      </c>
      <c r="J5755" s="41">
        <f ca="1">ROUNDDOWN(表3[[#This Row],[日期]]-TODAY(),1)</f>
        <v>4</v>
      </c>
    </row>
    <row r="5756" spans="1:10" hidden="1" x14ac:dyDescent="0.2">
      <c r="A5756" s="4" t="s">
        <v>156</v>
      </c>
      <c r="B5756" s="37">
        <v>43789</v>
      </c>
      <c r="C5756" s="12">
        <v>9</v>
      </c>
      <c r="D5756" s="38" t="s">
        <v>2697</v>
      </c>
      <c r="E5756" s="39">
        <v>43781</v>
      </c>
      <c r="F5756" s="40" t="s">
        <v>199</v>
      </c>
      <c r="G5756" s="12"/>
      <c r="H5756" s="12"/>
      <c r="J5756" s="41">
        <f ca="1">ROUNDDOWN(表3[[#This Row],[日期]]-TODAY(),1)</f>
        <v>4</v>
      </c>
    </row>
    <row r="5757" spans="1:10" hidden="1" x14ac:dyDescent="0.2">
      <c r="A5757" s="4" t="s">
        <v>156</v>
      </c>
      <c r="B5757" s="37">
        <v>43789</v>
      </c>
      <c r="C5757" s="12">
        <v>10</v>
      </c>
      <c r="D5757" s="38" t="s">
        <v>74</v>
      </c>
      <c r="E5757" s="39">
        <v>43781</v>
      </c>
      <c r="F5757" s="40" t="s">
        <v>199</v>
      </c>
      <c r="G5757" s="12"/>
      <c r="H5757" s="12"/>
      <c r="J5757" s="41">
        <f ca="1">ROUNDDOWN(表3[[#This Row],[日期]]-TODAY(),1)</f>
        <v>4</v>
      </c>
    </row>
    <row r="5758" spans="1:10" hidden="1" x14ac:dyDescent="0.2">
      <c r="A5758" s="4" t="s">
        <v>156</v>
      </c>
      <c r="B5758" s="37">
        <v>43789</v>
      </c>
      <c r="C5758" s="12">
        <v>11</v>
      </c>
      <c r="D5758" s="38" t="s">
        <v>1861</v>
      </c>
      <c r="E5758" s="39">
        <v>43781</v>
      </c>
      <c r="F5758" s="40" t="s">
        <v>199</v>
      </c>
      <c r="G5758" s="12"/>
      <c r="H5758" s="12"/>
      <c r="J5758" s="41">
        <f ca="1">ROUNDDOWN(表3[[#This Row],[日期]]-TODAY(),1)</f>
        <v>4</v>
      </c>
    </row>
    <row r="5759" spans="1:10" hidden="1" x14ac:dyDescent="0.2">
      <c r="A5759" s="4" t="s">
        <v>156</v>
      </c>
      <c r="B5759" s="37">
        <v>43789</v>
      </c>
      <c r="C5759" s="12">
        <v>12</v>
      </c>
      <c r="D5759" s="38" t="s">
        <v>254</v>
      </c>
      <c r="E5759" s="39">
        <v>43781</v>
      </c>
      <c r="F5759" s="40" t="s">
        <v>199</v>
      </c>
      <c r="G5759" s="12"/>
      <c r="H5759" s="12"/>
      <c r="I5759" s="4" t="s">
        <v>40</v>
      </c>
      <c r="J5759" s="41">
        <f ca="1">ROUNDDOWN(表3[[#This Row],[日期]]-TODAY(),1)</f>
        <v>4</v>
      </c>
    </row>
    <row r="5760" spans="1:10" hidden="1" x14ac:dyDescent="0.2">
      <c r="A5760" s="4" t="s">
        <v>156</v>
      </c>
      <c r="B5760" s="37">
        <v>43789</v>
      </c>
      <c r="C5760" s="12">
        <v>13</v>
      </c>
      <c r="D5760" s="38" t="s">
        <v>2698</v>
      </c>
      <c r="E5760" s="39">
        <v>43781</v>
      </c>
      <c r="F5760" s="40" t="s">
        <v>199</v>
      </c>
      <c r="G5760" s="12"/>
      <c r="H5760" s="12"/>
      <c r="I5760" s="4" t="s">
        <v>30</v>
      </c>
      <c r="J5760" s="41">
        <f ca="1">ROUNDDOWN(表3[[#This Row],[日期]]-TODAY(),1)</f>
        <v>4</v>
      </c>
    </row>
    <row r="5761" spans="1:10" hidden="1" x14ac:dyDescent="0.2">
      <c r="A5761" s="4" t="s">
        <v>156</v>
      </c>
      <c r="B5761" s="37">
        <v>43789</v>
      </c>
      <c r="C5761" s="12">
        <v>14</v>
      </c>
      <c r="D5761" s="38" t="s">
        <v>250</v>
      </c>
      <c r="E5761" s="39">
        <v>43781</v>
      </c>
      <c r="F5761" s="40" t="s">
        <v>199</v>
      </c>
      <c r="G5761" s="12"/>
      <c r="H5761" s="12"/>
      <c r="I5761" s="4" t="s">
        <v>40</v>
      </c>
      <c r="J5761" s="41">
        <f ca="1">ROUNDDOWN(表3[[#This Row],[日期]]-TODAY(),1)</f>
        <v>4</v>
      </c>
    </row>
    <row r="5762" spans="1:10" hidden="1" x14ac:dyDescent="0.2">
      <c r="A5762" s="4" t="s">
        <v>156</v>
      </c>
      <c r="B5762" s="37">
        <v>43789</v>
      </c>
      <c r="C5762" s="12">
        <v>15</v>
      </c>
      <c r="D5762" s="38" t="s">
        <v>974</v>
      </c>
      <c r="E5762" s="39">
        <v>43781</v>
      </c>
      <c r="F5762" s="40" t="s">
        <v>199</v>
      </c>
      <c r="G5762" s="12"/>
      <c r="H5762" s="12"/>
      <c r="I5762" s="4" t="s">
        <v>256</v>
      </c>
      <c r="J5762" s="41">
        <f ca="1">ROUNDDOWN(表3[[#This Row],[日期]]-TODAY(),1)</f>
        <v>4</v>
      </c>
    </row>
    <row r="5763" spans="1:10" hidden="1" x14ac:dyDescent="0.2">
      <c r="A5763" s="4" t="s">
        <v>156</v>
      </c>
      <c r="B5763" s="37">
        <v>43789</v>
      </c>
      <c r="C5763" s="12">
        <v>16</v>
      </c>
      <c r="D5763" s="38" t="s">
        <v>261</v>
      </c>
      <c r="E5763" s="39">
        <v>43781</v>
      </c>
      <c r="F5763" s="40" t="s">
        <v>199</v>
      </c>
      <c r="G5763" s="12"/>
      <c r="H5763" s="12"/>
      <c r="I5763" s="4" t="s">
        <v>259</v>
      </c>
      <c r="J5763" s="41">
        <f ca="1">ROUNDDOWN(表3[[#This Row],[日期]]-TODAY(),1)</f>
        <v>4</v>
      </c>
    </row>
    <row r="5764" spans="1:10" hidden="1" x14ac:dyDescent="0.2">
      <c r="A5764" s="4" t="s">
        <v>156</v>
      </c>
      <c r="B5764" s="37">
        <v>43789</v>
      </c>
      <c r="C5764" s="12">
        <v>17</v>
      </c>
      <c r="D5764" s="38" t="s">
        <v>263</v>
      </c>
      <c r="E5764" s="39">
        <v>43781</v>
      </c>
      <c r="F5764" s="40" t="s">
        <v>199</v>
      </c>
      <c r="G5764" s="12"/>
      <c r="H5764" s="12"/>
      <c r="J5764" s="41">
        <f ca="1">ROUNDDOWN(表3[[#This Row],[日期]]-TODAY(),1)</f>
        <v>4</v>
      </c>
    </row>
    <row r="5765" spans="1:10" hidden="1" x14ac:dyDescent="0.2">
      <c r="A5765" s="4" t="s">
        <v>156</v>
      </c>
      <c r="B5765" s="37">
        <v>43789</v>
      </c>
      <c r="C5765" s="12">
        <v>18</v>
      </c>
      <c r="D5765" s="38" t="s">
        <v>265</v>
      </c>
      <c r="E5765" s="39">
        <v>43781</v>
      </c>
      <c r="F5765" s="40" t="s">
        <v>199</v>
      </c>
      <c r="G5765" s="12"/>
      <c r="H5765" s="12"/>
      <c r="J5765" s="41">
        <f ca="1">ROUNDDOWN(表3[[#This Row],[日期]]-TODAY(),1)</f>
        <v>4</v>
      </c>
    </row>
    <row r="5766" spans="1:10" hidden="1" x14ac:dyDescent="0.2">
      <c r="A5766" s="4" t="s">
        <v>156</v>
      </c>
      <c r="B5766" s="37">
        <v>43789</v>
      </c>
      <c r="C5766" s="12">
        <v>19</v>
      </c>
      <c r="D5766" s="38" t="s">
        <v>279</v>
      </c>
      <c r="E5766" s="39">
        <v>43781</v>
      </c>
      <c r="F5766" s="40" t="s">
        <v>199</v>
      </c>
      <c r="G5766" s="12"/>
      <c r="H5766" s="12"/>
      <c r="J5766" s="41">
        <f ca="1">ROUNDDOWN(表3[[#This Row],[日期]]-TODAY(),1)</f>
        <v>4</v>
      </c>
    </row>
    <row r="5767" spans="1:10" hidden="1" x14ac:dyDescent="0.2">
      <c r="A5767" s="4" t="s">
        <v>156</v>
      </c>
      <c r="B5767" s="37">
        <v>43789</v>
      </c>
      <c r="C5767" s="12">
        <v>20</v>
      </c>
      <c r="D5767" s="38" t="s">
        <v>281</v>
      </c>
      <c r="E5767" s="39">
        <v>43781</v>
      </c>
      <c r="F5767" s="40" t="s">
        <v>199</v>
      </c>
      <c r="G5767" s="12"/>
      <c r="H5767" s="12"/>
      <c r="J5767" s="41">
        <f ca="1">ROUNDDOWN(表3[[#This Row],[日期]]-TODAY(),1)</f>
        <v>4</v>
      </c>
    </row>
    <row r="5768" spans="1:10" hidden="1" x14ac:dyDescent="0.2">
      <c r="A5768" s="4" t="s">
        <v>156</v>
      </c>
      <c r="B5768" s="37">
        <v>43789</v>
      </c>
      <c r="C5768" s="12">
        <v>21</v>
      </c>
      <c r="D5768" s="38" t="s">
        <v>283</v>
      </c>
      <c r="E5768" s="39">
        <v>43781</v>
      </c>
      <c r="F5768" s="40" t="s">
        <v>199</v>
      </c>
      <c r="G5768" s="12"/>
      <c r="H5768" s="12"/>
      <c r="J5768" s="41">
        <f ca="1">ROUNDDOWN(表3[[#This Row],[日期]]-TODAY(),1)</f>
        <v>4</v>
      </c>
    </row>
    <row r="5769" spans="1:10" hidden="1" x14ac:dyDescent="0.2">
      <c r="A5769" s="4" t="s">
        <v>156</v>
      </c>
      <c r="B5769" s="37">
        <v>43789</v>
      </c>
      <c r="C5769" s="12">
        <v>22</v>
      </c>
      <c r="D5769" s="38" t="s">
        <v>267</v>
      </c>
      <c r="E5769" s="39">
        <v>43781</v>
      </c>
      <c r="F5769" s="40" t="s">
        <v>199</v>
      </c>
      <c r="G5769" s="12"/>
      <c r="H5769" s="12"/>
      <c r="J5769" s="41">
        <f ca="1">ROUNDDOWN(表3[[#This Row],[日期]]-TODAY(),1)</f>
        <v>4</v>
      </c>
    </row>
    <row r="5770" spans="1:10" hidden="1" x14ac:dyDescent="0.2">
      <c r="A5770" s="4" t="s">
        <v>156</v>
      </c>
      <c r="B5770" s="37">
        <v>43789</v>
      </c>
      <c r="C5770" s="12">
        <v>23</v>
      </c>
      <c r="D5770" s="38" t="s">
        <v>269</v>
      </c>
      <c r="E5770" s="39">
        <v>43781</v>
      </c>
      <c r="F5770" s="40" t="s">
        <v>199</v>
      </c>
      <c r="G5770" s="12"/>
      <c r="H5770" s="12"/>
      <c r="J5770" s="41">
        <f ca="1">ROUNDDOWN(表3[[#This Row],[日期]]-TODAY(),1)</f>
        <v>4</v>
      </c>
    </row>
    <row r="5771" spans="1:10" hidden="1" x14ac:dyDescent="0.2">
      <c r="A5771" s="4" t="s">
        <v>156</v>
      </c>
      <c r="B5771" s="37">
        <v>43789</v>
      </c>
      <c r="C5771" s="12">
        <v>24</v>
      </c>
      <c r="D5771" s="38" t="s">
        <v>271</v>
      </c>
      <c r="E5771" s="39">
        <v>43781</v>
      </c>
      <c r="F5771" s="40" t="s">
        <v>199</v>
      </c>
      <c r="G5771" s="12"/>
      <c r="H5771" s="12"/>
      <c r="J5771" s="41">
        <f ca="1">ROUNDDOWN(表3[[#This Row],[日期]]-TODAY(),1)</f>
        <v>4</v>
      </c>
    </row>
    <row r="5772" spans="1:10" hidden="1" x14ac:dyDescent="0.2">
      <c r="A5772" s="4" t="s">
        <v>156</v>
      </c>
      <c r="B5772" s="37">
        <v>43789</v>
      </c>
      <c r="C5772" s="12">
        <v>25</v>
      </c>
      <c r="D5772" s="38" t="s">
        <v>273</v>
      </c>
      <c r="E5772" s="39">
        <v>43788</v>
      </c>
      <c r="F5772" s="40" t="s">
        <v>199</v>
      </c>
      <c r="G5772" s="12"/>
      <c r="H5772" s="12"/>
      <c r="J5772" s="41">
        <f ca="1">ROUNDDOWN(表3[[#This Row],[日期]]-TODAY(),1)</f>
        <v>11</v>
      </c>
    </row>
    <row r="5773" spans="1:10" hidden="1" x14ac:dyDescent="0.2">
      <c r="A5773" s="4" t="s">
        <v>156</v>
      </c>
      <c r="B5773" s="37">
        <v>43789</v>
      </c>
      <c r="C5773" s="12">
        <v>26</v>
      </c>
      <c r="D5773" s="38" t="s">
        <v>275</v>
      </c>
      <c r="E5773" s="39">
        <v>43788</v>
      </c>
      <c r="F5773" s="40" t="s">
        <v>199</v>
      </c>
      <c r="G5773" s="12"/>
      <c r="H5773" s="12"/>
      <c r="J5773" s="41">
        <f ca="1">ROUNDDOWN(表3[[#This Row],[日期]]-TODAY(),1)</f>
        <v>11</v>
      </c>
    </row>
    <row r="5774" spans="1:10" hidden="1" x14ac:dyDescent="0.2">
      <c r="A5774" s="4" t="s">
        <v>156</v>
      </c>
      <c r="B5774" s="37">
        <v>43789</v>
      </c>
      <c r="C5774" s="12">
        <v>27</v>
      </c>
      <c r="D5774" s="38" t="s">
        <v>277</v>
      </c>
      <c r="E5774" s="39">
        <v>43789</v>
      </c>
      <c r="F5774" s="40" t="s">
        <v>199</v>
      </c>
      <c r="G5774" s="12"/>
      <c r="H5774" s="12"/>
      <c r="J5774" s="41">
        <f ca="1">ROUNDDOWN(表3[[#This Row],[日期]]-TODAY(),1)</f>
        <v>12</v>
      </c>
    </row>
    <row r="5775" spans="1:10" hidden="1" x14ac:dyDescent="0.2">
      <c r="A5775" s="4" t="s">
        <v>156</v>
      </c>
      <c r="B5775" s="37">
        <v>43789</v>
      </c>
      <c r="C5775" s="12">
        <v>28</v>
      </c>
      <c r="D5775" s="38" t="s">
        <v>2699</v>
      </c>
      <c r="E5775" s="39">
        <v>43790</v>
      </c>
      <c r="F5775" s="40" t="s">
        <v>199</v>
      </c>
      <c r="G5775" s="12"/>
      <c r="H5775" s="12"/>
      <c r="J5775" s="41">
        <f ca="1">ROUNDDOWN(表3[[#This Row],[日期]]-TODAY(),1)</f>
        <v>13</v>
      </c>
    </row>
    <row r="5776" spans="1:10" hidden="1" x14ac:dyDescent="0.2">
      <c r="A5776" s="4" t="s">
        <v>156</v>
      </c>
      <c r="B5776" s="37">
        <v>43789</v>
      </c>
      <c r="C5776" s="12">
        <v>29</v>
      </c>
      <c r="D5776" s="38" t="s">
        <v>3745</v>
      </c>
      <c r="E5776" s="39">
        <v>43790</v>
      </c>
      <c r="F5776" s="40" t="s">
        <v>199</v>
      </c>
      <c r="G5776" s="12"/>
      <c r="H5776" s="12"/>
      <c r="J5776" s="41">
        <f ca="1">ROUNDDOWN(表3[[#This Row],[日期]]-TODAY(),1)</f>
        <v>13</v>
      </c>
    </row>
    <row r="5777" spans="1:10" hidden="1" x14ac:dyDescent="0.2">
      <c r="A5777" s="4" t="s">
        <v>149</v>
      </c>
      <c r="B5777" s="37">
        <v>43775</v>
      </c>
      <c r="C5777" s="12"/>
      <c r="D5777" s="38" t="s">
        <v>3828</v>
      </c>
      <c r="E5777" s="39">
        <v>43773</v>
      </c>
      <c r="F5777" s="40" t="s">
        <v>242</v>
      </c>
      <c r="G5777" s="12"/>
      <c r="H5777" s="12"/>
      <c r="J5777" s="41">
        <f ca="1">ROUNDDOWN(表3[[#This Row],[日期]]-TODAY(),1)</f>
        <v>-4</v>
      </c>
    </row>
    <row r="5778" spans="1:10" hidden="1" x14ac:dyDescent="0.2">
      <c r="A5778" s="4" t="s">
        <v>2844</v>
      </c>
      <c r="B5778" s="37">
        <v>43773</v>
      </c>
      <c r="C5778" s="12">
        <v>0</v>
      </c>
      <c r="D5778" s="38" t="s">
        <v>3347</v>
      </c>
      <c r="E5778" s="39">
        <v>43774</v>
      </c>
      <c r="F5778" s="40" t="s">
        <v>242</v>
      </c>
      <c r="G5778" s="12"/>
      <c r="H5778" s="12"/>
      <c r="I5778" s="4" t="s">
        <v>222</v>
      </c>
      <c r="J5778" s="41">
        <f ca="1">ROUNDDOWN(表3[[#This Row],[日期]]-TODAY(),1)</f>
        <v>-3</v>
      </c>
    </row>
    <row r="5779" spans="1:10" hidden="1" x14ac:dyDescent="0.2">
      <c r="A5779" s="4" t="s">
        <v>2844</v>
      </c>
      <c r="B5779" s="37">
        <v>43773</v>
      </c>
      <c r="C5779" s="12">
        <v>1</v>
      </c>
      <c r="D5779" s="38" t="s">
        <v>3534</v>
      </c>
      <c r="E5779" s="39">
        <v>43777</v>
      </c>
      <c r="F5779" s="40" t="s">
        <v>242</v>
      </c>
      <c r="G5779" s="12"/>
      <c r="H5779" s="12"/>
      <c r="I5779" s="4" t="s">
        <v>220</v>
      </c>
      <c r="J5779" s="41">
        <f ca="1">ROUNDDOWN(表3[[#This Row],[日期]]-TODAY(),1)</f>
        <v>0</v>
      </c>
    </row>
    <row r="5780" spans="1:10" hidden="1" x14ac:dyDescent="0.2">
      <c r="A5780" s="4" t="s">
        <v>2844</v>
      </c>
      <c r="B5780" s="37">
        <v>43773</v>
      </c>
      <c r="C5780" s="12">
        <v>2</v>
      </c>
      <c r="D5780" s="38" t="s">
        <v>3532</v>
      </c>
      <c r="E5780" s="39">
        <v>43777</v>
      </c>
      <c r="F5780" s="40" t="s">
        <v>242</v>
      </c>
      <c r="G5780" s="12"/>
      <c r="H5780" s="12"/>
      <c r="J5780" s="41">
        <f ca="1">ROUNDDOWN(表3[[#This Row],[日期]]-TODAY(),1)</f>
        <v>0</v>
      </c>
    </row>
    <row r="5781" spans="1:10" hidden="1" x14ac:dyDescent="0.2">
      <c r="A5781" s="4" t="s">
        <v>3845</v>
      </c>
      <c r="B5781" s="37">
        <v>43773</v>
      </c>
      <c r="C5781" s="12"/>
      <c r="D5781" s="38" t="s">
        <v>3846</v>
      </c>
      <c r="E5781" s="39">
        <v>43774</v>
      </c>
      <c r="F5781" s="40" t="s">
        <v>242</v>
      </c>
      <c r="G5781" s="12"/>
      <c r="H5781" s="12"/>
      <c r="J5781" s="41">
        <f ca="1">ROUNDDOWN(表3[[#This Row],[日期]]-TODAY(),1)</f>
        <v>-3</v>
      </c>
    </row>
    <row r="5782" spans="1:10" hidden="1" x14ac:dyDescent="0.2">
      <c r="A5782" s="4" t="s">
        <v>3845</v>
      </c>
      <c r="B5782" s="37">
        <v>43773</v>
      </c>
      <c r="C5782" s="12"/>
      <c r="D5782" s="38" t="s">
        <v>3860</v>
      </c>
      <c r="E5782" s="39">
        <v>43774</v>
      </c>
      <c r="F5782" s="40" t="s">
        <v>242</v>
      </c>
      <c r="G5782" s="12"/>
      <c r="H5782" s="12"/>
      <c r="J5782" s="41">
        <f ca="1">ROUNDDOWN(表3[[#This Row],[日期]]-TODAY(),1)</f>
        <v>-3</v>
      </c>
    </row>
    <row r="5783" spans="1:10" hidden="1" x14ac:dyDescent="0.2">
      <c r="A5783" s="4" t="s">
        <v>2</v>
      </c>
      <c r="B5783" s="37">
        <v>43782</v>
      </c>
      <c r="C5783" s="12">
        <v>1</v>
      </c>
      <c r="D5783" s="38" t="s">
        <v>3878</v>
      </c>
      <c r="E5783" s="39">
        <v>43774</v>
      </c>
      <c r="F5783" s="40" t="s">
        <v>242</v>
      </c>
      <c r="G5783" s="12"/>
      <c r="H5783" s="12"/>
      <c r="J5783" s="41">
        <f ca="1">ROUNDDOWN(表3[[#This Row],[日期]]-TODAY(),1)</f>
        <v>-3</v>
      </c>
    </row>
    <row r="5784" spans="1:10" hidden="1" x14ac:dyDescent="0.2">
      <c r="A5784" s="4" t="s">
        <v>2</v>
      </c>
      <c r="B5784" s="37">
        <v>43782</v>
      </c>
      <c r="C5784" s="12">
        <v>2</v>
      </c>
      <c r="D5784" s="38" t="s">
        <v>3587</v>
      </c>
      <c r="E5784" s="39">
        <v>43776</v>
      </c>
      <c r="F5784" s="40" t="s">
        <v>242</v>
      </c>
      <c r="G5784" s="12"/>
      <c r="H5784" s="12"/>
      <c r="J5784" s="41">
        <f ca="1">ROUNDDOWN(表3[[#This Row],[日期]]-TODAY(),1)</f>
        <v>-1</v>
      </c>
    </row>
    <row r="5785" spans="1:10" hidden="1" x14ac:dyDescent="0.2">
      <c r="A5785" s="4" t="s">
        <v>2</v>
      </c>
      <c r="B5785" s="37">
        <v>43782</v>
      </c>
      <c r="C5785" s="12">
        <v>3</v>
      </c>
      <c r="D5785" s="38" t="s">
        <v>3354</v>
      </c>
      <c r="E5785" s="39">
        <v>43777</v>
      </c>
      <c r="F5785" s="40" t="s">
        <v>242</v>
      </c>
      <c r="G5785" s="12"/>
      <c r="H5785" s="12"/>
      <c r="J5785" s="41">
        <f ca="1">ROUNDDOWN(表3[[#This Row],[日期]]-TODAY(),1)</f>
        <v>0</v>
      </c>
    </row>
    <row r="5786" spans="1:10" hidden="1" x14ac:dyDescent="0.2">
      <c r="A5786" s="4" t="s">
        <v>2</v>
      </c>
      <c r="B5786" s="37">
        <v>43782</v>
      </c>
      <c r="C5786" s="12">
        <v>4</v>
      </c>
      <c r="D5786" s="38" t="s">
        <v>3945</v>
      </c>
      <c r="E5786" s="39">
        <v>43777</v>
      </c>
      <c r="F5786" s="40" t="s">
        <v>242</v>
      </c>
      <c r="G5786" s="12"/>
      <c r="H5786" s="12"/>
      <c r="J5786" s="41">
        <f ca="1">ROUNDDOWN(表3[[#This Row],[日期]]-TODAY(),1)</f>
        <v>0</v>
      </c>
    </row>
    <row r="5787" spans="1:10" hidden="1" x14ac:dyDescent="0.2">
      <c r="A5787" s="4" t="s">
        <v>2</v>
      </c>
      <c r="B5787" s="37">
        <v>43782</v>
      </c>
      <c r="C5787" s="12">
        <v>5</v>
      </c>
      <c r="D5787" s="38" t="s">
        <v>3360</v>
      </c>
      <c r="E5787" s="39">
        <v>43777</v>
      </c>
      <c r="F5787" s="40" t="s">
        <v>242</v>
      </c>
      <c r="G5787" s="12"/>
      <c r="H5787" s="12"/>
      <c r="J5787" s="41">
        <f ca="1">ROUNDDOWN(表3[[#This Row],[日期]]-TODAY(),1)</f>
        <v>0</v>
      </c>
    </row>
    <row r="5788" spans="1:10" hidden="1" x14ac:dyDescent="0.2">
      <c r="A5788" s="4" t="s">
        <v>2</v>
      </c>
      <c r="B5788" s="37">
        <v>43782</v>
      </c>
      <c r="C5788" s="12">
        <v>6</v>
      </c>
      <c r="D5788" s="38" t="s">
        <v>3358</v>
      </c>
      <c r="E5788" s="39">
        <v>43777</v>
      </c>
      <c r="F5788" s="40" t="s">
        <v>242</v>
      </c>
      <c r="G5788" s="12"/>
      <c r="H5788" s="12"/>
      <c r="J5788" s="41">
        <f ca="1">ROUNDDOWN(表3[[#This Row],[日期]]-TODAY(),1)</f>
        <v>0</v>
      </c>
    </row>
    <row r="5789" spans="1:10" hidden="1" x14ac:dyDescent="0.2">
      <c r="A5789" s="4" t="s">
        <v>2</v>
      </c>
      <c r="B5789" s="37">
        <v>43782</v>
      </c>
      <c r="C5789" s="12">
        <v>7</v>
      </c>
      <c r="D5789" s="38" t="s">
        <v>3362</v>
      </c>
      <c r="E5789" s="39">
        <v>43777</v>
      </c>
      <c r="F5789" s="40" t="s">
        <v>242</v>
      </c>
      <c r="G5789" s="12"/>
      <c r="H5789" s="12"/>
      <c r="J5789" s="41">
        <f ca="1">ROUNDDOWN(表3[[#This Row],[日期]]-TODAY(),1)</f>
        <v>0</v>
      </c>
    </row>
    <row r="5790" spans="1:10" hidden="1" x14ac:dyDescent="0.2">
      <c r="A5790" s="4" t="s">
        <v>2</v>
      </c>
      <c r="B5790" s="37">
        <v>43782</v>
      </c>
      <c r="C5790" s="12">
        <v>8</v>
      </c>
      <c r="D5790" s="38" t="s">
        <v>3366</v>
      </c>
      <c r="E5790" s="39">
        <v>43777</v>
      </c>
      <c r="F5790" s="40" t="s">
        <v>1184</v>
      </c>
      <c r="G5790" s="12"/>
      <c r="H5790" s="12"/>
      <c r="J5790" s="41">
        <f ca="1">ROUNDDOWN(表3[[#This Row],[日期]]-TODAY(),1)</f>
        <v>0</v>
      </c>
    </row>
    <row r="5791" spans="1:10" hidden="1" x14ac:dyDescent="0.2">
      <c r="A5791" s="4" t="s">
        <v>2</v>
      </c>
      <c r="B5791" s="37">
        <v>43782</v>
      </c>
      <c r="C5791" s="12">
        <v>9</v>
      </c>
      <c r="D5791" s="38" t="s">
        <v>3364</v>
      </c>
      <c r="E5791" s="39">
        <v>43778</v>
      </c>
      <c r="F5791" s="40" t="s">
        <v>199</v>
      </c>
      <c r="G5791" s="12"/>
      <c r="H5791" s="12"/>
      <c r="J5791" s="41">
        <f ca="1">ROUNDDOWN(表3[[#This Row],[日期]]-TODAY(),1)</f>
        <v>1</v>
      </c>
    </row>
    <row r="5792" spans="1:10" hidden="1" x14ac:dyDescent="0.2">
      <c r="A5792" s="4" t="s">
        <v>2</v>
      </c>
      <c r="B5792" s="37">
        <v>43782</v>
      </c>
      <c r="C5792" s="12">
        <v>10</v>
      </c>
      <c r="D5792" s="38" t="s">
        <v>3368</v>
      </c>
      <c r="E5792" s="39">
        <v>43778</v>
      </c>
      <c r="F5792" s="40" t="s">
        <v>199</v>
      </c>
      <c r="G5792" s="12"/>
      <c r="H5792" s="12"/>
      <c r="J5792" s="41">
        <f ca="1">ROUNDDOWN(表3[[#This Row],[日期]]-TODAY(),1)</f>
        <v>1</v>
      </c>
    </row>
    <row r="5793" spans="1:10" hidden="1" x14ac:dyDescent="0.2">
      <c r="A5793" s="4" t="s">
        <v>2</v>
      </c>
      <c r="B5793" s="37">
        <v>43782</v>
      </c>
      <c r="C5793" s="12">
        <v>11</v>
      </c>
      <c r="D5793" s="38" t="s">
        <v>3370</v>
      </c>
      <c r="E5793" s="39">
        <v>43783</v>
      </c>
      <c r="F5793" s="40" t="s">
        <v>199</v>
      </c>
      <c r="G5793" s="12"/>
      <c r="H5793" s="12"/>
      <c r="J5793" s="41">
        <f ca="1">ROUNDDOWN(表3[[#This Row],[日期]]-TODAY(),1)</f>
        <v>6</v>
      </c>
    </row>
    <row r="5794" spans="1:10" hidden="1" x14ac:dyDescent="0.2">
      <c r="A5794" s="4" t="s">
        <v>2</v>
      </c>
      <c r="B5794" s="37">
        <v>43784</v>
      </c>
      <c r="C5794" s="12">
        <v>1</v>
      </c>
      <c r="D5794" s="38" t="s">
        <v>3878</v>
      </c>
      <c r="E5794" s="39">
        <v>43774</v>
      </c>
      <c r="F5794" s="40" t="s">
        <v>242</v>
      </c>
      <c r="G5794" s="12"/>
      <c r="H5794" s="12"/>
      <c r="J5794" s="41">
        <f ca="1">ROUNDDOWN(表3[[#This Row],[日期]]-TODAY(),1)</f>
        <v>-3</v>
      </c>
    </row>
    <row r="5795" spans="1:10" hidden="1" x14ac:dyDescent="0.2">
      <c r="A5795" s="4" t="s">
        <v>2</v>
      </c>
      <c r="B5795" s="37">
        <v>43784</v>
      </c>
      <c r="C5795" s="12">
        <v>2</v>
      </c>
      <c r="D5795" s="38" t="s">
        <v>3587</v>
      </c>
      <c r="E5795" s="39">
        <v>43780</v>
      </c>
      <c r="F5795" s="40" t="s">
        <v>199</v>
      </c>
      <c r="G5795" s="12"/>
      <c r="H5795" s="12"/>
      <c r="J5795" s="41">
        <f ca="1">ROUNDDOWN(表3[[#This Row],[日期]]-TODAY(),1)</f>
        <v>3</v>
      </c>
    </row>
    <row r="5796" spans="1:10" hidden="1" x14ac:dyDescent="0.2">
      <c r="A5796" s="4" t="s">
        <v>2</v>
      </c>
      <c r="B5796" s="37">
        <v>43784</v>
      </c>
      <c r="C5796" s="12">
        <v>3</v>
      </c>
      <c r="D5796" s="38" t="s">
        <v>3354</v>
      </c>
      <c r="E5796" s="39">
        <v>43781</v>
      </c>
      <c r="F5796" s="40" t="s">
        <v>199</v>
      </c>
      <c r="G5796" s="12"/>
      <c r="H5796" s="12"/>
      <c r="J5796" s="41">
        <f ca="1">ROUNDDOWN(表3[[#This Row],[日期]]-TODAY(),1)</f>
        <v>4</v>
      </c>
    </row>
    <row r="5797" spans="1:10" hidden="1" x14ac:dyDescent="0.2">
      <c r="A5797" s="4" t="s">
        <v>2</v>
      </c>
      <c r="B5797" s="37">
        <v>43784</v>
      </c>
      <c r="C5797" s="12">
        <v>4</v>
      </c>
      <c r="D5797" s="38" t="s">
        <v>3356</v>
      </c>
      <c r="E5797" s="39">
        <v>43781</v>
      </c>
      <c r="F5797" s="40" t="s">
        <v>199</v>
      </c>
      <c r="G5797" s="12"/>
      <c r="H5797" s="12"/>
      <c r="J5797" s="41">
        <f ca="1">ROUNDDOWN(表3[[#This Row],[日期]]-TODAY(),1)</f>
        <v>4</v>
      </c>
    </row>
    <row r="5798" spans="1:10" hidden="1" x14ac:dyDescent="0.2">
      <c r="A5798" s="4" t="s">
        <v>2</v>
      </c>
      <c r="B5798" s="37">
        <v>43784</v>
      </c>
      <c r="C5798" s="12">
        <v>5</v>
      </c>
      <c r="D5798" s="38" t="s">
        <v>3360</v>
      </c>
      <c r="E5798" s="39">
        <v>43781</v>
      </c>
      <c r="F5798" s="40" t="s">
        <v>199</v>
      </c>
      <c r="G5798" s="12"/>
      <c r="H5798" s="12"/>
      <c r="J5798" s="41">
        <f ca="1">ROUNDDOWN(表3[[#This Row],[日期]]-TODAY(),1)</f>
        <v>4</v>
      </c>
    </row>
    <row r="5799" spans="1:10" hidden="1" x14ac:dyDescent="0.2">
      <c r="A5799" s="4" t="s">
        <v>2</v>
      </c>
      <c r="B5799" s="37">
        <v>43784</v>
      </c>
      <c r="C5799" s="12">
        <v>6</v>
      </c>
      <c r="D5799" s="38" t="s">
        <v>3358</v>
      </c>
      <c r="E5799" s="39">
        <v>43781</v>
      </c>
      <c r="F5799" s="40" t="s">
        <v>199</v>
      </c>
      <c r="G5799" s="12"/>
      <c r="H5799" s="12"/>
      <c r="J5799" s="41">
        <f ca="1">ROUNDDOWN(表3[[#This Row],[日期]]-TODAY(),1)</f>
        <v>4</v>
      </c>
    </row>
    <row r="5800" spans="1:10" hidden="1" x14ac:dyDescent="0.2">
      <c r="A5800" s="4" t="s">
        <v>2</v>
      </c>
      <c r="B5800" s="37">
        <v>43784</v>
      </c>
      <c r="C5800" s="12">
        <v>7</v>
      </c>
      <c r="D5800" s="38" t="s">
        <v>3362</v>
      </c>
      <c r="E5800" s="39">
        <v>43781</v>
      </c>
      <c r="F5800" s="40" t="s">
        <v>199</v>
      </c>
      <c r="G5800" s="12"/>
      <c r="H5800" s="12"/>
      <c r="J5800" s="41">
        <f ca="1">ROUNDDOWN(表3[[#This Row],[日期]]-TODAY(),1)</f>
        <v>4</v>
      </c>
    </row>
    <row r="5801" spans="1:10" hidden="1" x14ac:dyDescent="0.2">
      <c r="A5801" s="4" t="s">
        <v>2</v>
      </c>
      <c r="B5801" s="37">
        <v>43784</v>
      </c>
      <c r="C5801" s="12">
        <v>8</v>
      </c>
      <c r="D5801" s="38" t="s">
        <v>3366</v>
      </c>
      <c r="E5801" s="39">
        <v>43781</v>
      </c>
      <c r="F5801" s="40" t="s">
        <v>199</v>
      </c>
      <c r="G5801" s="12"/>
      <c r="H5801" s="12"/>
      <c r="J5801" s="41">
        <f ca="1">ROUNDDOWN(表3[[#This Row],[日期]]-TODAY(),1)</f>
        <v>4</v>
      </c>
    </row>
    <row r="5802" spans="1:10" hidden="1" x14ac:dyDescent="0.2">
      <c r="A5802" s="4" t="s">
        <v>2</v>
      </c>
      <c r="B5802" s="37">
        <v>43784</v>
      </c>
      <c r="C5802" s="12">
        <v>9</v>
      </c>
      <c r="D5802" s="38" t="s">
        <v>3364</v>
      </c>
      <c r="E5802" s="39">
        <v>43781</v>
      </c>
      <c r="F5802" s="40" t="s">
        <v>1184</v>
      </c>
      <c r="G5802" s="12"/>
      <c r="H5802" s="12"/>
      <c r="J5802" s="41">
        <f ca="1">ROUNDDOWN(表3[[#This Row],[日期]]-TODAY(),1)</f>
        <v>4</v>
      </c>
    </row>
    <row r="5803" spans="1:10" hidden="1" x14ac:dyDescent="0.2">
      <c r="A5803" s="4" t="s">
        <v>2</v>
      </c>
      <c r="B5803" s="37">
        <v>43784</v>
      </c>
      <c r="C5803" s="12">
        <v>10</v>
      </c>
      <c r="D5803" s="38" t="s">
        <v>3368</v>
      </c>
      <c r="E5803" s="39">
        <v>43782</v>
      </c>
      <c r="F5803" s="40" t="s">
        <v>199</v>
      </c>
      <c r="G5803" s="12"/>
      <c r="H5803" s="12"/>
      <c r="J5803" s="41">
        <f ca="1">ROUNDDOWN(表3[[#This Row],[日期]]-TODAY(),1)</f>
        <v>5</v>
      </c>
    </row>
    <row r="5804" spans="1:10" hidden="1" x14ac:dyDescent="0.2">
      <c r="A5804" s="4" t="s">
        <v>2</v>
      </c>
      <c r="B5804" s="37">
        <v>43784</v>
      </c>
      <c r="C5804" s="12">
        <v>11</v>
      </c>
      <c r="D5804" s="38" t="s">
        <v>3370</v>
      </c>
      <c r="E5804" s="39">
        <v>43787</v>
      </c>
      <c r="F5804" s="40" t="s">
        <v>199</v>
      </c>
      <c r="G5804" s="12"/>
      <c r="H5804" s="12"/>
      <c r="J5804" s="41">
        <f ca="1">ROUNDDOWN(表3[[#This Row],[日期]]-TODAY(),1)</f>
        <v>10</v>
      </c>
    </row>
    <row r="5805" spans="1:10" hidden="1" x14ac:dyDescent="0.2">
      <c r="A5805" s="4" t="s">
        <v>3200</v>
      </c>
      <c r="B5805" s="37">
        <v>43790</v>
      </c>
      <c r="C5805" s="12">
        <v>1</v>
      </c>
      <c r="D5805" s="38" t="s">
        <v>3913</v>
      </c>
      <c r="E5805" s="39">
        <v>43782</v>
      </c>
      <c r="F5805" s="40" t="s">
        <v>3895</v>
      </c>
      <c r="G5805" s="12"/>
      <c r="H5805" s="12"/>
      <c r="J5805" s="41">
        <f ca="1">ROUNDDOWN(表3[[#This Row],[日期]]-TODAY(),1)</f>
        <v>5</v>
      </c>
    </row>
    <row r="5806" spans="1:10" hidden="1" x14ac:dyDescent="0.2">
      <c r="A5806" s="4" t="s">
        <v>3200</v>
      </c>
      <c r="B5806" s="37">
        <v>43790</v>
      </c>
      <c r="C5806" s="12">
        <v>2</v>
      </c>
      <c r="D5806" s="38" t="s">
        <v>3891</v>
      </c>
      <c r="E5806" s="39">
        <v>43783</v>
      </c>
      <c r="F5806" s="40" t="s">
        <v>3895</v>
      </c>
      <c r="G5806" s="12"/>
      <c r="H5806" s="12"/>
      <c r="J5806" s="41">
        <f ca="1">ROUNDDOWN(表3[[#This Row],[日期]]-TODAY(),1)</f>
        <v>6</v>
      </c>
    </row>
    <row r="5807" spans="1:10" hidden="1" x14ac:dyDescent="0.2">
      <c r="A5807" s="4" t="s">
        <v>3200</v>
      </c>
      <c r="B5807" s="37">
        <v>43790</v>
      </c>
      <c r="C5807" s="12">
        <v>3</v>
      </c>
      <c r="D5807" s="38" t="s">
        <v>3896</v>
      </c>
      <c r="E5807" s="39">
        <v>43784</v>
      </c>
      <c r="F5807" s="40" t="s">
        <v>3895</v>
      </c>
      <c r="G5807" s="12"/>
      <c r="H5807" s="12"/>
      <c r="J5807" s="41">
        <f ca="1">ROUNDDOWN(表3[[#This Row],[日期]]-TODAY(),1)</f>
        <v>7</v>
      </c>
    </row>
    <row r="5808" spans="1:10" hidden="1" x14ac:dyDescent="0.2">
      <c r="A5808" s="4" t="s">
        <v>3200</v>
      </c>
      <c r="B5808" s="37">
        <v>43790</v>
      </c>
      <c r="C5808" s="12">
        <v>4</v>
      </c>
      <c r="D5808" s="38" t="s">
        <v>3897</v>
      </c>
      <c r="E5808" s="39">
        <v>43785</v>
      </c>
      <c r="F5808" s="40" t="s">
        <v>3895</v>
      </c>
      <c r="G5808" s="12"/>
      <c r="H5808" s="12"/>
      <c r="J5808" s="41">
        <f ca="1">ROUNDDOWN(表3[[#This Row],[日期]]-TODAY(),1)</f>
        <v>8</v>
      </c>
    </row>
    <row r="5809" spans="1:10" hidden="1" x14ac:dyDescent="0.2">
      <c r="A5809" s="4" t="s">
        <v>3200</v>
      </c>
      <c r="B5809" s="37">
        <v>43790</v>
      </c>
      <c r="C5809" s="12">
        <v>5</v>
      </c>
      <c r="D5809" s="38" t="s">
        <v>3892</v>
      </c>
      <c r="E5809" s="39">
        <v>43785</v>
      </c>
      <c r="F5809" s="40" t="s">
        <v>3895</v>
      </c>
      <c r="G5809" s="12"/>
      <c r="H5809" s="12"/>
      <c r="J5809" s="41">
        <f ca="1">ROUNDDOWN(表3[[#This Row],[日期]]-TODAY(),1)</f>
        <v>8</v>
      </c>
    </row>
    <row r="5810" spans="1:10" hidden="1" x14ac:dyDescent="0.2">
      <c r="A5810" s="4" t="s">
        <v>3200</v>
      </c>
      <c r="B5810" s="37">
        <v>43790</v>
      </c>
      <c r="C5810" s="12">
        <v>6</v>
      </c>
      <c r="D5810" s="38" t="s">
        <v>3893</v>
      </c>
      <c r="E5810" s="39">
        <v>43790</v>
      </c>
      <c r="F5810" s="40" t="s">
        <v>3895</v>
      </c>
      <c r="G5810" s="12"/>
      <c r="H5810" s="12"/>
      <c r="J5810" s="41">
        <f ca="1">ROUNDDOWN(表3[[#This Row],[日期]]-TODAY(),1)</f>
        <v>13</v>
      </c>
    </row>
    <row r="5811" spans="1:10" hidden="1" x14ac:dyDescent="0.2">
      <c r="A5811" s="4" t="s">
        <v>3200</v>
      </c>
      <c r="B5811" s="37">
        <v>43790</v>
      </c>
      <c r="C5811" s="12">
        <v>7</v>
      </c>
      <c r="D5811" s="38" t="s">
        <v>3894</v>
      </c>
      <c r="E5811" s="39">
        <v>43790</v>
      </c>
      <c r="F5811" s="40" t="s">
        <v>3895</v>
      </c>
      <c r="G5811" s="12"/>
      <c r="H5811" s="12"/>
      <c r="J5811" s="41">
        <f ca="1">ROUNDDOWN(表3[[#This Row],[日期]]-TODAY(),1)</f>
        <v>13</v>
      </c>
    </row>
    <row r="5812" spans="1:10" hidden="1" x14ac:dyDescent="0.2">
      <c r="A5812" s="4" t="s">
        <v>3898</v>
      </c>
      <c r="B5812" s="37">
        <v>43787</v>
      </c>
      <c r="C5812" s="12">
        <v>1</v>
      </c>
      <c r="D5812" s="38" t="s">
        <v>3954</v>
      </c>
      <c r="E5812" s="39">
        <v>43780</v>
      </c>
      <c r="F5812" s="40" t="s">
        <v>3895</v>
      </c>
      <c r="G5812" s="12"/>
      <c r="H5812" s="12"/>
      <c r="J5812" s="41">
        <f ca="1">ROUNDDOWN(表3[[#This Row],[日期]]-TODAY(),1)</f>
        <v>3</v>
      </c>
    </row>
    <row r="5813" spans="1:10" hidden="1" x14ac:dyDescent="0.2">
      <c r="A5813" s="4" t="s">
        <v>3898</v>
      </c>
      <c r="B5813" s="37">
        <v>43787</v>
      </c>
      <c r="C5813" s="12">
        <v>2</v>
      </c>
      <c r="D5813" s="38" t="s">
        <v>3891</v>
      </c>
      <c r="E5813" s="39">
        <v>43780</v>
      </c>
      <c r="F5813" s="40" t="s">
        <v>3895</v>
      </c>
      <c r="G5813" s="12"/>
      <c r="H5813" s="12"/>
      <c r="J5813" s="41">
        <f ca="1">ROUNDDOWN(表3[[#This Row],[日期]]-TODAY(),1)</f>
        <v>3</v>
      </c>
    </row>
    <row r="5814" spans="1:10" hidden="1" x14ac:dyDescent="0.2">
      <c r="A5814" s="4" t="s">
        <v>3898</v>
      </c>
      <c r="B5814" s="37">
        <v>43787</v>
      </c>
      <c r="C5814" s="12">
        <v>3</v>
      </c>
      <c r="D5814" s="38" t="s">
        <v>3896</v>
      </c>
      <c r="E5814" s="39">
        <v>43781</v>
      </c>
      <c r="F5814" s="40" t="s">
        <v>3895</v>
      </c>
      <c r="G5814" s="12"/>
      <c r="H5814" s="12"/>
      <c r="J5814" s="41">
        <f ca="1">ROUNDDOWN(表3[[#This Row],[日期]]-TODAY(),1)</f>
        <v>4</v>
      </c>
    </row>
    <row r="5815" spans="1:10" hidden="1" x14ac:dyDescent="0.2">
      <c r="A5815" s="4" t="s">
        <v>3898</v>
      </c>
      <c r="B5815" s="37">
        <v>43787</v>
      </c>
      <c r="C5815" s="12">
        <v>4</v>
      </c>
      <c r="D5815" s="38" t="s">
        <v>3897</v>
      </c>
      <c r="E5815" s="39">
        <v>43781</v>
      </c>
      <c r="F5815" s="40" t="s">
        <v>3895</v>
      </c>
      <c r="G5815" s="12"/>
      <c r="H5815" s="12"/>
      <c r="J5815" s="41">
        <f ca="1">ROUNDDOWN(表3[[#This Row],[日期]]-TODAY(),1)</f>
        <v>4</v>
      </c>
    </row>
    <row r="5816" spans="1:10" hidden="1" x14ac:dyDescent="0.2">
      <c r="A5816" s="4" t="s">
        <v>3898</v>
      </c>
      <c r="B5816" s="37">
        <v>43787</v>
      </c>
      <c r="C5816" s="12">
        <v>5</v>
      </c>
      <c r="D5816" s="38" t="s">
        <v>3892</v>
      </c>
      <c r="E5816" s="39">
        <v>43786</v>
      </c>
      <c r="F5816" s="40" t="s">
        <v>3895</v>
      </c>
      <c r="G5816" s="12"/>
      <c r="H5816" s="12"/>
      <c r="J5816" s="41">
        <f ca="1">ROUNDDOWN(表3[[#This Row],[日期]]-TODAY(),1)</f>
        <v>9</v>
      </c>
    </row>
    <row r="5817" spans="1:10" hidden="1" x14ac:dyDescent="0.2">
      <c r="A5817" s="4" t="s">
        <v>3898</v>
      </c>
      <c r="B5817" s="37">
        <v>43787</v>
      </c>
      <c r="C5817" s="12">
        <v>6</v>
      </c>
      <c r="D5817" s="38" t="s">
        <v>3893</v>
      </c>
      <c r="E5817" s="39">
        <v>43787</v>
      </c>
      <c r="F5817" s="40" t="s">
        <v>3895</v>
      </c>
      <c r="G5817" s="12"/>
      <c r="H5817" s="12"/>
      <c r="J5817" s="41">
        <f ca="1">ROUNDDOWN(表3[[#This Row],[日期]]-TODAY(),1)</f>
        <v>10</v>
      </c>
    </row>
    <row r="5818" spans="1:10" hidden="1" x14ac:dyDescent="0.2">
      <c r="A5818" s="4" t="s">
        <v>3898</v>
      </c>
      <c r="B5818" s="37">
        <v>43787</v>
      </c>
      <c r="C5818" s="12">
        <v>7</v>
      </c>
      <c r="D5818" s="38" t="s">
        <v>3894</v>
      </c>
      <c r="E5818" s="39">
        <v>43787</v>
      </c>
      <c r="F5818" s="40" t="s">
        <v>3895</v>
      </c>
      <c r="G5818" s="12"/>
      <c r="H5818" s="12"/>
      <c r="J5818" s="41">
        <f ca="1">ROUNDDOWN(表3[[#This Row],[日期]]-TODAY(),1)</f>
        <v>10</v>
      </c>
    </row>
    <row r="5819" spans="1:10" hidden="1" x14ac:dyDescent="0.2">
      <c r="A5819" s="4" t="s">
        <v>1371</v>
      </c>
      <c r="B5819" s="37">
        <v>43793</v>
      </c>
      <c r="C5819" s="12">
        <v>1</v>
      </c>
      <c r="D5819" s="38" t="s">
        <v>3903</v>
      </c>
      <c r="E5819" s="39">
        <v>43775</v>
      </c>
      <c r="F5819" s="40" t="s">
        <v>242</v>
      </c>
      <c r="G5819" s="12"/>
      <c r="H5819" s="12"/>
      <c r="J5819" s="41">
        <f ca="1">ROUNDDOWN(表3[[#This Row],[日期]]-TODAY(),1)</f>
        <v>-2</v>
      </c>
    </row>
    <row r="5820" spans="1:10" hidden="1" x14ac:dyDescent="0.2">
      <c r="A5820" s="4" t="s">
        <v>1371</v>
      </c>
      <c r="B5820" s="37">
        <v>43793</v>
      </c>
      <c r="C5820" s="12">
        <v>2</v>
      </c>
      <c r="D5820" s="38" t="s">
        <v>3301</v>
      </c>
      <c r="E5820" s="39">
        <v>43789</v>
      </c>
      <c r="F5820" s="40" t="s">
        <v>199</v>
      </c>
      <c r="G5820" s="12"/>
      <c r="H5820" s="12"/>
      <c r="J5820" s="41">
        <f ca="1">ROUNDDOWN(表3[[#This Row],[日期]]-TODAY(),1)</f>
        <v>12</v>
      </c>
    </row>
    <row r="5821" spans="1:10" hidden="1" x14ac:dyDescent="0.2">
      <c r="A5821" s="4" t="s">
        <v>1371</v>
      </c>
      <c r="B5821" s="37">
        <v>43793</v>
      </c>
      <c r="C5821" s="12">
        <v>3</v>
      </c>
      <c r="D5821" s="38" t="s">
        <v>3307</v>
      </c>
      <c r="E5821" s="39">
        <v>43790</v>
      </c>
      <c r="F5821" s="40" t="s">
        <v>199</v>
      </c>
      <c r="G5821" s="12"/>
      <c r="H5821" s="12"/>
      <c r="I5821" s="4" t="s">
        <v>3303</v>
      </c>
      <c r="J5821" s="41">
        <f ca="1">ROUNDDOWN(表3[[#This Row],[日期]]-TODAY(),1)</f>
        <v>13</v>
      </c>
    </row>
    <row r="5822" spans="1:10" hidden="1" x14ac:dyDescent="0.2">
      <c r="A5822" s="4" t="s">
        <v>1371</v>
      </c>
      <c r="B5822" s="37">
        <v>43793</v>
      </c>
      <c r="C5822" s="12">
        <v>4</v>
      </c>
      <c r="D5822" s="38" t="s">
        <v>3305</v>
      </c>
      <c r="E5822" s="39">
        <v>43790</v>
      </c>
      <c r="F5822" s="40" t="s">
        <v>199</v>
      </c>
      <c r="G5822" s="12"/>
      <c r="H5822" s="12"/>
      <c r="J5822" s="41">
        <f ca="1">ROUNDDOWN(表3[[#This Row],[日期]]-TODAY(),1)</f>
        <v>13</v>
      </c>
    </row>
    <row r="5823" spans="1:10" hidden="1" x14ac:dyDescent="0.2">
      <c r="A5823" s="4" t="s">
        <v>1371</v>
      </c>
      <c r="B5823" s="37">
        <v>43793</v>
      </c>
      <c r="C5823" s="12">
        <v>5</v>
      </c>
      <c r="D5823" s="38" t="s">
        <v>3309</v>
      </c>
      <c r="E5823" s="39">
        <v>43790</v>
      </c>
      <c r="F5823" s="40" t="s">
        <v>199</v>
      </c>
      <c r="G5823" s="12"/>
      <c r="H5823" s="12"/>
      <c r="J5823" s="41">
        <f ca="1">ROUNDDOWN(表3[[#This Row],[日期]]-TODAY(),1)</f>
        <v>13</v>
      </c>
    </row>
    <row r="5824" spans="1:10" hidden="1" x14ac:dyDescent="0.2">
      <c r="A5824" s="4" t="s">
        <v>1371</v>
      </c>
      <c r="B5824" s="37">
        <v>43793</v>
      </c>
      <c r="C5824" s="12">
        <v>6</v>
      </c>
      <c r="D5824" s="38" t="s">
        <v>3311</v>
      </c>
      <c r="E5824" s="39">
        <v>43791</v>
      </c>
      <c r="F5824" s="40" t="s">
        <v>199</v>
      </c>
      <c r="G5824" s="12"/>
      <c r="H5824" s="12"/>
      <c r="J5824" s="41">
        <f ca="1">ROUNDDOWN(表3[[#This Row],[日期]]-TODAY(),1)</f>
        <v>14</v>
      </c>
    </row>
    <row r="5825" spans="1:10" hidden="1" x14ac:dyDescent="0.2">
      <c r="A5825" s="4" t="s">
        <v>1371</v>
      </c>
      <c r="B5825" s="37">
        <v>43793</v>
      </c>
      <c r="C5825" s="12">
        <v>7</v>
      </c>
      <c r="D5825" s="38" t="s">
        <v>3315</v>
      </c>
      <c r="E5825" s="39">
        <v>43796</v>
      </c>
      <c r="F5825" s="40" t="s">
        <v>199</v>
      </c>
      <c r="G5825" s="12"/>
      <c r="H5825" s="12"/>
      <c r="J5825" s="41">
        <f ca="1">ROUNDDOWN(表3[[#This Row],[日期]]-TODAY(),1)</f>
        <v>19</v>
      </c>
    </row>
    <row r="5826" spans="1:10" hidden="1" x14ac:dyDescent="0.2">
      <c r="A5826" s="4" t="s">
        <v>1371</v>
      </c>
      <c r="B5826" s="37">
        <v>43800</v>
      </c>
      <c r="C5826" s="12">
        <v>1</v>
      </c>
      <c r="D5826" s="38" t="s">
        <v>3903</v>
      </c>
      <c r="E5826" s="39">
        <v>43775</v>
      </c>
      <c r="F5826" s="40" t="s">
        <v>242</v>
      </c>
      <c r="G5826" s="12"/>
      <c r="H5826" s="12"/>
      <c r="J5826" s="41">
        <f ca="1">ROUNDDOWN(表3[[#This Row],[日期]]-TODAY(),1)</f>
        <v>-2</v>
      </c>
    </row>
    <row r="5827" spans="1:10" hidden="1" x14ac:dyDescent="0.2">
      <c r="A5827" s="4" t="s">
        <v>1371</v>
      </c>
      <c r="B5827" s="37">
        <v>43800</v>
      </c>
      <c r="C5827" s="12">
        <v>2</v>
      </c>
      <c r="D5827" s="38" t="s">
        <v>3301</v>
      </c>
      <c r="E5827" s="39">
        <v>43796</v>
      </c>
      <c r="F5827" s="40" t="s">
        <v>199</v>
      </c>
      <c r="G5827" s="12"/>
      <c r="H5827" s="12"/>
      <c r="J5827" s="41">
        <f ca="1">ROUNDDOWN(表3[[#This Row],[日期]]-TODAY(),1)</f>
        <v>19</v>
      </c>
    </row>
    <row r="5828" spans="1:10" hidden="1" x14ac:dyDescent="0.2">
      <c r="A5828" s="4" t="s">
        <v>1371</v>
      </c>
      <c r="B5828" s="37">
        <v>43800</v>
      </c>
      <c r="C5828" s="12">
        <v>3</v>
      </c>
      <c r="D5828" s="38" t="s">
        <v>3307</v>
      </c>
      <c r="E5828" s="39">
        <v>43797</v>
      </c>
      <c r="F5828" s="40" t="s">
        <v>199</v>
      </c>
      <c r="G5828" s="12"/>
      <c r="H5828" s="12"/>
      <c r="I5828" s="4" t="s">
        <v>3303</v>
      </c>
      <c r="J5828" s="41">
        <f ca="1">ROUNDDOWN(表3[[#This Row],[日期]]-TODAY(),1)</f>
        <v>20</v>
      </c>
    </row>
    <row r="5829" spans="1:10" hidden="1" x14ac:dyDescent="0.2">
      <c r="A5829" s="4" t="s">
        <v>1371</v>
      </c>
      <c r="B5829" s="37">
        <v>43800</v>
      </c>
      <c r="C5829" s="12">
        <v>4</v>
      </c>
      <c r="D5829" s="38" t="s">
        <v>3305</v>
      </c>
      <c r="E5829" s="39">
        <v>43797</v>
      </c>
      <c r="F5829" s="40" t="s">
        <v>199</v>
      </c>
      <c r="G5829" s="12"/>
      <c r="H5829" s="12"/>
      <c r="J5829" s="41">
        <f ca="1">ROUNDDOWN(表3[[#This Row],[日期]]-TODAY(),1)</f>
        <v>20</v>
      </c>
    </row>
    <row r="5830" spans="1:10" hidden="1" x14ac:dyDescent="0.2">
      <c r="A5830" s="4" t="s">
        <v>1371</v>
      </c>
      <c r="B5830" s="37">
        <v>43800</v>
      </c>
      <c r="C5830" s="12">
        <v>5</v>
      </c>
      <c r="D5830" s="38" t="s">
        <v>3309</v>
      </c>
      <c r="E5830" s="39">
        <v>43797</v>
      </c>
      <c r="F5830" s="40" t="s">
        <v>199</v>
      </c>
      <c r="G5830" s="12"/>
      <c r="H5830" s="12"/>
      <c r="J5830" s="41">
        <f ca="1">ROUNDDOWN(表3[[#This Row],[日期]]-TODAY(),1)</f>
        <v>20</v>
      </c>
    </row>
    <row r="5831" spans="1:10" hidden="1" x14ac:dyDescent="0.2">
      <c r="A5831" s="4" t="s">
        <v>1371</v>
      </c>
      <c r="B5831" s="37">
        <v>43800</v>
      </c>
      <c r="C5831" s="12">
        <v>6</v>
      </c>
      <c r="D5831" s="38" t="s">
        <v>3311</v>
      </c>
      <c r="E5831" s="39">
        <v>43798</v>
      </c>
      <c r="F5831" s="40" t="s">
        <v>199</v>
      </c>
      <c r="G5831" s="12"/>
      <c r="H5831" s="12"/>
      <c r="J5831" s="41">
        <f ca="1">ROUNDDOWN(表3[[#This Row],[日期]]-TODAY(),1)</f>
        <v>21</v>
      </c>
    </row>
    <row r="5832" spans="1:10" hidden="1" x14ac:dyDescent="0.2">
      <c r="A5832" s="4" t="s">
        <v>1371</v>
      </c>
      <c r="B5832" s="37">
        <v>43800</v>
      </c>
      <c r="C5832" s="12">
        <v>7</v>
      </c>
      <c r="D5832" s="38" t="s">
        <v>3315</v>
      </c>
      <c r="E5832" s="39">
        <v>43803</v>
      </c>
      <c r="F5832" s="40" t="s">
        <v>199</v>
      </c>
      <c r="G5832" s="12"/>
      <c r="H5832" s="12"/>
      <c r="J5832" s="41">
        <f ca="1">ROUNDDOWN(表3[[#This Row],[日期]]-TODAY(),1)</f>
        <v>26</v>
      </c>
    </row>
    <row r="5833" spans="1:10" hidden="1" x14ac:dyDescent="0.2">
      <c r="A5833" s="4" t="s">
        <v>1371</v>
      </c>
      <c r="B5833" s="37">
        <v>43807</v>
      </c>
      <c r="C5833" s="12">
        <v>1</v>
      </c>
      <c r="D5833" s="38" t="s">
        <v>3903</v>
      </c>
      <c r="E5833" s="39">
        <v>43775</v>
      </c>
      <c r="F5833" s="40" t="s">
        <v>242</v>
      </c>
      <c r="G5833" s="12"/>
      <c r="H5833" s="12"/>
      <c r="J5833" s="41">
        <f ca="1">ROUNDDOWN(表3[[#This Row],[日期]]-TODAY(),1)</f>
        <v>-2</v>
      </c>
    </row>
    <row r="5834" spans="1:10" hidden="1" x14ac:dyDescent="0.2">
      <c r="A5834" s="4" t="s">
        <v>1371</v>
      </c>
      <c r="B5834" s="37">
        <v>43807</v>
      </c>
      <c r="C5834" s="12">
        <v>2</v>
      </c>
      <c r="D5834" s="38" t="s">
        <v>3301</v>
      </c>
      <c r="E5834" s="39">
        <v>43803</v>
      </c>
      <c r="F5834" s="40" t="s">
        <v>199</v>
      </c>
      <c r="G5834" s="12"/>
      <c r="H5834" s="12"/>
      <c r="J5834" s="41">
        <f ca="1">ROUNDDOWN(表3[[#This Row],[日期]]-TODAY(),1)</f>
        <v>26</v>
      </c>
    </row>
    <row r="5835" spans="1:10" hidden="1" x14ac:dyDescent="0.2">
      <c r="A5835" s="4" t="s">
        <v>1371</v>
      </c>
      <c r="B5835" s="37">
        <v>43807</v>
      </c>
      <c r="C5835" s="12">
        <v>3</v>
      </c>
      <c r="D5835" s="38" t="s">
        <v>3307</v>
      </c>
      <c r="E5835" s="39">
        <v>43804</v>
      </c>
      <c r="F5835" s="40" t="s">
        <v>199</v>
      </c>
      <c r="G5835" s="12"/>
      <c r="H5835" s="12"/>
      <c r="I5835" s="4" t="s">
        <v>3303</v>
      </c>
      <c r="J5835" s="41">
        <f ca="1">ROUNDDOWN(表3[[#This Row],[日期]]-TODAY(),1)</f>
        <v>27</v>
      </c>
    </row>
    <row r="5836" spans="1:10" hidden="1" x14ac:dyDescent="0.2">
      <c r="A5836" s="4" t="s">
        <v>1371</v>
      </c>
      <c r="B5836" s="37">
        <v>43807</v>
      </c>
      <c r="C5836" s="12">
        <v>4</v>
      </c>
      <c r="D5836" s="38" t="s">
        <v>3305</v>
      </c>
      <c r="E5836" s="39">
        <v>43804</v>
      </c>
      <c r="F5836" s="40" t="s">
        <v>199</v>
      </c>
      <c r="G5836" s="12"/>
      <c r="H5836" s="12"/>
      <c r="J5836" s="41">
        <f ca="1">ROUNDDOWN(表3[[#This Row],[日期]]-TODAY(),1)</f>
        <v>27</v>
      </c>
    </row>
    <row r="5837" spans="1:10" hidden="1" x14ac:dyDescent="0.2">
      <c r="A5837" s="4" t="s">
        <v>1371</v>
      </c>
      <c r="B5837" s="37">
        <v>43807</v>
      </c>
      <c r="C5837" s="12">
        <v>5</v>
      </c>
      <c r="D5837" s="38" t="s">
        <v>3309</v>
      </c>
      <c r="E5837" s="39">
        <v>43804</v>
      </c>
      <c r="F5837" s="40" t="s">
        <v>199</v>
      </c>
      <c r="G5837" s="12"/>
      <c r="H5837" s="12"/>
      <c r="J5837" s="41">
        <f ca="1">ROUNDDOWN(表3[[#This Row],[日期]]-TODAY(),1)</f>
        <v>27</v>
      </c>
    </row>
    <row r="5838" spans="1:10" hidden="1" x14ac:dyDescent="0.2">
      <c r="A5838" s="4" t="s">
        <v>1371</v>
      </c>
      <c r="B5838" s="37">
        <v>43807</v>
      </c>
      <c r="C5838" s="12">
        <v>6</v>
      </c>
      <c r="D5838" s="38" t="s">
        <v>3311</v>
      </c>
      <c r="E5838" s="39">
        <v>43805</v>
      </c>
      <c r="F5838" s="40" t="s">
        <v>199</v>
      </c>
      <c r="G5838" s="12"/>
      <c r="H5838" s="12"/>
      <c r="J5838" s="41">
        <f ca="1">ROUNDDOWN(表3[[#This Row],[日期]]-TODAY(),1)</f>
        <v>28</v>
      </c>
    </row>
    <row r="5839" spans="1:10" hidden="1" x14ac:dyDescent="0.2">
      <c r="A5839" s="4" t="s">
        <v>1371</v>
      </c>
      <c r="B5839" s="37">
        <v>43807</v>
      </c>
      <c r="C5839" s="12">
        <v>7</v>
      </c>
      <c r="D5839" s="38" t="s">
        <v>3315</v>
      </c>
      <c r="E5839" s="39">
        <v>43810</v>
      </c>
      <c r="F5839" s="40" t="s">
        <v>199</v>
      </c>
      <c r="G5839" s="12"/>
      <c r="H5839" s="12"/>
      <c r="J5839" s="41">
        <f ca="1">ROUNDDOWN(表3[[#This Row],[日期]]-TODAY(),1)</f>
        <v>33</v>
      </c>
    </row>
    <row r="5840" spans="1:10" hidden="1" x14ac:dyDescent="0.2">
      <c r="A5840" s="4" t="s">
        <v>1371</v>
      </c>
      <c r="B5840" s="37">
        <v>43816</v>
      </c>
      <c r="C5840" s="12">
        <v>1</v>
      </c>
      <c r="D5840" s="38" t="s">
        <v>3903</v>
      </c>
      <c r="E5840" s="39">
        <v>43775</v>
      </c>
      <c r="F5840" s="40" t="s">
        <v>242</v>
      </c>
      <c r="G5840" s="12"/>
      <c r="H5840" s="12"/>
      <c r="J5840" s="41">
        <f ca="1">ROUNDDOWN(表3[[#This Row],[日期]]-TODAY(),1)</f>
        <v>-2</v>
      </c>
    </row>
    <row r="5841" spans="1:10" hidden="1" x14ac:dyDescent="0.2">
      <c r="A5841" s="4" t="s">
        <v>1371</v>
      </c>
      <c r="B5841" s="37">
        <v>43816</v>
      </c>
      <c r="C5841" s="12">
        <v>2</v>
      </c>
      <c r="D5841" s="38" t="s">
        <v>3301</v>
      </c>
      <c r="E5841" s="39">
        <v>43810</v>
      </c>
      <c r="F5841" s="40" t="s">
        <v>199</v>
      </c>
      <c r="G5841" s="12"/>
      <c r="H5841" s="12"/>
      <c r="J5841" s="41">
        <f ca="1">ROUNDDOWN(表3[[#This Row],[日期]]-TODAY(),1)</f>
        <v>33</v>
      </c>
    </row>
    <row r="5842" spans="1:10" hidden="1" x14ac:dyDescent="0.2">
      <c r="A5842" s="4" t="s">
        <v>1371</v>
      </c>
      <c r="B5842" s="37">
        <v>43816</v>
      </c>
      <c r="C5842" s="12">
        <v>3</v>
      </c>
      <c r="D5842" s="38" t="s">
        <v>3307</v>
      </c>
      <c r="E5842" s="39">
        <v>43811</v>
      </c>
      <c r="F5842" s="40" t="s">
        <v>199</v>
      </c>
      <c r="G5842" s="12"/>
      <c r="H5842" s="12"/>
      <c r="I5842" s="4" t="s">
        <v>3303</v>
      </c>
      <c r="J5842" s="41">
        <f ca="1">ROUNDDOWN(表3[[#This Row],[日期]]-TODAY(),1)</f>
        <v>34</v>
      </c>
    </row>
    <row r="5843" spans="1:10" hidden="1" x14ac:dyDescent="0.2">
      <c r="A5843" s="4" t="s">
        <v>1371</v>
      </c>
      <c r="B5843" s="37">
        <v>43816</v>
      </c>
      <c r="C5843" s="12">
        <v>4</v>
      </c>
      <c r="D5843" s="38" t="s">
        <v>3305</v>
      </c>
      <c r="E5843" s="39">
        <v>43811</v>
      </c>
      <c r="F5843" s="40" t="s">
        <v>199</v>
      </c>
      <c r="G5843" s="12"/>
      <c r="H5843" s="12"/>
      <c r="J5843" s="41">
        <f ca="1">ROUNDDOWN(表3[[#This Row],[日期]]-TODAY(),1)</f>
        <v>34</v>
      </c>
    </row>
    <row r="5844" spans="1:10" hidden="1" x14ac:dyDescent="0.2">
      <c r="A5844" s="4" t="s">
        <v>1371</v>
      </c>
      <c r="B5844" s="37">
        <v>43816</v>
      </c>
      <c r="C5844" s="12">
        <v>5</v>
      </c>
      <c r="D5844" s="38" t="s">
        <v>3309</v>
      </c>
      <c r="E5844" s="39">
        <v>43811</v>
      </c>
      <c r="F5844" s="40" t="s">
        <v>199</v>
      </c>
      <c r="G5844" s="12"/>
      <c r="H5844" s="12"/>
      <c r="J5844" s="41">
        <f ca="1">ROUNDDOWN(表3[[#This Row],[日期]]-TODAY(),1)</f>
        <v>34</v>
      </c>
    </row>
    <row r="5845" spans="1:10" hidden="1" x14ac:dyDescent="0.2">
      <c r="A5845" s="4" t="s">
        <v>1371</v>
      </c>
      <c r="B5845" s="37">
        <v>43816</v>
      </c>
      <c r="C5845" s="12">
        <v>6</v>
      </c>
      <c r="D5845" s="38" t="s">
        <v>3311</v>
      </c>
      <c r="E5845" s="39">
        <v>43812</v>
      </c>
      <c r="F5845" s="40" t="s">
        <v>199</v>
      </c>
      <c r="G5845" s="12"/>
      <c r="H5845" s="12"/>
      <c r="J5845" s="41">
        <f ca="1">ROUNDDOWN(表3[[#This Row],[日期]]-TODAY(),1)</f>
        <v>35</v>
      </c>
    </row>
    <row r="5846" spans="1:10" hidden="1" x14ac:dyDescent="0.2">
      <c r="A5846" s="4" t="s">
        <v>1371</v>
      </c>
      <c r="B5846" s="37">
        <v>43816</v>
      </c>
      <c r="C5846" s="12">
        <v>7</v>
      </c>
      <c r="D5846" s="38" t="s">
        <v>3315</v>
      </c>
      <c r="E5846" s="39">
        <v>43819</v>
      </c>
      <c r="F5846" s="40" t="s">
        <v>199</v>
      </c>
      <c r="G5846" s="12"/>
      <c r="H5846" s="12"/>
      <c r="J5846" s="41">
        <f ca="1">ROUNDDOWN(表3[[#This Row],[日期]]-TODAY(),1)</f>
        <v>42</v>
      </c>
    </row>
    <row r="5847" spans="1:10" hidden="1" x14ac:dyDescent="0.2">
      <c r="A5847" s="4" t="s">
        <v>3921</v>
      </c>
      <c r="B5847" s="37">
        <v>43789</v>
      </c>
      <c r="C5847" s="12">
        <v>1</v>
      </c>
      <c r="D5847" s="38" t="s">
        <v>3922</v>
      </c>
      <c r="E5847" s="39">
        <v>43776</v>
      </c>
      <c r="F5847" s="40" t="s">
        <v>242</v>
      </c>
      <c r="G5847" s="12"/>
      <c r="H5847" s="12"/>
      <c r="J5847" s="41">
        <f ca="1">ROUNDDOWN(表3[[#This Row],[日期]]-TODAY(),1)</f>
        <v>-1</v>
      </c>
    </row>
    <row r="5848" spans="1:10" hidden="1" x14ac:dyDescent="0.2">
      <c r="A5848" s="4" t="s">
        <v>3921</v>
      </c>
      <c r="B5848" s="37">
        <v>43789</v>
      </c>
      <c r="C5848" s="12">
        <v>2</v>
      </c>
      <c r="D5848" s="38" t="s">
        <v>3499</v>
      </c>
      <c r="E5848" s="39">
        <v>43783</v>
      </c>
      <c r="F5848" s="40" t="s">
        <v>199</v>
      </c>
      <c r="G5848" s="12"/>
      <c r="H5848" s="12"/>
      <c r="J5848" s="41">
        <f ca="1">ROUNDDOWN(表3[[#This Row],[日期]]-TODAY(),1)</f>
        <v>6</v>
      </c>
    </row>
    <row r="5849" spans="1:10" hidden="1" x14ac:dyDescent="0.2">
      <c r="A5849" s="4" t="s">
        <v>3921</v>
      </c>
      <c r="B5849" s="37">
        <v>43789</v>
      </c>
      <c r="C5849" s="12">
        <v>3</v>
      </c>
      <c r="D5849" s="38" t="s">
        <v>3436</v>
      </c>
      <c r="E5849" s="39">
        <v>43783</v>
      </c>
      <c r="F5849" s="40" t="s">
        <v>199</v>
      </c>
      <c r="G5849" s="12"/>
      <c r="H5849" s="12"/>
      <c r="J5849" s="41">
        <f ca="1">ROUNDDOWN(表3[[#This Row],[日期]]-TODAY(),1)</f>
        <v>6</v>
      </c>
    </row>
    <row r="5850" spans="1:10" hidden="1" x14ac:dyDescent="0.2">
      <c r="A5850" s="4" t="s">
        <v>3921</v>
      </c>
      <c r="B5850" s="37">
        <v>43789</v>
      </c>
      <c r="C5850" s="12">
        <v>4</v>
      </c>
      <c r="D5850" s="38" t="s">
        <v>3438</v>
      </c>
      <c r="E5850" s="39">
        <v>43784</v>
      </c>
      <c r="F5850" s="40" t="s">
        <v>199</v>
      </c>
      <c r="G5850" s="12"/>
      <c r="H5850" s="12"/>
      <c r="J5850" s="41">
        <f ca="1">ROUNDDOWN(表3[[#This Row],[日期]]-TODAY(),1)</f>
        <v>7</v>
      </c>
    </row>
    <row r="5851" spans="1:10" hidden="1" x14ac:dyDescent="0.2">
      <c r="A5851" s="4" t="s">
        <v>3921</v>
      </c>
      <c r="B5851" s="37">
        <v>43789</v>
      </c>
      <c r="C5851" s="12">
        <v>5</v>
      </c>
      <c r="D5851" s="38" t="s">
        <v>3440</v>
      </c>
      <c r="E5851" s="39">
        <v>43784</v>
      </c>
      <c r="F5851" s="40" t="s">
        <v>1184</v>
      </c>
      <c r="G5851" s="12"/>
      <c r="H5851" s="12"/>
      <c r="J5851" s="41">
        <f ca="1">ROUNDDOWN(表3[[#This Row],[日期]]-TODAY(),1)</f>
        <v>7</v>
      </c>
    </row>
    <row r="5852" spans="1:10" hidden="1" x14ac:dyDescent="0.2">
      <c r="A5852" s="4" t="s">
        <v>3921</v>
      </c>
      <c r="B5852" s="37">
        <v>43789</v>
      </c>
      <c r="C5852" s="12">
        <v>6</v>
      </c>
      <c r="D5852" s="38" t="s">
        <v>3818</v>
      </c>
      <c r="E5852" s="39">
        <v>43784</v>
      </c>
      <c r="F5852" s="40" t="s">
        <v>199</v>
      </c>
      <c r="G5852" s="12"/>
      <c r="H5852" s="12"/>
      <c r="J5852" s="41">
        <f ca="1">ROUNDDOWN(表3[[#This Row],[日期]]-TODAY(),1)</f>
        <v>7</v>
      </c>
    </row>
    <row r="5853" spans="1:10" hidden="1" x14ac:dyDescent="0.2">
      <c r="A5853" s="4" t="s">
        <v>3921</v>
      </c>
      <c r="B5853" s="37">
        <v>43789</v>
      </c>
      <c r="C5853" s="12">
        <v>7</v>
      </c>
      <c r="D5853" s="38" t="s">
        <v>3443</v>
      </c>
      <c r="E5853" s="39">
        <v>43785</v>
      </c>
      <c r="F5853" s="40" t="s">
        <v>199</v>
      </c>
      <c r="G5853" s="12"/>
      <c r="H5853" s="12"/>
      <c r="J5853" s="41">
        <f ca="1">ROUNDDOWN(表3[[#This Row],[日期]]-TODAY(),1)</f>
        <v>8</v>
      </c>
    </row>
    <row r="5854" spans="1:10" hidden="1" x14ac:dyDescent="0.2">
      <c r="A5854" s="4" t="s">
        <v>3921</v>
      </c>
      <c r="B5854" s="37">
        <v>43789</v>
      </c>
      <c r="C5854" s="12">
        <v>8</v>
      </c>
      <c r="D5854" s="38" t="s">
        <v>3445</v>
      </c>
      <c r="E5854" s="39">
        <v>43788</v>
      </c>
      <c r="F5854" s="40" t="s">
        <v>199</v>
      </c>
      <c r="G5854" s="12"/>
      <c r="H5854" s="12"/>
      <c r="J5854" s="41">
        <f ca="1">ROUNDDOWN(表3[[#This Row],[日期]]-TODAY(),1)</f>
        <v>11</v>
      </c>
    </row>
    <row r="5855" spans="1:10" hidden="1" x14ac:dyDescent="0.2">
      <c r="A5855" s="4" t="s">
        <v>3930</v>
      </c>
      <c r="B5855" s="37">
        <v>43780</v>
      </c>
      <c r="C5855" s="12"/>
      <c r="D5855" s="38" t="s">
        <v>3929</v>
      </c>
      <c r="E5855" s="39">
        <v>43783</v>
      </c>
      <c r="F5855" s="40" t="s">
        <v>3931</v>
      </c>
      <c r="G5855" s="12"/>
      <c r="H5855" s="12"/>
      <c r="J5855" s="41">
        <f ca="1">ROUNDDOWN(表3[[#This Row],[日期]]-TODAY(),1)</f>
        <v>6</v>
      </c>
    </row>
    <row r="5856" spans="1:10" hidden="1" x14ac:dyDescent="0.2">
      <c r="A5856" s="4" t="s">
        <v>3934</v>
      </c>
      <c r="B5856" s="37">
        <v>43789</v>
      </c>
      <c r="C5856" s="12">
        <v>1</v>
      </c>
      <c r="D5856" s="38" t="s">
        <v>3922</v>
      </c>
      <c r="E5856" s="39">
        <v>43782</v>
      </c>
      <c r="F5856" s="40" t="s">
        <v>199</v>
      </c>
      <c r="G5856" s="12"/>
      <c r="H5856" s="12"/>
      <c r="J5856" s="41">
        <f ca="1">ROUNDDOWN(表3[[#This Row],[日期]]-TODAY(),1)</f>
        <v>5</v>
      </c>
    </row>
    <row r="5857" spans="1:10" hidden="1" x14ac:dyDescent="0.2">
      <c r="A5857" s="4" t="s">
        <v>3934</v>
      </c>
      <c r="B5857" s="37">
        <v>43789</v>
      </c>
      <c r="C5857" s="12">
        <v>2</v>
      </c>
      <c r="D5857" s="38" t="s">
        <v>3499</v>
      </c>
      <c r="E5857" s="39">
        <v>43783</v>
      </c>
      <c r="F5857" s="40" t="s">
        <v>199</v>
      </c>
      <c r="G5857" s="12"/>
      <c r="H5857" s="12"/>
      <c r="J5857" s="41">
        <f ca="1">ROUNDDOWN(表3[[#This Row],[日期]]-TODAY(),1)</f>
        <v>6</v>
      </c>
    </row>
    <row r="5858" spans="1:10" hidden="1" x14ac:dyDescent="0.2">
      <c r="A5858" s="4" t="s">
        <v>3934</v>
      </c>
      <c r="B5858" s="37">
        <v>43789</v>
      </c>
      <c r="C5858" s="12">
        <v>3</v>
      </c>
      <c r="D5858" s="38" t="s">
        <v>3436</v>
      </c>
      <c r="E5858" s="39">
        <v>43784</v>
      </c>
      <c r="F5858" s="40" t="s">
        <v>199</v>
      </c>
      <c r="G5858" s="12"/>
      <c r="H5858" s="12"/>
      <c r="J5858" s="41">
        <f ca="1">ROUNDDOWN(表3[[#This Row],[日期]]-TODAY(),1)</f>
        <v>7</v>
      </c>
    </row>
    <row r="5859" spans="1:10" hidden="1" x14ac:dyDescent="0.2">
      <c r="A5859" s="4" t="s">
        <v>3934</v>
      </c>
      <c r="B5859" s="37">
        <v>43789</v>
      </c>
      <c r="C5859" s="12">
        <v>4</v>
      </c>
      <c r="D5859" s="38" t="s">
        <v>3438</v>
      </c>
      <c r="E5859" s="39">
        <v>43784</v>
      </c>
      <c r="F5859" s="40" t="s">
        <v>199</v>
      </c>
      <c r="G5859" s="12"/>
      <c r="H5859" s="12"/>
      <c r="J5859" s="41">
        <f ca="1">ROUNDDOWN(表3[[#This Row],[日期]]-TODAY(),1)</f>
        <v>7</v>
      </c>
    </row>
    <row r="5860" spans="1:10" hidden="1" x14ac:dyDescent="0.2">
      <c r="A5860" s="4" t="s">
        <v>3934</v>
      </c>
      <c r="B5860" s="37">
        <v>43789</v>
      </c>
      <c r="C5860" s="12">
        <v>5</v>
      </c>
      <c r="D5860" s="38" t="s">
        <v>3440</v>
      </c>
      <c r="E5860" s="39">
        <v>43784</v>
      </c>
      <c r="F5860" s="40" t="s">
        <v>199</v>
      </c>
      <c r="G5860" s="12"/>
      <c r="H5860" s="12"/>
      <c r="J5860" s="41">
        <f ca="1">ROUNDDOWN(表3[[#This Row],[日期]]-TODAY(),1)</f>
        <v>7</v>
      </c>
    </row>
    <row r="5861" spans="1:10" hidden="1" x14ac:dyDescent="0.2">
      <c r="A5861" s="4" t="s">
        <v>3934</v>
      </c>
      <c r="B5861" s="37">
        <v>43789</v>
      </c>
      <c r="C5861" s="12">
        <v>6</v>
      </c>
      <c r="D5861" s="38" t="s">
        <v>3818</v>
      </c>
      <c r="E5861" s="39">
        <v>43784</v>
      </c>
      <c r="F5861" s="40" t="s">
        <v>1184</v>
      </c>
      <c r="G5861" s="12"/>
      <c r="H5861" s="12"/>
      <c r="J5861" s="41">
        <f ca="1">ROUNDDOWN(表3[[#This Row],[日期]]-TODAY(),1)</f>
        <v>7</v>
      </c>
    </row>
    <row r="5862" spans="1:10" hidden="1" x14ac:dyDescent="0.2">
      <c r="A5862" s="4" t="s">
        <v>3934</v>
      </c>
      <c r="B5862" s="37">
        <v>43789</v>
      </c>
      <c r="C5862" s="12">
        <v>7</v>
      </c>
      <c r="D5862" s="38" t="s">
        <v>3443</v>
      </c>
      <c r="E5862" s="39">
        <v>43786</v>
      </c>
      <c r="F5862" s="40" t="s">
        <v>199</v>
      </c>
      <c r="G5862" s="12"/>
      <c r="H5862" s="12"/>
      <c r="J5862" s="41">
        <f ca="1">ROUNDDOWN(表3[[#This Row],[日期]]-TODAY(),1)</f>
        <v>9</v>
      </c>
    </row>
    <row r="5863" spans="1:10" hidden="1" x14ac:dyDescent="0.2">
      <c r="A5863" s="4" t="s">
        <v>3934</v>
      </c>
      <c r="B5863" s="37">
        <v>43789</v>
      </c>
      <c r="C5863" s="12">
        <v>8</v>
      </c>
      <c r="D5863" s="38" t="s">
        <v>3445</v>
      </c>
      <c r="E5863" s="39">
        <v>43788</v>
      </c>
      <c r="F5863" s="40" t="s">
        <v>199</v>
      </c>
      <c r="G5863" s="12"/>
      <c r="H5863" s="12"/>
      <c r="J5863" s="41">
        <f ca="1">ROUNDDOWN(表3[[#This Row],[日期]]-TODAY(),1)</f>
        <v>11</v>
      </c>
    </row>
    <row r="5864" spans="1:10" hidden="1" x14ac:dyDescent="0.2">
      <c r="A5864" s="4" t="s">
        <v>2844</v>
      </c>
      <c r="B5864" s="37">
        <v>43780</v>
      </c>
      <c r="C5864" s="12">
        <v>0</v>
      </c>
      <c r="D5864" s="38" t="s">
        <v>3347</v>
      </c>
      <c r="E5864" s="39">
        <v>43780</v>
      </c>
      <c r="F5864" s="40" t="s">
        <v>199</v>
      </c>
      <c r="G5864" s="12"/>
      <c r="H5864" s="12"/>
      <c r="I5864" s="4" t="s">
        <v>222</v>
      </c>
      <c r="J5864" s="41">
        <f ca="1">ROUNDDOWN(表3[[#This Row],[日期]]-TODAY(),1)</f>
        <v>3</v>
      </c>
    </row>
    <row r="5865" spans="1:10" hidden="1" x14ac:dyDescent="0.2">
      <c r="A5865" s="4" t="s">
        <v>2844</v>
      </c>
      <c r="B5865" s="37">
        <v>43780</v>
      </c>
      <c r="C5865" s="12">
        <v>1</v>
      </c>
      <c r="D5865" s="38" t="s">
        <v>3534</v>
      </c>
      <c r="E5865" s="39">
        <v>43784</v>
      </c>
      <c r="F5865" s="40" t="s">
        <v>199</v>
      </c>
      <c r="G5865" s="12"/>
      <c r="H5865" s="12"/>
      <c r="I5865" s="4" t="s">
        <v>220</v>
      </c>
      <c r="J5865" s="41">
        <f ca="1">ROUNDDOWN(表3[[#This Row],[日期]]-TODAY(),1)</f>
        <v>7</v>
      </c>
    </row>
    <row r="5866" spans="1:10" hidden="1" x14ac:dyDescent="0.2">
      <c r="A5866" s="4" t="s">
        <v>2844</v>
      </c>
      <c r="B5866" s="37">
        <v>43780</v>
      </c>
      <c r="C5866" s="12">
        <v>2</v>
      </c>
      <c r="D5866" s="38" t="s">
        <v>3532</v>
      </c>
      <c r="E5866" s="39">
        <v>43784</v>
      </c>
      <c r="F5866" s="40" t="s">
        <v>199</v>
      </c>
      <c r="G5866" s="12"/>
      <c r="H5866" s="12"/>
      <c r="J5866" s="41">
        <f ca="1">ROUNDDOWN(表3[[#This Row],[日期]]-TODAY(),1)</f>
        <v>7</v>
      </c>
    </row>
    <row r="5867" spans="1:10" hidden="1" x14ac:dyDescent="0.2">
      <c r="A5867" s="4" t="s">
        <v>3946</v>
      </c>
      <c r="B5867" s="37">
        <v>43780</v>
      </c>
      <c r="C5867" s="12"/>
      <c r="D5867" s="38" t="s">
        <v>3947</v>
      </c>
      <c r="E5867" s="39">
        <v>43780</v>
      </c>
      <c r="F5867" s="40" t="s">
        <v>3948</v>
      </c>
      <c r="G5867" s="12"/>
      <c r="H5867" s="12"/>
      <c r="J5867" s="41">
        <f ca="1">ROUNDDOWN(表3[[#This Row],[日期]]-TODAY(),1)</f>
        <v>3</v>
      </c>
    </row>
    <row r="5868" spans="1:10" hidden="1" x14ac:dyDescent="0.2">
      <c r="A5868" s="4" t="s">
        <v>3946</v>
      </c>
      <c r="B5868" s="37">
        <v>43780</v>
      </c>
      <c r="C5868" s="12"/>
      <c r="D5868" s="38" t="s">
        <v>3950</v>
      </c>
      <c r="E5868" s="39">
        <v>43784</v>
      </c>
      <c r="F5868" s="40" t="s">
        <v>3948</v>
      </c>
      <c r="G5868" s="12"/>
      <c r="H5868" s="12"/>
      <c r="J5868" s="41">
        <f ca="1">ROUNDDOWN(表3[[#This Row],[日期]]-TODAY(),1)</f>
        <v>7</v>
      </c>
    </row>
  </sheetData>
  <dataConsolidate/>
  <phoneticPr fontId="1" type="noConversion"/>
  <conditionalFormatting sqref="E2:E5868">
    <cfRule type="timePeriod" dxfId="90" priority="14" stopIfTrue="1" timePeriod="tomorrow">
      <formula>FLOOR(E2,1)=TODAY()+1</formula>
    </cfRule>
    <cfRule type="timePeriod" dxfId="89" priority="15" stopIfTrue="1" timePeriod="today">
      <formula>FLOOR(E2,1)=TODAY()</formula>
    </cfRule>
  </conditionalFormatting>
  <conditionalFormatting sqref="E5532:E5536">
    <cfRule type="timePeriod" dxfId="88" priority="12" stopIfTrue="1" timePeriod="tomorrow">
      <formula>FLOOR(E5532,1)=TODAY()+1</formula>
    </cfRule>
    <cfRule type="timePeriod" dxfId="87" priority="13" stopIfTrue="1" timePeriod="today">
      <formula>FLOOR(E5532,1)=TODAY()</formula>
    </cfRule>
  </conditionalFormatting>
  <conditionalFormatting sqref="D5673">
    <cfRule type="duplicateValues" dxfId="86" priority="11"/>
  </conditionalFormatting>
  <conditionalFormatting sqref="E5678:E5683">
    <cfRule type="timePeriod" dxfId="85" priority="9" stopIfTrue="1" timePeriod="tomorrow">
      <formula>FLOOR(E5678,1)=TODAY()+1</formula>
    </cfRule>
    <cfRule type="timePeriod" dxfId="84" priority="10" stopIfTrue="1" timePeriod="today">
      <formula>FLOOR(E5678,1)=TODAY()</formula>
    </cfRule>
  </conditionalFormatting>
  <conditionalFormatting sqref="E5733:E5740">
    <cfRule type="timePeriod" dxfId="83" priority="7" stopIfTrue="1" timePeriod="tomorrow">
      <formula>FLOOR(E5733,1)=TODAY()+1</formula>
    </cfRule>
    <cfRule type="timePeriod" dxfId="82" priority="8" stopIfTrue="1" timePeriod="today">
      <formula>FLOOR(E5733,1)=TODAY()</formula>
    </cfRule>
  </conditionalFormatting>
  <conditionalFormatting sqref="E5833:E5839">
    <cfRule type="timePeriod" dxfId="81" priority="5" stopIfTrue="1" timePeriod="tomorrow">
      <formula>FLOOR(E5833,1)=TODAY()+1</formula>
    </cfRule>
    <cfRule type="timePeriod" dxfId="80" priority="6" stopIfTrue="1" timePeriod="today">
      <formula>FLOOR(E5833,1)=TODAY()</formula>
    </cfRule>
  </conditionalFormatting>
  <conditionalFormatting sqref="E5840:E5846">
    <cfRule type="timePeriod" dxfId="79" priority="3" stopIfTrue="1" timePeriod="tomorrow">
      <formula>FLOOR(E5840,1)=TODAY()+1</formula>
    </cfRule>
    <cfRule type="timePeriod" dxfId="78" priority="4" stopIfTrue="1" timePeriod="today">
      <formula>FLOOR(E5840,1)=TODAY()</formula>
    </cfRule>
  </conditionalFormatting>
  <conditionalFormatting sqref="E5840:E5846">
    <cfRule type="timePeriod" dxfId="77" priority="1" stopIfTrue="1" timePeriod="tomorrow">
      <formula>FLOOR(E5840,1)=TODAY()+1</formula>
    </cfRule>
    <cfRule type="timePeriod" dxfId="76" priority="2" stopIfTrue="1" timePeriod="today">
      <formula>FLOOR(E5840,1)=TODAY()</formula>
    </cfRule>
  </conditionalFormatting>
  <dataValidations count="2">
    <dataValidation type="list" showInputMessage="1" showErrorMessage="1" sqref="F2:F5868" xr:uid="{00000000-0002-0000-0200-000000000000}">
      <formula1>"计划,OK,取消"</formula1>
    </dataValidation>
    <dataValidation type="date" operator="greaterThan" showInputMessage="1" showErrorMessage="1" sqref="E2:E5868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55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49" sqref="E149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375</v>
      </c>
      <c r="D1" s="10" t="s">
        <v>376</v>
      </c>
      <c r="E1" s="10" t="s">
        <v>374</v>
      </c>
      <c r="F1" s="10" t="s">
        <v>1669</v>
      </c>
      <c r="G1" s="10" t="s">
        <v>666</v>
      </c>
      <c r="H1" s="10" t="s">
        <v>1092</v>
      </c>
      <c r="I1" s="10" t="s">
        <v>320</v>
      </c>
      <c r="J1" s="10" t="s">
        <v>667</v>
      </c>
      <c r="K1" s="10" t="s">
        <v>665</v>
      </c>
      <c r="L1" s="10" t="s">
        <v>675</v>
      </c>
      <c r="M1" s="10" t="s">
        <v>3148</v>
      </c>
      <c r="N1" s="10" t="s">
        <v>3149</v>
      </c>
      <c r="O1" s="10" t="s">
        <v>2979</v>
      </c>
    </row>
    <row r="2" spans="1:15" hidden="1" x14ac:dyDescent="0.2">
      <c r="A2" t="s">
        <v>638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721</v>
      </c>
      <c r="H2" s="19" t="s">
        <v>1093</v>
      </c>
      <c r="I2" s="19" t="s">
        <v>1106</v>
      </c>
      <c r="J2" s="3" t="str">
        <f>表4[[#This Row],[船名]]&amp;" "&amp;表4[[#This Row],[航次]]</f>
        <v>MAERSK EVORA 922N</v>
      </c>
      <c r="K2" s="8" t="s">
        <v>764</v>
      </c>
      <c r="L2" s="2" t="s">
        <v>722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669</v>
      </c>
      <c r="H3" s="19" t="s">
        <v>1094</v>
      </c>
      <c r="I3" s="19" t="s">
        <v>1107</v>
      </c>
      <c r="J3" s="3" t="str">
        <f>表4[[#This Row],[船名]]&amp;" "&amp;表4[[#This Row],[航次]]</f>
        <v>HYUNDAI PLATINUM 053W</v>
      </c>
      <c r="K3" s="8" t="s">
        <v>771</v>
      </c>
      <c r="L3" s="2" t="s">
        <v>674</v>
      </c>
      <c r="M3" s="73"/>
      <c r="N3" s="73"/>
    </row>
    <row r="4" spans="1:15" hidden="1" x14ac:dyDescent="0.2">
      <c r="A4" t="s">
        <v>671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672</v>
      </c>
      <c r="H4" s="19" t="s">
        <v>531</v>
      </c>
      <c r="I4" s="19" t="s">
        <v>532</v>
      </c>
      <c r="J4" s="3" t="str">
        <f>表4[[#This Row],[船名]]&amp;" "&amp;表4[[#This Row],[航次]]</f>
        <v>HYUNDAI TACOMA 087E</v>
      </c>
      <c r="K4" s="8" t="s">
        <v>766</v>
      </c>
      <c r="L4" s="2" t="s">
        <v>663</v>
      </c>
      <c r="M4" s="73"/>
      <c r="N4" s="73"/>
    </row>
    <row r="5" spans="1:15" hidden="1" x14ac:dyDescent="0.2">
      <c r="A5" t="s">
        <v>723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668</v>
      </c>
      <c r="H5" s="19" t="s">
        <v>1095</v>
      </c>
      <c r="I5" s="19" t="s">
        <v>1108</v>
      </c>
      <c r="J5" s="3" t="str">
        <f>表4[[#This Row],[船名]]&amp;" "&amp;表4[[#This Row],[航次]]</f>
        <v>CISNES 923E</v>
      </c>
      <c r="K5" s="8" t="s">
        <v>773</v>
      </c>
      <c r="L5" s="2" t="s">
        <v>724</v>
      </c>
      <c r="M5" s="73"/>
      <c r="N5" s="73"/>
    </row>
    <row r="6" spans="1:15" hidden="1" x14ac:dyDescent="0.2">
      <c r="A6" t="s">
        <v>671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672</v>
      </c>
      <c r="H6" s="19" t="s">
        <v>1096</v>
      </c>
      <c r="I6" s="19" t="s">
        <v>1109</v>
      </c>
      <c r="J6" s="3" t="str">
        <f>表4[[#This Row],[船名]]&amp;" "&amp;表4[[#This Row],[航次]]</f>
        <v>MSC AURORA QL923N</v>
      </c>
      <c r="K6" s="8" t="s">
        <v>775</v>
      </c>
      <c r="L6" s="2" t="s">
        <v>561</v>
      </c>
      <c r="M6" s="73"/>
      <c r="N6" s="73"/>
    </row>
    <row r="7" spans="1:15" hidden="1" x14ac:dyDescent="0.2">
      <c r="A7" t="s">
        <v>670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669</v>
      </c>
      <c r="H7" s="19" t="s">
        <v>1097</v>
      </c>
      <c r="I7" s="19" t="s">
        <v>1110</v>
      </c>
      <c r="J7" s="3" t="str">
        <f>表4[[#This Row],[船名]]&amp;" "&amp;表4[[#This Row],[航次]]</f>
        <v>HYUNDAI PREMIUM 057W</v>
      </c>
      <c r="K7" s="8" t="s">
        <v>778</v>
      </c>
      <c r="L7" s="2" t="s">
        <v>673</v>
      </c>
      <c r="M7" s="73"/>
      <c r="N7" s="73"/>
    </row>
    <row r="8" spans="1:15" hidden="1" x14ac:dyDescent="0.2">
      <c r="A8" t="s">
        <v>671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672</v>
      </c>
      <c r="H8" s="19" t="s">
        <v>1099</v>
      </c>
      <c r="I8" s="19" t="s">
        <v>1112</v>
      </c>
      <c r="J8" s="3" t="str">
        <f>表4[[#This Row],[船名]]&amp;" "&amp;表4[[#This Row],[航次]]</f>
        <v>HYUNDAI BRAVE 078E</v>
      </c>
      <c r="K8" s="8" t="s">
        <v>784</v>
      </c>
      <c r="L8" s="2" t="s">
        <v>676</v>
      </c>
      <c r="M8" s="73"/>
      <c r="N8" s="73"/>
    </row>
    <row r="9" spans="1:15" hidden="1" x14ac:dyDescent="0.2">
      <c r="A9" t="s">
        <v>664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668</v>
      </c>
      <c r="H9" s="19" t="s">
        <v>1098</v>
      </c>
      <c r="I9" s="19" t="s">
        <v>1111</v>
      </c>
      <c r="J9" s="3" t="str">
        <f>表4[[#This Row],[船名]]&amp;" "&amp;表4[[#This Row],[航次]]</f>
        <v>CORCOVADO 924E</v>
      </c>
      <c r="K9" s="8" t="s">
        <v>780</v>
      </c>
      <c r="L9" s="2" t="s">
        <v>659</v>
      </c>
      <c r="M9" s="73"/>
      <c r="N9" s="73"/>
    </row>
    <row r="10" spans="1:15" hidden="1" x14ac:dyDescent="0.2">
      <c r="A10" t="s">
        <v>718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719</v>
      </c>
      <c r="H10" s="19" t="s">
        <v>1098</v>
      </c>
      <c r="I10" s="19" t="s">
        <v>1111</v>
      </c>
      <c r="J10" s="3" t="str">
        <f>表4[[#This Row],[船名]]&amp;" "&amp;表4[[#This Row],[航次]]</f>
        <v>CORCOVADO 924E</v>
      </c>
      <c r="K10" s="8" t="s">
        <v>782</v>
      </c>
      <c r="L10" s="2" t="s">
        <v>720</v>
      </c>
      <c r="M10" s="73"/>
      <c r="N10" s="73"/>
    </row>
    <row r="11" spans="1:15" hidden="1" x14ac:dyDescent="0.2">
      <c r="A11" t="s">
        <v>671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672</v>
      </c>
      <c r="H11" s="19" t="s">
        <v>1100</v>
      </c>
      <c r="I11" s="19" t="s">
        <v>1113</v>
      </c>
      <c r="J11" s="3" t="str">
        <f>表4[[#This Row],[船名]]&amp;" "&amp;表4[[#This Row],[航次]]</f>
        <v>MSC BETTINA QL924N</v>
      </c>
      <c r="K11" s="8" t="s">
        <v>790</v>
      </c>
      <c r="L11" s="2" t="s">
        <v>677</v>
      </c>
      <c r="M11" s="73"/>
      <c r="N11" s="73"/>
    </row>
    <row r="12" spans="1:15" hidden="1" x14ac:dyDescent="0.2">
      <c r="A12" t="s">
        <v>638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672</v>
      </c>
      <c r="H12" s="19" t="s">
        <v>1100</v>
      </c>
      <c r="I12" s="19" t="s">
        <v>1113</v>
      </c>
      <c r="J12" s="3" t="str">
        <f>表4[[#This Row],[船名]]&amp;" "&amp;表4[[#This Row],[航次]]</f>
        <v>MSC BETTINA QL924N</v>
      </c>
      <c r="K12" s="8" t="s">
        <v>788</v>
      </c>
      <c r="L12" s="2" t="s">
        <v>678</v>
      </c>
      <c r="M12" s="73"/>
      <c r="N12" s="73"/>
    </row>
    <row r="13" spans="1:15" hidden="1" x14ac:dyDescent="0.2">
      <c r="A13" t="s">
        <v>670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669</v>
      </c>
      <c r="H13" s="19" t="s">
        <v>845</v>
      </c>
      <c r="I13" s="19" t="s">
        <v>847</v>
      </c>
      <c r="J13" s="3" t="str">
        <f>表4[[#This Row],[船名]]&amp;" "&amp;表4[[#This Row],[航次]]</f>
        <v>HYUNDAI PRESTIGE 064W</v>
      </c>
      <c r="K13" s="8" t="s">
        <v>851</v>
      </c>
      <c r="L13" s="2" t="s">
        <v>846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672</v>
      </c>
      <c r="H14" s="19" t="s">
        <v>1101</v>
      </c>
      <c r="I14" s="19" t="s">
        <v>1114</v>
      </c>
      <c r="J14" s="3" t="str">
        <f>表4[[#This Row],[船名]]&amp;" "&amp;表4[[#This Row],[航次]]</f>
        <v>HYUNDAI COURAGE 080E</v>
      </c>
      <c r="K14" s="8" t="s">
        <v>826</v>
      </c>
      <c r="L14" s="2" t="s">
        <v>828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668</v>
      </c>
      <c r="H15" s="19" t="s">
        <v>730</v>
      </c>
      <c r="I15" s="19" t="s">
        <v>731</v>
      </c>
      <c r="J15" s="3" t="str">
        <f>表4[[#This Row],[船名]]&amp;" "&amp;表4[[#This Row],[航次]]</f>
        <v>MOL BEYOND 925E</v>
      </c>
      <c r="K15" s="8" t="s">
        <v>792</v>
      </c>
      <c r="L15" s="2" t="s">
        <v>661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672</v>
      </c>
      <c r="H16" s="20" t="s">
        <v>855</v>
      </c>
      <c r="I16" s="20" t="s">
        <v>856</v>
      </c>
      <c r="J16" s="12" t="str">
        <f>表4[[#This Row],[船名]]&amp;" "&amp;表4[[#This Row],[航次]]</f>
        <v>MSC JEWEL QL925N</v>
      </c>
      <c r="K16" s="8" t="s">
        <v>920</v>
      </c>
      <c r="L16" s="2" t="s">
        <v>831</v>
      </c>
      <c r="M16" s="73"/>
      <c r="N16" s="73"/>
    </row>
    <row r="17" spans="1:14" hidden="1" x14ac:dyDescent="0.2">
      <c r="A17" t="s">
        <v>944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669</v>
      </c>
      <c r="H17" s="19" t="s">
        <v>958</v>
      </c>
      <c r="I17" s="19" t="s">
        <v>959</v>
      </c>
      <c r="J17" s="3" t="str">
        <f>表4[[#This Row],[船名]]&amp;" "&amp;表4[[#This Row],[航次]]</f>
        <v>HYUNDAI PARAMOUNT 045W</v>
      </c>
      <c r="K17" s="8" t="s">
        <v>957</v>
      </c>
      <c r="L17" s="2" t="s">
        <v>956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672</v>
      </c>
      <c r="H18" s="19" t="s">
        <v>1102</v>
      </c>
      <c r="I18" s="19" t="s">
        <v>940</v>
      </c>
      <c r="J18" s="3" t="str">
        <f>表4[[#This Row],[船名]]&amp;" "&amp;表4[[#This Row],[航次]]</f>
        <v>HYUNDAI FAITH 082E</v>
      </c>
      <c r="K18" s="8" t="s">
        <v>937</v>
      </c>
      <c r="L18" s="2" t="s">
        <v>935</v>
      </c>
      <c r="M18" s="73"/>
      <c r="N18" s="73"/>
    </row>
    <row r="19" spans="1:14" hidden="1" x14ac:dyDescent="0.2">
      <c r="A19" t="s">
        <v>860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861</v>
      </c>
      <c r="H19" s="19" t="s">
        <v>890</v>
      </c>
      <c r="I19" s="19" t="s">
        <v>891</v>
      </c>
      <c r="J19" s="3" t="str">
        <f>表4[[#This Row],[船名]]&amp;" "&amp;表4[[#This Row],[航次]]</f>
        <v>CAUTIN 926E</v>
      </c>
      <c r="K19" s="8" t="s">
        <v>889</v>
      </c>
      <c r="L19" s="2" t="s">
        <v>888</v>
      </c>
      <c r="M19" s="73"/>
      <c r="N19" s="73"/>
    </row>
    <row r="20" spans="1:14" hidden="1" x14ac:dyDescent="0.2">
      <c r="A20" t="s">
        <v>985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986</v>
      </c>
      <c r="H20" s="19" t="s">
        <v>1103</v>
      </c>
      <c r="I20" s="19" t="s">
        <v>1075</v>
      </c>
      <c r="J20" s="3" t="str">
        <f>表4[[#This Row],[船名]]&amp;" "&amp;表4[[#This Row],[航次]]</f>
        <v>KMTC JEBEL ALI 1907S</v>
      </c>
      <c r="K20" s="8" t="s">
        <v>1042</v>
      </c>
      <c r="L20" s="2" t="s">
        <v>1014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672</v>
      </c>
      <c r="H21" s="19" t="s">
        <v>1067</v>
      </c>
      <c r="I21" s="19" t="s">
        <v>1068</v>
      </c>
      <c r="J21" s="3" t="str">
        <f>表4[[#This Row],[船名]]&amp;" "&amp;表4[[#This Row],[航次]]</f>
        <v>MSC KATRINA QL926N</v>
      </c>
      <c r="K21" s="8" t="s">
        <v>938</v>
      </c>
      <c r="L21" s="2" t="s">
        <v>936</v>
      </c>
      <c r="M21" s="73"/>
      <c r="N21" s="73"/>
    </row>
    <row r="22" spans="1:14" hidden="1" x14ac:dyDescent="0.2">
      <c r="A22" t="s">
        <v>700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699</v>
      </c>
      <c r="H22" s="19" t="s">
        <v>1616</v>
      </c>
      <c r="I22" s="19" t="s">
        <v>970</v>
      </c>
      <c r="J22" s="3" t="str">
        <f>表4[[#This Row],[船名]]&amp;" "&amp;表4[[#This Row],[航次]]</f>
        <v>ALBERT MAERSK 927E</v>
      </c>
      <c r="K22" s="8" t="s">
        <v>794</v>
      </c>
      <c r="L22" s="2">
        <v>969290200</v>
      </c>
      <c r="M22" s="73"/>
      <c r="N22" s="73"/>
    </row>
    <row r="23" spans="1:14" hidden="1" x14ac:dyDescent="0.2">
      <c r="A23" t="s">
        <v>1013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986</v>
      </c>
      <c r="H23" s="19" t="s">
        <v>1425</v>
      </c>
      <c r="I23" s="19" t="s">
        <v>1075</v>
      </c>
      <c r="J23" s="3" t="str">
        <f>表4[[#This Row],[船名]]&amp;" "&amp;表4[[#This Row],[航次]]</f>
        <v>KMTC SHENZHEN 1907S</v>
      </c>
      <c r="K23" s="8" t="s">
        <v>1043</v>
      </c>
      <c r="L23" s="2" t="s">
        <v>1015</v>
      </c>
      <c r="M23" s="73"/>
      <c r="N23" s="73"/>
    </row>
    <row r="24" spans="1:14" hidden="1" x14ac:dyDescent="0.2">
      <c r="A24" t="s">
        <v>1013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669</v>
      </c>
      <c r="H24" s="19" t="s">
        <v>1426</v>
      </c>
      <c r="I24" s="19" t="s">
        <v>1116</v>
      </c>
      <c r="J24" s="3" t="str">
        <f>表4[[#This Row],[船名]]&amp;" "&amp;表4[[#This Row],[航次]]</f>
        <v>YM ELIXIR 097S</v>
      </c>
      <c r="K24" s="8" t="s">
        <v>1197</v>
      </c>
      <c r="L24" s="2" t="s">
        <v>1033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669</v>
      </c>
      <c r="H25" s="19" t="s">
        <v>1124</v>
      </c>
      <c r="I25" s="19" t="s">
        <v>1125</v>
      </c>
      <c r="J25" s="3" t="str">
        <f>表4[[#This Row],[船名]]&amp;" "&amp;表4[[#This Row],[航次]]</f>
        <v>HYUNDAI PRIVILEGE 063W</v>
      </c>
      <c r="K25" s="8" t="s">
        <v>1173</v>
      </c>
      <c r="L25" s="2" t="s">
        <v>1126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672</v>
      </c>
      <c r="H26" s="19" t="s">
        <v>1105</v>
      </c>
      <c r="I26" s="19" t="s">
        <v>1117</v>
      </c>
      <c r="J26" s="3" t="str">
        <f>表4[[#This Row],[船名]]&amp;" "&amp;表4[[#This Row],[航次]]</f>
        <v>HYUNDAI SPLENDOR 068E</v>
      </c>
      <c r="K26" s="8" t="s">
        <v>1083</v>
      </c>
      <c r="L26" s="2" t="s">
        <v>1122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952</v>
      </c>
      <c r="H27" s="19" t="s">
        <v>969</v>
      </c>
      <c r="I27" s="19" t="s">
        <v>970</v>
      </c>
      <c r="J27" s="3" t="str">
        <f>表4[[#This Row],[船名]]&amp;" "&amp;表4[[#This Row],[航次]]</f>
        <v>CAUQUENES 927E</v>
      </c>
      <c r="K27" s="8" t="s">
        <v>1169</v>
      </c>
      <c r="L27" s="2" t="s">
        <v>953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987</v>
      </c>
      <c r="H28" s="19" t="s">
        <v>969</v>
      </c>
      <c r="I28" s="19" t="s">
        <v>970</v>
      </c>
      <c r="J28" s="3" t="str">
        <f>表4[[#This Row],[船名]]&amp;" "&amp;表4[[#This Row],[航次]]</f>
        <v>CAUQUENES 927E</v>
      </c>
      <c r="K28" s="8" t="s">
        <v>1088</v>
      </c>
      <c r="L28" s="2" t="s">
        <v>1062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672</v>
      </c>
      <c r="H29" s="19" t="s">
        <v>1104</v>
      </c>
      <c r="I29" s="19" t="s">
        <v>1115</v>
      </c>
      <c r="J29" s="3" t="str">
        <f>表4[[#This Row],[船名]]&amp;" "&amp;表4[[#This Row],[航次]]</f>
        <v>MSC MARIA SAVERIA 927N</v>
      </c>
      <c r="K29" s="8" t="s">
        <v>1288</v>
      </c>
      <c r="L29" s="2" t="s">
        <v>1087</v>
      </c>
      <c r="M29" s="73"/>
      <c r="N29" s="73"/>
    </row>
    <row r="30" spans="1:14" hidden="1" x14ac:dyDescent="0.2">
      <c r="A30" t="s">
        <v>638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1016</v>
      </c>
      <c r="H30" s="19" t="s">
        <v>1104</v>
      </c>
      <c r="I30" s="19" t="s">
        <v>1136</v>
      </c>
      <c r="J30" s="3" t="str">
        <f>表4[[#This Row],[船名]]&amp;" "&amp;表4[[#This Row],[航次]]</f>
        <v>MSC MARIA SAVERIA QL927N</v>
      </c>
      <c r="K30" s="8" t="s">
        <v>1135</v>
      </c>
      <c r="L30" s="2" t="s">
        <v>1123</v>
      </c>
      <c r="M30" s="73"/>
      <c r="N30" s="73"/>
    </row>
    <row r="31" spans="1:14" hidden="1" x14ac:dyDescent="0.2">
      <c r="A31" t="s">
        <v>1013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668</v>
      </c>
      <c r="H31" s="19" t="s">
        <v>1316</v>
      </c>
      <c r="I31" s="19" t="s">
        <v>1246</v>
      </c>
      <c r="J31" s="3" t="str">
        <f>表4[[#This Row],[船名]]&amp;" "&amp;表4[[#This Row],[航次]]</f>
        <v>ZIM KINGSTON 5S</v>
      </c>
      <c r="K31" s="8" t="s">
        <v>1295</v>
      </c>
      <c r="L31" s="2" t="s">
        <v>1397</v>
      </c>
      <c r="M31" s="73"/>
      <c r="N31" s="73"/>
    </row>
    <row r="32" spans="1:14" hidden="1" x14ac:dyDescent="0.2">
      <c r="A32" t="s">
        <v>1133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668</v>
      </c>
      <c r="H32" s="19" t="s">
        <v>1316</v>
      </c>
      <c r="I32" s="19" t="s">
        <v>1246</v>
      </c>
      <c r="J32" s="3" t="str">
        <f>表4[[#This Row],[船名]]&amp;" "&amp;表4[[#This Row],[航次]]</f>
        <v>ZIM KINGSTON 5S</v>
      </c>
      <c r="K32" s="8" t="s">
        <v>1294</v>
      </c>
      <c r="L32" s="2" t="s">
        <v>1395</v>
      </c>
      <c r="M32" s="73"/>
      <c r="N32" s="73"/>
    </row>
    <row r="33" spans="1:15" hidden="1" x14ac:dyDescent="0.2">
      <c r="A33" t="s">
        <v>1181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669</v>
      </c>
      <c r="H33" s="19" t="s">
        <v>1311</v>
      </c>
      <c r="I33" s="19" t="s">
        <v>1312</v>
      </c>
      <c r="J33" s="3" t="str">
        <f>表4[[#This Row],[船名]]&amp;" "&amp;表4[[#This Row],[航次]]</f>
        <v>HYUNDAI PLATINUM 054W</v>
      </c>
      <c r="K33" s="8" t="s">
        <v>1217</v>
      </c>
      <c r="L33" s="2" t="s">
        <v>1310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1214</v>
      </c>
      <c r="H34" s="19" t="s">
        <v>1225</v>
      </c>
      <c r="I34" s="19" t="s">
        <v>1226</v>
      </c>
      <c r="J34" s="3" t="str">
        <f>表4[[#This Row],[船名]]&amp;" "&amp;表4[[#This Row],[航次]]</f>
        <v>HYUNDAI FORCE 074E</v>
      </c>
      <c r="K34" s="8" t="s">
        <v>1227</v>
      </c>
      <c r="L34" s="2" t="s">
        <v>1308</v>
      </c>
      <c r="M34" s="73"/>
      <c r="N34" s="73"/>
    </row>
    <row r="35" spans="1:15" hidden="1" x14ac:dyDescent="0.2">
      <c r="A35" t="s">
        <v>1129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668</v>
      </c>
      <c r="H35" s="19" t="s">
        <v>1175</v>
      </c>
      <c r="I35" s="19" t="s">
        <v>1176</v>
      </c>
      <c r="J35" s="3" t="str">
        <f>表4[[#This Row],[船名]]&amp;" "&amp;表4[[#This Row],[航次]]</f>
        <v>MOL BRIGHTNESS 928E</v>
      </c>
      <c r="K35" s="8" t="s">
        <v>1177</v>
      </c>
      <c r="L35" s="2" t="s">
        <v>1174</v>
      </c>
      <c r="M35" s="73"/>
      <c r="N35" s="73"/>
    </row>
    <row r="36" spans="1:15" hidden="1" x14ac:dyDescent="0.2">
      <c r="A36" t="s">
        <v>1385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1386</v>
      </c>
      <c r="H36" s="19" t="s">
        <v>1389</v>
      </c>
      <c r="I36" s="19" t="s">
        <v>1390</v>
      </c>
      <c r="J36" s="3" t="str">
        <f>表4[[#This Row],[船名]]&amp;" "&amp;表4[[#This Row],[航次]]</f>
        <v>SITC HAIPHONG 1924S</v>
      </c>
      <c r="K36" s="8" t="s">
        <v>1434</v>
      </c>
      <c r="L36" s="2" t="s">
        <v>1411</v>
      </c>
      <c r="M36" s="73"/>
      <c r="N36" s="73"/>
      <c r="O36" t="s">
        <v>3120</v>
      </c>
    </row>
    <row r="37" spans="1:15" hidden="1" x14ac:dyDescent="0.2">
      <c r="A37" t="s">
        <v>3</v>
      </c>
      <c r="B37" s="5">
        <v>43665</v>
      </c>
      <c r="C37" s="9" t="s">
        <v>3248</v>
      </c>
      <c r="D37" s="9">
        <v>1</v>
      </c>
      <c r="E37" s="9" t="s">
        <v>3248</v>
      </c>
      <c r="F37" s="9" t="s">
        <v>3248</v>
      </c>
      <c r="G37" s="3" t="s">
        <v>1214</v>
      </c>
      <c r="H37" s="19" t="s">
        <v>1229</v>
      </c>
      <c r="I37" s="19" t="s">
        <v>1230</v>
      </c>
      <c r="J37" s="3" t="str">
        <f>表4[[#This Row],[船名]]&amp;" "&amp;表4[[#This Row],[航次]]</f>
        <v>MAERSK EXETER 928N</v>
      </c>
      <c r="K37" s="8" t="s">
        <v>1228</v>
      </c>
      <c r="L37" s="2" t="s">
        <v>1309</v>
      </c>
      <c r="M37" s="73"/>
      <c r="N37" s="73"/>
    </row>
    <row r="38" spans="1:15" hidden="1" x14ac:dyDescent="0.2">
      <c r="A38" t="s">
        <v>1404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669</v>
      </c>
      <c r="H38" s="19" t="s">
        <v>1592</v>
      </c>
      <c r="I38" s="19" t="s">
        <v>1593</v>
      </c>
      <c r="J38" s="3" t="str">
        <f>表4[[#This Row],[船名]]&amp;" "&amp;表4[[#This Row],[航次]]</f>
        <v>CLIFFORD MAERSK 928S</v>
      </c>
      <c r="K38" s="8" t="s">
        <v>1605</v>
      </c>
      <c r="L38" s="2">
        <v>583627006</v>
      </c>
      <c r="M38" s="73"/>
      <c r="N38" s="73"/>
    </row>
    <row r="39" spans="1:15" hidden="1" x14ac:dyDescent="0.2">
      <c r="A39" t="s">
        <v>1458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669</v>
      </c>
      <c r="H39" s="19" t="s">
        <v>1662</v>
      </c>
      <c r="I39" s="19" t="s">
        <v>1663</v>
      </c>
      <c r="J39" s="3" t="str">
        <f>表4[[#This Row],[船名]]&amp;" "&amp;表4[[#This Row],[航次]]</f>
        <v>HYUNDAI PREMIUM 058W</v>
      </c>
      <c r="K39" s="8" t="s">
        <v>1729</v>
      </c>
      <c r="L39" s="2" t="s">
        <v>1664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1575</v>
      </c>
      <c r="H40" s="19" t="s">
        <v>1730</v>
      </c>
      <c r="I40" s="19" t="s">
        <v>1731</v>
      </c>
      <c r="J40" s="3" t="str">
        <f>表4[[#This Row],[船名]]&amp;" "&amp;表4[[#This Row],[航次]]</f>
        <v>HYUNDAI TACOMA 088E</v>
      </c>
      <c r="K40" s="8" t="s">
        <v>1609</v>
      </c>
      <c r="L40" s="2" t="s">
        <v>1676</v>
      </c>
      <c r="M40" s="73"/>
      <c r="N40" s="73"/>
    </row>
    <row r="41" spans="1:15" hidden="1" x14ac:dyDescent="0.2">
      <c r="A41" t="s">
        <v>1416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668</v>
      </c>
      <c r="H41" s="19" t="s">
        <v>1469</v>
      </c>
      <c r="I41" s="19" t="s">
        <v>1470</v>
      </c>
      <c r="J41" s="3" t="str">
        <f>表4[[#This Row],[船名]]&amp;" "&amp;表4[[#This Row],[航次]]</f>
        <v>HMM BLESSING 006E</v>
      </c>
      <c r="K41" s="8" t="s">
        <v>1479</v>
      </c>
      <c r="L41" s="2" t="s">
        <v>1471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719</v>
      </c>
      <c r="H42" s="19" t="s">
        <v>2056</v>
      </c>
      <c r="I42" s="19" t="s">
        <v>2057</v>
      </c>
      <c r="J42" s="3" t="str">
        <f>表4[[#This Row],[船名]]&amp;" "&amp;表4[[#This Row],[航次]]</f>
        <v>COPIAPO 930E</v>
      </c>
      <c r="K42" s="8" t="s">
        <v>1293</v>
      </c>
      <c r="L42" s="2" t="s">
        <v>1291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1575</v>
      </c>
      <c r="H43" s="19" t="s">
        <v>1607</v>
      </c>
      <c r="I43" s="19" t="s">
        <v>1608</v>
      </c>
      <c r="J43" s="3" t="str">
        <f>表4[[#This Row],[船名]]&amp;" "&amp;表4[[#This Row],[航次]]</f>
        <v>MAERSK ESMERALDAS 929N</v>
      </c>
      <c r="K43" s="8" t="s">
        <v>1612</v>
      </c>
      <c r="L43" s="2" t="s">
        <v>1613</v>
      </c>
      <c r="M43" s="73"/>
      <c r="N43" s="73"/>
    </row>
    <row r="44" spans="1:15" hidden="1" x14ac:dyDescent="0.2">
      <c r="A44" t="s">
        <v>1372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699</v>
      </c>
      <c r="H44" s="19" t="s">
        <v>1373</v>
      </c>
      <c r="I44" s="19" t="s">
        <v>1631</v>
      </c>
      <c r="J44" s="3" t="str">
        <f>表4[[#This Row],[船名]]&amp;" "&amp;表4[[#This Row],[航次]]</f>
        <v>MSC HEIDI UL930E</v>
      </c>
      <c r="K44" s="8" t="s">
        <v>1406</v>
      </c>
      <c r="L44" s="2">
        <v>969414333</v>
      </c>
      <c r="M44" s="73"/>
      <c r="N44" s="73"/>
    </row>
    <row r="45" spans="1:15" hidden="1" x14ac:dyDescent="0.2">
      <c r="A45" t="s">
        <v>1733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669</v>
      </c>
      <c r="H45" s="19" t="s">
        <v>1814</v>
      </c>
      <c r="I45" s="19" t="s">
        <v>1815</v>
      </c>
      <c r="J45" s="3" t="str">
        <f>表4[[#This Row],[船名]]&amp;" "&amp;表4[[#This Row],[航次]]</f>
        <v>HYUNDAI PRESTIGE 065W</v>
      </c>
      <c r="K45" s="8" t="s">
        <v>1817</v>
      </c>
      <c r="L45" s="2" t="s">
        <v>1816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672</v>
      </c>
      <c r="H46" s="19" t="s">
        <v>1099</v>
      </c>
      <c r="I46" s="19" t="s">
        <v>1768</v>
      </c>
      <c r="J46" s="3" t="str">
        <f>表4[[#This Row],[船名]]&amp;" "&amp;表4[[#This Row],[航次]]</f>
        <v>HYUNDAI BRAVE 079E</v>
      </c>
      <c r="K46" s="8" t="s">
        <v>1769</v>
      </c>
      <c r="L46" s="2" t="s">
        <v>1824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668</v>
      </c>
      <c r="H47" s="19" t="s">
        <v>1680</v>
      </c>
      <c r="I47" s="19" t="s">
        <v>1681</v>
      </c>
      <c r="J47" s="3" t="str">
        <f>表4[[#This Row],[船名]]&amp;" "&amp;表4[[#This Row],[航次]]</f>
        <v>COPIAPO 930E</v>
      </c>
      <c r="K47" s="8" t="s">
        <v>1696</v>
      </c>
      <c r="L47" s="2" t="s">
        <v>1682</v>
      </c>
      <c r="M47" s="73"/>
      <c r="N47" s="73"/>
    </row>
    <row r="48" spans="1:15" hidden="1" x14ac:dyDescent="0.2">
      <c r="A48" t="s">
        <v>1385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1726</v>
      </c>
      <c r="H48" s="19" t="s">
        <v>1764</v>
      </c>
      <c r="I48" s="19" t="s">
        <v>1765</v>
      </c>
      <c r="J48" s="3" t="str">
        <f>表4[[#This Row],[船名]]&amp;" "&amp;表4[[#This Row],[航次]]</f>
        <v>SITC HAKATA 1930S</v>
      </c>
      <c r="K48" s="8" t="s">
        <v>1796</v>
      </c>
      <c r="L48" s="2" t="s">
        <v>1766</v>
      </c>
      <c r="M48" s="73"/>
      <c r="N48" s="73"/>
    </row>
    <row r="49" spans="1:14" hidden="1" x14ac:dyDescent="0.2">
      <c r="A49" t="s">
        <v>1372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699</v>
      </c>
      <c r="H49" s="19" t="s">
        <v>1374</v>
      </c>
      <c r="I49" s="19" t="s">
        <v>1375</v>
      </c>
      <c r="J49" s="3" t="str">
        <f>表4[[#This Row],[船名]]&amp;" "&amp;表4[[#This Row],[航次]]</f>
        <v>MSC ROMA 931E</v>
      </c>
      <c r="K49" s="8" t="s">
        <v>1407</v>
      </c>
      <c r="L49" s="2">
        <v>969406477</v>
      </c>
      <c r="M49" s="73"/>
      <c r="N49" s="73"/>
    </row>
    <row r="50" spans="1:14" hidden="1" x14ac:dyDescent="0.2">
      <c r="A50" t="s">
        <v>985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668</v>
      </c>
      <c r="H50" s="19" t="s">
        <v>1714</v>
      </c>
      <c r="I50" s="19" t="s">
        <v>1715</v>
      </c>
      <c r="J50" s="3" t="str">
        <f>表4[[#This Row],[船名]]&amp;" "&amp;表4[[#This Row],[航次]]</f>
        <v>YM ELIXIR 098S</v>
      </c>
      <c r="K50" s="8" t="s">
        <v>1721</v>
      </c>
      <c r="L50" s="2" t="s">
        <v>2119</v>
      </c>
      <c r="M50" s="73"/>
      <c r="N50" s="73"/>
    </row>
    <row r="51" spans="1:14" hidden="1" x14ac:dyDescent="0.2">
      <c r="A51" t="s">
        <v>1882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669</v>
      </c>
      <c r="H51" s="19" t="s">
        <v>958</v>
      </c>
      <c r="I51" s="19" t="s">
        <v>2048</v>
      </c>
      <c r="J51" s="3" t="str">
        <f>表4[[#This Row],[船名]]&amp;" "&amp;表4[[#This Row],[航次]]</f>
        <v>HYUNDAI PARAMOUNT 046W</v>
      </c>
      <c r="K51" s="8" t="s">
        <v>2050</v>
      </c>
      <c r="L51" s="2" t="s">
        <v>2049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672</v>
      </c>
      <c r="H52" s="19" t="s">
        <v>1101</v>
      </c>
      <c r="I52" s="19" t="s">
        <v>1924</v>
      </c>
      <c r="J52" s="3" t="str">
        <f>表4[[#This Row],[船名]]&amp;" "&amp;表4[[#This Row],[航次]]</f>
        <v>HYUNDAI COURAGE 081E</v>
      </c>
      <c r="K52" s="8" t="s">
        <v>1925</v>
      </c>
      <c r="L52" s="2" t="s">
        <v>1926</v>
      </c>
      <c r="M52" s="73"/>
      <c r="N52" s="73"/>
    </row>
    <row r="53" spans="1:14" hidden="1" x14ac:dyDescent="0.2">
      <c r="A53" t="s">
        <v>1913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668</v>
      </c>
      <c r="H53" s="19" t="s">
        <v>2004</v>
      </c>
      <c r="I53" s="19" t="s">
        <v>1375</v>
      </c>
      <c r="J53" s="3" t="str">
        <f>表4[[#This Row],[船名]]&amp;" "&amp;表4[[#This Row],[航次]]</f>
        <v>MOL BELIEF 931E</v>
      </c>
      <c r="K53" s="8" t="s">
        <v>2006</v>
      </c>
      <c r="L53" s="2" t="s">
        <v>2005</v>
      </c>
      <c r="M53" s="73"/>
      <c r="N53" s="73"/>
    </row>
    <row r="54" spans="1:14" hidden="1" x14ac:dyDescent="0.2">
      <c r="A54" t="s">
        <v>1385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1386</v>
      </c>
      <c r="H54" s="19" t="s">
        <v>2082</v>
      </c>
      <c r="I54" s="19" t="s">
        <v>2083</v>
      </c>
      <c r="J54" s="3" t="str">
        <f>表4[[#This Row],[船名]]&amp;" "&amp;表4[[#This Row],[航次]]</f>
        <v>SITC HAIPHONG 1926S</v>
      </c>
      <c r="K54" s="8" t="s">
        <v>1796</v>
      </c>
      <c r="L54" s="2" t="s">
        <v>2084</v>
      </c>
      <c r="M54" s="73"/>
      <c r="N54" s="73"/>
    </row>
    <row r="55" spans="1:14" hidden="1" x14ac:dyDescent="0.2">
      <c r="A55" t="s">
        <v>1372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699</v>
      </c>
      <c r="H55" s="19" t="s">
        <v>2234</v>
      </c>
      <c r="I55" s="19" t="s">
        <v>2233</v>
      </c>
      <c r="J55" s="3" t="str">
        <f>表4[[#This Row],[船名]]&amp;" "&amp;表4[[#This Row],[航次]]</f>
        <v>MAERSK SYDNEY 933E</v>
      </c>
      <c r="K55" s="8" t="s">
        <v>1408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719</v>
      </c>
      <c r="H56" s="19" t="s">
        <v>1927</v>
      </c>
      <c r="I56" s="19" t="s">
        <v>1376</v>
      </c>
      <c r="J56" s="3" t="str">
        <f>表4[[#This Row],[船名]]&amp;" "&amp;表4[[#This Row],[航次]]</f>
        <v>COCHRANE 932E</v>
      </c>
      <c r="K56" s="8" t="s">
        <v>2045</v>
      </c>
      <c r="L56" s="2" t="s">
        <v>2044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669</v>
      </c>
      <c r="H57" s="19" t="s">
        <v>2199</v>
      </c>
      <c r="I57" s="19" t="s">
        <v>847</v>
      </c>
      <c r="J57" s="3" t="str">
        <f>表4[[#This Row],[船名]]&amp;" "&amp;表4[[#This Row],[航次]]</f>
        <v>HYUNDAI PRIVILEGE 064W</v>
      </c>
      <c r="K57" s="8" t="s">
        <v>2206</v>
      </c>
      <c r="L57" s="2" t="s">
        <v>2200</v>
      </c>
      <c r="M57" s="73"/>
      <c r="N57" s="73"/>
    </row>
    <row r="58" spans="1:14" hidden="1" x14ac:dyDescent="0.2">
      <c r="A58" t="s">
        <v>2046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668</v>
      </c>
      <c r="H58" s="19" t="s">
        <v>2078</v>
      </c>
      <c r="I58" s="19" t="s">
        <v>1376</v>
      </c>
      <c r="J58" s="3" t="str">
        <f>表4[[#This Row],[船名]]&amp;" "&amp;表4[[#This Row],[航次]]</f>
        <v>COCHRANE 932E</v>
      </c>
      <c r="K58" s="8" t="s">
        <v>2183</v>
      </c>
      <c r="L58" s="2" t="s">
        <v>2184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672</v>
      </c>
      <c r="H59" s="19" t="s">
        <v>2245</v>
      </c>
      <c r="I59" s="19" t="s">
        <v>2121</v>
      </c>
      <c r="J59" s="3" t="str">
        <f>表4[[#This Row],[船名]]&amp;" "&amp;表4[[#This Row],[航次]]</f>
        <v>MAERSK ENSHI 932N</v>
      </c>
      <c r="K59" s="8" t="s">
        <v>2265</v>
      </c>
      <c r="L59" s="2" t="s">
        <v>2122</v>
      </c>
      <c r="M59" s="73"/>
      <c r="N59" s="73"/>
    </row>
    <row r="60" spans="1:14" hidden="1" x14ac:dyDescent="0.2">
      <c r="A60" t="s">
        <v>700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699</v>
      </c>
      <c r="H60" s="19" t="s">
        <v>1377</v>
      </c>
      <c r="I60" s="19" t="s">
        <v>1487</v>
      </c>
      <c r="J60" s="3" t="str">
        <f>表4[[#This Row],[船名]]&amp;" "&amp;表4[[#This Row],[航次]]</f>
        <v>MAERSK SYDNEY 933E</v>
      </c>
      <c r="K60" s="8" t="s">
        <v>2282</v>
      </c>
      <c r="L60" s="2">
        <v>583732494</v>
      </c>
      <c r="M60" s="73"/>
      <c r="N60" s="73"/>
    </row>
    <row r="61" spans="1:14" hidden="1" x14ac:dyDescent="0.2">
      <c r="A61" t="s">
        <v>1372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699</v>
      </c>
      <c r="H61" s="19" t="s">
        <v>1377</v>
      </c>
      <c r="I61" s="19" t="s">
        <v>1410</v>
      </c>
      <c r="J61" s="3" t="str">
        <f>表4[[#This Row],[船名]]&amp;" "&amp;表4[[#This Row],[航次]]</f>
        <v>MAERSK SYDNEY 933E</v>
      </c>
      <c r="K61" s="8" t="s">
        <v>1409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668</v>
      </c>
      <c r="H62" s="19" t="s">
        <v>2189</v>
      </c>
      <c r="I62" s="19" t="s">
        <v>1487</v>
      </c>
      <c r="J62" s="3" t="str">
        <f>表4[[#This Row],[船名]]&amp;" "&amp;表4[[#This Row],[航次]]</f>
        <v>COYHAIQUE 933E</v>
      </c>
      <c r="K62" s="8" t="s">
        <v>2307</v>
      </c>
      <c r="L62" s="2" t="s">
        <v>2190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669</v>
      </c>
      <c r="H63" s="19" t="s">
        <v>2290</v>
      </c>
      <c r="I63" s="19" t="s">
        <v>2291</v>
      </c>
      <c r="J63" s="3" t="str">
        <f>表4[[#This Row],[船名]]&amp;" "&amp;表4[[#This Row],[航次]]</f>
        <v>HYUNDAI PLATINUM 055W</v>
      </c>
      <c r="K63" s="8" t="s">
        <v>2314</v>
      </c>
      <c r="L63" s="2" t="s">
        <v>2289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672</v>
      </c>
      <c r="H64" s="19" t="s">
        <v>2252</v>
      </c>
      <c r="I64" s="19" t="s">
        <v>2332</v>
      </c>
      <c r="J64" s="3" t="str">
        <f>表4[[#This Row],[船名]]&amp;" "&amp;表4[[#This Row],[航次]]</f>
        <v>MSC VANDYA QL933N</v>
      </c>
      <c r="K64" s="8" t="s">
        <v>2369</v>
      </c>
      <c r="L64" s="2" t="s">
        <v>2331</v>
      </c>
      <c r="M64" s="73"/>
      <c r="N64" s="73"/>
    </row>
    <row r="65" spans="1:14" hidden="1" x14ac:dyDescent="0.2">
      <c r="A65" t="s">
        <v>1372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699</v>
      </c>
      <c r="H65" s="19" t="s">
        <v>1803</v>
      </c>
      <c r="I65" s="19" t="s">
        <v>2387</v>
      </c>
      <c r="J65" s="3" t="str">
        <f>表4[[#This Row],[船名]]&amp;" "&amp;表4[[#This Row],[航次]]</f>
        <v>MSC LISBON UL934E</v>
      </c>
      <c r="K65" s="8" t="s">
        <v>1825</v>
      </c>
      <c r="L65" s="2">
        <v>584119323</v>
      </c>
      <c r="M65" s="73"/>
      <c r="N65" s="73"/>
    </row>
    <row r="66" spans="1:14" hidden="1" x14ac:dyDescent="0.2">
      <c r="A66" t="s">
        <v>1372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699</v>
      </c>
      <c r="H66" s="19" t="s">
        <v>1803</v>
      </c>
      <c r="I66" s="19" t="s">
        <v>1804</v>
      </c>
      <c r="J66" s="3" t="str">
        <f>表4[[#This Row],[船名]]&amp;" "&amp;表4[[#This Row],[航次]]</f>
        <v>MSC LISBON 934E</v>
      </c>
      <c r="K66" s="8" t="s">
        <v>2036</v>
      </c>
      <c r="L66" s="2">
        <v>584324595</v>
      </c>
      <c r="M66" s="73"/>
      <c r="N66" s="73"/>
    </row>
    <row r="67" spans="1:14" hidden="1" x14ac:dyDescent="0.2">
      <c r="A67" t="s">
        <v>985</v>
      </c>
      <c r="B67" s="5">
        <v>43703</v>
      </c>
      <c r="C67" s="9" t="s">
        <v>2546</v>
      </c>
      <c r="D67" s="9" t="s">
        <v>2546</v>
      </c>
      <c r="E67" s="9">
        <v>4</v>
      </c>
      <c r="F67" s="9" t="s">
        <v>2546</v>
      </c>
      <c r="G67" s="3" t="s">
        <v>668</v>
      </c>
      <c r="H67" s="19" t="s">
        <v>2152</v>
      </c>
      <c r="I67" s="19" t="s">
        <v>2153</v>
      </c>
      <c r="J67" s="3" t="str">
        <f>表4[[#This Row],[船名]]&amp;" "&amp;表4[[#This Row],[航次]]</f>
        <v>TEJAS 0IH1BS</v>
      </c>
      <c r="K67" s="8" t="s">
        <v>2264</v>
      </c>
      <c r="L67" s="2" t="s">
        <v>2151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669</v>
      </c>
      <c r="H68" s="19" t="s">
        <v>1097</v>
      </c>
      <c r="I68" s="19" t="s">
        <v>2395</v>
      </c>
      <c r="J68" s="3" t="str">
        <f>表4[[#This Row],[船名]]&amp;" "&amp;表4[[#This Row],[航次]]</f>
        <v>HYUNDAI PREMIUM 059W</v>
      </c>
      <c r="K68" s="8" t="s">
        <v>2419</v>
      </c>
      <c r="L68" s="2" t="s">
        <v>2396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668</v>
      </c>
      <c r="H69" s="19" t="s">
        <v>2365</v>
      </c>
      <c r="I69" s="19" t="s">
        <v>1804</v>
      </c>
      <c r="J69" s="3" t="str">
        <f>表4[[#This Row],[船名]]&amp;" "&amp;表4[[#This Row],[航次]]</f>
        <v>CISNES 934E</v>
      </c>
      <c r="K69" s="8" t="s">
        <v>2403</v>
      </c>
      <c r="L69" s="2" t="s">
        <v>2776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672</v>
      </c>
      <c r="H70" s="19" t="s">
        <v>2339</v>
      </c>
      <c r="I70" s="19" t="s">
        <v>2340</v>
      </c>
      <c r="J70" s="3" t="str">
        <f>表4[[#This Row],[船名]]&amp;" "&amp;表4[[#This Row],[航次]]</f>
        <v>MAERSK ELBA 934N</v>
      </c>
      <c r="K70" s="8" t="s">
        <v>2451</v>
      </c>
      <c r="L70" s="2" t="s">
        <v>2399</v>
      </c>
      <c r="M70" s="73"/>
      <c r="N70" s="73"/>
    </row>
    <row r="71" spans="1:14" hidden="1" x14ac:dyDescent="0.2">
      <c r="A71" t="s">
        <v>1372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699</v>
      </c>
      <c r="H71" s="19" t="s">
        <v>2034</v>
      </c>
      <c r="I71" s="19" t="s">
        <v>2035</v>
      </c>
      <c r="J71" s="3" t="str">
        <f>表4[[#This Row],[船名]]&amp;" "&amp;表4[[#This Row],[航次]]</f>
        <v>MAERSK SEMARANG 935E</v>
      </c>
      <c r="K71" s="8" t="s">
        <v>2037</v>
      </c>
      <c r="L71" s="2">
        <v>584324660</v>
      </c>
      <c r="M71" s="73"/>
      <c r="N71" s="73"/>
    </row>
    <row r="72" spans="1:14" hidden="1" x14ac:dyDescent="0.2">
      <c r="A72" t="s">
        <v>1372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699</v>
      </c>
      <c r="H72" s="19" t="s">
        <v>2034</v>
      </c>
      <c r="I72" s="19" t="s">
        <v>2035</v>
      </c>
      <c r="J72" s="3" t="str">
        <f>表4[[#This Row],[船名]]&amp;" "&amp;表4[[#This Row],[航次]]</f>
        <v>MAERSK SEMARANG 935E</v>
      </c>
      <c r="K72" s="8" t="s">
        <v>2038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719</v>
      </c>
      <c r="H73" s="19" t="s">
        <v>1098</v>
      </c>
      <c r="I73" s="19" t="s">
        <v>2035</v>
      </c>
      <c r="J73" s="3" t="str">
        <f>表4[[#This Row],[船名]]&amp;" "&amp;表4[[#This Row],[航次]]</f>
        <v>CORCOVADO 935E</v>
      </c>
      <c r="K73" s="8" t="s">
        <v>2187</v>
      </c>
      <c r="L73" s="2" t="s">
        <v>2186</v>
      </c>
      <c r="M73" s="73"/>
      <c r="N73" s="73"/>
    </row>
    <row r="74" spans="1:14" hidden="1" x14ac:dyDescent="0.2">
      <c r="A74" t="s">
        <v>2432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669</v>
      </c>
      <c r="H74" s="19" t="s">
        <v>2499</v>
      </c>
      <c r="I74" s="19" t="s">
        <v>2484</v>
      </c>
      <c r="J74" s="3" t="str">
        <f>表4[[#This Row],[船名]]&amp;" "&amp;表4[[#This Row],[航次]]</f>
        <v>HYUNDAI PRESTIGE 066W</v>
      </c>
      <c r="K74" s="8" t="s">
        <v>2491</v>
      </c>
      <c r="L74" s="2" t="s">
        <v>2485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668</v>
      </c>
      <c r="H75" s="19" t="s">
        <v>2514</v>
      </c>
      <c r="I75" s="19" t="s">
        <v>2035</v>
      </c>
      <c r="J75" s="3" t="str">
        <f>表4[[#This Row],[船名]]&amp;" "&amp;表4[[#This Row],[航次]]</f>
        <v>CORCOVADO 935E</v>
      </c>
      <c r="K75" s="8" t="s">
        <v>2516</v>
      </c>
      <c r="L75" s="2" t="s">
        <v>2515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672</v>
      </c>
      <c r="H76" s="19" t="s">
        <v>2511</v>
      </c>
      <c r="I76" s="19" t="s">
        <v>2512</v>
      </c>
      <c r="J76" s="3" t="str">
        <f>表4[[#This Row],[船名]]&amp;" "&amp;表4[[#This Row],[航次]]</f>
        <v>MAERSK EINDHOVEN 935N</v>
      </c>
      <c r="K76" s="8" t="s">
        <v>2559</v>
      </c>
      <c r="L76" s="2" t="s">
        <v>2548</v>
      </c>
      <c r="M76" s="73"/>
      <c r="N76" s="73"/>
    </row>
    <row r="77" spans="1:14" hidden="1" x14ac:dyDescent="0.2">
      <c r="A77" s="4" t="s">
        <v>2566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2604</v>
      </c>
      <c r="H77" s="19" t="s">
        <v>2605</v>
      </c>
      <c r="I77" s="19" t="s">
        <v>2606</v>
      </c>
      <c r="J77" s="3" t="str">
        <f>表4[[#This Row],[船名]]&amp;" "&amp;表4[[#This Row],[航次]]</f>
        <v>COSCO SHIPPING PISCES 005W</v>
      </c>
      <c r="K77" s="8" t="s">
        <v>2608</v>
      </c>
      <c r="L77" s="2" t="s">
        <v>2607</v>
      </c>
      <c r="M77" s="73"/>
      <c r="N77" s="73"/>
    </row>
    <row r="78" spans="1:14" hidden="1" x14ac:dyDescent="0.2">
      <c r="A78" t="s">
        <v>1372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699</v>
      </c>
      <c r="H78" s="19" t="s">
        <v>2032</v>
      </c>
      <c r="I78" s="19" t="s">
        <v>2033</v>
      </c>
      <c r="J78" s="3" t="str">
        <f>表4[[#This Row],[船名]]&amp;" "&amp;表4[[#This Row],[航次]]</f>
        <v>SEAMAX STRATFORD 936E</v>
      </c>
      <c r="K78" s="8" t="s">
        <v>2039</v>
      </c>
      <c r="L78" s="2">
        <v>584324727</v>
      </c>
      <c r="M78" s="73"/>
      <c r="N78" s="73"/>
    </row>
    <row r="79" spans="1:14" hidden="1" x14ac:dyDescent="0.2">
      <c r="A79" t="s">
        <v>1372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699</v>
      </c>
      <c r="H79" s="19" t="s">
        <v>2032</v>
      </c>
      <c r="I79" s="19" t="s">
        <v>2033</v>
      </c>
      <c r="J79" s="3" t="str">
        <f>表4[[#This Row],[船名]]&amp;" "&amp;表4[[#This Row],[航次]]</f>
        <v>SEAMAX STRATFORD 936E</v>
      </c>
      <c r="K79" s="8" t="s">
        <v>2040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669</v>
      </c>
      <c r="H80" s="19" t="s">
        <v>958</v>
      </c>
      <c r="I80" s="19" t="s">
        <v>2570</v>
      </c>
      <c r="J80" s="3" t="str">
        <f>表4[[#This Row],[船名]]&amp;" "&amp;表4[[#This Row],[航次]]</f>
        <v>HYUNDAI PARAMOUNT 047W</v>
      </c>
      <c r="K80" s="8" t="s">
        <v>2587</v>
      </c>
      <c r="L80" s="2" t="s">
        <v>2571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668</v>
      </c>
      <c r="H81" s="19" t="s">
        <v>730</v>
      </c>
      <c r="I81" s="19" t="s">
        <v>2033</v>
      </c>
      <c r="J81" s="3" t="str">
        <f>表4[[#This Row],[船名]]&amp;" "&amp;表4[[#This Row],[航次]]</f>
        <v>MOL BEYOND 936E</v>
      </c>
      <c r="K81" s="8" t="s">
        <v>2586</v>
      </c>
      <c r="L81" s="2" t="s">
        <v>2577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672</v>
      </c>
      <c r="H82" s="19" t="s">
        <v>2562</v>
      </c>
      <c r="I82" s="19" t="s">
        <v>2563</v>
      </c>
      <c r="J82" s="3" t="str">
        <f>表4[[#This Row],[船名]]&amp;" "&amp;表4[[#This Row],[航次]]</f>
        <v>MAERSK EMERALD 936N</v>
      </c>
      <c r="K82" s="8" t="s">
        <v>2655</v>
      </c>
      <c r="L82" s="2" t="s">
        <v>2565</v>
      </c>
      <c r="M82" s="73"/>
      <c r="N82" s="73"/>
    </row>
    <row r="83" spans="1:15" hidden="1" x14ac:dyDescent="0.2">
      <c r="A83" t="s">
        <v>1372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699</v>
      </c>
      <c r="H83" s="19" t="s">
        <v>2027</v>
      </c>
      <c r="I83" s="19" t="s">
        <v>2028</v>
      </c>
      <c r="J83" s="3" t="str">
        <f>表4[[#This Row],[船名]]&amp;" "&amp;表4[[#This Row],[航次]]</f>
        <v>MAERSK SURABAYA 937E</v>
      </c>
      <c r="K83" s="8" t="s">
        <v>2041</v>
      </c>
      <c r="L83" s="2">
        <v>584324763</v>
      </c>
      <c r="M83" s="73"/>
      <c r="N83" s="73"/>
    </row>
    <row r="84" spans="1:15" hidden="1" x14ac:dyDescent="0.2">
      <c r="A84" t="s">
        <v>700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699</v>
      </c>
      <c r="H84" s="19" t="s">
        <v>2027</v>
      </c>
      <c r="I84" s="19" t="s">
        <v>2028</v>
      </c>
      <c r="J84" s="3" t="str">
        <f>表4[[#This Row],[船名]]&amp;" "&amp;表4[[#This Row],[航次]]</f>
        <v>MAERSK SURABAYA 937E</v>
      </c>
      <c r="K84" s="8" t="s">
        <v>2682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719</v>
      </c>
      <c r="H85" s="19" t="s">
        <v>890</v>
      </c>
      <c r="I85" s="19" t="s">
        <v>2028</v>
      </c>
      <c r="J85" s="3" t="str">
        <f>表4[[#This Row],[船名]]&amp;" "&amp;表4[[#This Row],[航次]]</f>
        <v>CAUTIN 937E</v>
      </c>
      <c r="K85" s="8" t="s">
        <v>2534</v>
      </c>
      <c r="L85" s="2" t="s">
        <v>2535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669</v>
      </c>
      <c r="H86" s="19" t="s">
        <v>2649</v>
      </c>
      <c r="I86" s="19" t="s">
        <v>1815</v>
      </c>
      <c r="J86" s="3" t="str">
        <f>表4[[#This Row],[船名]]&amp;" "&amp;表4[[#This Row],[航次]]</f>
        <v>HYUNDAI PRIVILEGE 065W</v>
      </c>
      <c r="K86" s="8" t="s">
        <v>2678</v>
      </c>
      <c r="L86" s="2" t="s">
        <v>2692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668</v>
      </c>
      <c r="H87" s="19" t="s">
        <v>890</v>
      </c>
      <c r="I87" s="19" t="s">
        <v>2028</v>
      </c>
      <c r="J87" s="3" t="str">
        <f>表4[[#This Row],[船名]]&amp;" "&amp;表4[[#This Row],[航次]]</f>
        <v>CAUTIN 937E</v>
      </c>
      <c r="K87" s="8" t="s">
        <v>2666</v>
      </c>
      <c r="L87" s="2" t="s">
        <v>2654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672</v>
      </c>
      <c r="H88" s="19" t="s">
        <v>2647</v>
      </c>
      <c r="I88" s="19" t="s">
        <v>2720</v>
      </c>
      <c r="J88" s="3" t="str">
        <f>表4[[#This Row],[船名]]&amp;" "&amp;表4[[#This Row],[航次]]</f>
        <v>MSC BERYL QL937N</v>
      </c>
      <c r="K88" s="8" t="s">
        <v>2735</v>
      </c>
      <c r="L88" s="2" t="s">
        <v>2721</v>
      </c>
      <c r="M88" s="73"/>
      <c r="N88" s="73"/>
    </row>
    <row r="89" spans="1:15" hidden="1" x14ac:dyDescent="0.2">
      <c r="A89" t="s">
        <v>1372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699</v>
      </c>
      <c r="H89" s="19" t="s">
        <v>2025</v>
      </c>
      <c r="I89" s="19" t="s">
        <v>2026</v>
      </c>
      <c r="J89" s="3" t="str">
        <f>表4[[#This Row],[船名]]&amp;" "&amp;表4[[#This Row],[航次]]</f>
        <v>COLUMBINE MAERSK 938E</v>
      </c>
      <c r="K89" s="8" t="s">
        <v>2042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669</v>
      </c>
      <c r="H90" s="19" t="s">
        <v>1094</v>
      </c>
      <c r="I90" s="19" t="s">
        <v>2747</v>
      </c>
      <c r="J90" s="3" t="str">
        <f>表4[[#This Row],[船名]]&amp;" "&amp;表4[[#This Row],[航次]]</f>
        <v>HYUNDAI PLATINUM 056W</v>
      </c>
      <c r="K90" s="8" t="s">
        <v>2775</v>
      </c>
      <c r="L90" s="2" t="s">
        <v>2748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668</v>
      </c>
      <c r="H91" s="19" t="s">
        <v>969</v>
      </c>
      <c r="I91" s="19" t="s">
        <v>2026</v>
      </c>
      <c r="J91" s="3" t="str">
        <f>表4[[#This Row],[船名]]&amp;" "&amp;表4[[#This Row],[航次]]</f>
        <v>CAUQUENES 938E</v>
      </c>
      <c r="K91" s="8" t="s">
        <v>2766</v>
      </c>
      <c r="L91" s="2" t="s">
        <v>2756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672</v>
      </c>
      <c r="H92" s="19" t="s">
        <v>2762</v>
      </c>
      <c r="I92" s="19" t="s">
        <v>2868</v>
      </c>
      <c r="J92" s="3" t="str">
        <f>表4[[#This Row],[船名]]&amp;" "&amp;表4[[#This Row],[航次]]</f>
        <v>MSC LAURENCE QL938N</v>
      </c>
      <c r="K92" s="8" t="s">
        <v>2935</v>
      </c>
      <c r="L92" s="2" t="s">
        <v>2764</v>
      </c>
      <c r="M92" s="73"/>
      <c r="N92" s="73"/>
    </row>
    <row r="93" spans="1:15" hidden="1" x14ac:dyDescent="0.2">
      <c r="A93" t="s">
        <v>1372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699</v>
      </c>
      <c r="H93" s="19" t="s">
        <v>1616</v>
      </c>
      <c r="I93" s="19" t="s">
        <v>2584</v>
      </c>
      <c r="J93" s="3" t="str">
        <f>表4[[#This Row],[船名]]&amp;" "&amp;表4[[#This Row],[航次]]</f>
        <v>ALBERT MAERSK 939E</v>
      </c>
      <c r="K93" s="8" t="s">
        <v>2618</v>
      </c>
      <c r="L93" s="2">
        <v>585788934</v>
      </c>
      <c r="M93" s="73"/>
      <c r="N93" s="73"/>
    </row>
    <row r="94" spans="1:15" hidden="1" x14ac:dyDescent="0.2">
      <c r="A94" t="s">
        <v>2831</v>
      </c>
      <c r="B94" s="5">
        <v>43690</v>
      </c>
      <c r="C94" s="9">
        <v>0</v>
      </c>
      <c r="D94" s="9">
        <v>0</v>
      </c>
      <c r="E94" s="9">
        <v>0</v>
      </c>
      <c r="F94" s="9" t="s">
        <v>1669</v>
      </c>
      <c r="G94" s="3" t="s">
        <v>3242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669</v>
      </c>
      <c r="H95" s="19" t="s">
        <v>1097</v>
      </c>
      <c r="I95" s="19" t="s">
        <v>2936</v>
      </c>
      <c r="J95" s="3" t="str">
        <f>表4[[#This Row],[船名]]&amp;" "&amp;表4[[#This Row],[航次]]</f>
        <v>HYUNDAI PREMIUM 060W</v>
      </c>
      <c r="K95" s="8" t="s">
        <v>3005</v>
      </c>
      <c r="L95" s="2" t="s">
        <v>2937</v>
      </c>
      <c r="M95" s="73">
        <v>43737</v>
      </c>
      <c r="N95" s="73">
        <v>43737</v>
      </c>
      <c r="O95" t="s">
        <v>3187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668</v>
      </c>
      <c r="H96" s="19" t="s">
        <v>2569</v>
      </c>
      <c r="I96" s="19" t="s">
        <v>2584</v>
      </c>
      <c r="J96" s="3" t="str">
        <f>表4[[#This Row],[船名]]&amp;" "&amp;表4[[#This Row],[航次]]</f>
        <v>MOL BENEFACTOR 939E</v>
      </c>
      <c r="K96" s="8" t="s">
        <v>3006</v>
      </c>
      <c r="L96" s="2" t="s">
        <v>2810</v>
      </c>
      <c r="M96" s="73">
        <v>43735</v>
      </c>
      <c r="N96" s="73">
        <v>43735</v>
      </c>
      <c r="O96" t="s">
        <v>3211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719</v>
      </c>
      <c r="H97" s="19" t="s">
        <v>2569</v>
      </c>
      <c r="I97" s="19" t="s">
        <v>2584</v>
      </c>
      <c r="J97" s="3" t="str">
        <f>表4[[#This Row],[船名]]&amp;" "&amp;表4[[#This Row],[航次]]</f>
        <v>MOL BENEFACTOR 939E</v>
      </c>
      <c r="K97" s="8" t="s">
        <v>2581</v>
      </c>
      <c r="L97" s="2" t="s">
        <v>2580</v>
      </c>
      <c r="M97" s="73">
        <v>43765</v>
      </c>
      <c r="N97" s="73">
        <v>43765</v>
      </c>
      <c r="O97" t="s">
        <v>3189</v>
      </c>
    </row>
    <row r="98" spans="1:15" hidden="1" x14ac:dyDescent="0.2">
      <c r="A98" t="s">
        <v>1385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1386</v>
      </c>
      <c r="H98" s="19" t="s">
        <v>2968</v>
      </c>
      <c r="I98" s="19" t="s">
        <v>2969</v>
      </c>
      <c r="J98" s="3" t="str">
        <f>表4[[#This Row],[船名]]&amp;" "&amp;表4[[#This Row],[航次]]</f>
        <v>SITC HAKATA 1936S</v>
      </c>
      <c r="K98" s="8" t="s">
        <v>3121</v>
      </c>
      <c r="L98" s="2" t="s">
        <v>2970</v>
      </c>
      <c r="M98" s="73">
        <v>43738</v>
      </c>
      <c r="N98" s="73">
        <v>43738</v>
      </c>
      <c r="O98" t="s">
        <v>3186</v>
      </c>
    </row>
    <row r="99" spans="1:15" hidden="1" x14ac:dyDescent="0.2">
      <c r="A99" t="s">
        <v>1385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1386</v>
      </c>
      <c r="H99" s="19" t="s">
        <v>2968</v>
      </c>
      <c r="I99" s="19" t="s">
        <v>2969</v>
      </c>
      <c r="J99" s="3" t="str">
        <f>表4[[#This Row],[船名]]&amp;" "&amp;表4[[#This Row],[航次]]</f>
        <v>SITC HAKATA 1936S</v>
      </c>
      <c r="K99" s="8" t="s">
        <v>3122</v>
      </c>
      <c r="L99" s="2" t="s">
        <v>2972</v>
      </c>
      <c r="M99" s="73">
        <v>43738</v>
      </c>
      <c r="N99" s="73">
        <v>43738</v>
      </c>
      <c r="O99" t="s">
        <v>3165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672</v>
      </c>
      <c r="H100" s="19" t="s">
        <v>3068</v>
      </c>
      <c r="I100" s="19" t="s">
        <v>3069</v>
      </c>
      <c r="J100" s="3" t="str">
        <f>表4[[#This Row],[船名]]&amp;" "&amp;表4[[#This Row],[航次]]</f>
        <v>MAERSK EVORA 939N</v>
      </c>
      <c r="K100" s="8" t="s">
        <v>3131</v>
      </c>
      <c r="L100" s="2" t="s">
        <v>3166</v>
      </c>
      <c r="M100" s="73">
        <v>43738.666666666664</v>
      </c>
      <c r="N100" s="73">
        <v>43738</v>
      </c>
      <c r="O100" t="s">
        <v>3188</v>
      </c>
    </row>
    <row r="101" spans="1:15" hidden="1" x14ac:dyDescent="0.2">
      <c r="A101" t="s">
        <v>1372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699</v>
      </c>
      <c r="H101" s="19" t="s">
        <v>2615</v>
      </c>
      <c r="I101" s="19" t="s">
        <v>2616</v>
      </c>
      <c r="J101" s="3" t="str">
        <f>表4[[#This Row],[船名]]&amp;" "&amp;表4[[#This Row],[航次]]</f>
        <v>MAERSK SINGAPORE 940E</v>
      </c>
      <c r="K101" s="8" t="s">
        <v>2619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3265</v>
      </c>
      <c r="H102" s="19" t="s">
        <v>3020</v>
      </c>
      <c r="I102" s="19" t="s">
        <v>3021</v>
      </c>
      <c r="J102" s="3" t="str">
        <f>表4[[#This Row],[船名]]&amp;" "&amp;表4[[#This Row],[航次]]</f>
        <v>HMM BLESSING 007E</v>
      </c>
      <c r="K102" s="8" t="s">
        <v>3053</v>
      </c>
      <c r="L102" s="2" t="s">
        <v>3167</v>
      </c>
      <c r="M102" s="73">
        <v>43742.5</v>
      </c>
      <c r="N102" s="73">
        <v>43738</v>
      </c>
      <c r="O102" t="s">
        <v>3201</v>
      </c>
    </row>
    <row r="103" spans="1:15" hidden="1" x14ac:dyDescent="0.2">
      <c r="A103" t="s">
        <v>3</v>
      </c>
      <c r="B103" s="5">
        <v>43749</v>
      </c>
      <c r="C103" s="9" t="s">
        <v>3164</v>
      </c>
      <c r="D103" s="9">
        <v>2</v>
      </c>
      <c r="E103" s="9" t="s">
        <v>3164</v>
      </c>
      <c r="F103" s="9" t="s">
        <v>3164</v>
      </c>
      <c r="G103" s="3" t="s">
        <v>672</v>
      </c>
      <c r="H103" s="19" t="s">
        <v>1096</v>
      </c>
      <c r="I103" s="19" t="s">
        <v>3147</v>
      </c>
      <c r="J103" s="3" t="str">
        <f>表4[[#This Row],[船名]]&amp;" "&amp;表4[[#This Row],[航次]]</f>
        <v>MSC AURORA QL940N</v>
      </c>
      <c r="K103" s="8" t="s">
        <v>3145</v>
      </c>
      <c r="L103" s="2" t="s">
        <v>3146</v>
      </c>
      <c r="M103" s="73"/>
      <c r="N103" s="73"/>
    </row>
    <row r="104" spans="1:15" hidden="1" x14ac:dyDescent="0.2">
      <c r="A104" t="s">
        <v>2952</v>
      </c>
      <c r="B104" s="5">
        <v>43739</v>
      </c>
      <c r="C104" s="9" t="s">
        <v>2954</v>
      </c>
      <c r="D104" s="9" t="s">
        <v>2955</v>
      </c>
      <c r="E104" s="9" t="s">
        <v>2956</v>
      </c>
      <c r="F104" s="9" t="s">
        <v>2953</v>
      </c>
      <c r="G104" s="3" t="s">
        <v>3150</v>
      </c>
      <c r="H104" s="19" t="s">
        <v>2957</v>
      </c>
      <c r="I104" s="19" t="s">
        <v>2958</v>
      </c>
      <c r="J104" s="3" t="str">
        <f>表4[[#This Row],[船名]]&amp;" "&amp;表4[[#This Row],[航次]]</f>
        <v>CSCL YOKOHAMA 8210E</v>
      </c>
      <c r="K104" s="8" t="s">
        <v>2960</v>
      </c>
      <c r="L104" s="2" t="s">
        <v>2959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3265</v>
      </c>
      <c r="H105" s="19" t="s">
        <v>3246</v>
      </c>
      <c r="I105" s="19" t="s">
        <v>3247</v>
      </c>
      <c r="J105" s="3" t="str">
        <f>表4[[#This Row],[船名]]&amp;" "&amp;表4[[#This Row],[航次]]</f>
        <v>CHASTINE MAERSK 941E</v>
      </c>
      <c r="K105" s="8" t="s">
        <v>3232</v>
      </c>
      <c r="L105" s="2">
        <v>586764298</v>
      </c>
      <c r="M105" s="73">
        <v>43750.583333333336</v>
      </c>
      <c r="N105" s="73">
        <v>43750</v>
      </c>
      <c r="O105" t="s">
        <v>3379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669</v>
      </c>
      <c r="H106" s="19" t="s">
        <v>3271</v>
      </c>
      <c r="I106" s="19" t="s">
        <v>3240</v>
      </c>
      <c r="J106" s="3" t="str">
        <f>表4[[#This Row],[船名]]&amp;" "&amp;表4[[#This Row],[航次]]</f>
        <v>HYUNDAI PARAMOUNT 048W</v>
      </c>
      <c r="K106" s="8" t="s">
        <v>3238</v>
      </c>
      <c r="L106" s="2" t="s">
        <v>3241</v>
      </c>
      <c r="M106" s="73">
        <v>43752.25</v>
      </c>
      <c r="N106" s="73">
        <v>43752</v>
      </c>
      <c r="O106" t="s">
        <v>3476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672</v>
      </c>
      <c r="H107" s="19" t="s">
        <v>1225</v>
      </c>
      <c r="I107" s="19" t="s">
        <v>3243</v>
      </c>
      <c r="J107" s="3" t="str">
        <f>表4[[#This Row],[船名]]&amp;" "&amp;表4[[#This Row],[航次]]</f>
        <v>HYUNDAI FORCE 076E</v>
      </c>
      <c r="K107" s="8" t="s">
        <v>3295</v>
      </c>
      <c r="L107" s="2" t="s">
        <v>3278</v>
      </c>
      <c r="M107" s="73">
        <v>43745.416666666664</v>
      </c>
      <c r="N107" s="73">
        <v>43750</v>
      </c>
      <c r="O107" t="s">
        <v>3297</v>
      </c>
    </row>
    <row r="108" spans="1:15" hidden="1" x14ac:dyDescent="0.2">
      <c r="A108" t="s">
        <v>1372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699</v>
      </c>
      <c r="H108" s="19" t="s">
        <v>3011</v>
      </c>
      <c r="I108" s="19" t="s">
        <v>3275</v>
      </c>
      <c r="J108" s="3" t="str">
        <f>表4[[#This Row],[船名]]&amp;" "&amp;表4[[#This Row],[航次]]</f>
        <v>CAPE TAINARO 3E</v>
      </c>
      <c r="K108" s="8" t="s">
        <v>2620</v>
      </c>
      <c r="L108" s="2">
        <v>585806875</v>
      </c>
      <c r="M108" s="73">
        <v>43750.666666666664</v>
      </c>
      <c r="N108" s="73">
        <v>43750</v>
      </c>
      <c r="O108" t="s">
        <v>3239</v>
      </c>
    </row>
    <row r="109" spans="1:15" hidden="1" x14ac:dyDescent="0.2">
      <c r="A109" t="s">
        <v>1385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1386</v>
      </c>
      <c r="H109" s="19" t="s">
        <v>3251</v>
      </c>
      <c r="I109" s="19" t="s">
        <v>3252</v>
      </c>
      <c r="J109" s="3" t="str">
        <f>表4[[#This Row],[船名]]&amp;" "&amp;表4[[#This Row],[航次]]</f>
        <v>SITC HAINAN 1924S</v>
      </c>
      <c r="K109" s="8" t="s">
        <v>3400</v>
      </c>
      <c r="L109" s="2" t="s">
        <v>3253</v>
      </c>
      <c r="M109" s="73">
        <v>43751.416666666664</v>
      </c>
      <c r="N109" s="73">
        <v>43753</v>
      </c>
      <c r="O109" t="s">
        <v>3401</v>
      </c>
    </row>
    <row r="110" spans="1:15" hidden="1" x14ac:dyDescent="0.2">
      <c r="A110" t="s">
        <v>1385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1386</v>
      </c>
      <c r="H110" s="19" t="s">
        <v>3251</v>
      </c>
      <c r="I110" s="19" t="s">
        <v>3252</v>
      </c>
      <c r="J110" s="3" t="str">
        <f>表4[[#This Row],[船名]]&amp;" "&amp;表4[[#This Row],[航次]]</f>
        <v>SITC HAINAN 1924S</v>
      </c>
      <c r="K110" s="8" t="s">
        <v>3255</v>
      </c>
      <c r="L110" s="2" t="s">
        <v>3254</v>
      </c>
      <c r="M110" s="73">
        <v>43751.416666666664</v>
      </c>
      <c r="N110" s="73">
        <v>43753</v>
      </c>
      <c r="O110" t="s">
        <v>3546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719</v>
      </c>
      <c r="H111" s="19" t="s">
        <v>2004</v>
      </c>
      <c r="I111" s="19" t="s">
        <v>2617</v>
      </c>
      <c r="J111" s="3" t="str">
        <f>表4[[#This Row],[船名]]&amp;" "&amp;表4[[#This Row],[航次]]</f>
        <v>MOL BELIEF 942E</v>
      </c>
      <c r="K111" s="8" t="s">
        <v>2761</v>
      </c>
      <c r="L111" s="2" t="s">
        <v>2760</v>
      </c>
      <c r="M111" s="73">
        <v>43756.458333333336</v>
      </c>
      <c r="N111" s="73">
        <v>43756</v>
      </c>
      <c r="O111" t="s">
        <v>3374</v>
      </c>
    </row>
    <row r="112" spans="1:15" hidden="1" x14ac:dyDescent="0.2">
      <c r="A112" t="s">
        <v>1372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699</v>
      </c>
      <c r="H112" s="19" t="s">
        <v>3293</v>
      </c>
      <c r="I112" s="19" t="s">
        <v>3541</v>
      </c>
      <c r="J112" s="3" t="str">
        <f>表4[[#This Row],[船名]]&amp;" "&amp;表4[[#This Row],[航次]]</f>
        <v>SEAMAX NEW HAVEN UL943E</v>
      </c>
      <c r="K112" s="8" t="s">
        <v>2621</v>
      </c>
      <c r="L112" s="2">
        <v>585806958</v>
      </c>
      <c r="M112" s="73"/>
      <c r="N112" s="73">
        <v>43762</v>
      </c>
      <c r="O112" t="s">
        <v>3765</v>
      </c>
    </row>
    <row r="113" spans="1:15" hidden="1" x14ac:dyDescent="0.2">
      <c r="A113" t="s">
        <v>3216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3217</v>
      </c>
      <c r="H113" s="19" t="s">
        <v>3293</v>
      </c>
      <c r="I113" s="19" t="s">
        <v>3540</v>
      </c>
      <c r="J113" s="3" t="str">
        <f>表4[[#This Row],[船名]]&amp;" "&amp;表4[[#This Row],[航次]]</f>
        <v>SEAMAX NEW HAVEN UL943E</v>
      </c>
      <c r="K113" s="8" t="s">
        <v>3470</v>
      </c>
      <c r="L113" s="2">
        <v>586741664</v>
      </c>
      <c r="M113" s="73"/>
      <c r="N113" s="73" t="s">
        <v>3542</v>
      </c>
      <c r="O113" t="s">
        <v>3766</v>
      </c>
    </row>
    <row r="114" spans="1:15" hidden="1" x14ac:dyDescent="0.2">
      <c r="A114" t="s">
        <v>3028</v>
      </c>
      <c r="B114" s="5">
        <v>43749</v>
      </c>
      <c r="C114" s="9" t="s">
        <v>3029</v>
      </c>
      <c r="D114" s="9" t="s">
        <v>3207</v>
      </c>
      <c r="E114" s="9" t="s">
        <v>3203</v>
      </c>
      <c r="F114" s="9" t="s">
        <v>1669</v>
      </c>
      <c r="G114" s="3" t="s">
        <v>3150</v>
      </c>
      <c r="H114" s="19" t="s">
        <v>3205</v>
      </c>
      <c r="I114" s="19" t="s">
        <v>3206</v>
      </c>
      <c r="J114" s="3" t="str">
        <f>表4[[#This Row],[船名]]&amp;" "&amp;表4[[#This Row],[航次]]</f>
        <v>CSCL OSAKA 8349E</v>
      </c>
      <c r="K114" s="8" t="s">
        <v>3152</v>
      </c>
      <c r="L114" s="2" t="s">
        <v>3204</v>
      </c>
      <c r="M114" s="73" t="s">
        <v>3151</v>
      </c>
      <c r="N114" s="73" t="s">
        <v>3151</v>
      </c>
      <c r="O114" t="s">
        <v>3117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672</v>
      </c>
      <c r="H115" s="19" t="s">
        <v>1100</v>
      </c>
      <c r="I115" s="19" t="s">
        <v>3381</v>
      </c>
      <c r="J115" s="3" t="str">
        <f>表4[[#This Row],[船名]]&amp;" "&amp;表4[[#This Row],[航次]]</f>
        <v>MSC BETTINA QL941N</v>
      </c>
      <c r="K115" s="8" t="s">
        <v>3277</v>
      </c>
      <c r="L115" s="2" t="s">
        <v>3380</v>
      </c>
      <c r="M115" s="73">
        <v>43752.666666666664</v>
      </c>
      <c r="N115" s="73">
        <v>43753</v>
      </c>
      <c r="O115" t="s">
        <v>3547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719</v>
      </c>
      <c r="H116" s="19" t="s">
        <v>2189</v>
      </c>
      <c r="I116" s="19" t="s">
        <v>3264</v>
      </c>
      <c r="J116" s="3" t="str">
        <f>表4[[#This Row],[船名]]&amp;" "&amp;表4[[#This Row],[航次]]</f>
        <v>COYHAIQUE 944E</v>
      </c>
      <c r="K116" s="8" t="s">
        <v>3273</v>
      </c>
      <c r="L116" s="2" t="s">
        <v>3272</v>
      </c>
      <c r="M116" s="73"/>
      <c r="N116" s="73">
        <v>43770</v>
      </c>
      <c r="O116" t="s">
        <v>3795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3265</v>
      </c>
      <c r="H117" s="19" t="s">
        <v>3433</v>
      </c>
      <c r="I117" s="19" t="s">
        <v>2617</v>
      </c>
      <c r="J117" s="3" t="str">
        <f>表4[[#This Row],[船名]]&amp;" "&amp;表4[[#This Row],[航次]]</f>
        <v>CORNELIUS MAERSK 942E</v>
      </c>
      <c r="K117" s="8" t="s">
        <v>3489</v>
      </c>
      <c r="L117" s="2">
        <v>969720156</v>
      </c>
      <c r="M117" s="73">
        <v>43757.583333333336</v>
      </c>
      <c r="N117" s="73">
        <v>43756</v>
      </c>
      <c r="O117" t="s">
        <v>3589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669</v>
      </c>
      <c r="H118" s="19" t="s">
        <v>3459</v>
      </c>
      <c r="I118" s="19" t="s">
        <v>3460</v>
      </c>
      <c r="J118" s="3" t="str">
        <f>表4[[#This Row],[船名]]&amp;" "&amp;表4[[#This Row],[航次]]</f>
        <v>SYDNEY TRADER 942W</v>
      </c>
      <c r="K118" s="8" t="s">
        <v>3506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672</v>
      </c>
      <c r="H119" s="19" t="s">
        <v>3372</v>
      </c>
      <c r="I119" s="19" t="s">
        <v>3373</v>
      </c>
      <c r="J119" s="3" t="str">
        <f>表4[[#This Row],[船名]]&amp;" "&amp;表4[[#This Row],[航次]]</f>
        <v>HYUNDAI GLOBAL 071E</v>
      </c>
      <c r="K119" s="8" t="s">
        <v>3504</v>
      </c>
      <c r="L119" s="2" t="s">
        <v>3487</v>
      </c>
      <c r="M119" s="73">
        <v>43758.416666666664</v>
      </c>
      <c r="N119" s="73">
        <v>43756</v>
      </c>
      <c r="O119" t="s">
        <v>3548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672</v>
      </c>
      <c r="H120" s="19" t="s">
        <v>855</v>
      </c>
      <c r="I120" s="19" t="s">
        <v>3550</v>
      </c>
      <c r="J120" s="3" t="str">
        <f>表4[[#This Row],[船名]]&amp;" "&amp;表4[[#This Row],[航次]]</f>
        <v>MSC JEWEL QL942N</v>
      </c>
      <c r="K120" s="8" t="s">
        <v>3453</v>
      </c>
      <c r="L120" s="2" t="s">
        <v>3452</v>
      </c>
      <c r="M120" s="73">
        <v>43759.666666666664</v>
      </c>
      <c r="N120" s="73">
        <v>43760</v>
      </c>
      <c r="O120" t="s">
        <v>3602</v>
      </c>
    </row>
    <row r="121" spans="1:15" hidden="1" x14ac:dyDescent="0.2">
      <c r="A121" t="s">
        <v>1372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699</v>
      </c>
      <c r="H121" s="19" t="s">
        <v>3293</v>
      </c>
      <c r="I121" s="19" t="s">
        <v>3541</v>
      </c>
      <c r="J121" s="3" t="str">
        <f>表4[[#This Row],[船名]]&amp;" "&amp;表4[[#This Row],[航次]]</f>
        <v>SEAMAX NEW HAVEN UL943E</v>
      </c>
      <c r="K121" s="8" t="s">
        <v>3652</v>
      </c>
      <c r="L121" s="2">
        <v>586916934</v>
      </c>
      <c r="M121" s="73"/>
      <c r="N121" s="73">
        <v>43762</v>
      </c>
      <c r="O121" t="s">
        <v>3765</v>
      </c>
    </row>
    <row r="122" spans="1:15" hidden="1" x14ac:dyDescent="0.2">
      <c r="A122" t="s">
        <v>1372</v>
      </c>
      <c r="B122" s="5">
        <v>43772</v>
      </c>
      <c r="C122" t="s">
        <v>287</v>
      </c>
      <c r="D122" t="s">
        <v>287</v>
      </c>
      <c r="E122" s="9">
        <v>3</v>
      </c>
      <c r="F122" s="9">
        <v>0</v>
      </c>
      <c r="G122" s="3" t="s">
        <v>699</v>
      </c>
      <c r="H122" s="19" t="s">
        <v>1377</v>
      </c>
      <c r="I122" s="19" t="s">
        <v>3264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>
        <v>43770</v>
      </c>
      <c r="O122" t="s">
        <v>3764</v>
      </c>
    </row>
    <row r="123" spans="1:15" hidden="1" x14ac:dyDescent="0.2">
      <c r="A123" t="s">
        <v>1372</v>
      </c>
      <c r="B123" s="5">
        <v>43779</v>
      </c>
      <c r="C123" s="9" t="s">
        <v>3571</v>
      </c>
      <c r="D123" s="9" t="s">
        <v>3571</v>
      </c>
      <c r="E123" s="9">
        <v>3</v>
      </c>
      <c r="F123" s="9">
        <v>0</v>
      </c>
      <c r="G123" s="3" t="s">
        <v>699</v>
      </c>
      <c r="H123" s="19" t="s">
        <v>1803</v>
      </c>
      <c r="I123" s="19" t="s">
        <v>3294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3571</v>
      </c>
    </row>
    <row r="124" spans="1:15" hidden="1" x14ac:dyDescent="0.2">
      <c r="A124" t="s">
        <v>1372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699</v>
      </c>
      <c r="H124" s="19" t="s">
        <v>2034</v>
      </c>
      <c r="I124" s="19" t="s">
        <v>3573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>
        <v>43784</v>
      </c>
    </row>
    <row r="125" spans="1:15" hidden="1" x14ac:dyDescent="0.2">
      <c r="A125" t="s">
        <v>3430</v>
      </c>
      <c r="B125" s="5">
        <v>43756</v>
      </c>
      <c r="C125" s="9">
        <v>0</v>
      </c>
      <c r="D125" s="9">
        <v>0</v>
      </c>
      <c r="E125" s="9">
        <v>0</v>
      </c>
      <c r="F125" s="9" t="s">
        <v>3423</v>
      </c>
      <c r="G125" s="3" t="s">
        <v>3431</v>
      </c>
      <c r="H125" s="19" t="s">
        <v>3480</v>
      </c>
      <c r="I125" s="19" t="s">
        <v>3481</v>
      </c>
      <c r="J125" s="3" t="str">
        <f>表4[[#This Row],[船名]]&amp;" "&amp;表4[[#This Row],[航次]]</f>
        <v>HANSUNG INCHEON 2527E</v>
      </c>
      <c r="K125" s="8" t="s">
        <v>3457</v>
      </c>
      <c r="L125" s="2" t="s">
        <v>3496</v>
      </c>
      <c r="M125" s="73"/>
      <c r="N125" s="73"/>
    </row>
    <row r="126" spans="1:15" hidden="1" x14ac:dyDescent="0.2">
      <c r="A126" t="s">
        <v>2831</v>
      </c>
      <c r="B126" s="5">
        <v>43758</v>
      </c>
      <c r="C126" s="9" t="s">
        <v>3557</v>
      </c>
      <c r="D126" s="9" t="s">
        <v>3557</v>
      </c>
      <c r="E126" s="9" t="s">
        <v>3557</v>
      </c>
      <c r="F126" s="9" t="s">
        <v>1669</v>
      </c>
      <c r="G126" s="3" t="s">
        <v>3383</v>
      </c>
      <c r="H126" s="19" t="s">
        <v>3464</v>
      </c>
      <c r="I126" s="19" t="s">
        <v>3465</v>
      </c>
      <c r="J126" s="3" t="str">
        <f>表4[[#This Row],[船名]]&amp;" "&amp;表4[[#This Row],[航次]]</f>
        <v>CHATTANOOGA 1942E</v>
      </c>
      <c r="K126" s="8" t="s">
        <v>3384</v>
      </c>
      <c r="L126" s="2" t="s">
        <v>3466</v>
      </c>
      <c r="M126" s="73"/>
      <c r="N126" s="73"/>
      <c r="O126" t="s">
        <v>3608</v>
      </c>
    </row>
    <row r="127" spans="1:15" hidden="1" x14ac:dyDescent="0.2">
      <c r="A127" t="s">
        <v>3422</v>
      </c>
      <c r="B127" s="5">
        <v>43758</v>
      </c>
      <c r="C127" s="9" t="s">
        <v>3461</v>
      </c>
      <c r="D127" s="9" t="s">
        <v>3461</v>
      </c>
      <c r="E127" s="9" t="s">
        <v>3461</v>
      </c>
      <c r="F127" s="9" t="s">
        <v>3423</v>
      </c>
      <c r="G127" s="3" t="s">
        <v>3424</v>
      </c>
      <c r="H127" s="19"/>
      <c r="I127" s="19"/>
      <c r="J127" s="3" t="str">
        <f>表4[[#This Row],[船名]]&amp;" "&amp;表4[[#This Row],[航次]]</f>
        <v xml:space="preserve"> </v>
      </c>
      <c r="K127" s="8" t="s">
        <v>3472</v>
      </c>
      <c r="L127" s="2"/>
      <c r="M127" s="73"/>
      <c r="N127" s="73"/>
      <c r="O127" t="s">
        <v>3471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719</v>
      </c>
      <c r="H128" s="19" t="s">
        <v>1098</v>
      </c>
      <c r="I128" s="19" t="s">
        <v>3813</v>
      </c>
      <c r="J128" s="3" t="str">
        <f>表4[[#This Row],[船名]]&amp;" "&amp;表4[[#This Row],[航次]]</f>
        <v>CORCOVADO 946E</v>
      </c>
      <c r="K128" s="8" t="s">
        <v>3886</v>
      </c>
      <c r="L128" s="2" t="s">
        <v>3885</v>
      </c>
      <c r="M128" s="73"/>
      <c r="N128" s="73" t="s">
        <v>3814</v>
      </c>
    </row>
    <row r="129" spans="1:15" hidden="1" x14ac:dyDescent="0.2">
      <c r="A129" t="s">
        <v>3498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3265</v>
      </c>
      <c r="H129" s="19" t="s">
        <v>3661</v>
      </c>
      <c r="I129" s="19" t="s">
        <v>3662</v>
      </c>
      <c r="J129" s="3" t="str">
        <f>表4[[#This Row],[船名]]&amp;" "&amp;表4[[#This Row],[航次]]</f>
        <v>COCHRANE 943E</v>
      </c>
      <c r="K129" s="8" t="s">
        <v>3667</v>
      </c>
      <c r="L129" s="2" t="s">
        <v>3660</v>
      </c>
      <c r="M129" s="73">
        <v>43763.583333333336</v>
      </c>
      <c r="N129" s="73">
        <v>43763</v>
      </c>
      <c r="O129" t="s">
        <v>3663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669</v>
      </c>
      <c r="H130" s="19" t="s">
        <v>3699</v>
      </c>
      <c r="I130" s="19" t="s">
        <v>1110</v>
      </c>
      <c r="J130" s="3" t="str">
        <f>表4[[#This Row],[船名]]&amp;" "&amp;表4[[#This Row],[航次]]</f>
        <v>HYUNDAI PLATINUM 057W</v>
      </c>
      <c r="K130" s="8" t="s">
        <v>3689</v>
      </c>
      <c r="L130" s="2" t="s">
        <v>3621</v>
      </c>
      <c r="M130" s="73">
        <v>43765.375</v>
      </c>
      <c r="N130" s="73">
        <v>43765</v>
      </c>
      <c r="O130" t="s">
        <v>3665</v>
      </c>
    </row>
    <row r="131" spans="1:15" hidden="1" x14ac:dyDescent="0.2">
      <c r="A131" t="s">
        <v>1385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1386</v>
      </c>
      <c r="H131" s="19" t="s">
        <v>3708</v>
      </c>
      <c r="I131" s="19" t="s">
        <v>3709</v>
      </c>
      <c r="J131" s="3" t="str">
        <f>表4[[#This Row],[船名]]&amp;" "&amp;表4[[#This Row],[航次]]</f>
        <v>SITC HAINAN 1926S</v>
      </c>
      <c r="K131" s="8" t="s">
        <v>3716</v>
      </c>
      <c r="L131" s="2" t="s">
        <v>3711</v>
      </c>
      <c r="M131" s="73">
        <v>43769.416666666664</v>
      </c>
      <c r="N131" s="73">
        <v>43774</v>
      </c>
      <c r="O131" t="s">
        <v>3943</v>
      </c>
    </row>
    <row r="132" spans="1:15" hidden="1" x14ac:dyDescent="0.2">
      <c r="A132" t="s">
        <v>1385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1386</v>
      </c>
      <c r="H132" s="19" t="s">
        <v>3708</v>
      </c>
      <c r="I132" s="19" t="s">
        <v>3709</v>
      </c>
      <c r="J132" s="3" t="str">
        <f>表4[[#This Row],[船名]]&amp;" "&amp;表4[[#This Row],[航次]]</f>
        <v>SITC HAINAN 1926S</v>
      </c>
      <c r="K132" s="8" t="s">
        <v>3847</v>
      </c>
      <c r="L132" s="2" t="s">
        <v>3713</v>
      </c>
      <c r="M132" s="73">
        <v>43769.416666666664</v>
      </c>
      <c r="N132" s="73">
        <v>43774</v>
      </c>
      <c r="O132" t="s">
        <v>3529</v>
      </c>
    </row>
    <row r="133" spans="1:15" hidden="1" x14ac:dyDescent="0.2">
      <c r="A133" t="s">
        <v>1385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1386</v>
      </c>
      <c r="H133" s="19" t="s">
        <v>3708</v>
      </c>
      <c r="I133" s="19" t="s">
        <v>3709</v>
      </c>
      <c r="J133" s="3" t="str">
        <f>表4[[#This Row],[船名]]&amp;" "&amp;表4[[#This Row],[航次]]</f>
        <v>SITC HAINAN 1926S</v>
      </c>
      <c r="K133" s="8" t="s">
        <v>3858</v>
      </c>
      <c r="L133" s="2" t="s">
        <v>3715</v>
      </c>
      <c r="M133" s="73">
        <v>43769.416666666664</v>
      </c>
      <c r="N133" s="73">
        <v>43774</v>
      </c>
      <c r="O133" t="s">
        <v>3944</v>
      </c>
    </row>
    <row r="134" spans="1:15" hidden="1" x14ac:dyDescent="0.2">
      <c r="A134" t="s">
        <v>3537</v>
      </c>
      <c r="B134" s="5">
        <v>43763</v>
      </c>
      <c r="C134" s="9">
        <v>0</v>
      </c>
      <c r="D134" s="9">
        <v>0</v>
      </c>
      <c r="E134" s="9">
        <v>0</v>
      </c>
      <c r="F134" s="9" t="s">
        <v>3538</v>
      </c>
      <c r="G134" s="3" t="s">
        <v>3539</v>
      </c>
      <c r="H134" s="19" t="s">
        <v>3205</v>
      </c>
      <c r="I134" s="19" t="s">
        <v>3600</v>
      </c>
      <c r="J134" s="3" t="str">
        <f>表4[[#This Row],[船名]]&amp;" "&amp;表4[[#This Row],[航次]]</f>
        <v>CSCL OSAKA 8351E</v>
      </c>
      <c r="K134" s="8" t="s">
        <v>3536</v>
      </c>
      <c r="L134" s="2" t="s">
        <v>3601</v>
      </c>
      <c r="M134" s="73"/>
      <c r="N134" s="73"/>
    </row>
    <row r="135" spans="1:15" hidden="1" x14ac:dyDescent="0.2">
      <c r="A135" t="s">
        <v>3563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3564</v>
      </c>
      <c r="H135" s="19" t="s">
        <v>3565</v>
      </c>
      <c r="I135" s="19" t="s">
        <v>3566</v>
      </c>
      <c r="J135" s="3" t="str">
        <f>表4[[#This Row],[船名]]&amp;" "&amp;表4[[#This Row],[航次]]</f>
        <v>SUNNY CALLA 1943N</v>
      </c>
      <c r="K135" s="8" t="s">
        <v>3567</v>
      </c>
      <c r="L135" s="2" t="s">
        <v>3722</v>
      </c>
      <c r="M135" s="73"/>
      <c r="N135" s="73"/>
      <c r="O135" t="s">
        <v>3569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672</v>
      </c>
      <c r="H136" s="19" t="s">
        <v>3583</v>
      </c>
      <c r="I136" s="19" t="s">
        <v>3584</v>
      </c>
      <c r="J136" s="3" t="str">
        <f>表4[[#This Row],[船名]]&amp;" "&amp;表4[[#This Row],[航次]]</f>
        <v>HYUNDAI OAKLAND 090E</v>
      </c>
      <c r="K136" s="8" t="s">
        <v>3585</v>
      </c>
      <c r="L136" s="2" t="s">
        <v>3643</v>
      </c>
      <c r="M136" s="73"/>
      <c r="N136" s="73"/>
      <c r="O136" t="s">
        <v>287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672</v>
      </c>
      <c r="H137" s="19" t="s">
        <v>1067</v>
      </c>
      <c r="I137" s="19" t="s">
        <v>3736</v>
      </c>
      <c r="J137" s="3" t="str">
        <f>表4[[#This Row],[船名]]&amp;" "&amp;表4[[#This Row],[航次]]</f>
        <v>MSC KATRINA QL943N</v>
      </c>
      <c r="K137" s="8" t="s">
        <v>3735</v>
      </c>
      <c r="L137" s="2" t="s">
        <v>3737</v>
      </c>
      <c r="M137" s="73">
        <v>43766.583333333336</v>
      </c>
      <c r="N137" s="73">
        <v>43767</v>
      </c>
      <c r="O137" t="s">
        <v>3760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3265</v>
      </c>
      <c r="H138" s="19" t="s">
        <v>2189</v>
      </c>
      <c r="I138" s="19" t="s">
        <v>3264</v>
      </c>
      <c r="J138" s="3" t="str">
        <f>表4[[#This Row],[船名]]&amp;" "&amp;表4[[#This Row],[航次]]</f>
        <v>COYHAIQUE 944E</v>
      </c>
      <c r="K138" s="8" t="s">
        <v>3806</v>
      </c>
      <c r="L138" s="2" t="s">
        <v>3770</v>
      </c>
      <c r="M138" s="73">
        <v>43770</v>
      </c>
      <c r="N138" s="73">
        <v>43770</v>
      </c>
      <c r="O138" t="s">
        <v>3905</v>
      </c>
    </row>
    <row r="139" spans="1:15" hidden="1" x14ac:dyDescent="0.2">
      <c r="A139" t="s">
        <v>3654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3655</v>
      </c>
      <c r="H139" s="19" t="s">
        <v>3205</v>
      </c>
      <c r="I139" s="19" t="s">
        <v>3600</v>
      </c>
      <c r="J139" s="3" t="str">
        <f>表4[[#This Row],[船名]]&amp;" "&amp;表4[[#This Row],[航次]]</f>
        <v>CSCL OSAKA 8351E</v>
      </c>
      <c r="K139" s="8" t="s">
        <v>3656</v>
      </c>
      <c r="L139" s="2" t="s">
        <v>3657</v>
      </c>
      <c r="M139" s="73">
        <v>43759.958333333336</v>
      </c>
      <c r="N139" s="73">
        <v>43761</v>
      </c>
    </row>
    <row r="140" spans="1:15" hidden="1" x14ac:dyDescent="0.2">
      <c r="A140" t="s">
        <v>3685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669</v>
      </c>
      <c r="H140" s="19" t="s">
        <v>3829</v>
      </c>
      <c r="I140" s="19" t="s">
        <v>3777</v>
      </c>
      <c r="J140" s="3" t="str">
        <f>表4[[#This Row],[船名]]&amp;" "&amp;表4[[#This Row],[航次]]</f>
        <v>HYUNDAI PREMIUM 061W</v>
      </c>
      <c r="K140" s="8" t="s">
        <v>3805</v>
      </c>
      <c r="L140" s="2" t="s">
        <v>3778</v>
      </c>
      <c r="M140" s="73">
        <v>43771.583333333336</v>
      </c>
      <c r="N140" s="73">
        <v>43772</v>
      </c>
      <c r="O140" t="s">
        <v>3904</v>
      </c>
    </row>
    <row r="141" spans="1:15" hidden="1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669</v>
      </c>
      <c r="H141" s="19" t="s">
        <v>3784</v>
      </c>
      <c r="I141" s="19" t="s">
        <v>3785</v>
      </c>
      <c r="J141" s="3" t="str">
        <f>表4[[#This Row],[船名]]&amp;" "&amp;表4[[#This Row],[航次]]</f>
        <v>ARGUELLO 944W</v>
      </c>
      <c r="K141" s="8" t="s">
        <v>3854</v>
      </c>
      <c r="L141" s="2">
        <v>587346262</v>
      </c>
      <c r="M141" s="73"/>
      <c r="N141" s="73"/>
      <c r="O141" t="s">
        <v>3907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672</v>
      </c>
      <c r="H142" s="19" t="s">
        <v>1102</v>
      </c>
      <c r="I142" s="19" t="s">
        <v>3750</v>
      </c>
      <c r="J142" s="3" t="str">
        <f>表4[[#This Row],[船名]]&amp;" "&amp;表4[[#This Row],[航次]]</f>
        <v>HYUNDAI FAITH 085E</v>
      </c>
      <c r="K142" s="8" t="s">
        <v>3752</v>
      </c>
      <c r="L142" s="2" t="s">
        <v>3753</v>
      </c>
      <c r="M142" s="73"/>
      <c r="N142" s="73"/>
      <c r="O142" t="s">
        <v>3791</v>
      </c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672</v>
      </c>
      <c r="H143" s="19" t="s">
        <v>1104</v>
      </c>
      <c r="I143" s="19" t="s">
        <v>3751</v>
      </c>
      <c r="J143" s="3" t="str">
        <f>表4[[#This Row],[船名]]&amp;" "&amp;表4[[#This Row],[航次]]</f>
        <v>MSC MARIA SAVERIA QL944N</v>
      </c>
      <c r="K143" s="8" t="s">
        <v>3863</v>
      </c>
      <c r="L143" s="2" t="s">
        <v>3762</v>
      </c>
      <c r="M143" s="73">
        <v>43773.583333333336</v>
      </c>
      <c r="N143" s="73">
        <v>43774</v>
      </c>
      <c r="O143" t="s">
        <v>3872</v>
      </c>
    </row>
    <row r="144" spans="1:15" hidden="1" x14ac:dyDescent="0.2">
      <c r="A144" t="s">
        <v>3780</v>
      </c>
      <c r="B144" s="5">
        <v>43772</v>
      </c>
      <c r="C144" s="9">
        <v>0</v>
      </c>
      <c r="D144" s="9">
        <v>0</v>
      </c>
      <c r="E144" s="9">
        <v>0</v>
      </c>
      <c r="F144" s="9" t="s">
        <v>1669</v>
      </c>
      <c r="G144" s="3" t="s">
        <v>3150</v>
      </c>
      <c r="H144" s="19" t="s">
        <v>3464</v>
      </c>
      <c r="I144" s="19" t="s">
        <v>3812</v>
      </c>
      <c r="J144" s="3" t="str">
        <f>表4[[#This Row],[船名]]&amp;" "&amp;表4[[#This Row],[航次]]</f>
        <v>CHATTANOOGA 1944E</v>
      </c>
      <c r="K144" s="8" t="s">
        <v>3781</v>
      </c>
      <c r="L144" s="2" t="s">
        <v>3811</v>
      </c>
      <c r="M144" s="73"/>
      <c r="N144" s="73"/>
    </row>
    <row r="145" spans="1:15" hidden="1" x14ac:dyDescent="0.2">
      <c r="A145" t="s">
        <v>3792</v>
      </c>
      <c r="B145" s="5">
        <v>43782</v>
      </c>
      <c r="C145" s="9">
        <v>0</v>
      </c>
      <c r="D145" s="9">
        <v>2</v>
      </c>
      <c r="E145" s="9">
        <v>0</v>
      </c>
      <c r="F145" s="9">
        <v>0</v>
      </c>
      <c r="G145" s="3" t="s">
        <v>3265</v>
      </c>
      <c r="H145" s="19" t="s">
        <v>1095</v>
      </c>
      <c r="I145" s="19" t="s">
        <v>3294</v>
      </c>
      <c r="J145" s="3" t="str">
        <f>表4[[#This Row],[船名]]&amp;" "&amp;表4[[#This Row],[航次]]</f>
        <v>CISNES 945E</v>
      </c>
      <c r="K145" s="8" t="s">
        <v>3914</v>
      </c>
      <c r="L145" s="2" t="s">
        <v>3803</v>
      </c>
      <c r="M145" s="73">
        <v>43778.208333333336</v>
      </c>
      <c r="N145" s="73">
        <v>43777</v>
      </c>
      <c r="O145" t="s">
        <v>3949</v>
      </c>
    </row>
    <row r="146" spans="1:15" hidden="1" x14ac:dyDescent="0.2">
      <c r="A146" t="s">
        <v>3</v>
      </c>
      <c r="B146" s="5">
        <v>43782</v>
      </c>
      <c r="C146" s="9">
        <v>0</v>
      </c>
      <c r="D146" s="9">
        <v>1</v>
      </c>
      <c r="E146" s="9">
        <v>0</v>
      </c>
      <c r="F146" s="9">
        <v>0</v>
      </c>
      <c r="G146" s="3" t="s">
        <v>672</v>
      </c>
      <c r="H146" s="19" t="s">
        <v>3873</v>
      </c>
      <c r="I146" s="19" t="s">
        <v>3373</v>
      </c>
      <c r="J146" s="3" t="str">
        <f>表4[[#This Row],[船名]]&amp;" "&amp;表4[[#This Row],[航次]]</f>
        <v>HYUNDAI SPLENDOR 071E</v>
      </c>
      <c r="K146" s="8" t="s">
        <v>3938</v>
      </c>
      <c r="L146" s="2" t="s">
        <v>3876</v>
      </c>
      <c r="M146" s="73"/>
      <c r="N146" s="73">
        <v>43777</v>
      </c>
      <c r="O146" t="s">
        <v>3940</v>
      </c>
    </row>
    <row r="147" spans="1:15" hidden="1" x14ac:dyDescent="0.2">
      <c r="A147" t="s">
        <v>3</v>
      </c>
      <c r="B147" s="5">
        <v>43784</v>
      </c>
      <c r="C147" s="9">
        <v>0</v>
      </c>
      <c r="D147" s="9">
        <v>1</v>
      </c>
      <c r="E147" s="9">
        <v>0</v>
      </c>
      <c r="F147" s="9">
        <v>0</v>
      </c>
      <c r="G147" s="3" t="s">
        <v>672</v>
      </c>
      <c r="H147" s="19" t="s">
        <v>1229</v>
      </c>
      <c r="I147" s="19" t="s">
        <v>3874</v>
      </c>
      <c r="J147" s="3" t="str">
        <f>表4[[#This Row],[船名]]&amp;" "&amp;表4[[#This Row],[航次]]</f>
        <v>MAERSK EXETER 945N</v>
      </c>
      <c r="K147" s="8" t="s">
        <v>3877</v>
      </c>
      <c r="L147" s="2" t="s">
        <v>3879</v>
      </c>
      <c r="M147" s="73"/>
      <c r="N147" s="73"/>
    </row>
    <row r="148" spans="1:15" hidden="1" x14ac:dyDescent="0.2">
      <c r="A148" t="s">
        <v>3889</v>
      </c>
      <c r="B148" s="5">
        <v>43790</v>
      </c>
      <c r="C148" s="9">
        <v>0</v>
      </c>
      <c r="D148" s="9">
        <v>1</v>
      </c>
      <c r="E148" s="9">
        <v>0</v>
      </c>
      <c r="F148" s="9">
        <v>0</v>
      </c>
      <c r="G148" s="3" t="s">
        <v>1386</v>
      </c>
      <c r="H148" s="19" t="s">
        <v>3908</v>
      </c>
      <c r="I148" s="19" t="s">
        <v>3909</v>
      </c>
      <c r="J148" s="3" t="str">
        <f>表4[[#This Row],[船名]]&amp;" "&amp;表4[[#This Row],[航次]]</f>
        <v>SITC BANGKOK 1926S</v>
      </c>
      <c r="K148" s="8" t="s">
        <v>3911</v>
      </c>
      <c r="L148" s="2" t="s">
        <v>3910</v>
      </c>
      <c r="M148" s="73"/>
      <c r="N148" s="73" t="s">
        <v>3912</v>
      </c>
      <c r="O148" t="s">
        <v>3890</v>
      </c>
    </row>
    <row r="149" spans="1:15" x14ac:dyDescent="0.2">
      <c r="A149" t="s">
        <v>985</v>
      </c>
      <c r="B149" s="5">
        <v>43787</v>
      </c>
      <c r="C149" s="9">
        <v>0</v>
      </c>
      <c r="D149" s="9">
        <v>8</v>
      </c>
      <c r="E149" s="9">
        <v>0</v>
      </c>
      <c r="F149" s="9">
        <v>0</v>
      </c>
      <c r="G149" s="3" t="s">
        <v>3936</v>
      </c>
      <c r="H149" s="19" t="s">
        <v>3951</v>
      </c>
      <c r="I149" s="19" t="s">
        <v>3952</v>
      </c>
      <c r="J149" s="3" t="str">
        <f>表4[[#This Row],[船名]]&amp;" "&amp;表4[[#This Row],[航次]]</f>
        <v>JPO VULPECULA OIHS6S</v>
      </c>
      <c r="K149" s="8"/>
      <c r="L149" s="2" t="s">
        <v>3953</v>
      </c>
      <c r="M149" s="73"/>
      <c r="N149" s="73"/>
    </row>
    <row r="150" spans="1:15" hidden="1" x14ac:dyDescent="0.2">
      <c r="A150" t="s">
        <v>1372</v>
      </c>
      <c r="B150" s="5">
        <v>43793</v>
      </c>
      <c r="C150" s="9">
        <v>0</v>
      </c>
      <c r="D150" s="9">
        <v>0</v>
      </c>
      <c r="E150" s="9">
        <v>2</v>
      </c>
      <c r="F150" s="9">
        <v>0</v>
      </c>
      <c r="G150" s="3" t="s">
        <v>699</v>
      </c>
      <c r="H150" s="19" t="s">
        <v>2032</v>
      </c>
      <c r="I150" s="19" t="s">
        <v>3899</v>
      </c>
      <c r="J150" s="3" t="str">
        <f>表4[[#This Row],[船名]]&amp;" "&amp;表4[[#This Row],[航次]]</f>
        <v>SEAMAX STRATFORD 947E</v>
      </c>
      <c r="K150" s="8"/>
      <c r="L150" s="2">
        <v>587895625</v>
      </c>
      <c r="M150" s="73"/>
      <c r="N150" s="73">
        <v>43791</v>
      </c>
    </row>
    <row r="151" spans="1:15" hidden="1" x14ac:dyDescent="0.2">
      <c r="A151" t="s">
        <v>1372</v>
      </c>
      <c r="B151" s="5">
        <v>43800</v>
      </c>
      <c r="C151" s="9">
        <v>0</v>
      </c>
      <c r="D151" s="9">
        <v>0</v>
      </c>
      <c r="E151" s="9">
        <v>3</v>
      </c>
      <c r="F151" s="9">
        <v>0</v>
      </c>
      <c r="G151" s="3" t="s">
        <v>699</v>
      </c>
      <c r="H151" s="19" t="s">
        <v>2027</v>
      </c>
      <c r="I151" s="19" t="s">
        <v>3900</v>
      </c>
      <c r="J151" s="3" t="str">
        <f>表4[[#This Row],[船名]]&amp;" "&amp;表4[[#This Row],[航次]]</f>
        <v>MAERSK SURABAYA 948E</v>
      </c>
      <c r="K151" s="8"/>
      <c r="L151" s="2">
        <v>587895639</v>
      </c>
      <c r="M151" s="73"/>
      <c r="N151" s="73">
        <v>43798</v>
      </c>
    </row>
    <row r="152" spans="1:15" hidden="1" x14ac:dyDescent="0.2">
      <c r="A152" t="s">
        <v>1372</v>
      </c>
      <c r="B152" s="5">
        <v>43807</v>
      </c>
      <c r="C152" s="9">
        <v>0</v>
      </c>
      <c r="D152" s="9">
        <v>0</v>
      </c>
      <c r="E152" s="9">
        <v>2</v>
      </c>
      <c r="F152" s="9">
        <v>0</v>
      </c>
      <c r="G152" s="3" t="s">
        <v>699</v>
      </c>
      <c r="H152" s="19" t="s">
        <v>2025</v>
      </c>
      <c r="I152" s="19" t="s">
        <v>3901</v>
      </c>
      <c r="J152" s="3" t="str">
        <f>表4[[#This Row],[船名]]&amp;" "&amp;表4[[#This Row],[航次]]</f>
        <v>COLUMBINE MAERSK 949E</v>
      </c>
      <c r="K152" s="8"/>
      <c r="L152" s="18">
        <v>587895659</v>
      </c>
      <c r="M152" s="73"/>
      <c r="N152" s="73">
        <v>43805</v>
      </c>
    </row>
    <row r="153" spans="1:15" hidden="1" x14ac:dyDescent="0.2">
      <c r="A153" t="s">
        <v>1372</v>
      </c>
      <c r="B153" s="5">
        <v>43816</v>
      </c>
      <c r="C153" s="9">
        <v>0</v>
      </c>
      <c r="D153" s="9">
        <v>0</v>
      </c>
      <c r="E153" s="9">
        <v>2</v>
      </c>
      <c r="F153" s="9">
        <v>0</v>
      </c>
      <c r="G153" s="3" t="s">
        <v>699</v>
      </c>
      <c r="H153" s="19" t="s">
        <v>1616</v>
      </c>
      <c r="I153" s="19" t="s">
        <v>3902</v>
      </c>
      <c r="J153" s="3" t="str">
        <f>表4[[#This Row],[船名]]&amp;" "&amp;表4[[#This Row],[航次]]</f>
        <v>ALBERT MAERSK 950E</v>
      </c>
      <c r="K153" s="8"/>
      <c r="L153" s="2">
        <v>587895676</v>
      </c>
      <c r="M153" s="73"/>
      <c r="N153" s="73">
        <v>43812</v>
      </c>
    </row>
    <row r="154" spans="1:15" hidden="1" x14ac:dyDescent="0.2">
      <c r="A154" t="s">
        <v>146</v>
      </c>
      <c r="B154" s="5">
        <v>43789</v>
      </c>
      <c r="C154" s="9">
        <v>0</v>
      </c>
      <c r="D154" s="9">
        <v>1</v>
      </c>
      <c r="E154" s="9">
        <v>0</v>
      </c>
      <c r="F154" s="9">
        <v>0</v>
      </c>
      <c r="G154" s="3" t="s">
        <v>3265</v>
      </c>
      <c r="H154" s="19" t="s">
        <v>1098</v>
      </c>
      <c r="I154" s="19" t="s">
        <v>3813</v>
      </c>
      <c r="J154" s="3" t="str">
        <f>表4[[#This Row],[船名]]&amp;" "&amp;表4[[#This Row],[航次]]</f>
        <v>CORCOVADO 946E</v>
      </c>
      <c r="K154" s="8" t="s">
        <v>3928</v>
      </c>
      <c r="L154" s="2" t="s">
        <v>3927</v>
      </c>
      <c r="M154" s="73"/>
      <c r="N154" s="73"/>
      <c r="O154" t="s">
        <v>3920</v>
      </c>
    </row>
    <row r="155" spans="1:15" hidden="1" x14ac:dyDescent="0.2">
      <c r="A155" t="s">
        <v>149</v>
      </c>
      <c r="B155" s="5">
        <v>43789</v>
      </c>
      <c r="C155" s="9">
        <v>1</v>
      </c>
      <c r="D155" s="9">
        <v>0</v>
      </c>
      <c r="E155" s="9">
        <v>0</v>
      </c>
      <c r="F155" s="9">
        <v>0</v>
      </c>
      <c r="G155" s="3" t="s">
        <v>669</v>
      </c>
      <c r="H155" s="19"/>
      <c r="I155" s="19"/>
      <c r="J155" s="3" t="str">
        <f>表4[[#This Row],[船名]]&amp;" "&amp;表4[[#This Row],[航次]]</f>
        <v xml:space="preserve"> </v>
      </c>
      <c r="K155" s="8"/>
      <c r="L155" s="2"/>
      <c r="M155" s="73"/>
      <c r="N155" s="73"/>
      <c r="O155" t="s">
        <v>3933</v>
      </c>
    </row>
  </sheetData>
  <phoneticPr fontId="1" type="noConversion"/>
  <conditionalFormatting sqref="C2:F155">
    <cfRule type="containsBlanks" dxfId="63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6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N9" sqref="N9"/>
    </sheetView>
  </sheetViews>
  <sheetFormatPr defaultColWidth="8" defaultRowHeight="14.25" x14ac:dyDescent="0.2"/>
  <cols>
    <col min="1" max="1" width="11.5" bestFit="1" customWidth="1"/>
    <col min="2" max="3" width="10.5" bestFit="1" customWidth="1"/>
    <col min="4" max="22" width="11.625" bestFit="1" customWidth="1"/>
    <col min="23" max="25" width="10.5" bestFit="1" customWidth="1"/>
    <col min="26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813</v>
      </c>
      <c r="E1" s="86"/>
      <c r="F1" s="85"/>
      <c r="G1" s="85"/>
      <c r="H1" s="85" t="s">
        <v>3650</v>
      </c>
      <c r="I1" s="85"/>
      <c r="J1" s="52" t="s">
        <v>951</v>
      </c>
      <c r="K1" s="83"/>
      <c r="L1" s="84"/>
      <c r="M1" s="84"/>
      <c r="N1" s="85" t="s">
        <v>3651</v>
      </c>
      <c r="O1" s="85"/>
      <c r="P1" s="85"/>
      <c r="Q1" s="52" t="s">
        <v>814</v>
      </c>
      <c r="R1" s="53"/>
    </row>
    <row r="2" spans="1:18" x14ac:dyDescent="0.2">
      <c r="A2" s="54" t="s">
        <v>3484</v>
      </c>
      <c r="B2" s="55" t="s">
        <v>3483</v>
      </c>
      <c r="C2" s="55" t="s">
        <v>2886</v>
      </c>
      <c r="D2" s="81"/>
      <c r="E2" s="91" t="s">
        <v>3645</v>
      </c>
      <c r="F2" s="91"/>
      <c r="G2" s="56" t="s">
        <v>762</v>
      </c>
      <c r="H2" s="89" t="s">
        <v>3646</v>
      </c>
      <c r="I2" s="89"/>
      <c r="J2" s="89"/>
      <c r="K2" s="89"/>
      <c r="L2" s="89" t="s">
        <v>2887</v>
      </c>
      <c r="M2" s="89"/>
      <c r="N2" s="91" t="s">
        <v>3647</v>
      </c>
      <c r="O2" s="91"/>
      <c r="P2" s="91"/>
      <c r="Q2" s="91" t="s">
        <v>3648</v>
      </c>
      <c r="R2" s="92"/>
    </row>
    <row r="3" spans="1:18" x14ac:dyDescent="0.2">
      <c r="A3" s="57" t="s">
        <v>3649</v>
      </c>
      <c r="B3" s="58" t="s">
        <v>2888</v>
      </c>
      <c r="C3" s="58" t="s">
        <v>2889</v>
      </c>
      <c r="D3" s="81"/>
      <c r="E3" s="81" t="s">
        <v>2890</v>
      </c>
      <c r="F3" s="81"/>
      <c r="G3" s="89" t="s">
        <v>2773</v>
      </c>
      <c r="H3" s="89"/>
      <c r="I3" s="89" t="s">
        <v>2891</v>
      </c>
      <c r="J3" s="89"/>
      <c r="K3" s="89"/>
      <c r="L3" s="89"/>
      <c r="M3" s="89"/>
      <c r="N3" s="89"/>
      <c r="O3" s="89"/>
      <c r="P3" s="89"/>
      <c r="Q3" s="89"/>
      <c r="R3" s="90"/>
    </row>
    <row r="4" spans="1:18" ht="15" thickBot="1" x14ac:dyDescent="0.25">
      <c r="A4" s="59" t="s">
        <v>679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8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1272</v>
      </c>
      <c r="B7" t="s">
        <v>2939</v>
      </c>
      <c r="C7" s="6" t="s">
        <v>347</v>
      </c>
      <c r="D7" s="6" t="s">
        <v>482</v>
      </c>
      <c r="E7" s="6" t="s">
        <v>348</v>
      </c>
      <c r="F7" s="6" t="s">
        <v>2812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286</v>
      </c>
      <c r="B10" s="74">
        <v>43778</v>
      </c>
    </row>
    <row r="11" spans="1:18" x14ac:dyDescent="0.2">
      <c r="A11" s="2" t="s">
        <v>2</v>
      </c>
      <c r="B11" s="3"/>
    </row>
    <row r="12" spans="1:18" x14ac:dyDescent="0.2">
      <c r="A12" s="47">
        <v>43777</v>
      </c>
      <c r="B12" s="3">
        <v>1</v>
      </c>
    </row>
    <row r="13" spans="1:18" x14ac:dyDescent="0.2">
      <c r="A13" s="47">
        <v>43782</v>
      </c>
      <c r="B13" s="3">
        <v>2</v>
      </c>
    </row>
    <row r="14" spans="1:18" x14ac:dyDescent="0.2">
      <c r="A14" s="2" t="s">
        <v>152</v>
      </c>
      <c r="B14" s="3"/>
    </row>
    <row r="15" spans="1:18" x14ac:dyDescent="0.2">
      <c r="A15" s="47">
        <v>43782</v>
      </c>
      <c r="B15" s="3">
        <v>2</v>
      </c>
    </row>
    <row r="16" spans="1:18" x14ac:dyDescent="0.2">
      <c r="A16" s="2" t="s">
        <v>2938</v>
      </c>
      <c r="B16" s="3">
        <v>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8" priority="2" timePeriod="today">
      <formula>FLOOR(B10,1)=TODAY()</formula>
    </cfRule>
  </conditionalFormatting>
  <conditionalFormatting sqref="C10:R10">
    <cfRule type="timePeriod" dxfId="47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39"/>
  <sheetViews>
    <sheetView workbookViewId="0">
      <selection activeCell="E532" sqref="E532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553</v>
      </c>
      <c r="D1" s="14" t="s">
        <v>649</v>
      </c>
      <c r="E1" s="14" t="s">
        <v>319</v>
      </c>
    </row>
    <row r="2" spans="1:5" hidden="1" x14ac:dyDescent="0.2">
      <c r="A2" s="14" t="s">
        <v>2</v>
      </c>
      <c r="B2" s="16">
        <v>43595</v>
      </c>
      <c r="C2" t="s">
        <v>797</v>
      </c>
      <c r="D2" s="15" t="s">
        <v>1688</v>
      </c>
      <c r="E2" s="14" t="s">
        <v>842</v>
      </c>
    </row>
    <row r="3" spans="1:5" hidden="1" x14ac:dyDescent="0.2">
      <c r="A3" s="14" t="s">
        <v>2</v>
      </c>
      <c r="B3" s="16">
        <v>43595</v>
      </c>
      <c r="C3" t="s">
        <v>797</v>
      </c>
      <c r="D3" s="15" t="s">
        <v>843</v>
      </c>
      <c r="E3" s="14" t="s">
        <v>842</v>
      </c>
    </row>
    <row r="4" spans="1:5" hidden="1" x14ac:dyDescent="0.2">
      <c r="A4" s="14" t="s">
        <v>2</v>
      </c>
      <c r="B4" s="16">
        <v>43595</v>
      </c>
      <c r="C4" t="s">
        <v>797</v>
      </c>
      <c r="D4" s="15" t="s">
        <v>844</v>
      </c>
      <c r="E4" s="14" t="s">
        <v>842</v>
      </c>
    </row>
    <row r="5" spans="1:5" hidden="1" x14ac:dyDescent="0.2">
      <c r="A5" s="14" t="s">
        <v>146</v>
      </c>
      <c r="B5" s="16">
        <v>43600</v>
      </c>
      <c r="C5" t="s">
        <v>798</v>
      </c>
      <c r="D5" s="15" t="s">
        <v>352</v>
      </c>
      <c r="E5" s="14" t="s">
        <v>327</v>
      </c>
    </row>
    <row r="6" spans="1:5" hidden="1" x14ac:dyDescent="0.2">
      <c r="A6" s="14" t="s">
        <v>322</v>
      </c>
      <c r="B6" s="16">
        <v>43602</v>
      </c>
      <c r="C6" t="s">
        <v>799</v>
      </c>
      <c r="D6" s="15" t="s">
        <v>353</v>
      </c>
      <c r="E6" s="14" t="s">
        <v>325</v>
      </c>
    </row>
    <row r="7" spans="1:5" hidden="1" x14ac:dyDescent="0.2">
      <c r="A7" s="14" t="s">
        <v>322</v>
      </c>
      <c r="B7" s="16">
        <v>43602</v>
      </c>
      <c r="C7" t="s">
        <v>799</v>
      </c>
      <c r="D7" s="15" t="s">
        <v>353</v>
      </c>
      <c r="E7" s="14" t="s">
        <v>324</v>
      </c>
    </row>
    <row r="8" spans="1:5" hidden="1" x14ac:dyDescent="0.2">
      <c r="A8" s="14" t="s">
        <v>322</v>
      </c>
      <c r="B8" s="16">
        <v>43602</v>
      </c>
      <c r="C8" t="s">
        <v>799</v>
      </c>
      <c r="D8" s="15" t="s">
        <v>353</v>
      </c>
      <c r="E8" s="14" t="s">
        <v>326</v>
      </c>
    </row>
    <row r="9" spans="1:5" hidden="1" x14ac:dyDescent="0.2">
      <c r="A9" s="14" t="s">
        <v>322</v>
      </c>
      <c r="B9" s="16">
        <v>43602</v>
      </c>
      <c r="C9" t="s">
        <v>799</v>
      </c>
      <c r="D9" s="15" t="s">
        <v>353</v>
      </c>
      <c r="E9" s="14" t="s">
        <v>323</v>
      </c>
    </row>
    <row r="10" spans="1:5" hidden="1" x14ac:dyDescent="0.2">
      <c r="A10" s="14" t="s">
        <v>149</v>
      </c>
      <c r="B10" s="16">
        <v>43607</v>
      </c>
      <c r="C10" t="s">
        <v>803</v>
      </c>
      <c r="D10" s="15" t="s">
        <v>369</v>
      </c>
      <c r="E10" s="14" t="s">
        <v>373</v>
      </c>
    </row>
    <row r="11" spans="1:5" hidden="1" x14ac:dyDescent="0.2">
      <c r="A11" s="14" t="s">
        <v>149</v>
      </c>
      <c r="B11" s="16">
        <v>43607</v>
      </c>
      <c r="C11" t="s">
        <v>803</v>
      </c>
      <c r="D11" s="15" t="s">
        <v>370</v>
      </c>
      <c r="E11" s="14" t="s">
        <v>373</v>
      </c>
    </row>
    <row r="12" spans="1:5" hidden="1" x14ac:dyDescent="0.2">
      <c r="A12" s="14" t="s">
        <v>149</v>
      </c>
      <c r="B12" s="16">
        <v>43607</v>
      </c>
      <c r="C12" t="s">
        <v>803</v>
      </c>
      <c r="D12" s="15" t="s">
        <v>371</v>
      </c>
      <c r="E12" s="14" t="s">
        <v>373</v>
      </c>
    </row>
    <row r="13" spans="1:5" hidden="1" x14ac:dyDescent="0.2">
      <c r="A13" s="14" t="s">
        <v>149</v>
      </c>
      <c r="B13" s="16">
        <v>43607</v>
      </c>
      <c r="C13" t="s">
        <v>803</v>
      </c>
      <c r="D13" s="15" t="s">
        <v>372</v>
      </c>
      <c r="E13" s="14" t="s">
        <v>385</v>
      </c>
    </row>
    <row r="14" spans="1:5" hidden="1" x14ac:dyDescent="0.2">
      <c r="A14" s="14" t="s">
        <v>146</v>
      </c>
      <c r="B14" s="16">
        <v>43607</v>
      </c>
      <c r="C14" t="s">
        <v>800</v>
      </c>
      <c r="D14" s="15" t="s">
        <v>358</v>
      </c>
      <c r="E14" s="14" t="s">
        <v>359</v>
      </c>
    </row>
    <row r="15" spans="1:5" hidden="1" x14ac:dyDescent="0.2">
      <c r="A15" s="14" t="s">
        <v>146</v>
      </c>
      <c r="B15" s="16">
        <v>43607</v>
      </c>
      <c r="C15" t="s">
        <v>800</v>
      </c>
      <c r="D15" s="15" t="s">
        <v>360</v>
      </c>
      <c r="E15" s="14" t="s">
        <v>359</v>
      </c>
    </row>
    <row r="16" spans="1:5" hidden="1" x14ac:dyDescent="0.2">
      <c r="A16" s="14" t="s">
        <v>154</v>
      </c>
      <c r="B16" s="16">
        <v>43607</v>
      </c>
      <c r="C16" t="s">
        <v>795</v>
      </c>
      <c r="D16" s="15" t="s">
        <v>356</v>
      </c>
      <c r="E16" s="14" t="s">
        <v>357</v>
      </c>
    </row>
    <row r="17" spans="1:5" hidden="1" x14ac:dyDescent="0.2">
      <c r="A17" s="14" t="s">
        <v>321</v>
      </c>
      <c r="B17" s="16">
        <v>43609</v>
      </c>
      <c r="C17" t="s">
        <v>802</v>
      </c>
      <c r="D17" s="15" t="s">
        <v>390</v>
      </c>
      <c r="E17" s="14" t="s">
        <v>393</v>
      </c>
    </row>
    <row r="18" spans="1:5" hidden="1" x14ac:dyDescent="0.2">
      <c r="A18" s="14" t="s">
        <v>3</v>
      </c>
      <c r="B18" s="16">
        <v>43609</v>
      </c>
      <c r="C18" t="s">
        <v>802</v>
      </c>
      <c r="D18" s="15" t="s">
        <v>391</v>
      </c>
      <c r="E18" s="14" t="s">
        <v>393</v>
      </c>
    </row>
    <row r="19" spans="1:5" hidden="1" x14ac:dyDescent="0.2">
      <c r="A19" s="14" t="s">
        <v>3</v>
      </c>
      <c r="B19" s="16">
        <v>43609</v>
      </c>
      <c r="C19" t="s">
        <v>802</v>
      </c>
      <c r="D19" s="15" t="s">
        <v>392</v>
      </c>
      <c r="E19" s="14" t="s">
        <v>393</v>
      </c>
    </row>
    <row r="20" spans="1:5" hidden="1" x14ac:dyDescent="0.2">
      <c r="A20" s="14" t="s">
        <v>3</v>
      </c>
      <c r="B20" s="16">
        <v>43613</v>
      </c>
      <c r="C20" t="s">
        <v>801</v>
      </c>
      <c r="D20" s="15" t="s">
        <v>474</v>
      </c>
      <c r="E20" s="14" t="s">
        <v>420</v>
      </c>
    </row>
    <row r="21" spans="1:5" hidden="1" x14ac:dyDescent="0.2">
      <c r="A21" s="14" t="s">
        <v>3</v>
      </c>
      <c r="B21" s="16">
        <v>43613</v>
      </c>
      <c r="C21" t="s">
        <v>801</v>
      </c>
      <c r="D21" s="15" t="s">
        <v>470</v>
      </c>
      <c r="E21" s="14" t="s">
        <v>420</v>
      </c>
    </row>
    <row r="22" spans="1:5" hidden="1" x14ac:dyDescent="0.2">
      <c r="A22" s="14" t="s">
        <v>322</v>
      </c>
      <c r="B22" s="16">
        <v>43613</v>
      </c>
      <c r="C22" t="s">
        <v>805</v>
      </c>
      <c r="D22" s="15" t="s">
        <v>408</v>
      </c>
      <c r="E22" s="14" t="s">
        <v>422</v>
      </c>
    </row>
    <row r="23" spans="1:5" hidden="1" x14ac:dyDescent="0.2">
      <c r="A23" s="14" t="s">
        <v>167</v>
      </c>
      <c r="B23" s="16">
        <v>43613</v>
      </c>
      <c r="C23" t="s">
        <v>805</v>
      </c>
      <c r="D23" s="15" t="s">
        <v>408</v>
      </c>
      <c r="E23" s="14" t="s">
        <v>423</v>
      </c>
    </row>
    <row r="24" spans="1:5" hidden="1" x14ac:dyDescent="0.2">
      <c r="A24" s="14" t="s">
        <v>403</v>
      </c>
      <c r="B24" s="16">
        <v>43614</v>
      </c>
      <c r="C24" t="s">
        <v>806</v>
      </c>
      <c r="D24" s="15" t="s">
        <v>404</v>
      </c>
      <c r="E24" s="14" t="s">
        <v>435</v>
      </c>
    </row>
    <row r="25" spans="1:5" hidden="1" x14ac:dyDescent="0.2">
      <c r="A25" s="14" t="s">
        <v>403</v>
      </c>
      <c r="B25" s="16">
        <v>43614</v>
      </c>
      <c r="C25" t="s">
        <v>806</v>
      </c>
      <c r="D25" s="15" t="s">
        <v>405</v>
      </c>
      <c r="E25" s="14" t="s">
        <v>436</v>
      </c>
    </row>
    <row r="26" spans="1:5" hidden="1" x14ac:dyDescent="0.2">
      <c r="A26" s="14" t="s">
        <v>403</v>
      </c>
      <c r="B26" s="16">
        <v>43614</v>
      </c>
      <c r="C26" t="s">
        <v>806</v>
      </c>
      <c r="D26" s="15" t="s">
        <v>406</v>
      </c>
      <c r="E26" s="14" t="s">
        <v>436</v>
      </c>
    </row>
    <row r="27" spans="1:5" hidden="1" x14ac:dyDescent="0.2">
      <c r="A27" s="14" t="s">
        <v>403</v>
      </c>
      <c r="B27" s="16">
        <v>43614</v>
      </c>
      <c r="C27" t="s">
        <v>806</v>
      </c>
      <c r="D27" s="15" t="s">
        <v>407</v>
      </c>
      <c r="E27" s="14" t="s">
        <v>436</v>
      </c>
    </row>
    <row r="28" spans="1:5" hidden="1" x14ac:dyDescent="0.2">
      <c r="A28" s="14" t="s">
        <v>149</v>
      </c>
      <c r="B28" s="16">
        <v>43614</v>
      </c>
      <c r="C28" t="s">
        <v>806</v>
      </c>
      <c r="D28" s="15" t="s">
        <v>428</v>
      </c>
      <c r="E28" s="14" t="s">
        <v>436</v>
      </c>
    </row>
    <row r="29" spans="1:5" hidden="1" x14ac:dyDescent="0.2">
      <c r="A29" s="14" t="s">
        <v>149</v>
      </c>
      <c r="B29" s="16">
        <v>43614</v>
      </c>
      <c r="C29" t="s">
        <v>806</v>
      </c>
      <c r="D29" s="15" t="s">
        <v>429</v>
      </c>
      <c r="E29" s="14" t="s">
        <v>436</v>
      </c>
    </row>
    <row r="30" spans="1:5" hidden="1" x14ac:dyDescent="0.2">
      <c r="A30" s="14" t="s">
        <v>149</v>
      </c>
      <c r="B30" s="16">
        <v>43614</v>
      </c>
      <c r="C30" t="s">
        <v>806</v>
      </c>
      <c r="D30" s="15" t="s">
        <v>430</v>
      </c>
      <c r="E30" s="14" t="s">
        <v>434</v>
      </c>
    </row>
    <row r="31" spans="1:5" hidden="1" x14ac:dyDescent="0.2">
      <c r="A31" s="14" t="s">
        <v>149</v>
      </c>
      <c r="B31" s="16">
        <v>43614</v>
      </c>
      <c r="C31" t="s">
        <v>806</v>
      </c>
      <c r="D31" s="15" t="s">
        <v>431</v>
      </c>
      <c r="E31" s="14" t="s">
        <v>433</v>
      </c>
    </row>
    <row r="32" spans="1:5" hidden="1" x14ac:dyDescent="0.2">
      <c r="A32" s="14" t="s">
        <v>361</v>
      </c>
      <c r="B32" s="16">
        <v>43614</v>
      </c>
      <c r="C32" t="s">
        <v>804</v>
      </c>
      <c r="D32" s="15" t="s">
        <v>362</v>
      </c>
      <c r="E32" s="14" t="s">
        <v>421</v>
      </c>
    </row>
    <row r="33" spans="1:5" hidden="1" x14ac:dyDescent="0.2">
      <c r="A33" s="14" t="s">
        <v>361</v>
      </c>
      <c r="B33" s="16">
        <v>43614</v>
      </c>
      <c r="C33" t="s">
        <v>804</v>
      </c>
      <c r="D33" s="15" t="s">
        <v>363</v>
      </c>
      <c r="E33" s="14" t="s">
        <v>432</v>
      </c>
    </row>
    <row r="34" spans="1:5" hidden="1" x14ac:dyDescent="0.2">
      <c r="A34" s="14" t="s">
        <v>154</v>
      </c>
      <c r="B34" s="16">
        <v>43614</v>
      </c>
      <c r="C34" t="s">
        <v>796</v>
      </c>
      <c r="D34" s="15" t="s">
        <v>394</v>
      </c>
      <c r="E34" s="14" t="s">
        <v>459</v>
      </c>
    </row>
    <row r="35" spans="1:5" hidden="1" x14ac:dyDescent="0.2">
      <c r="A35" s="14" t="s">
        <v>3</v>
      </c>
      <c r="B35" s="16">
        <v>43616</v>
      </c>
      <c r="C35" t="s">
        <v>807</v>
      </c>
      <c r="D35" s="15" t="s">
        <v>493</v>
      </c>
      <c r="E35" s="14" t="s">
        <v>464</v>
      </c>
    </row>
    <row r="36" spans="1:5" hidden="1" x14ac:dyDescent="0.2">
      <c r="A36" s="14" t="s">
        <v>3</v>
      </c>
      <c r="B36" s="16">
        <v>43616</v>
      </c>
      <c r="C36" t="s">
        <v>807</v>
      </c>
      <c r="D36" s="15" t="s">
        <v>465</v>
      </c>
      <c r="E36" s="14" t="s">
        <v>464</v>
      </c>
    </row>
    <row r="37" spans="1:5" hidden="1" x14ac:dyDescent="0.2">
      <c r="A37" s="14" t="s">
        <v>3</v>
      </c>
      <c r="B37" s="16">
        <v>43616</v>
      </c>
      <c r="C37" t="s">
        <v>807</v>
      </c>
      <c r="D37" s="15" t="s">
        <v>466</v>
      </c>
      <c r="E37" s="14" t="s">
        <v>464</v>
      </c>
    </row>
    <row r="38" spans="1:5" hidden="1" x14ac:dyDescent="0.2">
      <c r="A38" s="14" t="s">
        <v>3</v>
      </c>
      <c r="B38" s="16">
        <v>43616</v>
      </c>
      <c r="C38" t="s">
        <v>807</v>
      </c>
      <c r="D38" s="15" t="s">
        <v>551</v>
      </c>
      <c r="E38" s="14" t="s">
        <v>464</v>
      </c>
    </row>
    <row r="39" spans="1:5" hidden="1" x14ac:dyDescent="0.2">
      <c r="A39" s="14" t="s">
        <v>149</v>
      </c>
      <c r="B39" s="16">
        <v>43621</v>
      </c>
      <c r="C39" t="s">
        <v>811</v>
      </c>
      <c r="D39" s="15" t="s">
        <v>460</v>
      </c>
      <c r="E39" s="14" t="s">
        <v>497</v>
      </c>
    </row>
    <row r="40" spans="1:5" hidden="1" x14ac:dyDescent="0.2">
      <c r="A40" s="14" t="s">
        <v>149</v>
      </c>
      <c r="B40" s="16">
        <v>43621</v>
      </c>
      <c r="C40" t="s">
        <v>811</v>
      </c>
      <c r="D40" s="15" t="s">
        <v>461</v>
      </c>
      <c r="E40" s="14" t="s">
        <v>497</v>
      </c>
    </row>
    <row r="41" spans="1:5" hidden="1" x14ac:dyDescent="0.2">
      <c r="A41" s="14" t="s">
        <v>149</v>
      </c>
      <c r="B41" s="16">
        <v>43621</v>
      </c>
      <c r="C41" t="s">
        <v>811</v>
      </c>
      <c r="D41" s="15" t="s">
        <v>462</v>
      </c>
      <c r="E41" s="14" t="s">
        <v>498</v>
      </c>
    </row>
    <row r="42" spans="1:5" hidden="1" x14ac:dyDescent="0.2">
      <c r="A42" s="14" t="s">
        <v>149</v>
      </c>
      <c r="B42" s="16">
        <v>43621</v>
      </c>
      <c r="C42" t="s">
        <v>811</v>
      </c>
      <c r="D42" s="15" t="s">
        <v>463</v>
      </c>
      <c r="E42" s="14" t="s">
        <v>498</v>
      </c>
    </row>
    <row r="43" spans="1:5" hidden="1" x14ac:dyDescent="0.2">
      <c r="A43" s="14" t="s">
        <v>473</v>
      </c>
      <c r="B43" s="16">
        <v>43621</v>
      </c>
      <c r="C43" t="s">
        <v>809</v>
      </c>
      <c r="D43" s="15" t="s">
        <v>558</v>
      </c>
      <c r="E43" s="14" t="s">
        <v>490</v>
      </c>
    </row>
    <row r="44" spans="1:5" hidden="1" x14ac:dyDescent="0.2">
      <c r="A44" s="14" t="s">
        <v>3</v>
      </c>
      <c r="B44" s="16">
        <v>43621</v>
      </c>
      <c r="C44" t="s">
        <v>809</v>
      </c>
      <c r="D44" s="15" t="s">
        <v>613</v>
      </c>
      <c r="E44" s="14" t="s">
        <v>490</v>
      </c>
    </row>
    <row r="45" spans="1:5" hidden="1" x14ac:dyDescent="0.2">
      <c r="A45" s="14" t="s">
        <v>3</v>
      </c>
      <c r="B45" s="16">
        <v>43621</v>
      </c>
      <c r="C45" t="s">
        <v>809</v>
      </c>
      <c r="D45" s="15" t="s">
        <v>614</v>
      </c>
      <c r="E45" s="14" t="s">
        <v>490</v>
      </c>
    </row>
    <row r="46" spans="1:5" hidden="1" x14ac:dyDescent="0.2">
      <c r="A46" s="14" t="s">
        <v>3</v>
      </c>
      <c r="B46" s="16">
        <v>43621</v>
      </c>
      <c r="C46" t="s">
        <v>809</v>
      </c>
      <c r="D46" s="15" t="s">
        <v>615</v>
      </c>
      <c r="E46" s="14" t="s">
        <v>490</v>
      </c>
    </row>
    <row r="47" spans="1:5" hidden="1" x14ac:dyDescent="0.2">
      <c r="A47" s="14" t="s">
        <v>146</v>
      </c>
      <c r="B47" s="16">
        <v>43621</v>
      </c>
      <c r="C47" t="s">
        <v>808</v>
      </c>
      <c r="D47" s="15" t="s">
        <v>471</v>
      </c>
      <c r="E47" s="14" t="s">
        <v>491</v>
      </c>
    </row>
    <row r="48" spans="1:5" hidden="1" x14ac:dyDescent="0.2">
      <c r="A48" s="14" t="s">
        <v>146</v>
      </c>
      <c r="B48" s="16">
        <v>43621</v>
      </c>
      <c r="C48" t="s">
        <v>808</v>
      </c>
      <c r="D48" s="15" t="s">
        <v>472</v>
      </c>
      <c r="E48" s="14" t="s">
        <v>491</v>
      </c>
    </row>
    <row r="49" spans="1:5" hidden="1" x14ac:dyDescent="0.2">
      <c r="A49" s="14" t="s">
        <v>3</v>
      </c>
      <c r="B49" s="16">
        <v>43623</v>
      </c>
      <c r="C49" t="s">
        <v>810</v>
      </c>
      <c r="D49" s="15" t="s">
        <v>559</v>
      </c>
      <c r="E49" s="14" t="s">
        <v>503</v>
      </c>
    </row>
    <row r="50" spans="1:5" hidden="1" x14ac:dyDescent="0.2">
      <c r="A50" s="14" t="s">
        <v>3</v>
      </c>
      <c r="B50" s="16">
        <v>43623</v>
      </c>
      <c r="C50" t="s">
        <v>810</v>
      </c>
      <c r="D50" s="15" t="s">
        <v>496</v>
      </c>
      <c r="E50" s="14" t="s">
        <v>503</v>
      </c>
    </row>
    <row r="51" spans="1:5" hidden="1" x14ac:dyDescent="0.2">
      <c r="A51" s="14" t="s">
        <v>167</v>
      </c>
      <c r="B51" s="16">
        <v>43623</v>
      </c>
      <c r="C51" t="s">
        <v>763</v>
      </c>
      <c r="D51" s="15" t="s">
        <v>458</v>
      </c>
      <c r="E51" s="14" t="s">
        <v>500</v>
      </c>
    </row>
    <row r="52" spans="1:5" hidden="1" x14ac:dyDescent="0.2">
      <c r="A52" s="14" t="s">
        <v>167</v>
      </c>
      <c r="B52" s="16">
        <v>43623</v>
      </c>
      <c r="C52" t="s">
        <v>763</v>
      </c>
      <c r="D52" s="15" t="s">
        <v>458</v>
      </c>
      <c r="E52" s="14" t="s">
        <v>501</v>
      </c>
    </row>
    <row r="53" spans="1:5" hidden="1" x14ac:dyDescent="0.2">
      <c r="A53" s="14" t="s">
        <v>167</v>
      </c>
      <c r="B53" s="16">
        <v>43623</v>
      </c>
      <c r="C53" t="s">
        <v>763</v>
      </c>
      <c r="D53" s="15" t="s">
        <v>458</v>
      </c>
      <c r="E53" s="14" t="s">
        <v>499</v>
      </c>
    </row>
    <row r="54" spans="1:5" hidden="1" x14ac:dyDescent="0.2">
      <c r="A54" s="14" t="s">
        <v>621</v>
      </c>
      <c r="B54" s="16">
        <v>43628</v>
      </c>
      <c r="C54" t="s">
        <v>767</v>
      </c>
      <c r="D54" s="15" t="s">
        <v>622</v>
      </c>
      <c r="E54" s="14" t="s">
        <v>626</v>
      </c>
    </row>
    <row r="55" spans="1:5" hidden="1" x14ac:dyDescent="0.2">
      <c r="A55" s="14" t="s">
        <v>621</v>
      </c>
      <c r="B55" s="16">
        <v>43628</v>
      </c>
      <c r="C55" t="s">
        <v>767</v>
      </c>
      <c r="D55" s="15" t="s">
        <v>622</v>
      </c>
      <c r="E55" s="14" t="s">
        <v>627</v>
      </c>
    </row>
    <row r="56" spans="1:5" hidden="1" x14ac:dyDescent="0.2">
      <c r="A56" s="14" t="s">
        <v>621</v>
      </c>
      <c r="B56" s="16">
        <v>43628</v>
      </c>
      <c r="C56" t="s">
        <v>767</v>
      </c>
      <c r="D56" s="15" t="s">
        <v>622</v>
      </c>
      <c r="E56" s="14" t="s">
        <v>625</v>
      </c>
    </row>
    <row r="57" spans="1:5" hidden="1" x14ac:dyDescent="0.2">
      <c r="A57" s="14" t="s">
        <v>621</v>
      </c>
      <c r="B57" s="16">
        <v>43628</v>
      </c>
      <c r="C57" t="s">
        <v>767</v>
      </c>
      <c r="D57" s="15" t="s">
        <v>622</v>
      </c>
      <c r="E57" s="14" t="s">
        <v>629</v>
      </c>
    </row>
    <row r="58" spans="1:5" hidden="1" x14ac:dyDescent="0.2">
      <c r="A58" s="14" t="s">
        <v>621</v>
      </c>
      <c r="B58" s="16">
        <v>43628</v>
      </c>
      <c r="C58" t="s">
        <v>767</v>
      </c>
      <c r="D58" s="15" t="s">
        <v>622</v>
      </c>
      <c r="E58" s="14" t="s">
        <v>628</v>
      </c>
    </row>
    <row r="59" spans="1:5" hidden="1" x14ac:dyDescent="0.2">
      <c r="A59" s="14" t="s">
        <v>536</v>
      </c>
      <c r="B59" s="16">
        <v>43628</v>
      </c>
      <c r="C59" t="s">
        <v>770</v>
      </c>
      <c r="D59" s="15" t="s">
        <v>557</v>
      </c>
      <c r="E59" s="14" t="s">
        <v>554</v>
      </c>
    </row>
    <row r="60" spans="1:5" hidden="1" x14ac:dyDescent="0.2">
      <c r="A60" s="14" t="s">
        <v>536</v>
      </c>
      <c r="B60" s="16">
        <v>43628</v>
      </c>
      <c r="C60" t="s">
        <v>770</v>
      </c>
      <c r="D60" s="15" t="s">
        <v>537</v>
      </c>
      <c r="E60" s="14" t="s">
        <v>554</v>
      </c>
    </row>
    <row r="61" spans="1:5" hidden="1" x14ac:dyDescent="0.2">
      <c r="A61" s="14" t="s">
        <v>536</v>
      </c>
      <c r="B61" s="16">
        <v>43628</v>
      </c>
      <c r="C61" t="s">
        <v>770</v>
      </c>
      <c r="D61" s="15" t="s">
        <v>538</v>
      </c>
      <c r="E61" s="14" t="s">
        <v>554</v>
      </c>
    </row>
    <row r="62" spans="1:5" hidden="1" x14ac:dyDescent="0.2">
      <c r="A62" s="14" t="s">
        <v>536</v>
      </c>
      <c r="B62" s="16">
        <v>43628</v>
      </c>
      <c r="C62" t="s">
        <v>770</v>
      </c>
      <c r="D62" s="15" t="s">
        <v>539</v>
      </c>
      <c r="E62" s="14" t="s">
        <v>554</v>
      </c>
    </row>
    <row r="63" spans="1:5" hidden="1" x14ac:dyDescent="0.2">
      <c r="A63" s="14" t="s">
        <v>536</v>
      </c>
      <c r="B63" s="16">
        <v>43628</v>
      </c>
      <c r="C63" t="s">
        <v>770</v>
      </c>
      <c r="D63" s="15" t="s">
        <v>540</v>
      </c>
      <c r="E63" s="14" t="s">
        <v>554</v>
      </c>
    </row>
    <row r="64" spans="1:5" hidden="1" x14ac:dyDescent="0.2">
      <c r="A64" s="14" t="s">
        <v>306</v>
      </c>
      <c r="B64" s="16">
        <v>43628</v>
      </c>
      <c r="C64" t="s">
        <v>765</v>
      </c>
      <c r="D64" s="15" t="s">
        <v>663</v>
      </c>
      <c r="E64" s="14" t="s">
        <v>550</v>
      </c>
    </row>
    <row r="65" spans="1:5" hidden="1" x14ac:dyDescent="0.2">
      <c r="A65" s="14" t="s">
        <v>3</v>
      </c>
      <c r="B65" s="16">
        <v>43628</v>
      </c>
      <c r="C65" t="s">
        <v>765</v>
      </c>
      <c r="D65" s="15" t="s">
        <v>650</v>
      </c>
      <c r="E65" s="14" t="s">
        <v>550</v>
      </c>
    </row>
    <row r="66" spans="1:5" hidden="1" x14ac:dyDescent="0.2">
      <c r="A66" s="14" t="s">
        <v>3</v>
      </c>
      <c r="B66" s="16">
        <v>43628</v>
      </c>
      <c r="C66" t="s">
        <v>765</v>
      </c>
      <c r="D66" s="15" t="s">
        <v>549</v>
      </c>
      <c r="E66" s="14" t="s">
        <v>550</v>
      </c>
    </row>
    <row r="67" spans="1:5" hidden="1" x14ac:dyDescent="0.2">
      <c r="A67" s="14" t="s">
        <v>146</v>
      </c>
      <c r="B67" s="16">
        <v>43628</v>
      </c>
      <c r="C67" t="s">
        <v>772</v>
      </c>
      <c r="D67" s="15" t="s">
        <v>479</v>
      </c>
      <c r="E67" s="14" t="s">
        <v>555</v>
      </c>
    </row>
    <row r="68" spans="1:5" hidden="1" x14ac:dyDescent="0.2">
      <c r="A68" s="14" t="s">
        <v>146</v>
      </c>
      <c r="B68" s="16">
        <v>43628</v>
      </c>
      <c r="C68" t="s">
        <v>772</v>
      </c>
      <c r="D68" s="15" t="s">
        <v>480</v>
      </c>
      <c r="E68" s="14" t="s">
        <v>556</v>
      </c>
    </row>
    <row r="69" spans="1:5" hidden="1" x14ac:dyDescent="0.2">
      <c r="A69" s="14" t="s">
        <v>146</v>
      </c>
      <c r="B69" s="16">
        <v>43628</v>
      </c>
      <c r="C69" t="s">
        <v>772</v>
      </c>
      <c r="D69" s="15" t="s">
        <v>481</v>
      </c>
      <c r="E69" s="14" t="s">
        <v>556</v>
      </c>
    </row>
    <row r="70" spans="1:5" hidden="1" x14ac:dyDescent="0.2">
      <c r="A70" s="14" t="s">
        <v>621</v>
      </c>
      <c r="B70" s="16">
        <v>43628.041666666664</v>
      </c>
      <c r="C70" t="s">
        <v>768</v>
      </c>
      <c r="D70" s="15" t="s">
        <v>623</v>
      </c>
      <c r="E70" s="14" t="s">
        <v>630</v>
      </c>
    </row>
    <row r="71" spans="1:5" hidden="1" x14ac:dyDescent="0.2">
      <c r="A71" s="14" t="s">
        <v>621</v>
      </c>
      <c r="B71" s="16">
        <v>43628.041666666664</v>
      </c>
      <c r="C71" t="s">
        <v>768</v>
      </c>
      <c r="D71" s="15" t="s">
        <v>623</v>
      </c>
      <c r="E71" s="14" t="s">
        <v>631</v>
      </c>
    </row>
    <row r="72" spans="1:5" hidden="1" x14ac:dyDescent="0.2">
      <c r="A72" s="14" t="s">
        <v>621</v>
      </c>
      <c r="B72" s="16">
        <v>43628.083333333336</v>
      </c>
      <c r="C72" t="s">
        <v>769</v>
      </c>
      <c r="D72" s="15" t="s">
        <v>624</v>
      </c>
      <c r="E72" s="14" t="s">
        <v>632</v>
      </c>
    </row>
    <row r="73" spans="1:5" hidden="1" x14ac:dyDescent="0.2">
      <c r="A73" s="14" t="s">
        <v>3</v>
      </c>
      <c r="B73" s="16">
        <v>43630</v>
      </c>
      <c r="C73" t="s">
        <v>774</v>
      </c>
      <c r="D73" s="15" t="s">
        <v>561</v>
      </c>
      <c r="E73" s="14" t="s">
        <v>609</v>
      </c>
    </row>
    <row r="74" spans="1:5" hidden="1" x14ac:dyDescent="0.2">
      <c r="A74" s="14" t="s">
        <v>3</v>
      </c>
      <c r="B74" s="16">
        <v>43630</v>
      </c>
      <c r="C74" t="s">
        <v>774</v>
      </c>
      <c r="D74" s="15" t="s">
        <v>563</v>
      </c>
      <c r="E74" s="14" t="s">
        <v>610</v>
      </c>
    </row>
    <row r="75" spans="1:5" hidden="1" x14ac:dyDescent="0.2">
      <c r="A75" s="14" t="s">
        <v>3</v>
      </c>
      <c r="B75" s="16">
        <v>43630</v>
      </c>
      <c r="C75" t="s">
        <v>774</v>
      </c>
      <c r="D75" s="15" t="s">
        <v>562</v>
      </c>
      <c r="E75" s="14" t="s">
        <v>608</v>
      </c>
    </row>
    <row r="76" spans="1:5" hidden="1" x14ac:dyDescent="0.2">
      <c r="A76" s="14" t="s">
        <v>621</v>
      </c>
      <c r="B76" s="16">
        <v>43632</v>
      </c>
      <c r="C76" t="s">
        <v>776</v>
      </c>
      <c r="D76" s="15" t="s">
        <v>633</v>
      </c>
      <c r="E76" s="14" t="s">
        <v>752</v>
      </c>
    </row>
    <row r="77" spans="1:5" hidden="1" x14ac:dyDescent="0.2">
      <c r="A77" s="14" t="s">
        <v>621</v>
      </c>
      <c r="B77" s="16">
        <v>43632</v>
      </c>
      <c r="C77" t="s">
        <v>776</v>
      </c>
      <c r="D77" s="15" t="s">
        <v>633</v>
      </c>
      <c r="E77" s="14" t="s">
        <v>751</v>
      </c>
    </row>
    <row r="78" spans="1:5" hidden="1" x14ac:dyDescent="0.2">
      <c r="A78" s="14" t="s">
        <v>621</v>
      </c>
      <c r="B78" s="16">
        <v>43635</v>
      </c>
      <c r="C78" t="s">
        <v>785</v>
      </c>
      <c r="D78" s="15" t="s">
        <v>634</v>
      </c>
      <c r="E78" s="14" t="s">
        <v>748</v>
      </c>
    </row>
    <row r="79" spans="1:5" hidden="1" x14ac:dyDescent="0.2">
      <c r="A79" s="14" t="s">
        <v>621</v>
      </c>
      <c r="B79" s="16">
        <v>43635</v>
      </c>
      <c r="C79" t="s">
        <v>785</v>
      </c>
      <c r="D79" s="15" t="s">
        <v>634</v>
      </c>
      <c r="E79" s="14" t="s">
        <v>749</v>
      </c>
    </row>
    <row r="80" spans="1:5" hidden="1" x14ac:dyDescent="0.2">
      <c r="A80" s="14" t="s">
        <v>621</v>
      </c>
      <c r="B80" s="16">
        <v>43635</v>
      </c>
      <c r="C80" t="s">
        <v>884</v>
      </c>
      <c r="D80" s="15" t="s">
        <v>885</v>
      </c>
      <c r="E80" s="14" t="s">
        <v>750</v>
      </c>
    </row>
    <row r="81" spans="1:5" hidden="1" x14ac:dyDescent="0.2">
      <c r="A81" s="14" t="s">
        <v>644</v>
      </c>
      <c r="B81" s="16">
        <v>43635</v>
      </c>
      <c r="C81" t="s">
        <v>777</v>
      </c>
      <c r="D81" s="15" t="s">
        <v>645</v>
      </c>
      <c r="E81" s="14" t="s">
        <v>734</v>
      </c>
    </row>
    <row r="82" spans="1:5" hidden="1" x14ac:dyDescent="0.2">
      <c r="A82" s="14" t="s">
        <v>644</v>
      </c>
      <c r="B82" s="16">
        <v>43635</v>
      </c>
      <c r="C82" t="s">
        <v>777</v>
      </c>
      <c r="D82" s="15" t="s">
        <v>646</v>
      </c>
      <c r="E82" s="14" t="s">
        <v>734</v>
      </c>
    </row>
    <row r="83" spans="1:5" hidden="1" x14ac:dyDescent="0.2">
      <c r="A83" s="14" t="s">
        <v>644</v>
      </c>
      <c r="B83" s="16">
        <v>43635</v>
      </c>
      <c r="C83" t="s">
        <v>777</v>
      </c>
      <c r="D83" s="15" t="s">
        <v>647</v>
      </c>
      <c r="E83" s="14" t="s">
        <v>735</v>
      </c>
    </row>
    <row r="84" spans="1:5" hidden="1" x14ac:dyDescent="0.2">
      <c r="A84" s="14" t="s">
        <v>3</v>
      </c>
      <c r="B84" s="16">
        <v>43635</v>
      </c>
      <c r="C84" t="s">
        <v>783</v>
      </c>
      <c r="D84" s="15" t="s">
        <v>616</v>
      </c>
      <c r="E84" s="14" t="s">
        <v>691</v>
      </c>
    </row>
    <row r="85" spans="1:5" hidden="1" x14ac:dyDescent="0.2">
      <c r="A85" s="14" t="s">
        <v>3</v>
      </c>
      <c r="B85" s="16">
        <v>43635</v>
      </c>
      <c r="C85" t="s">
        <v>783</v>
      </c>
      <c r="D85" s="15" t="s">
        <v>617</v>
      </c>
      <c r="E85" s="14" t="s">
        <v>691</v>
      </c>
    </row>
    <row r="86" spans="1:5" hidden="1" x14ac:dyDescent="0.2">
      <c r="A86" s="14" t="s">
        <v>146</v>
      </c>
      <c r="B86" s="16">
        <v>43635</v>
      </c>
      <c r="C86" t="s">
        <v>779</v>
      </c>
      <c r="D86" s="15" t="s">
        <v>659</v>
      </c>
      <c r="E86" s="14" t="s">
        <v>692</v>
      </c>
    </row>
    <row r="87" spans="1:5" hidden="1" x14ac:dyDescent="0.2">
      <c r="A87" s="14" t="s">
        <v>146</v>
      </c>
      <c r="B87" s="16">
        <v>43635</v>
      </c>
      <c r="C87" t="s">
        <v>779</v>
      </c>
      <c r="D87" s="15" t="s">
        <v>660</v>
      </c>
      <c r="E87" s="14" t="s">
        <v>693</v>
      </c>
    </row>
    <row r="88" spans="1:5" hidden="1" x14ac:dyDescent="0.2">
      <c r="A88" s="14" t="s">
        <v>154</v>
      </c>
      <c r="B88" s="16">
        <v>43635</v>
      </c>
      <c r="C88" t="s">
        <v>781</v>
      </c>
      <c r="D88" s="15" t="s">
        <v>720</v>
      </c>
      <c r="E88" s="14" t="s">
        <v>754</v>
      </c>
    </row>
    <row r="89" spans="1:5" hidden="1" x14ac:dyDescent="0.2">
      <c r="A89" s="14" t="s">
        <v>621</v>
      </c>
      <c r="B89" s="16">
        <v>43635.041666666664</v>
      </c>
      <c r="C89" t="s">
        <v>786</v>
      </c>
      <c r="D89" s="15" t="s">
        <v>635</v>
      </c>
      <c r="E89" s="14" t="s">
        <v>750</v>
      </c>
    </row>
    <row r="90" spans="1:5" hidden="1" x14ac:dyDescent="0.2">
      <c r="A90" s="14" t="s">
        <v>618</v>
      </c>
      <c r="B90" s="16">
        <v>43637</v>
      </c>
      <c r="C90" t="s">
        <v>789</v>
      </c>
      <c r="D90" s="15" t="s">
        <v>619</v>
      </c>
      <c r="E90" s="14" t="s">
        <v>821</v>
      </c>
    </row>
    <row r="91" spans="1:5" hidden="1" x14ac:dyDescent="0.2">
      <c r="A91" s="14" t="s">
        <v>618</v>
      </c>
      <c r="B91" s="16">
        <v>43637</v>
      </c>
      <c r="C91" t="s">
        <v>812</v>
      </c>
      <c r="D91" s="15" t="s">
        <v>620</v>
      </c>
      <c r="E91" s="14" t="s">
        <v>821</v>
      </c>
    </row>
    <row r="92" spans="1:5" hidden="1" x14ac:dyDescent="0.2">
      <c r="A92" s="14" t="s">
        <v>167</v>
      </c>
      <c r="B92" s="16">
        <v>43637</v>
      </c>
      <c r="C92" t="s">
        <v>787</v>
      </c>
      <c r="D92" s="15" t="s">
        <v>678</v>
      </c>
      <c r="E92" s="14" t="s">
        <v>824</v>
      </c>
    </row>
    <row r="93" spans="1:5" hidden="1" x14ac:dyDescent="0.2">
      <c r="A93" s="14" t="s">
        <v>167</v>
      </c>
      <c r="B93" s="16">
        <v>43637</v>
      </c>
      <c r="C93" t="s">
        <v>787</v>
      </c>
      <c r="D93" s="15" t="s">
        <v>678</v>
      </c>
      <c r="E93" s="14" t="s">
        <v>822</v>
      </c>
    </row>
    <row r="94" spans="1:5" hidden="1" x14ac:dyDescent="0.2">
      <c r="A94" s="14" t="s">
        <v>167</v>
      </c>
      <c r="B94" s="16">
        <v>43637</v>
      </c>
      <c r="C94" t="s">
        <v>787</v>
      </c>
      <c r="D94" s="15" t="s">
        <v>678</v>
      </c>
      <c r="E94" s="14" t="s">
        <v>823</v>
      </c>
    </row>
    <row r="95" spans="1:5" hidden="1" x14ac:dyDescent="0.2">
      <c r="A95" s="14" t="s">
        <v>621</v>
      </c>
      <c r="B95" s="16">
        <v>43639</v>
      </c>
      <c r="C95" t="s">
        <v>832</v>
      </c>
      <c r="D95" s="15" t="s">
        <v>835</v>
      </c>
      <c r="E95" s="14" t="s">
        <v>909</v>
      </c>
    </row>
    <row r="96" spans="1:5" hidden="1" x14ac:dyDescent="0.2">
      <c r="A96" s="14" t="s">
        <v>621</v>
      </c>
      <c r="B96" s="16">
        <v>43639</v>
      </c>
      <c r="C96" t="s">
        <v>832</v>
      </c>
      <c r="D96" s="15" t="s">
        <v>835</v>
      </c>
      <c r="E96" s="14" t="s">
        <v>908</v>
      </c>
    </row>
    <row r="97" spans="1:5" hidden="1" x14ac:dyDescent="0.2">
      <c r="A97" s="14" t="s">
        <v>621</v>
      </c>
      <c r="B97" s="16">
        <v>43639</v>
      </c>
      <c r="C97" t="s">
        <v>832</v>
      </c>
      <c r="D97" s="15" t="s">
        <v>835</v>
      </c>
      <c r="E97" s="14" t="s">
        <v>907</v>
      </c>
    </row>
    <row r="98" spans="1:5" hidden="1" x14ac:dyDescent="0.2">
      <c r="A98" s="14" t="s">
        <v>621</v>
      </c>
      <c r="B98" s="16">
        <v>43639</v>
      </c>
      <c r="C98" t="s">
        <v>833</v>
      </c>
      <c r="D98" s="15" t="s">
        <v>836</v>
      </c>
      <c r="E98" s="14" t="s">
        <v>910</v>
      </c>
    </row>
    <row r="99" spans="1:5" hidden="1" x14ac:dyDescent="0.2">
      <c r="A99" s="14" t="s">
        <v>621</v>
      </c>
      <c r="B99" s="16">
        <v>43639</v>
      </c>
      <c r="C99" t="s">
        <v>833</v>
      </c>
      <c r="D99" s="15" t="s">
        <v>839</v>
      </c>
      <c r="E99" s="14" t="s">
        <v>910</v>
      </c>
    </row>
    <row r="100" spans="1:5" hidden="1" x14ac:dyDescent="0.2">
      <c r="A100" s="14" t="s">
        <v>621</v>
      </c>
      <c r="B100" s="16">
        <v>43639</v>
      </c>
      <c r="C100" t="s">
        <v>834</v>
      </c>
      <c r="D100" s="15" t="s">
        <v>840</v>
      </c>
      <c r="E100" s="14" t="s">
        <v>911</v>
      </c>
    </row>
    <row r="101" spans="1:5" hidden="1" x14ac:dyDescent="0.2">
      <c r="A101" s="14" t="s">
        <v>621</v>
      </c>
      <c r="B101" s="16">
        <v>43642</v>
      </c>
      <c r="C101" t="s">
        <v>870</v>
      </c>
      <c r="D101" s="15" t="s">
        <v>918</v>
      </c>
      <c r="E101" s="14" t="s">
        <v>913</v>
      </c>
    </row>
    <row r="102" spans="1:5" hidden="1" x14ac:dyDescent="0.2">
      <c r="A102" s="14" t="s">
        <v>621</v>
      </c>
      <c r="B102" s="16">
        <v>43642</v>
      </c>
      <c r="C102" t="s">
        <v>870</v>
      </c>
      <c r="D102" s="15" t="s">
        <v>873</v>
      </c>
      <c r="E102" s="14" t="s">
        <v>914</v>
      </c>
    </row>
    <row r="103" spans="1:5" hidden="1" x14ac:dyDescent="0.2">
      <c r="A103" s="14" t="s">
        <v>621</v>
      </c>
      <c r="B103" s="16">
        <v>43642</v>
      </c>
      <c r="C103" t="s">
        <v>871</v>
      </c>
      <c r="D103" s="15" t="s">
        <v>874</v>
      </c>
      <c r="E103" s="14" t="s">
        <v>915</v>
      </c>
    </row>
    <row r="104" spans="1:5" hidden="1" x14ac:dyDescent="0.2">
      <c r="A104" s="14" t="s">
        <v>694</v>
      </c>
      <c r="B104" s="17">
        <v>43642</v>
      </c>
      <c r="C104" t="s">
        <v>871</v>
      </c>
      <c r="D104" s="15" t="s">
        <v>883</v>
      </c>
      <c r="E104" s="14" t="s">
        <v>915</v>
      </c>
    </row>
    <row r="105" spans="1:5" hidden="1" x14ac:dyDescent="0.2">
      <c r="A105" s="14" t="s">
        <v>621</v>
      </c>
      <c r="B105" s="16">
        <v>43642</v>
      </c>
      <c r="C105" t="s">
        <v>872</v>
      </c>
      <c r="D105" s="15" t="s">
        <v>926</v>
      </c>
      <c r="E105" s="14" t="s">
        <v>916</v>
      </c>
    </row>
    <row r="106" spans="1:5" hidden="1" x14ac:dyDescent="0.2">
      <c r="A106" s="14" t="s">
        <v>644</v>
      </c>
      <c r="B106" s="16">
        <v>43642</v>
      </c>
      <c r="C106" t="s">
        <v>851</v>
      </c>
      <c r="D106" s="15" t="s">
        <v>919</v>
      </c>
      <c r="E106" s="14" t="s">
        <v>912</v>
      </c>
    </row>
    <row r="107" spans="1:5" hidden="1" x14ac:dyDescent="0.2">
      <c r="A107" s="14" t="s">
        <v>149</v>
      </c>
      <c r="B107" s="16">
        <v>43642</v>
      </c>
      <c r="C107" t="s">
        <v>851</v>
      </c>
      <c r="D107" s="15" t="s">
        <v>848</v>
      </c>
      <c r="E107" s="14" t="s">
        <v>912</v>
      </c>
    </row>
    <row r="108" spans="1:5" hidden="1" x14ac:dyDescent="0.2">
      <c r="A108" s="14" t="s">
        <v>149</v>
      </c>
      <c r="B108" s="16">
        <v>43642</v>
      </c>
      <c r="C108" t="s">
        <v>851</v>
      </c>
      <c r="D108" s="15" t="s">
        <v>849</v>
      </c>
      <c r="E108" s="14" t="s">
        <v>912</v>
      </c>
    </row>
    <row r="109" spans="1:5" hidden="1" x14ac:dyDescent="0.2">
      <c r="A109" s="14" t="s">
        <v>149</v>
      </c>
      <c r="B109" s="16">
        <v>43642</v>
      </c>
      <c r="C109" t="s">
        <v>851</v>
      </c>
      <c r="D109" s="15" t="s">
        <v>850</v>
      </c>
      <c r="E109" s="14" t="s">
        <v>912</v>
      </c>
    </row>
    <row r="110" spans="1:5" hidden="1" x14ac:dyDescent="0.2">
      <c r="A110" s="14" t="s">
        <v>3</v>
      </c>
      <c r="B110" s="16">
        <v>43642</v>
      </c>
      <c r="C110" t="s">
        <v>825</v>
      </c>
      <c r="D110" s="15" t="s">
        <v>828</v>
      </c>
      <c r="E110" s="14" t="s">
        <v>906</v>
      </c>
    </row>
    <row r="111" spans="1:5" hidden="1" x14ac:dyDescent="0.2">
      <c r="A111" s="14" t="s">
        <v>3</v>
      </c>
      <c r="B111" s="16">
        <v>43642</v>
      </c>
      <c r="C111" t="s">
        <v>880</v>
      </c>
      <c r="D111" s="15" t="s">
        <v>829</v>
      </c>
      <c r="E111" s="14" t="s">
        <v>906</v>
      </c>
    </row>
    <row r="112" spans="1:5" hidden="1" x14ac:dyDescent="0.2">
      <c r="A112" s="14" t="s">
        <v>3</v>
      </c>
      <c r="B112" s="16">
        <v>43642</v>
      </c>
      <c r="C112" t="s">
        <v>881</v>
      </c>
      <c r="D112" s="15" t="s">
        <v>878</v>
      </c>
      <c r="E112" s="14" t="s">
        <v>906</v>
      </c>
    </row>
    <row r="113" spans="1:5" hidden="1" x14ac:dyDescent="0.2">
      <c r="A113" s="14" t="s">
        <v>3</v>
      </c>
      <c r="B113" s="16">
        <v>43642</v>
      </c>
      <c r="C113" t="s">
        <v>882</v>
      </c>
      <c r="D113" s="15" t="s">
        <v>879</v>
      </c>
      <c r="E113" s="14" t="s">
        <v>906</v>
      </c>
    </row>
    <row r="114" spans="1:5" hidden="1" x14ac:dyDescent="0.2">
      <c r="A114" s="14" t="s">
        <v>655</v>
      </c>
      <c r="B114" s="16">
        <v>43642</v>
      </c>
      <c r="C114" t="s">
        <v>791</v>
      </c>
      <c r="D114" s="15" t="s">
        <v>732</v>
      </c>
      <c r="E114" s="14" t="s">
        <v>901</v>
      </c>
    </row>
    <row r="115" spans="1:5" hidden="1" x14ac:dyDescent="0.2">
      <c r="A115" s="14" t="s">
        <v>152</v>
      </c>
      <c r="B115" s="16">
        <v>43642</v>
      </c>
      <c r="C115" t="s">
        <v>791</v>
      </c>
      <c r="D115" s="15" t="s">
        <v>733</v>
      </c>
      <c r="E115" s="14" t="s">
        <v>902</v>
      </c>
    </row>
    <row r="116" spans="1:5" hidden="1" x14ac:dyDescent="0.2">
      <c r="A116" s="14" t="s">
        <v>152</v>
      </c>
      <c r="B116" s="17">
        <v>43642</v>
      </c>
      <c r="C116" t="s">
        <v>791</v>
      </c>
      <c r="D116" s="15" t="s">
        <v>886</v>
      </c>
      <c r="E116" s="14" t="s">
        <v>902</v>
      </c>
    </row>
    <row r="117" spans="1:5" hidden="1" x14ac:dyDescent="0.2">
      <c r="A117" s="14" t="s">
        <v>3</v>
      </c>
      <c r="B117" s="16">
        <v>43644</v>
      </c>
      <c r="C117" t="s">
        <v>827</v>
      </c>
      <c r="D117" s="15" t="s">
        <v>831</v>
      </c>
      <c r="E117" s="14" t="s">
        <v>925</v>
      </c>
    </row>
    <row r="118" spans="1:5" hidden="1" x14ac:dyDescent="0.2">
      <c r="A118" s="14" t="s">
        <v>3</v>
      </c>
      <c r="B118" s="16">
        <v>43644</v>
      </c>
      <c r="C118" t="s">
        <v>921</v>
      </c>
      <c r="D118" s="15" t="s">
        <v>830</v>
      </c>
      <c r="E118" s="14" t="s">
        <v>1760</v>
      </c>
    </row>
    <row r="119" spans="1:5" hidden="1" x14ac:dyDescent="0.2">
      <c r="A119" s="14" t="s">
        <v>3</v>
      </c>
      <c r="B119" s="16">
        <v>43644</v>
      </c>
      <c r="C119" t="s">
        <v>922</v>
      </c>
      <c r="D119" s="15" t="s">
        <v>923</v>
      </c>
      <c r="E119" s="14" t="s">
        <v>925</v>
      </c>
    </row>
    <row r="120" spans="1:5" hidden="1" x14ac:dyDescent="0.2">
      <c r="A120" s="14" t="s">
        <v>621</v>
      </c>
      <c r="B120" s="16">
        <v>43649</v>
      </c>
      <c r="C120" t="s">
        <v>976</v>
      </c>
      <c r="D120" s="15" t="s">
        <v>1054</v>
      </c>
      <c r="E120" s="14" t="s">
        <v>1202</v>
      </c>
    </row>
    <row r="121" spans="1:5" hidden="1" x14ac:dyDescent="0.2">
      <c r="A121" s="14" t="s">
        <v>621</v>
      </c>
      <c r="B121" s="16">
        <v>43649</v>
      </c>
      <c r="C121" t="s">
        <v>976</v>
      </c>
      <c r="D121" s="15" t="s">
        <v>1054</v>
      </c>
      <c r="E121" s="14" t="s">
        <v>1203</v>
      </c>
    </row>
    <row r="122" spans="1:5" hidden="1" x14ac:dyDescent="0.2">
      <c r="A122" s="14" t="s">
        <v>621</v>
      </c>
      <c r="B122" s="16">
        <v>43649</v>
      </c>
      <c r="C122" t="s">
        <v>979</v>
      </c>
      <c r="D122" s="15" t="s">
        <v>981</v>
      </c>
      <c r="E122" s="14" t="s">
        <v>1204</v>
      </c>
    </row>
    <row r="123" spans="1:5" hidden="1" x14ac:dyDescent="0.2">
      <c r="A123" s="14" t="s">
        <v>621</v>
      </c>
      <c r="B123" s="16">
        <v>43649</v>
      </c>
      <c r="C123" t="s">
        <v>980</v>
      </c>
      <c r="D123" s="15" t="s">
        <v>982</v>
      </c>
      <c r="E123" s="14" t="s">
        <v>1205</v>
      </c>
    </row>
    <row r="124" spans="1:5" hidden="1" x14ac:dyDescent="0.2">
      <c r="A124" s="14" t="s">
        <v>621</v>
      </c>
      <c r="B124" s="16">
        <v>43649</v>
      </c>
      <c r="C124" t="s">
        <v>980</v>
      </c>
      <c r="D124" s="15" t="s">
        <v>1007</v>
      </c>
      <c r="E124" s="14" t="s">
        <v>1205</v>
      </c>
    </row>
    <row r="125" spans="1:5" hidden="1" x14ac:dyDescent="0.2">
      <c r="A125" s="14" t="s">
        <v>149</v>
      </c>
      <c r="B125" s="16">
        <v>43649</v>
      </c>
      <c r="C125" t="s">
        <v>957</v>
      </c>
      <c r="D125" s="15" t="s">
        <v>955</v>
      </c>
      <c r="E125" s="14" t="s">
        <v>1047</v>
      </c>
    </row>
    <row r="126" spans="1:5" hidden="1" x14ac:dyDescent="0.2">
      <c r="A126" s="14" t="s">
        <v>950</v>
      </c>
      <c r="B126" s="16">
        <v>43649</v>
      </c>
      <c r="C126" t="s">
        <v>957</v>
      </c>
      <c r="D126" s="18" t="s">
        <v>960</v>
      </c>
      <c r="E126" s="14" t="s">
        <v>1049</v>
      </c>
    </row>
    <row r="127" spans="1:5" hidden="1" x14ac:dyDescent="0.2">
      <c r="A127" s="14" t="s">
        <v>950</v>
      </c>
      <c r="B127" s="16">
        <v>43649</v>
      </c>
      <c r="C127" t="s">
        <v>957</v>
      </c>
      <c r="D127" s="18" t="s">
        <v>961</v>
      </c>
      <c r="E127" s="14" t="s">
        <v>1048</v>
      </c>
    </row>
    <row r="128" spans="1:5" hidden="1" x14ac:dyDescent="0.2">
      <c r="A128" s="14" t="s">
        <v>950</v>
      </c>
      <c r="B128" s="16">
        <v>43649</v>
      </c>
      <c r="C128" t="s">
        <v>957</v>
      </c>
      <c r="D128" s="18" t="s">
        <v>962</v>
      </c>
      <c r="E128" s="14" t="s">
        <v>1048</v>
      </c>
    </row>
    <row r="129" spans="1:5" hidden="1" x14ac:dyDescent="0.2">
      <c r="A129" s="14" t="s">
        <v>950</v>
      </c>
      <c r="B129" s="16">
        <v>43649</v>
      </c>
      <c r="C129" t="s">
        <v>957</v>
      </c>
      <c r="D129" s="18" t="s">
        <v>963</v>
      </c>
      <c r="E129" s="14" t="s">
        <v>1048</v>
      </c>
    </row>
    <row r="130" spans="1:5" hidden="1" x14ac:dyDescent="0.2">
      <c r="A130" s="14" t="s">
        <v>950</v>
      </c>
      <c r="B130" s="16">
        <v>43649</v>
      </c>
      <c r="C130" t="s">
        <v>957</v>
      </c>
      <c r="D130" s="18" t="s">
        <v>964</v>
      </c>
      <c r="E130" s="14" t="s">
        <v>1048</v>
      </c>
    </row>
    <row r="131" spans="1:5" hidden="1" x14ac:dyDescent="0.2">
      <c r="A131" s="14" t="s">
        <v>950</v>
      </c>
      <c r="B131" s="16">
        <v>43649</v>
      </c>
      <c r="C131" t="s">
        <v>957</v>
      </c>
      <c r="D131" s="18" t="s">
        <v>965</v>
      </c>
      <c r="E131" s="14" t="s">
        <v>1048</v>
      </c>
    </row>
    <row r="132" spans="1:5" hidden="1" x14ac:dyDescent="0.2">
      <c r="A132" s="14" t="s">
        <v>950</v>
      </c>
      <c r="B132" s="16">
        <v>43649</v>
      </c>
      <c r="C132" t="s">
        <v>957</v>
      </c>
      <c r="D132" s="18" t="s">
        <v>966</v>
      </c>
      <c r="E132" s="14" t="s">
        <v>1048</v>
      </c>
    </row>
    <row r="133" spans="1:5" hidden="1" x14ac:dyDescent="0.2">
      <c r="A133" s="14" t="s">
        <v>3</v>
      </c>
      <c r="B133" s="16">
        <v>43649</v>
      </c>
      <c r="C133" t="s">
        <v>1006</v>
      </c>
      <c r="D133" s="14" t="s">
        <v>935</v>
      </c>
      <c r="E133" s="14" t="s">
        <v>1017</v>
      </c>
    </row>
    <row r="134" spans="1:5" hidden="1" x14ac:dyDescent="0.2">
      <c r="A134" s="14" t="s">
        <v>3</v>
      </c>
      <c r="B134" s="16">
        <v>43649</v>
      </c>
      <c r="C134" t="s">
        <v>990</v>
      </c>
      <c r="D134" s="14" t="s">
        <v>939</v>
      </c>
      <c r="E134" s="14" t="s">
        <v>1017</v>
      </c>
    </row>
    <row r="135" spans="1:5" hidden="1" x14ac:dyDescent="0.2">
      <c r="A135" s="14" t="s">
        <v>3</v>
      </c>
      <c r="B135" s="16">
        <v>43649</v>
      </c>
      <c r="C135" t="s">
        <v>989</v>
      </c>
      <c r="D135" s="15" t="s">
        <v>988</v>
      </c>
      <c r="E135" s="14" t="s">
        <v>1017</v>
      </c>
    </row>
    <row r="136" spans="1:5" hidden="1" x14ac:dyDescent="0.2">
      <c r="A136" s="14" t="s">
        <v>862</v>
      </c>
      <c r="B136" s="16">
        <v>43649</v>
      </c>
      <c r="C136" t="s">
        <v>889</v>
      </c>
      <c r="D136" s="15" t="s">
        <v>887</v>
      </c>
      <c r="E136" s="14" t="s">
        <v>1005</v>
      </c>
    </row>
    <row r="137" spans="1:5" hidden="1" x14ac:dyDescent="0.2">
      <c r="A137" s="14" t="s">
        <v>3</v>
      </c>
      <c r="B137" s="16">
        <v>43651</v>
      </c>
      <c r="C137" t="s">
        <v>1069</v>
      </c>
      <c r="D137" s="14" t="s">
        <v>936</v>
      </c>
      <c r="E137" s="14" t="s">
        <v>1070</v>
      </c>
    </row>
    <row r="138" spans="1:5" hidden="1" x14ac:dyDescent="0.2">
      <c r="A138" s="14" t="s">
        <v>3</v>
      </c>
      <c r="B138" s="16">
        <v>43651</v>
      </c>
      <c r="C138" t="s">
        <v>1066</v>
      </c>
      <c r="D138" s="14" t="s">
        <v>1050</v>
      </c>
      <c r="E138" s="14" t="s">
        <v>1070</v>
      </c>
    </row>
    <row r="139" spans="1:5" hidden="1" x14ac:dyDescent="0.2">
      <c r="A139" s="14" t="s">
        <v>621</v>
      </c>
      <c r="B139" s="16">
        <v>43653</v>
      </c>
      <c r="C139" t="s">
        <v>1146</v>
      </c>
      <c r="D139" s="15" t="s">
        <v>1147</v>
      </c>
      <c r="E139" s="14" t="s">
        <v>1206</v>
      </c>
    </row>
    <row r="140" spans="1:5" hidden="1" x14ac:dyDescent="0.2">
      <c r="A140" s="14" t="s">
        <v>729</v>
      </c>
      <c r="B140" s="16">
        <v>43653</v>
      </c>
      <c r="C140" t="s">
        <v>793</v>
      </c>
      <c r="D140" s="15">
        <v>969290200</v>
      </c>
      <c r="E140" s="14" t="s">
        <v>1240</v>
      </c>
    </row>
    <row r="141" spans="1:5" hidden="1" x14ac:dyDescent="0.2">
      <c r="A141" s="14" t="s">
        <v>985</v>
      </c>
      <c r="B141" s="16">
        <v>43654</v>
      </c>
      <c r="C141" t="s">
        <v>1043</v>
      </c>
      <c r="D141" s="15" t="s">
        <v>1141</v>
      </c>
      <c r="E141" s="14" t="s">
        <v>1076</v>
      </c>
    </row>
    <row r="142" spans="1:5" hidden="1" x14ac:dyDescent="0.2">
      <c r="A142" s="14" t="s">
        <v>985</v>
      </c>
      <c r="B142" s="16">
        <v>43654</v>
      </c>
      <c r="C142" t="s">
        <v>1043</v>
      </c>
      <c r="D142" s="15" t="s">
        <v>1141</v>
      </c>
      <c r="E142" s="14" t="s">
        <v>1077</v>
      </c>
    </row>
    <row r="143" spans="1:5" hidden="1" x14ac:dyDescent="0.2">
      <c r="A143" s="14" t="s">
        <v>985</v>
      </c>
      <c r="B143" s="16">
        <v>43654</v>
      </c>
      <c r="C143" t="s">
        <v>1043</v>
      </c>
      <c r="D143" s="15" t="s">
        <v>1141</v>
      </c>
      <c r="E143" s="14" t="s">
        <v>1078</v>
      </c>
    </row>
    <row r="144" spans="1:5" hidden="1" x14ac:dyDescent="0.2">
      <c r="A144" s="14" t="s">
        <v>985</v>
      </c>
      <c r="B144" s="16">
        <v>43654</v>
      </c>
      <c r="C144" t="s">
        <v>1043</v>
      </c>
      <c r="D144" s="15" t="s">
        <v>1141</v>
      </c>
      <c r="E144" s="14" t="s">
        <v>1079</v>
      </c>
    </row>
    <row r="145" spans="1:5" hidden="1" x14ac:dyDescent="0.2">
      <c r="A145" s="14" t="s">
        <v>985</v>
      </c>
      <c r="B145" s="16">
        <v>43654</v>
      </c>
      <c r="C145" t="s">
        <v>1043</v>
      </c>
      <c r="D145" s="15" t="s">
        <v>1141</v>
      </c>
      <c r="E145" s="14" t="s">
        <v>1080</v>
      </c>
    </row>
    <row r="146" spans="1:5" hidden="1" x14ac:dyDescent="0.2">
      <c r="A146" s="14" t="s">
        <v>985</v>
      </c>
      <c r="B146" s="16">
        <v>43654</v>
      </c>
      <c r="C146" t="s">
        <v>1043</v>
      </c>
      <c r="D146" s="15" t="s">
        <v>1141</v>
      </c>
      <c r="E146" s="14" t="s">
        <v>1161</v>
      </c>
    </row>
    <row r="147" spans="1:5" hidden="1" x14ac:dyDescent="0.2">
      <c r="A147" s="14" t="s">
        <v>985</v>
      </c>
      <c r="B147" s="16">
        <v>43654</v>
      </c>
      <c r="C147" t="s">
        <v>1043</v>
      </c>
      <c r="D147" s="15" t="s">
        <v>1141</v>
      </c>
      <c r="E147" s="14" t="s">
        <v>1255</v>
      </c>
    </row>
    <row r="148" spans="1:5" hidden="1" x14ac:dyDescent="0.2">
      <c r="A148" s="14" t="s">
        <v>985</v>
      </c>
      <c r="B148" s="16">
        <v>43654</v>
      </c>
      <c r="C148" t="s">
        <v>1043</v>
      </c>
      <c r="D148" s="15" t="s">
        <v>1141</v>
      </c>
      <c r="E148" s="14" t="s">
        <v>1162</v>
      </c>
    </row>
    <row r="149" spans="1:5" hidden="1" x14ac:dyDescent="0.2">
      <c r="A149" s="14" t="s">
        <v>985</v>
      </c>
      <c r="B149" s="16">
        <v>43654</v>
      </c>
      <c r="C149" t="s">
        <v>1043</v>
      </c>
      <c r="D149" s="15" t="s">
        <v>1141</v>
      </c>
      <c r="E149" s="14" t="s">
        <v>1081</v>
      </c>
    </row>
    <row r="150" spans="1:5" hidden="1" x14ac:dyDescent="0.2">
      <c r="A150" s="14" t="s">
        <v>985</v>
      </c>
      <c r="B150" s="16">
        <v>43654.083333333336</v>
      </c>
      <c r="C150" t="s">
        <v>1044</v>
      </c>
      <c r="D150" s="15" t="s">
        <v>1145</v>
      </c>
      <c r="E150" s="14" t="s">
        <v>1232</v>
      </c>
    </row>
    <row r="151" spans="1:5" hidden="1" x14ac:dyDescent="0.2">
      <c r="A151" s="14" t="s">
        <v>985</v>
      </c>
      <c r="B151" s="16">
        <v>43654.083333333336</v>
      </c>
      <c r="C151" t="s">
        <v>1044</v>
      </c>
      <c r="D151" s="15" t="s">
        <v>1145</v>
      </c>
      <c r="E151" s="14" t="s">
        <v>1234</v>
      </c>
    </row>
    <row r="152" spans="1:5" hidden="1" x14ac:dyDescent="0.2">
      <c r="A152" s="14" t="s">
        <v>985</v>
      </c>
      <c r="B152" s="16">
        <v>43654.083333333336</v>
      </c>
      <c r="C152" t="s">
        <v>1044</v>
      </c>
      <c r="D152" s="15" t="s">
        <v>1145</v>
      </c>
      <c r="E152" s="14" t="s">
        <v>1235</v>
      </c>
    </row>
    <row r="153" spans="1:5" hidden="1" x14ac:dyDescent="0.2">
      <c r="A153" s="14" t="s">
        <v>985</v>
      </c>
      <c r="B153" s="16">
        <v>43654.083333333336</v>
      </c>
      <c r="C153" t="s">
        <v>1044</v>
      </c>
      <c r="D153" s="15" t="s">
        <v>1145</v>
      </c>
      <c r="E153" s="14" t="s">
        <v>1233</v>
      </c>
    </row>
    <row r="154" spans="1:5" hidden="1" x14ac:dyDescent="0.2">
      <c r="A154" s="14" t="s">
        <v>1082</v>
      </c>
      <c r="B154" s="16">
        <v>43654.083333333336</v>
      </c>
      <c r="C154" t="s">
        <v>1044</v>
      </c>
      <c r="D154" s="15" t="s">
        <v>1145</v>
      </c>
      <c r="E154" s="14" t="s">
        <v>1231</v>
      </c>
    </row>
    <row r="155" spans="1:5" hidden="1" x14ac:dyDescent="0.2">
      <c r="A155" s="14" t="s">
        <v>621</v>
      </c>
      <c r="B155" s="16">
        <v>43656</v>
      </c>
      <c r="C155" t="s">
        <v>1164</v>
      </c>
      <c r="D155" s="15" t="s">
        <v>1165</v>
      </c>
      <c r="E155" s="14" t="s">
        <v>1353</v>
      </c>
    </row>
    <row r="156" spans="1:5" hidden="1" x14ac:dyDescent="0.2">
      <c r="A156" s="14" t="s">
        <v>621</v>
      </c>
      <c r="B156" s="16">
        <v>43656</v>
      </c>
      <c r="C156" t="s">
        <v>1164</v>
      </c>
      <c r="D156" s="15" t="s">
        <v>1165</v>
      </c>
      <c r="E156" s="14" t="s">
        <v>1352</v>
      </c>
    </row>
    <row r="157" spans="1:5" hidden="1" x14ac:dyDescent="0.2">
      <c r="A157" s="14" t="s">
        <v>621</v>
      </c>
      <c r="B157" s="16">
        <v>43656</v>
      </c>
      <c r="C157" t="s">
        <v>1164</v>
      </c>
      <c r="D157" s="15" t="s">
        <v>1165</v>
      </c>
      <c r="E157" s="14" t="s">
        <v>1351</v>
      </c>
    </row>
    <row r="158" spans="1:5" hidden="1" x14ac:dyDescent="0.2">
      <c r="A158" s="14" t="s">
        <v>621</v>
      </c>
      <c r="B158" s="16">
        <v>43656</v>
      </c>
      <c r="C158" t="s">
        <v>1166</v>
      </c>
      <c r="D158" s="15" t="s">
        <v>1167</v>
      </c>
      <c r="E158" s="14" t="s">
        <v>1354</v>
      </c>
    </row>
    <row r="159" spans="1:5" hidden="1" x14ac:dyDescent="0.2">
      <c r="A159" s="14" t="s">
        <v>621</v>
      </c>
      <c r="B159" s="16">
        <v>43656</v>
      </c>
      <c r="C159" t="s">
        <v>1166</v>
      </c>
      <c r="D159" s="15" t="s">
        <v>1180</v>
      </c>
      <c r="E159" s="14" t="s">
        <v>1354</v>
      </c>
    </row>
    <row r="160" spans="1:5" hidden="1" x14ac:dyDescent="0.2">
      <c r="A160" s="14" t="s">
        <v>1128</v>
      </c>
      <c r="B160" s="16">
        <v>43656</v>
      </c>
      <c r="C160" t="s">
        <v>1127</v>
      </c>
      <c r="D160" s="15" t="s">
        <v>1220</v>
      </c>
      <c r="E160" s="14" t="s">
        <v>1242</v>
      </c>
    </row>
    <row r="161" spans="1:5" hidden="1" x14ac:dyDescent="0.2">
      <c r="A161" s="14" t="s">
        <v>1128</v>
      </c>
      <c r="B161" s="16">
        <v>43656</v>
      </c>
      <c r="C161" t="s">
        <v>1127</v>
      </c>
      <c r="D161" s="15" t="s">
        <v>1219</v>
      </c>
      <c r="E161" s="14" t="s">
        <v>1242</v>
      </c>
    </row>
    <row r="162" spans="1:5" hidden="1" x14ac:dyDescent="0.2">
      <c r="A162" s="14" t="s">
        <v>1128</v>
      </c>
      <c r="B162" s="16">
        <v>43656</v>
      </c>
      <c r="C162" t="s">
        <v>1127</v>
      </c>
      <c r="D162" s="15" t="s">
        <v>1218</v>
      </c>
      <c r="E162" s="14" t="s">
        <v>1242</v>
      </c>
    </row>
    <row r="163" spans="1:5" hidden="1" x14ac:dyDescent="0.2">
      <c r="A163" s="14" t="s">
        <v>3</v>
      </c>
      <c r="B163" s="16">
        <v>43656</v>
      </c>
      <c r="C163" t="s">
        <v>1083</v>
      </c>
      <c r="D163" s="15" t="s">
        <v>1085</v>
      </c>
      <c r="E163" s="14" t="s">
        <v>1183</v>
      </c>
    </row>
    <row r="164" spans="1:5" hidden="1" x14ac:dyDescent="0.2">
      <c r="A164" s="14" t="s">
        <v>3</v>
      </c>
      <c r="B164" s="16">
        <v>43656</v>
      </c>
      <c r="C164" t="s">
        <v>1119</v>
      </c>
      <c r="D164" s="15" t="s">
        <v>1086</v>
      </c>
      <c r="E164" s="14" t="s">
        <v>1761</v>
      </c>
    </row>
    <row r="165" spans="1:5" hidden="1" x14ac:dyDescent="0.2">
      <c r="A165" s="14" t="s">
        <v>3</v>
      </c>
      <c r="B165" s="16">
        <v>43656</v>
      </c>
      <c r="C165" t="s">
        <v>1121</v>
      </c>
      <c r="D165" s="15" t="s">
        <v>1120</v>
      </c>
      <c r="E165" s="14" t="s">
        <v>1183</v>
      </c>
    </row>
    <row r="166" spans="1:5" hidden="1" x14ac:dyDescent="0.2">
      <c r="A166" s="14" t="s">
        <v>946</v>
      </c>
      <c r="B166" s="16">
        <v>43656</v>
      </c>
      <c r="C166" t="s">
        <v>967</v>
      </c>
      <c r="D166" s="15" t="s">
        <v>968</v>
      </c>
      <c r="E166" s="14" t="s">
        <v>1185</v>
      </c>
    </row>
    <row r="167" spans="1:5" hidden="1" x14ac:dyDescent="0.2">
      <c r="A167" s="14" t="s">
        <v>154</v>
      </c>
      <c r="B167" s="16">
        <v>43656</v>
      </c>
      <c r="C167" t="s">
        <v>1089</v>
      </c>
      <c r="D167" s="15" t="s">
        <v>1186</v>
      </c>
      <c r="E167" s="14" t="s">
        <v>1259</v>
      </c>
    </row>
    <row r="168" spans="1:5" hidden="1" x14ac:dyDescent="0.2">
      <c r="A168" s="14" t="s">
        <v>3</v>
      </c>
      <c r="B168" s="16">
        <v>43658</v>
      </c>
      <c r="C168" t="s">
        <v>1084</v>
      </c>
      <c r="D168" s="15" t="s">
        <v>1087</v>
      </c>
      <c r="E168" s="14" t="s">
        <v>1296</v>
      </c>
    </row>
    <row r="169" spans="1:5" hidden="1" x14ac:dyDescent="0.2">
      <c r="A169" s="14" t="s">
        <v>167</v>
      </c>
      <c r="B169" s="16">
        <v>43658</v>
      </c>
      <c r="C169" t="s">
        <v>1063</v>
      </c>
      <c r="D169" s="15" t="s">
        <v>1123</v>
      </c>
    </row>
    <row r="170" spans="1:5" hidden="1" x14ac:dyDescent="0.2">
      <c r="A170" s="14" t="s">
        <v>167</v>
      </c>
      <c r="B170" s="16">
        <v>43658</v>
      </c>
      <c r="C170" t="s">
        <v>1063</v>
      </c>
      <c r="D170" s="15" t="s">
        <v>1064</v>
      </c>
    </row>
    <row r="171" spans="1:5" hidden="1" x14ac:dyDescent="0.2">
      <c r="A171" s="14" t="s">
        <v>167</v>
      </c>
      <c r="B171" s="16">
        <v>43658</v>
      </c>
      <c r="C171" t="s">
        <v>1063</v>
      </c>
      <c r="D171" s="15" t="s">
        <v>1064</v>
      </c>
    </row>
    <row r="172" spans="1:5" hidden="1" x14ac:dyDescent="0.2">
      <c r="A172" s="14" t="s">
        <v>167</v>
      </c>
      <c r="B172" s="16">
        <v>43658</v>
      </c>
      <c r="C172" t="s">
        <v>1063</v>
      </c>
      <c r="D172" s="15" t="s">
        <v>1064</v>
      </c>
    </row>
    <row r="173" spans="1:5" hidden="1" x14ac:dyDescent="0.2">
      <c r="A173" s="14" t="s">
        <v>621</v>
      </c>
      <c r="B173" s="16">
        <v>43660</v>
      </c>
      <c r="C173" t="s">
        <v>1504</v>
      </c>
      <c r="D173" s="15" t="s">
        <v>1505</v>
      </c>
      <c r="E173" s="14" t="s">
        <v>1506</v>
      </c>
    </row>
    <row r="174" spans="1:5" hidden="1" x14ac:dyDescent="0.2">
      <c r="A174" s="14" t="s">
        <v>621</v>
      </c>
      <c r="B174" s="16">
        <v>43660</v>
      </c>
      <c r="C174" t="s">
        <v>1504</v>
      </c>
      <c r="D174" s="15" t="s">
        <v>1505</v>
      </c>
      <c r="E174" s="14" t="s">
        <v>1507</v>
      </c>
    </row>
    <row r="175" spans="1:5" hidden="1" x14ac:dyDescent="0.2">
      <c r="A175" s="14" t="s">
        <v>621</v>
      </c>
      <c r="B175" s="16">
        <v>43660</v>
      </c>
      <c r="C175" t="s">
        <v>1504</v>
      </c>
      <c r="D175" s="15" t="s">
        <v>1505</v>
      </c>
      <c r="E175" s="14" t="s">
        <v>1508</v>
      </c>
    </row>
    <row r="176" spans="1:5" hidden="1" x14ac:dyDescent="0.2">
      <c r="A176" s="14" t="s">
        <v>985</v>
      </c>
      <c r="B176" s="16">
        <v>43661</v>
      </c>
      <c r="C176" t="s">
        <v>1295</v>
      </c>
      <c r="D176" s="2" t="s">
        <v>1340</v>
      </c>
      <c r="E176" s="14" t="s">
        <v>1484</v>
      </c>
    </row>
    <row r="177" spans="1:5" hidden="1" x14ac:dyDescent="0.2">
      <c r="A177" s="14" t="s">
        <v>985</v>
      </c>
      <c r="B177" s="16">
        <v>43661</v>
      </c>
      <c r="C177" t="s">
        <v>1295</v>
      </c>
      <c r="D177" s="2" t="s">
        <v>1340</v>
      </c>
      <c r="E177" s="14" t="s">
        <v>1483</v>
      </c>
    </row>
    <row r="178" spans="1:5" hidden="1" x14ac:dyDescent="0.2">
      <c r="A178" s="14" t="s">
        <v>985</v>
      </c>
      <c r="B178" s="16">
        <v>43661</v>
      </c>
      <c r="C178" t="s">
        <v>1295</v>
      </c>
      <c r="D178" s="2" t="s">
        <v>1340</v>
      </c>
      <c r="E178" s="14" t="s">
        <v>1481</v>
      </c>
    </row>
    <row r="179" spans="1:5" hidden="1" x14ac:dyDescent="0.2">
      <c r="A179" s="14" t="s">
        <v>985</v>
      </c>
      <c r="B179" s="16">
        <v>43661</v>
      </c>
      <c r="C179" t="s">
        <v>1295</v>
      </c>
      <c r="D179" s="2" t="s">
        <v>1340</v>
      </c>
      <c r="E179" s="14" t="s">
        <v>1485</v>
      </c>
    </row>
    <row r="180" spans="1:5" hidden="1" x14ac:dyDescent="0.2">
      <c r="A180" s="14" t="s">
        <v>1082</v>
      </c>
      <c r="B180" s="16">
        <v>43661</v>
      </c>
      <c r="C180" t="s">
        <v>1295</v>
      </c>
      <c r="D180" s="2" t="s">
        <v>1340</v>
      </c>
      <c r="E180" s="14" t="s">
        <v>1480</v>
      </c>
    </row>
    <row r="181" spans="1:5" hidden="1" x14ac:dyDescent="0.2">
      <c r="A181" s="14" t="s">
        <v>985</v>
      </c>
      <c r="B181" s="16">
        <v>43661</v>
      </c>
      <c r="C181" t="s">
        <v>1295</v>
      </c>
      <c r="D181" s="2" t="s">
        <v>1340</v>
      </c>
      <c r="E181" s="14" t="s">
        <v>1482</v>
      </c>
    </row>
    <row r="182" spans="1:5" hidden="1" x14ac:dyDescent="0.2">
      <c r="A182" s="14" t="s">
        <v>985</v>
      </c>
      <c r="B182" s="16">
        <v>43661</v>
      </c>
      <c r="C182" t="s">
        <v>1295</v>
      </c>
      <c r="D182" s="2" t="s">
        <v>1340</v>
      </c>
      <c r="E182" s="14" t="s">
        <v>1486</v>
      </c>
    </row>
    <row r="183" spans="1:5" hidden="1" x14ac:dyDescent="0.2">
      <c r="A183" s="14" t="s">
        <v>985</v>
      </c>
      <c r="B183" s="16">
        <v>43661.041666666664</v>
      </c>
      <c r="C183" t="s">
        <v>1250</v>
      </c>
      <c r="D183" s="15" t="s">
        <v>1262</v>
      </c>
      <c r="E183" s="14" t="s">
        <v>1392</v>
      </c>
    </row>
    <row r="184" spans="1:5" hidden="1" x14ac:dyDescent="0.2">
      <c r="A184" s="14" t="s">
        <v>985</v>
      </c>
      <c r="B184" s="16">
        <v>43661.041666666664</v>
      </c>
      <c r="C184" t="s">
        <v>1250</v>
      </c>
      <c r="D184" s="15" t="s">
        <v>1262</v>
      </c>
      <c r="E184" s="14" t="s">
        <v>1393</v>
      </c>
    </row>
    <row r="185" spans="1:5" hidden="1" x14ac:dyDescent="0.2">
      <c r="A185" s="14" t="s">
        <v>985</v>
      </c>
      <c r="B185" s="16">
        <v>43661.041666666664</v>
      </c>
      <c r="C185" t="s">
        <v>1250</v>
      </c>
      <c r="D185" s="15" t="s">
        <v>1262</v>
      </c>
      <c r="E185" s="14" t="s">
        <v>1394</v>
      </c>
    </row>
    <row r="186" spans="1:5" hidden="1" x14ac:dyDescent="0.2">
      <c r="A186" s="14" t="s">
        <v>694</v>
      </c>
      <c r="B186" s="16">
        <v>43663</v>
      </c>
      <c r="C186" t="s">
        <v>1429</v>
      </c>
      <c r="D186" s="15" t="s">
        <v>1427</v>
      </c>
      <c r="E186" s="14" t="s">
        <v>1588</v>
      </c>
    </row>
    <row r="187" spans="1:5" hidden="1" x14ac:dyDescent="0.2">
      <c r="A187" s="14" t="s">
        <v>694</v>
      </c>
      <c r="B187" s="16">
        <v>43663</v>
      </c>
      <c r="C187" t="s">
        <v>1429</v>
      </c>
      <c r="D187" s="15" t="s">
        <v>1694</v>
      </c>
      <c r="E187" s="14" t="s">
        <v>1589</v>
      </c>
    </row>
    <row r="188" spans="1:5" hidden="1" x14ac:dyDescent="0.2">
      <c r="A188" s="14" t="s">
        <v>694</v>
      </c>
      <c r="B188" s="16">
        <v>43663</v>
      </c>
      <c r="C188" t="s">
        <v>1430</v>
      </c>
      <c r="D188" s="15" t="s">
        <v>1428</v>
      </c>
      <c r="E188" s="14" t="s">
        <v>1590</v>
      </c>
    </row>
    <row r="189" spans="1:5" hidden="1" x14ac:dyDescent="0.2">
      <c r="A189" s="14" t="s">
        <v>1181</v>
      </c>
      <c r="B189" s="16">
        <v>43663</v>
      </c>
      <c r="C189" t="s">
        <v>1217</v>
      </c>
      <c r="D189" s="15" t="s">
        <v>1310</v>
      </c>
      <c r="E189" s="14" t="s">
        <v>1513</v>
      </c>
    </row>
    <row r="190" spans="1:5" hidden="1" x14ac:dyDescent="0.2">
      <c r="A190" s="14" t="s">
        <v>149</v>
      </c>
      <c r="B190" s="16">
        <v>43663</v>
      </c>
      <c r="C190" t="s">
        <v>1217</v>
      </c>
      <c r="D190" s="15" t="s">
        <v>1313</v>
      </c>
      <c r="E190" s="14" t="s">
        <v>1513</v>
      </c>
    </row>
    <row r="191" spans="1:5" hidden="1" x14ac:dyDescent="0.2">
      <c r="A191" s="14" t="s">
        <v>149</v>
      </c>
      <c r="B191" s="16">
        <v>43663</v>
      </c>
      <c r="C191" t="s">
        <v>1217</v>
      </c>
      <c r="D191" s="15" t="s">
        <v>1314</v>
      </c>
      <c r="E191" s="14" t="s">
        <v>1513</v>
      </c>
    </row>
    <row r="192" spans="1:5" hidden="1" x14ac:dyDescent="0.2">
      <c r="A192" s="14" t="s">
        <v>149</v>
      </c>
      <c r="B192" s="16">
        <v>43663</v>
      </c>
      <c r="C192" t="s">
        <v>1217</v>
      </c>
      <c r="D192" s="15" t="s">
        <v>1315</v>
      </c>
      <c r="E192" s="14" t="s">
        <v>1513</v>
      </c>
    </row>
    <row r="193" spans="1:5" hidden="1" x14ac:dyDescent="0.2">
      <c r="A193" s="14" t="s">
        <v>3</v>
      </c>
      <c r="B193" s="16">
        <v>43663</v>
      </c>
      <c r="C193" t="s">
        <v>1227</v>
      </c>
      <c r="D193" s="15" t="s">
        <v>1308</v>
      </c>
      <c r="E193" s="14" t="s">
        <v>1456</v>
      </c>
    </row>
    <row r="194" spans="1:5" hidden="1" x14ac:dyDescent="0.2">
      <c r="A194" s="14" t="s">
        <v>3</v>
      </c>
      <c r="B194" s="16">
        <v>43663</v>
      </c>
      <c r="C194" t="s">
        <v>1396</v>
      </c>
      <c r="D194" s="15" t="s">
        <v>1224</v>
      </c>
      <c r="E194" s="14" t="s">
        <v>1456</v>
      </c>
    </row>
    <row r="195" spans="1:5" hidden="1" x14ac:dyDescent="0.2">
      <c r="A195" s="14" t="s">
        <v>1129</v>
      </c>
      <c r="B195" s="16">
        <v>43663</v>
      </c>
      <c r="C195" t="s">
        <v>1177</v>
      </c>
      <c r="D195" s="15" t="s">
        <v>1174</v>
      </c>
      <c r="E195" s="14" t="s">
        <v>1467</v>
      </c>
    </row>
    <row r="196" spans="1:5" hidden="1" x14ac:dyDescent="0.2">
      <c r="A196" s="14" t="s">
        <v>1129</v>
      </c>
      <c r="B196" s="16">
        <v>43663</v>
      </c>
      <c r="C196" t="s">
        <v>1177</v>
      </c>
      <c r="D196" s="15" t="s">
        <v>1384</v>
      </c>
      <c r="E196" s="14" t="s">
        <v>1468</v>
      </c>
    </row>
    <row r="197" spans="1:5" hidden="1" x14ac:dyDescent="0.2">
      <c r="A197" s="14" t="s">
        <v>1385</v>
      </c>
      <c r="B197" s="16">
        <v>43664</v>
      </c>
      <c r="C197" t="s">
        <v>1434</v>
      </c>
      <c r="D197" s="15" t="s">
        <v>1435</v>
      </c>
      <c r="E197" s="14" t="s">
        <v>1515</v>
      </c>
    </row>
    <row r="198" spans="1:5" hidden="1" x14ac:dyDescent="0.2">
      <c r="A198" s="14" t="s">
        <v>1385</v>
      </c>
      <c r="B198" s="16">
        <v>43664</v>
      </c>
      <c r="C198" t="s">
        <v>1434</v>
      </c>
      <c r="D198" s="15" t="s">
        <v>1435</v>
      </c>
      <c r="E198" s="14" t="s">
        <v>1514</v>
      </c>
    </row>
    <row r="199" spans="1:5" hidden="1" x14ac:dyDescent="0.2">
      <c r="A199" s="14" t="s">
        <v>1403</v>
      </c>
      <c r="B199" s="16">
        <v>43666</v>
      </c>
      <c r="C199" t="s">
        <v>1605</v>
      </c>
      <c r="D199" s="15">
        <v>583627006</v>
      </c>
      <c r="E199" s="14" t="s">
        <v>1673</v>
      </c>
    </row>
    <row r="200" spans="1:5" hidden="1" x14ac:dyDescent="0.2">
      <c r="A200" s="14" t="s">
        <v>694</v>
      </c>
      <c r="B200" s="16">
        <v>43667</v>
      </c>
      <c r="C200" t="s">
        <v>1624</v>
      </c>
      <c r="D200" s="15" t="s">
        <v>1625</v>
      </c>
      <c r="E200" s="14" t="s">
        <v>1708</v>
      </c>
    </row>
    <row r="201" spans="1:5" hidden="1" x14ac:dyDescent="0.2">
      <c r="A201" s="14" t="s">
        <v>694</v>
      </c>
      <c r="B201" s="16">
        <v>43667</v>
      </c>
      <c r="C201" t="s">
        <v>1624</v>
      </c>
      <c r="D201" s="15" t="s">
        <v>1625</v>
      </c>
      <c r="E201" s="14" t="s">
        <v>1709</v>
      </c>
    </row>
    <row r="202" spans="1:5" hidden="1" x14ac:dyDescent="0.2">
      <c r="A202" s="14" t="s">
        <v>694</v>
      </c>
      <c r="B202" s="16">
        <v>43667</v>
      </c>
      <c r="C202" t="s">
        <v>1624</v>
      </c>
      <c r="D202" s="15" t="s">
        <v>1627</v>
      </c>
      <c r="E202" s="14" t="s">
        <v>1710</v>
      </c>
    </row>
    <row r="203" spans="1:5" hidden="1" x14ac:dyDescent="0.2">
      <c r="A203" s="14" t="s">
        <v>694</v>
      </c>
      <c r="B203" s="16">
        <v>43667</v>
      </c>
      <c r="C203" t="s">
        <v>1624</v>
      </c>
      <c r="D203" s="15" t="s">
        <v>1625</v>
      </c>
      <c r="E203" s="14" t="s">
        <v>1707</v>
      </c>
    </row>
    <row r="204" spans="1:5" hidden="1" x14ac:dyDescent="0.2">
      <c r="A204" s="14" t="s">
        <v>694</v>
      </c>
      <c r="B204" s="16">
        <v>43667</v>
      </c>
      <c r="C204" t="s">
        <v>1626</v>
      </c>
      <c r="D204" s="15" t="s">
        <v>1628</v>
      </c>
      <c r="E204" s="14" t="s">
        <v>1711</v>
      </c>
    </row>
    <row r="205" spans="1:5" hidden="1" x14ac:dyDescent="0.2">
      <c r="A205" s="14" t="s">
        <v>694</v>
      </c>
      <c r="B205" s="16">
        <v>43670</v>
      </c>
      <c r="C205" t="s">
        <v>1699</v>
      </c>
      <c r="D205" s="15" t="s">
        <v>1700</v>
      </c>
      <c r="E205" s="14" t="s">
        <v>1756</v>
      </c>
    </row>
    <row r="206" spans="1:5" hidden="1" x14ac:dyDescent="0.2">
      <c r="A206" s="14" t="s">
        <v>694</v>
      </c>
      <c r="B206" s="16">
        <v>43670</v>
      </c>
      <c r="C206" t="s">
        <v>1699</v>
      </c>
      <c r="D206" s="15" t="s">
        <v>1700</v>
      </c>
      <c r="E206" s="14" t="s">
        <v>1755</v>
      </c>
    </row>
    <row r="207" spans="1:5" hidden="1" x14ac:dyDescent="0.2">
      <c r="A207" s="14" t="s">
        <v>694</v>
      </c>
      <c r="B207" s="16">
        <v>43670</v>
      </c>
      <c r="C207" t="s">
        <v>1701</v>
      </c>
      <c r="D207" s="15" t="s">
        <v>1702</v>
      </c>
      <c r="E207" s="14" t="s">
        <v>1757</v>
      </c>
    </row>
    <row r="208" spans="1:5" hidden="1" x14ac:dyDescent="0.2">
      <c r="A208" s="14" t="s">
        <v>950</v>
      </c>
      <c r="B208" s="16">
        <v>43670</v>
      </c>
      <c r="C208" t="s">
        <v>1687</v>
      </c>
      <c r="D208" s="15" t="s">
        <v>1664</v>
      </c>
      <c r="E208" s="14" t="s">
        <v>1738</v>
      </c>
    </row>
    <row r="209" spans="1:5" hidden="1" x14ac:dyDescent="0.2">
      <c r="A209" s="14" t="s">
        <v>950</v>
      </c>
      <c r="B209" s="16">
        <v>43670</v>
      </c>
      <c r="C209" t="s">
        <v>1687</v>
      </c>
      <c r="D209" s="15" t="s">
        <v>1665</v>
      </c>
      <c r="E209" s="14" t="s">
        <v>1739</v>
      </c>
    </row>
    <row r="210" spans="1:5" hidden="1" x14ac:dyDescent="0.2">
      <c r="A210" s="14" t="s">
        <v>950</v>
      </c>
      <c r="B210" s="16">
        <v>43670</v>
      </c>
      <c r="C210" t="s">
        <v>1687</v>
      </c>
      <c r="D210" s="15" t="s">
        <v>1666</v>
      </c>
      <c r="E210" s="14" t="s">
        <v>1739</v>
      </c>
    </row>
    <row r="211" spans="1:5" hidden="1" x14ac:dyDescent="0.2">
      <c r="A211" s="14" t="s">
        <v>950</v>
      </c>
      <c r="B211" s="16">
        <v>43670</v>
      </c>
      <c r="C211" t="s">
        <v>1687</v>
      </c>
      <c r="D211" s="15" t="s">
        <v>1667</v>
      </c>
      <c r="E211" s="14" t="s">
        <v>1739</v>
      </c>
    </row>
    <row r="212" spans="1:5" hidden="1" x14ac:dyDescent="0.2">
      <c r="A212" s="14" t="s">
        <v>950</v>
      </c>
      <c r="B212" s="16">
        <v>43670</v>
      </c>
      <c r="C212" t="s">
        <v>1687</v>
      </c>
      <c r="D212" s="15" t="s">
        <v>1668</v>
      </c>
      <c r="E212" s="14" t="s">
        <v>1739</v>
      </c>
    </row>
    <row r="213" spans="1:5" hidden="1" x14ac:dyDescent="0.2">
      <c r="A213" s="14" t="s">
        <v>2</v>
      </c>
      <c r="B213" s="16">
        <v>43670</v>
      </c>
      <c r="C213" t="s">
        <v>1609</v>
      </c>
      <c r="D213" s="15" t="s">
        <v>1610</v>
      </c>
      <c r="E213" s="14" t="s">
        <v>1679</v>
      </c>
    </row>
    <row r="214" spans="1:5" hidden="1" x14ac:dyDescent="0.2">
      <c r="A214" s="14" t="s">
        <v>2</v>
      </c>
      <c r="B214" s="16">
        <v>43670</v>
      </c>
      <c r="C214" t="s">
        <v>1644</v>
      </c>
      <c r="D214" s="15" t="s">
        <v>1611</v>
      </c>
      <c r="E214" s="14" t="s">
        <v>1679</v>
      </c>
    </row>
    <row r="215" spans="1:5" hidden="1" x14ac:dyDescent="0.2">
      <c r="A215" s="14" t="s">
        <v>2</v>
      </c>
      <c r="B215" s="16">
        <v>43670</v>
      </c>
      <c r="C215" t="s">
        <v>1645</v>
      </c>
      <c r="D215" s="15" t="s">
        <v>1647</v>
      </c>
      <c r="E215" s="14" t="s">
        <v>1679</v>
      </c>
    </row>
    <row r="216" spans="1:5" hidden="1" x14ac:dyDescent="0.2">
      <c r="A216" s="14" t="s">
        <v>2</v>
      </c>
      <c r="B216" s="16">
        <v>43670</v>
      </c>
      <c r="C216" t="s">
        <v>1646</v>
      </c>
      <c r="D216" s="15" t="s">
        <v>1643</v>
      </c>
      <c r="E216" s="14" t="s">
        <v>1679</v>
      </c>
    </row>
    <row r="217" spans="1:5" hidden="1" x14ac:dyDescent="0.2">
      <c r="A217" s="14" t="s">
        <v>1416</v>
      </c>
      <c r="B217" s="16">
        <v>43670</v>
      </c>
      <c r="C217" t="s">
        <v>1479</v>
      </c>
      <c r="D217" s="15" t="s">
        <v>1471</v>
      </c>
      <c r="E217" s="14" t="s">
        <v>1736</v>
      </c>
    </row>
    <row r="218" spans="1:5" hidden="1" x14ac:dyDescent="0.2">
      <c r="A218" s="14" t="s">
        <v>1416</v>
      </c>
      <c r="B218" s="16">
        <v>43670</v>
      </c>
      <c r="C218" t="s">
        <v>1479</v>
      </c>
      <c r="D218" s="15" t="s">
        <v>1472</v>
      </c>
      <c r="E218" s="14" t="s">
        <v>1737</v>
      </c>
    </row>
    <row r="219" spans="1:5" hidden="1" x14ac:dyDescent="0.2">
      <c r="A219" s="14" t="s">
        <v>154</v>
      </c>
      <c r="B219" s="16">
        <v>43670</v>
      </c>
      <c r="C219" t="s">
        <v>1583</v>
      </c>
      <c r="D219" s="15" t="s">
        <v>1584</v>
      </c>
      <c r="E219" s="14" t="s">
        <v>1759</v>
      </c>
    </row>
    <row r="220" spans="1:5" hidden="1" x14ac:dyDescent="0.2">
      <c r="A220" s="14" t="s">
        <v>2</v>
      </c>
      <c r="B220" s="16">
        <v>43672</v>
      </c>
      <c r="C220" t="s">
        <v>1612</v>
      </c>
      <c r="D220" s="15" t="s">
        <v>1613</v>
      </c>
      <c r="E220" s="14" t="s">
        <v>1781</v>
      </c>
    </row>
    <row r="221" spans="1:5" hidden="1" x14ac:dyDescent="0.2">
      <c r="A221" s="14" t="s">
        <v>694</v>
      </c>
      <c r="B221" s="16">
        <v>43674</v>
      </c>
      <c r="C221" t="s">
        <v>1777</v>
      </c>
      <c r="D221" s="15" t="s">
        <v>1778</v>
      </c>
      <c r="E221" s="14" t="s">
        <v>1917</v>
      </c>
    </row>
    <row r="222" spans="1:5" hidden="1" x14ac:dyDescent="0.2">
      <c r="A222" s="14" t="s">
        <v>694</v>
      </c>
      <c r="B222" s="16">
        <v>43674</v>
      </c>
      <c r="C222" t="s">
        <v>1777</v>
      </c>
      <c r="D222" s="15" t="s">
        <v>1778</v>
      </c>
      <c r="E222" s="14" t="s">
        <v>1918</v>
      </c>
    </row>
    <row r="223" spans="1:5" hidden="1" x14ac:dyDescent="0.2">
      <c r="A223" t="s">
        <v>1372</v>
      </c>
      <c r="B223" s="5">
        <v>43676</v>
      </c>
      <c r="C223" t="s">
        <v>1406</v>
      </c>
      <c r="D223" s="15">
        <v>969414333</v>
      </c>
      <c r="E223" s="14" t="s">
        <v>1935</v>
      </c>
    </row>
    <row r="224" spans="1:5" hidden="1" x14ac:dyDescent="0.2">
      <c r="A224" t="s">
        <v>1372</v>
      </c>
      <c r="B224" s="5">
        <v>43676</v>
      </c>
      <c r="C224" t="s">
        <v>1406</v>
      </c>
      <c r="D224" s="15">
        <v>969414333</v>
      </c>
      <c r="E224" s="14" t="s">
        <v>1936</v>
      </c>
    </row>
    <row r="225" spans="1:5" hidden="1" x14ac:dyDescent="0.2">
      <c r="A225" s="14" t="s">
        <v>1818</v>
      </c>
      <c r="B225" s="16">
        <v>43677</v>
      </c>
      <c r="C225" t="s">
        <v>1817</v>
      </c>
      <c r="D225" s="15" t="s">
        <v>1816</v>
      </c>
      <c r="E225" s="14" t="s">
        <v>1910</v>
      </c>
    </row>
    <row r="226" spans="1:5" hidden="1" x14ac:dyDescent="0.2">
      <c r="A226" s="14" t="s">
        <v>1818</v>
      </c>
      <c r="B226" s="16">
        <v>43677</v>
      </c>
      <c r="C226" t="s">
        <v>1817</v>
      </c>
      <c r="D226" s="15" t="s">
        <v>1819</v>
      </c>
      <c r="E226" s="14" t="s">
        <v>1910</v>
      </c>
    </row>
    <row r="227" spans="1:5" hidden="1" x14ac:dyDescent="0.2">
      <c r="A227" s="14" t="s">
        <v>1818</v>
      </c>
      <c r="B227" s="16">
        <v>43677</v>
      </c>
      <c r="C227" t="s">
        <v>1817</v>
      </c>
      <c r="D227" s="15" t="s">
        <v>1820</v>
      </c>
      <c r="E227" s="14" t="s">
        <v>1910</v>
      </c>
    </row>
    <row r="228" spans="1:5" hidden="1" x14ac:dyDescent="0.2">
      <c r="A228" s="14" t="s">
        <v>1818</v>
      </c>
      <c r="B228" s="16">
        <v>43677</v>
      </c>
      <c r="C228" t="s">
        <v>1817</v>
      </c>
      <c r="D228" s="15" t="s">
        <v>1821</v>
      </c>
      <c r="E228" s="14" t="s">
        <v>1910</v>
      </c>
    </row>
    <row r="229" spans="1:5" hidden="1" x14ac:dyDescent="0.2">
      <c r="A229" s="14" t="s">
        <v>1818</v>
      </c>
      <c r="B229" s="16">
        <v>43677</v>
      </c>
      <c r="C229" t="s">
        <v>1817</v>
      </c>
      <c r="D229" s="15" t="s">
        <v>1822</v>
      </c>
      <c r="E229" s="14" t="s">
        <v>1908</v>
      </c>
    </row>
    <row r="230" spans="1:5" hidden="1" x14ac:dyDescent="0.2">
      <c r="A230" s="14" t="s">
        <v>1818</v>
      </c>
      <c r="B230" s="16">
        <v>43677</v>
      </c>
      <c r="C230" t="s">
        <v>1817</v>
      </c>
      <c r="D230" s="15" t="s">
        <v>1823</v>
      </c>
      <c r="E230" s="14" t="s">
        <v>1909</v>
      </c>
    </row>
    <row r="231" spans="1:5" hidden="1" x14ac:dyDescent="0.2">
      <c r="A231" s="14" t="s">
        <v>2</v>
      </c>
      <c r="B231" s="16">
        <v>43677</v>
      </c>
      <c r="C231" t="s">
        <v>1877</v>
      </c>
      <c r="D231" s="15" t="s">
        <v>2089</v>
      </c>
      <c r="E231" s="14" t="s">
        <v>1879</v>
      </c>
    </row>
    <row r="232" spans="1:5" hidden="1" x14ac:dyDescent="0.2">
      <c r="A232" s="14" t="s">
        <v>2</v>
      </c>
      <c r="B232" s="16">
        <v>43677</v>
      </c>
      <c r="C232" t="s">
        <v>1855</v>
      </c>
      <c r="D232" s="15" t="s">
        <v>1770</v>
      </c>
      <c r="E232" s="14" t="s">
        <v>1879</v>
      </c>
    </row>
    <row r="233" spans="1:5" hidden="1" x14ac:dyDescent="0.2">
      <c r="A233" s="14" t="s">
        <v>2</v>
      </c>
      <c r="B233" s="16">
        <v>43677</v>
      </c>
      <c r="C233" t="s">
        <v>1856</v>
      </c>
      <c r="D233" s="15" t="s">
        <v>1854</v>
      </c>
      <c r="E233" s="14" t="s">
        <v>1879</v>
      </c>
    </row>
    <row r="234" spans="1:5" hidden="1" x14ac:dyDescent="0.2">
      <c r="A234" s="14" t="s">
        <v>2</v>
      </c>
      <c r="B234" s="16">
        <v>43677</v>
      </c>
      <c r="C234" t="s">
        <v>1867</v>
      </c>
      <c r="D234" s="15" t="s">
        <v>1866</v>
      </c>
      <c r="E234" s="14" t="s">
        <v>1879</v>
      </c>
    </row>
    <row r="235" spans="1:5" hidden="1" x14ac:dyDescent="0.2">
      <c r="A235" s="14" t="s">
        <v>152</v>
      </c>
      <c r="B235" s="16">
        <v>43677</v>
      </c>
      <c r="C235" t="s">
        <v>1695</v>
      </c>
      <c r="D235" s="15" t="s">
        <v>1682</v>
      </c>
      <c r="E235" s="14" t="s">
        <v>1874</v>
      </c>
    </row>
    <row r="236" spans="1:5" hidden="1" x14ac:dyDescent="0.2">
      <c r="A236" s="14" t="s">
        <v>152</v>
      </c>
      <c r="B236" s="16">
        <v>43677</v>
      </c>
      <c r="C236" t="s">
        <v>1695</v>
      </c>
      <c r="D236" s="15" t="s">
        <v>1683</v>
      </c>
      <c r="E236" s="14" t="s">
        <v>1875</v>
      </c>
    </row>
    <row r="237" spans="1:5" hidden="1" x14ac:dyDescent="0.2">
      <c r="A237" s="14" t="s">
        <v>1797</v>
      </c>
      <c r="B237" s="16">
        <v>43678</v>
      </c>
      <c r="C237" t="s">
        <v>1796</v>
      </c>
      <c r="D237" s="15" t="s">
        <v>1798</v>
      </c>
    </row>
    <row r="238" spans="1:5" hidden="1" x14ac:dyDescent="0.2">
      <c r="A238" s="14" t="s">
        <v>1797</v>
      </c>
      <c r="B238" s="16">
        <v>43678</v>
      </c>
      <c r="C238" t="s">
        <v>1796</v>
      </c>
      <c r="D238" s="15" t="s">
        <v>1798</v>
      </c>
    </row>
    <row r="239" spans="1:5" hidden="1" x14ac:dyDescent="0.2">
      <c r="A239" s="14" t="s">
        <v>694</v>
      </c>
      <c r="B239" s="16">
        <v>43681</v>
      </c>
      <c r="C239" t="s">
        <v>1920</v>
      </c>
      <c r="D239" s="15" t="s">
        <v>1923</v>
      </c>
      <c r="E239" s="14" t="s">
        <v>2113</v>
      </c>
    </row>
    <row r="240" spans="1:5" hidden="1" x14ac:dyDescent="0.2">
      <c r="A240" t="s">
        <v>1372</v>
      </c>
      <c r="B240" s="5">
        <v>43681</v>
      </c>
      <c r="C240" t="s">
        <v>1407</v>
      </c>
      <c r="D240" s="15">
        <v>969406477</v>
      </c>
      <c r="E240" s="14" t="s">
        <v>2060</v>
      </c>
    </row>
    <row r="241" spans="1:5" hidden="1" x14ac:dyDescent="0.2">
      <c r="A241" t="s">
        <v>1372</v>
      </c>
      <c r="B241" s="5">
        <v>43681</v>
      </c>
      <c r="C241" t="s">
        <v>1407</v>
      </c>
      <c r="D241" s="15">
        <v>969406477</v>
      </c>
      <c r="E241" s="14" t="s">
        <v>2059</v>
      </c>
    </row>
    <row r="242" spans="1:5" hidden="1" x14ac:dyDescent="0.2">
      <c r="A242" t="s">
        <v>1372</v>
      </c>
      <c r="B242" s="5">
        <v>43681</v>
      </c>
      <c r="C242" t="s">
        <v>1407</v>
      </c>
      <c r="D242" s="15">
        <v>969406477</v>
      </c>
      <c r="E242" s="14" t="s">
        <v>2061</v>
      </c>
    </row>
    <row r="243" spans="1:5" hidden="1" x14ac:dyDescent="0.2">
      <c r="A243" t="s">
        <v>1372</v>
      </c>
      <c r="B243" s="5">
        <v>43681</v>
      </c>
      <c r="C243" t="s">
        <v>1407</v>
      </c>
      <c r="D243" s="15">
        <v>969406477</v>
      </c>
      <c r="E243" s="14" t="s">
        <v>2062</v>
      </c>
    </row>
    <row r="244" spans="1:5" hidden="1" x14ac:dyDescent="0.2">
      <c r="A244" s="14" t="s">
        <v>1022</v>
      </c>
      <c r="B244" s="16">
        <v>43683</v>
      </c>
      <c r="C244" t="s">
        <v>1717</v>
      </c>
      <c r="D244" s="15" t="s">
        <v>1716</v>
      </c>
      <c r="E244" s="14" t="s">
        <v>2128</v>
      </c>
    </row>
    <row r="245" spans="1:5" hidden="1" x14ac:dyDescent="0.2">
      <c r="A245" s="14" t="s">
        <v>1022</v>
      </c>
      <c r="B245" s="16">
        <v>43683</v>
      </c>
      <c r="C245" t="s">
        <v>1717</v>
      </c>
      <c r="D245" s="15" t="s">
        <v>1716</v>
      </c>
      <c r="E245" s="14" t="s">
        <v>2133</v>
      </c>
    </row>
    <row r="246" spans="1:5" hidden="1" x14ac:dyDescent="0.2">
      <c r="A246" s="14" t="s">
        <v>1022</v>
      </c>
      <c r="B246" s="16">
        <v>43683</v>
      </c>
      <c r="C246" t="s">
        <v>1717</v>
      </c>
      <c r="D246" s="15" t="s">
        <v>1716</v>
      </c>
      <c r="E246" s="14" t="s">
        <v>2129</v>
      </c>
    </row>
    <row r="247" spans="1:5" hidden="1" x14ac:dyDescent="0.2">
      <c r="A247" s="14" t="s">
        <v>1022</v>
      </c>
      <c r="B247" s="16">
        <v>43683</v>
      </c>
      <c r="C247" t="s">
        <v>1717</v>
      </c>
      <c r="D247" s="15" t="s">
        <v>1716</v>
      </c>
      <c r="E247" s="14" t="s">
        <v>2130</v>
      </c>
    </row>
    <row r="248" spans="1:5" hidden="1" x14ac:dyDescent="0.2">
      <c r="A248" s="14" t="s">
        <v>1022</v>
      </c>
      <c r="B248" s="16">
        <v>43683</v>
      </c>
      <c r="C248" t="s">
        <v>1717</v>
      </c>
      <c r="D248" s="15" t="s">
        <v>1716</v>
      </c>
      <c r="E248" s="14" t="s">
        <v>2131</v>
      </c>
    </row>
    <row r="249" spans="1:5" hidden="1" x14ac:dyDescent="0.2">
      <c r="A249" s="14" t="s">
        <v>1022</v>
      </c>
      <c r="B249" s="16">
        <v>43683</v>
      </c>
      <c r="C249" t="s">
        <v>1717</v>
      </c>
      <c r="D249" s="15" t="s">
        <v>1716</v>
      </c>
      <c r="E249" s="14" t="s">
        <v>2134</v>
      </c>
    </row>
    <row r="250" spans="1:5" hidden="1" x14ac:dyDescent="0.2">
      <c r="A250" s="14" t="s">
        <v>1022</v>
      </c>
      <c r="B250" s="16">
        <v>43683</v>
      </c>
      <c r="C250" t="s">
        <v>1717</v>
      </c>
      <c r="D250" s="15" t="s">
        <v>1716</v>
      </c>
      <c r="E250" s="14" t="s">
        <v>2132</v>
      </c>
    </row>
    <row r="251" spans="1:5" hidden="1" x14ac:dyDescent="0.2">
      <c r="A251" s="14" t="s">
        <v>694</v>
      </c>
      <c r="B251" s="16">
        <v>43684</v>
      </c>
      <c r="C251" t="s">
        <v>1921</v>
      </c>
      <c r="D251" s="15" t="s">
        <v>2136</v>
      </c>
      <c r="E251" s="14" t="s">
        <v>2146</v>
      </c>
    </row>
    <row r="252" spans="1:5" hidden="1" x14ac:dyDescent="0.2">
      <c r="A252" s="14" t="s">
        <v>694</v>
      </c>
      <c r="B252" s="16">
        <v>43684</v>
      </c>
      <c r="C252" t="s">
        <v>1921</v>
      </c>
      <c r="D252" s="15" t="s">
        <v>2136</v>
      </c>
      <c r="E252" s="14" t="s">
        <v>2147</v>
      </c>
    </row>
    <row r="253" spans="1:5" hidden="1" x14ac:dyDescent="0.2">
      <c r="A253" s="14" t="s">
        <v>2051</v>
      </c>
      <c r="B253" s="16">
        <v>43684</v>
      </c>
      <c r="C253" t="s">
        <v>2050</v>
      </c>
      <c r="D253" s="15" t="s">
        <v>2145</v>
      </c>
      <c r="E253" s="14" t="s">
        <v>2135</v>
      </c>
    </row>
    <row r="254" spans="1:5" hidden="1" x14ac:dyDescent="0.2">
      <c r="A254" s="14" t="s">
        <v>2051</v>
      </c>
      <c r="B254" s="16">
        <v>43684</v>
      </c>
      <c r="C254" t="s">
        <v>2050</v>
      </c>
      <c r="D254" s="15" t="s">
        <v>2052</v>
      </c>
      <c r="E254" s="14" t="s">
        <v>2135</v>
      </c>
    </row>
    <row r="255" spans="1:5" hidden="1" x14ac:dyDescent="0.2">
      <c r="A255" s="14" t="s">
        <v>2051</v>
      </c>
      <c r="B255" s="16">
        <v>43684</v>
      </c>
      <c r="C255" t="s">
        <v>2050</v>
      </c>
      <c r="D255" s="15" t="s">
        <v>2053</v>
      </c>
      <c r="E255" s="14" t="s">
        <v>2135</v>
      </c>
    </row>
    <row r="256" spans="1:5" hidden="1" x14ac:dyDescent="0.2">
      <c r="A256" s="14" t="s">
        <v>2051</v>
      </c>
      <c r="B256" s="16">
        <v>43684</v>
      </c>
      <c r="C256" t="s">
        <v>2050</v>
      </c>
      <c r="D256" s="15" t="s">
        <v>2054</v>
      </c>
      <c r="E256" s="14" t="s">
        <v>2135</v>
      </c>
    </row>
    <row r="257" spans="1:5" hidden="1" x14ac:dyDescent="0.2">
      <c r="A257" s="14" t="s">
        <v>2051</v>
      </c>
      <c r="B257" s="16">
        <v>43684</v>
      </c>
      <c r="C257" t="s">
        <v>2050</v>
      </c>
      <c r="D257" s="15" t="s">
        <v>2055</v>
      </c>
      <c r="E257" s="14" t="s">
        <v>2135</v>
      </c>
    </row>
    <row r="258" spans="1:5" hidden="1" x14ac:dyDescent="0.2">
      <c r="A258" s="14" t="s">
        <v>2</v>
      </c>
      <c r="B258" s="16">
        <v>43684</v>
      </c>
      <c r="C258" t="s">
        <v>1925</v>
      </c>
      <c r="D258" s="2" t="s">
        <v>2114</v>
      </c>
      <c r="E258" s="14" t="s">
        <v>2107</v>
      </c>
    </row>
    <row r="259" spans="1:5" hidden="1" x14ac:dyDescent="0.2">
      <c r="A259" t="s">
        <v>3</v>
      </c>
      <c r="B259" s="5">
        <v>43684</v>
      </c>
      <c r="C259" t="s">
        <v>2071</v>
      </c>
      <c r="D259" s="2" t="s">
        <v>2067</v>
      </c>
      <c r="E259" s="14" t="s">
        <v>2107</v>
      </c>
    </row>
    <row r="260" spans="1:5" hidden="1" x14ac:dyDescent="0.2">
      <c r="A260" t="s">
        <v>3</v>
      </c>
      <c r="B260" s="5">
        <v>43684</v>
      </c>
      <c r="C260" t="s">
        <v>2072</v>
      </c>
      <c r="D260" s="2" t="s">
        <v>2068</v>
      </c>
      <c r="E260" s="14" t="s">
        <v>2107</v>
      </c>
    </row>
    <row r="261" spans="1:5" hidden="1" x14ac:dyDescent="0.2">
      <c r="A261" t="s">
        <v>3</v>
      </c>
      <c r="B261" s="5">
        <v>43684</v>
      </c>
      <c r="C261" t="s">
        <v>2073</v>
      </c>
      <c r="D261" s="2" t="s">
        <v>2069</v>
      </c>
      <c r="E261" s="14" t="s">
        <v>2107</v>
      </c>
    </row>
    <row r="262" spans="1:5" hidden="1" x14ac:dyDescent="0.2">
      <c r="A262" s="14" t="s">
        <v>152</v>
      </c>
      <c r="B262" s="16">
        <v>43684</v>
      </c>
      <c r="C262" t="s">
        <v>2006</v>
      </c>
      <c r="D262" s="15" t="s">
        <v>2005</v>
      </c>
      <c r="E262" s="14" t="s">
        <v>2110</v>
      </c>
    </row>
    <row r="263" spans="1:5" hidden="1" x14ac:dyDescent="0.2">
      <c r="A263" s="14" t="s">
        <v>152</v>
      </c>
      <c r="B263" s="16">
        <v>43684</v>
      </c>
      <c r="C263" t="s">
        <v>2006</v>
      </c>
      <c r="D263" s="15" t="s">
        <v>2007</v>
      </c>
      <c r="E263" s="14" t="s">
        <v>2111</v>
      </c>
    </row>
    <row r="264" spans="1:5" hidden="1" x14ac:dyDescent="0.2">
      <c r="A264" s="14" t="s">
        <v>1385</v>
      </c>
      <c r="B264" s="16">
        <v>43685</v>
      </c>
      <c r="C264" t="s">
        <v>1796</v>
      </c>
      <c r="D264" s="15" t="s">
        <v>2138</v>
      </c>
      <c r="E264" s="14" t="s">
        <v>2149</v>
      </c>
    </row>
    <row r="265" spans="1:5" hidden="1" x14ac:dyDescent="0.2">
      <c r="A265" s="14" t="s">
        <v>1385</v>
      </c>
      <c r="B265" s="16">
        <v>43685</v>
      </c>
      <c r="C265" t="s">
        <v>1796</v>
      </c>
      <c r="D265" s="15" t="s">
        <v>2138</v>
      </c>
      <c r="E265" s="14" t="s">
        <v>2148</v>
      </c>
    </row>
    <row r="266" spans="1:5" hidden="1" x14ac:dyDescent="0.2">
      <c r="A266" s="14" t="s">
        <v>694</v>
      </c>
      <c r="B266" s="16">
        <v>43688</v>
      </c>
      <c r="C266" t="s">
        <v>1922</v>
      </c>
      <c r="D266" s="15" t="s">
        <v>2256</v>
      </c>
      <c r="E266" s="14" t="s">
        <v>2257</v>
      </c>
    </row>
    <row r="267" spans="1:5" hidden="1" x14ac:dyDescent="0.2">
      <c r="A267" s="14" t="s">
        <v>694</v>
      </c>
      <c r="B267" s="16">
        <v>43688</v>
      </c>
      <c r="C267" t="s">
        <v>1922</v>
      </c>
      <c r="D267" s="15" t="s">
        <v>2256</v>
      </c>
      <c r="E267" s="14" t="s">
        <v>2258</v>
      </c>
    </row>
    <row r="268" spans="1:5" hidden="1" x14ac:dyDescent="0.2">
      <c r="A268" s="14" t="s">
        <v>694</v>
      </c>
      <c r="B268" s="16">
        <v>43688</v>
      </c>
      <c r="C268" t="s">
        <v>1922</v>
      </c>
      <c r="D268" s="15" t="s">
        <v>2256</v>
      </c>
      <c r="E268" s="14" t="s">
        <v>2259</v>
      </c>
    </row>
    <row r="269" spans="1:5" hidden="1" x14ac:dyDescent="0.2">
      <c r="A269" t="s">
        <v>1372</v>
      </c>
      <c r="B269" s="5">
        <v>43688</v>
      </c>
      <c r="C269" t="s">
        <v>1408</v>
      </c>
      <c r="D269" s="15">
        <v>969406478</v>
      </c>
      <c r="E269" s="14" t="s">
        <v>2197</v>
      </c>
    </row>
    <row r="270" spans="1:5" hidden="1" x14ac:dyDescent="0.2">
      <c r="A270" t="s">
        <v>1372</v>
      </c>
      <c r="B270" s="5">
        <v>43688</v>
      </c>
      <c r="C270" t="s">
        <v>1408</v>
      </c>
      <c r="D270" s="15">
        <v>969406478</v>
      </c>
      <c r="E270" s="14" t="s">
        <v>2196</v>
      </c>
    </row>
    <row r="271" spans="1:5" hidden="1" x14ac:dyDescent="0.2">
      <c r="A271" t="s">
        <v>1372</v>
      </c>
      <c r="B271" s="5">
        <v>43688</v>
      </c>
      <c r="C271" t="s">
        <v>1408</v>
      </c>
      <c r="D271" s="15">
        <v>969406478</v>
      </c>
      <c r="E271" s="14" t="s">
        <v>2194</v>
      </c>
    </row>
    <row r="272" spans="1:5" hidden="1" x14ac:dyDescent="0.2">
      <c r="A272" t="s">
        <v>1372</v>
      </c>
      <c r="B272" s="5">
        <v>43688</v>
      </c>
      <c r="C272" t="s">
        <v>1408</v>
      </c>
      <c r="D272" s="15">
        <v>969406478</v>
      </c>
      <c r="E272" s="14" t="s">
        <v>2195</v>
      </c>
    </row>
    <row r="273" spans="1:5" hidden="1" x14ac:dyDescent="0.2">
      <c r="A273" s="14" t="s">
        <v>156</v>
      </c>
      <c r="B273" s="16">
        <v>43690</v>
      </c>
      <c r="C273" t="s">
        <v>2214</v>
      </c>
      <c r="D273" s="15" t="s">
        <v>2215</v>
      </c>
      <c r="E273" s="14" t="s">
        <v>2227</v>
      </c>
    </row>
    <row r="274" spans="1:5" hidden="1" x14ac:dyDescent="0.2">
      <c r="A274" s="14" t="s">
        <v>694</v>
      </c>
      <c r="B274" s="16">
        <v>43691</v>
      </c>
      <c r="C274" t="s">
        <v>2154</v>
      </c>
      <c r="D274" s="15" t="s">
        <v>2155</v>
      </c>
      <c r="E274" s="14" t="s">
        <v>2238</v>
      </c>
    </row>
    <row r="275" spans="1:5" hidden="1" x14ac:dyDescent="0.2">
      <c r="A275" s="14" t="s">
        <v>694</v>
      </c>
      <c r="B275" s="16">
        <v>43691</v>
      </c>
      <c r="C275" t="s">
        <v>2154</v>
      </c>
      <c r="D275" s="15" t="s">
        <v>2155</v>
      </c>
      <c r="E275" s="14" t="s">
        <v>2240</v>
      </c>
    </row>
    <row r="276" spans="1:5" hidden="1" x14ac:dyDescent="0.2">
      <c r="A276" s="14" t="s">
        <v>694</v>
      </c>
      <c r="B276" s="16">
        <v>43691</v>
      </c>
      <c r="C276" t="s">
        <v>2154</v>
      </c>
      <c r="D276" s="15" t="s">
        <v>2155</v>
      </c>
      <c r="E276" s="14" t="s">
        <v>2239</v>
      </c>
    </row>
    <row r="277" spans="1:5" hidden="1" x14ac:dyDescent="0.2">
      <c r="A277" s="14" t="s">
        <v>950</v>
      </c>
      <c r="B277" s="16">
        <v>43691</v>
      </c>
      <c r="C277" t="s">
        <v>2204</v>
      </c>
      <c r="D277" s="15" t="s">
        <v>2200</v>
      </c>
      <c r="E277" s="14" t="s">
        <v>2262</v>
      </c>
    </row>
    <row r="278" spans="1:5" hidden="1" x14ac:dyDescent="0.2">
      <c r="A278" s="14" t="s">
        <v>950</v>
      </c>
      <c r="B278" s="16">
        <v>43691</v>
      </c>
      <c r="C278" t="s">
        <v>2204</v>
      </c>
      <c r="D278" s="15" t="s">
        <v>2201</v>
      </c>
      <c r="E278" s="14" t="s">
        <v>2262</v>
      </c>
    </row>
    <row r="279" spans="1:5" hidden="1" x14ac:dyDescent="0.2">
      <c r="A279" s="14" t="s">
        <v>950</v>
      </c>
      <c r="B279" s="16">
        <v>43691</v>
      </c>
      <c r="C279" t="s">
        <v>2204</v>
      </c>
      <c r="D279" s="15" t="s">
        <v>2202</v>
      </c>
      <c r="E279" s="14" t="s">
        <v>2262</v>
      </c>
    </row>
    <row r="280" spans="1:5" hidden="1" x14ac:dyDescent="0.2">
      <c r="A280" s="14" t="s">
        <v>950</v>
      </c>
      <c r="B280" s="16">
        <v>43691</v>
      </c>
      <c r="C280" t="s">
        <v>2204</v>
      </c>
      <c r="D280" s="15" t="s">
        <v>2203</v>
      </c>
      <c r="E280" s="14" t="s">
        <v>2262</v>
      </c>
    </row>
    <row r="281" spans="1:5" hidden="1" x14ac:dyDescent="0.2">
      <c r="A281" s="14" t="s">
        <v>152</v>
      </c>
      <c r="B281" s="16">
        <v>43691</v>
      </c>
      <c r="C281" t="s">
        <v>2120</v>
      </c>
      <c r="D281" s="15" t="s">
        <v>2079</v>
      </c>
      <c r="E281" s="14" t="s">
        <v>2216</v>
      </c>
    </row>
    <row r="282" spans="1:5" hidden="1" x14ac:dyDescent="0.2">
      <c r="A282" s="14" t="s">
        <v>152</v>
      </c>
      <c r="B282" s="16">
        <v>43691</v>
      </c>
      <c r="C282" t="s">
        <v>2120</v>
      </c>
      <c r="D282" s="15" t="s">
        <v>2080</v>
      </c>
      <c r="E282" s="14" t="s">
        <v>2216</v>
      </c>
    </row>
    <row r="283" spans="1:5" hidden="1" x14ac:dyDescent="0.2">
      <c r="A283" s="14" t="s">
        <v>2</v>
      </c>
      <c r="B283" s="16">
        <v>43693</v>
      </c>
      <c r="C283" t="s">
        <v>2254</v>
      </c>
      <c r="D283" s="15" t="s">
        <v>2122</v>
      </c>
      <c r="E283" s="14" t="s">
        <v>2266</v>
      </c>
    </row>
    <row r="284" spans="1:5" hidden="1" x14ac:dyDescent="0.2">
      <c r="A284" s="14" t="s">
        <v>2</v>
      </c>
      <c r="B284" s="16">
        <v>43693</v>
      </c>
      <c r="C284" t="s">
        <v>2248</v>
      </c>
      <c r="D284" s="15" t="s">
        <v>2123</v>
      </c>
      <c r="E284" s="14" t="s">
        <v>2266</v>
      </c>
    </row>
    <row r="285" spans="1:5" hidden="1" x14ac:dyDescent="0.2">
      <c r="A285" s="14" t="s">
        <v>2</v>
      </c>
      <c r="B285" s="16">
        <v>43693</v>
      </c>
      <c r="C285" t="s">
        <v>2249</v>
      </c>
      <c r="D285" s="15" t="s">
        <v>2246</v>
      </c>
      <c r="E285" s="14" t="s">
        <v>2266</v>
      </c>
    </row>
    <row r="286" spans="1:5" hidden="1" x14ac:dyDescent="0.2">
      <c r="A286" s="14" t="s">
        <v>2</v>
      </c>
      <c r="B286" s="16">
        <v>43693</v>
      </c>
      <c r="C286" t="s">
        <v>2250</v>
      </c>
      <c r="D286" s="15" t="s">
        <v>2247</v>
      </c>
      <c r="E286" s="14" t="s">
        <v>2266</v>
      </c>
    </row>
    <row r="287" spans="1:5" hidden="1" x14ac:dyDescent="0.2">
      <c r="A287" s="14" t="s">
        <v>694</v>
      </c>
      <c r="B287" s="16">
        <v>43695</v>
      </c>
      <c r="C287" t="s">
        <v>2267</v>
      </c>
      <c r="D287" s="15" t="s">
        <v>2364</v>
      </c>
      <c r="E287" s="14" t="s">
        <v>2350</v>
      </c>
    </row>
    <row r="288" spans="1:5" hidden="1" x14ac:dyDescent="0.2">
      <c r="A288" s="14" t="s">
        <v>694</v>
      </c>
      <c r="B288" s="16">
        <v>43695</v>
      </c>
      <c r="C288" t="s">
        <v>2268</v>
      </c>
      <c r="D288" s="15" t="s">
        <v>2269</v>
      </c>
      <c r="E288" s="14" t="s">
        <v>2351</v>
      </c>
    </row>
    <row r="289" spans="1:5" hidden="1" x14ac:dyDescent="0.2">
      <c r="A289" t="s">
        <v>1372</v>
      </c>
      <c r="B289" s="5">
        <v>43695</v>
      </c>
      <c r="C289" t="s">
        <v>1409</v>
      </c>
      <c r="D289" s="15">
        <v>969406480</v>
      </c>
      <c r="E289" s="14" t="s">
        <v>2303</v>
      </c>
    </row>
    <row r="290" spans="1:5" hidden="1" x14ac:dyDescent="0.2">
      <c r="A290" t="s">
        <v>1372</v>
      </c>
      <c r="B290" s="5">
        <v>43695</v>
      </c>
      <c r="C290" t="s">
        <v>1409</v>
      </c>
      <c r="D290" s="15">
        <v>969406480</v>
      </c>
      <c r="E290" s="14" t="s">
        <v>2305</v>
      </c>
    </row>
    <row r="291" spans="1:5" hidden="1" x14ac:dyDescent="0.2">
      <c r="A291" t="s">
        <v>1372</v>
      </c>
      <c r="B291" s="5">
        <v>43695</v>
      </c>
      <c r="C291" t="s">
        <v>1409</v>
      </c>
      <c r="D291" s="15">
        <v>969406480</v>
      </c>
      <c r="E291" s="14" t="s">
        <v>2302</v>
      </c>
    </row>
    <row r="292" spans="1:5" hidden="1" x14ac:dyDescent="0.2">
      <c r="A292" t="s">
        <v>1372</v>
      </c>
      <c r="B292" s="5">
        <v>43695</v>
      </c>
      <c r="C292" t="s">
        <v>1409</v>
      </c>
      <c r="D292" s="15">
        <v>969406480</v>
      </c>
      <c r="E292" s="14" t="s">
        <v>2304</v>
      </c>
    </row>
    <row r="293" spans="1:5" hidden="1" x14ac:dyDescent="0.2">
      <c r="A293" s="14" t="s">
        <v>700</v>
      </c>
      <c r="B293" s="16">
        <v>43695</v>
      </c>
      <c r="C293" t="s">
        <v>1582</v>
      </c>
      <c r="D293" s="15">
        <v>583732494</v>
      </c>
      <c r="E293" s="14" t="s">
        <v>2306</v>
      </c>
    </row>
    <row r="294" spans="1:5" hidden="1" x14ac:dyDescent="0.2">
      <c r="A294" s="14" t="s">
        <v>152</v>
      </c>
      <c r="B294" s="16">
        <v>43697</v>
      </c>
      <c r="C294" t="s">
        <v>2263</v>
      </c>
      <c r="D294" s="15" t="s">
        <v>2333</v>
      </c>
      <c r="E294" s="14" t="s">
        <v>2366</v>
      </c>
    </row>
    <row r="295" spans="1:5" hidden="1" x14ac:dyDescent="0.2">
      <c r="A295" s="14" t="s">
        <v>694</v>
      </c>
      <c r="B295" s="16">
        <v>43698</v>
      </c>
      <c r="C295" t="s">
        <v>2294</v>
      </c>
      <c r="D295" s="15" t="s">
        <v>2296</v>
      </c>
      <c r="E295" s="14" t="s">
        <v>2367</v>
      </c>
    </row>
    <row r="296" spans="1:5" hidden="1" x14ac:dyDescent="0.2">
      <c r="A296" s="14" t="s">
        <v>694</v>
      </c>
      <c r="B296" s="16">
        <v>43698</v>
      </c>
      <c r="C296" t="s">
        <v>2295</v>
      </c>
      <c r="D296" s="15" t="s">
        <v>2297</v>
      </c>
      <c r="E296" s="14" t="s">
        <v>2368</v>
      </c>
    </row>
    <row r="297" spans="1:5" hidden="1" x14ac:dyDescent="0.2">
      <c r="A297" s="14" t="s">
        <v>950</v>
      </c>
      <c r="B297" s="16">
        <v>43698</v>
      </c>
      <c r="C297" t="s">
        <v>2355</v>
      </c>
      <c r="D297" s="15" t="s">
        <v>2289</v>
      </c>
      <c r="E297" s="14" t="s">
        <v>2360</v>
      </c>
    </row>
    <row r="298" spans="1:5" hidden="1" x14ac:dyDescent="0.2">
      <c r="A298" s="14" t="s">
        <v>950</v>
      </c>
      <c r="B298" s="16">
        <v>43698</v>
      </c>
      <c r="C298" t="s">
        <v>2355</v>
      </c>
      <c r="D298" s="15" t="s">
        <v>2356</v>
      </c>
      <c r="E298" s="14" t="s">
        <v>2360</v>
      </c>
    </row>
    <row r="299" spans="1:5" hidden="1" x14ac:dyDescent="0.2">
      <c r="A299" s="14" t="s">
        <v>950</v>
      </c>
      <c r="B299" s="16">
        <v>43698</v>
      </c>
      <c r="C299" t="s">
        <v>2355</v>
      </c>
      <c r="D299" s="15" t="s">
        <v>2357</v>
      </c>
      <c r="E299" s="14" t="s">
        <v>2361</v>
      </c>
    </row>
    <row r="300" spans="1:5" hidden="1" x14ac:dyDescent="0.2">
      <c r="A300" s="14" t="s">
        <v>950</v>
      </c>
      <c r="B300" s="16">
        <v>43698</v>
      </c>
      <c r="C300" t="s">
        <v>2355</v>
      </c>
      <c r="D300" s="15" t="s">
        <v>2358</v>
      </c>
      <c r="E300" s="14" t="s">
        <v>2361</v>
      </c>
    </row>
    <row r="301" spans="1:5" hidden="1" x14ac:dyDescent="0.2">
      <c r="A301" s="14" t="s">
        <v>950</v>
      </c>
      <c r="B301" s="16">
        <v>43698</v>
      </c>
      <c r="C301" t="s">
        <v>2355</v>
      </c>
      <c r="D301" s="15" t="s">
        <v>2359</v>
      </c>
      <c r="E301" s="14" t="s">
        <v>2361</v>
      </c>
    </row>
    <row r="302" spans="1:5" hidden="1" x14ac:dyDescent="0.2">
      <c r="A302" s="14" t="s">
        <v>2</v>
      </c>
      <c r="B302" s="16">
        <v>43700</v>
      </c>
      <c r="C302" t="s">
        <v>2253</v>
      </c>
      <c r="D302" s="15" t="s">
        <v>2331</v>
      </c>
      <c r="E302" s="14" t="s">
        <v>2370</v>
      </c>
    </row>
    <row r="303" spans="1:5" hidden="1" x14ac:dyDescent="0.2">
      <c r="A303" s="14" t="s">
        <v>2</v>
      </c>
      <c r="B303" s="16">
        <v>43700</v>
      </c>
      <c r="C303" t="s">
        <v>2329</v>
      </c>
      <c r="D303" s="15" t="s">
        <v>2327</v>
      </c>
      <c r="E303" s="14" t="s">
        <v>2370</v>
      </c>
    </row>
    <row r="304" spans="1:5" hidden="1" x14ac:dyDescent="0.2">
      <c r="A304" s="14" t="s">
        <v>2</v>
      </c>
      <c r="B304" s="16">
        <v>43700</v>
      </c>
      <c r="C304" t="s">
        <v>2330</v>
      </c>
      <c r="D304" s="15" t="s">
        <v>2328</v>
      </c>
      <c r="E304" s="14" t="s">
        <v>2370</v>
      </c>
    </row>
    <row r="305" spans="1:5" hidden="1" x14ac:dyDescent="0.2">
      <c r="A305" s="14" t="s">
        <v>694</v>
      </c>
      <c r="B305" s="16">
        <v>43702</v>
      </c>
      <c r="C305" t="s">
        <v>2315</v>
      </c>
      <c r="D305" s="15" t="s">
        <v>2317</v>
      </c>
      <c r="E305" s="14" t="s">
        <v>2428</v>
      </c>
    </row>
    <row r="306" spans="1:5" hidden="1" x14ac:dyDescent="0.2">
      <c r="A306" s="14" t="s">
        <v>1371</v>
      </c>
      <c r="B306" s="16">
        <v>43702</v>
      </c>
      <c r="C306" t="s">
        <v>2421</v>
      </c>
      <c r="D306" s="15">
        <v>584119323</v>
      </c>
      <c r="E306" s="14" t="s">
        <v>2422</v>
      </c>
    </row>
    <row r="307" spans="1:5" hidden="1" x14ac:dyDescent="0.2">
      <c r="A307" t="s">
        <v>1372</v>
      </c>
      <c r="B307" s="5">
        <v>43702.041666666664</v>
      </c>
      <c r="C307" t="s">
        <v>2036</v>
      </c>
      <c r="D307" s="2">
        <v>584324595</v>
      </c>
      <c r="E307" s="14" t="s">
        <v>2424</v>
      </c>
    </row>
    <row r="308" spans="1:5" hidden="1" x14ac:dyDescent="0.2">
      <c r="A308" t="s">
        <v>1372</v>
      </c>
      <c r="B308" s="5">
        <v>43702.041666666664</v>
      </c>
      <c r="C308" t="s">
        <v>2036</v>
      </c>
      <c r="D308" s="2">
        <v>584324595</v>
      </c>
      <c r="E308" s="14" t="s">
        <v>2423</v>
      </c>
    </row>
    <row r="309" spans="1:5" hidden="1" x14ac:dyDescent="0.2">
      <c r="A309" s="14" t="s">
        <v>1022</v>
      </c>
      <c r="B309" s="16">
        <v>43703</v>
      </c>
      <c r="C309" t="s">
        <v>2264</v>
      </c>
      <c r="D309" s="15" t="s">
        <v>2151</v>
      </c>
    </row>
    <row r="310" spans="1:5" hidden="1" x14ac:dyDescent="0.2">
      <c r="A310" s="14" t="s">
        <v>1022</v>
      </c>
      <c r="B310" s="16">
        <v>43703</v>
      </c>
      <c r="C310" t="s">
        <v>2264</v>
      </c>
      <c r="D310" s="15" t="s">
        <v>2151</v>
      </c>
    </row>
    <row r="311" spans="1:5" hidden="1" x14ac:dyDescent="0.2">
      <c r="A311" s="14" t="s">
        <v>1022</v>
      </c>
      <c r="B311" s="16">
        <v>43703</v>
      </c>
      <c r="C311" t="s">
        <v>2264</v>
      </c>
      <c r="D311" s="15" t="s">
        <v>2151</v>
      </c>
    </row>
    <row r="312" spans="1:5" hidden="1" x14ac:dyDescent="0.2">
      <c r="A312" s="14" t="s">
        <v>1022</v>
      </c>
      <c r="B312" s="16">
        <v>43703</v>
      </c>
      <c r="C312" t="s">
        <v>2264</v>
      </c>
      <c r="D312" s="15" t="s">
        <v>2151</v>
      </c>
    </row>
    <row r="313" spans="1:5" hidden="1" x14ac:dyDescent="0.2">
      <c r="A313" s="14" t="s">
        <v>694</v>
      </c>
      <c r="B313" s="16">
        <v>43705</v>
      </c>
      <c r="C313" t="s">
        <v>2316</v>
      </c>
      <c r="D313" s="15" t="s">
        <v>2348</v>
      </c>
      <c r="E313" s="14" t="s">
        <v>2453</v>
      </c>
    </row>
    <row r="314" spans="1:5" hidden="1" x14ac:dyDescent="0.2">
      <c r="A314" s="14" t="s">
        <v>694</v>
      </c>
      <c r="B314" s="16">
        <v>43705</v>
      </c>
      <c r="C314" t="s">
        <v>2316</v>
      </c>
      <c r="D314" s="15" t="s">
        <v>2318</v>
      </c>
      <c r="E314" s="14" t="s">
        <v>2454</v>
      </c>
    </row>
    <row r="315" spans="1:5" hidden="1" x14ac:dyDescent="0.2">
      <c r="A315" s="14" t="s">
        <v>694</v>
      </c>
      <c r="B315" s="16">
        <v>43705</v>
      </c>
      <c r="C315" t="s">
        <v>2319</v>
      </c>
      <c r="D315" s="15" t="s">
        <v>2320</v>
      </c>
      <c r="E315" s="14" t="s">
        <v>2455</v>
      </c>
    </row>
    <row r="316" spans="1:5" hidden="1" x14ac:dyDescent="0.2">
      <c r="A316" s="14" t="s">
        <v>694</v>
      </c>
      <c r="B316" s="16">
        <v>43705</v>
      </c>
      <c r="C316" t="s">
        <v>2345</v>
      </c>
      <c r="D316" s="15" t="s">
        <v>2346</v>
      </c>
      <c r="E316" s="14" t="s">
        <v>2371</v>
      </c>
    </row>
    <row r="317" spans="1:5" hidden="1" x14ac:dyDescent="0.2">
      <c r="A317" t="s">
        <v>149</v>
      </c>
      <c r="B317" s="5">
        <v>43705</v>
      </c>
      <c r="C317" t="s">
        <v>2407</v>
      </c>
      <c r="D317" s="2" t="s">
        <v>2396</v>
      </c>
      <c r="E317" s="14" t="s">
        <v>2440</v>
      </c>
    </row>
    <row r="318" spans="1:5" hidden="1" x14ac:dyDescent="0.2">
      <c r="A318" t="s">
        <v>149</v>
      </c>
      <c r="B318" s="5">
        <v>43705</v>
      </c>
      <c r="C318" t="s">
        <v>2407</v>
      </c>
      <c r="D318" s="2" t="s">
        <v>2408</v>
      </c>
      <c r="E318" s="14" t="s">
        <v>2440</v>
      </c>
    </row>
    <row r="319" spans="1:5" hidden="1" x14ac:dyDescent="0.2">
      <c r="A319" t="s">
        <v>149</v>
      </c>
      <c r="B319" s="5">
        <v>43705</v>
      </c>
      <c r="C319" t="s">
        <v>2407</v>
      </c>
      <c r="D319" s="2" t="s">
        <v>2409</v>
      </c>
      <c r="E319" s="14" t="s">
        <v>2441</v>
      </c>
    </row>
    <row r="320" spans="1:5" hidden="1" x14ac:dyDescent="0.2">
      <c r="A320" t="s">
        <v>149</v>
      </c>
      <c r="B320" s="5">
        <v>43705</v>
      </c>
      <c r="C320" t="s">
        <v>2407</v>
      </c>
      <c r="D320" s="2" t="s">
        <v>2410</v>
      </c>
      <c r="E320" s="14" t="s">
        <v>2441</v>
      </c>
    </row>
    <row r="321" spans="1:5" hidden="1" x14ac:dyDescent="0.2">
      <c r="A321" t="s">
        <v>149</v>
      </c>
      <c r="B321" s="5">
        <v>43705</v>
      </c>
      <c r="C321" t="s">
        <v>2407</v>
      </c>
      <c r="D321" s="2" t="s">
        <v>2411</v>
      </c>
      <c r="E321" s="14" t="s">
        <v>2441</v>
      </c>
    </row>
    <row r="322" spans="1:5" hidden="1" x14ac:dyDescent="0.2">
      <c r="A322" t="s">
        <v>146</v>
      </c>
      <c r="B322" s="5">
        <v>43705</v>
      </c>
      <c r="C322" t="s">
        <v>2381</v>
      </c>
      <c r="D322" s="15" t="s">
        <v>2404</v>
      </c>
      <c r="E322" s="14" t="s">
        <v>2425</v>
      </c>
    </row>
    <row r="323" spans="1:5" hidden="1" x14ac:dyDescent="0.2">
      <c r="A323" t="s">
        <v>146</v>
      </c>
      <c r="B323" s="5">
        <v>43705</v>
      </c>
      <c r="C323" t="s">
        <v>2381</v>
      </c>
      <c r="D323" s="15" t="s">
        <v>2382</v>
      </c>
      <c r="E323" s="14" t="s">
        <v>2426</v>
      </c>
    </row>
    <row r="324" spans="1:5" hidden="1" x14ac:dyDescent="0.2">
      <c r="A324" t="s">
        <v>146</v>
      </c>
      <c r="B324" s="5">
        <v>43705</v>
      </c>
      <c r="C324" t="s">
        <v>2381</v>
      </c>
      <c r="D324" s="15" t="s">
        <v>2405</v>
      </c>
      <c r="E324" s="14" t="s">
        <v>2426</v>
      </c>
    </row>
    <row r="325" spans="1:5" hidden="1" x14ac:dyDescent="0.2">
      <c r="A325" t="s">
        <v>3</v>
      </c>
      <c r="B325" s="5">
        <v>43707</v>
      </c>
      <c r="C325" t="s">
        <v>2393</v>
      </c>
      <c r="D325" s="18" t="s">
        <v>2399</v>
      </c>
      <c r="E325" s="14" t="s">
        <v>2452</v>
      </c>
    </row>
    <row r="326" spans="1:5" hidden="1" x14ac:dyDescent="0.2">
      <c r="A326" t="s">
        <v>3</v>
      </c>
      <c r="B326" s="5">
        <v>43707</v>
      </c>
      <c r="C326" t="s">
        <v>2448</v>
      </c>
      <c r="D326" s="18" t="s">
        <v>2445</v>
      </c>
      <c r="E326" s="14" t="s">
        <v>2452</v>
      </c>
    </row>
    <row r="327" spans="1:5" hidden="1" x14ac:dyDescent="0.2">
      <c r="A327" t="s">
        <v>3</v>
      </c>
      <c r="B327" s="5">
        <v>43707</v>
      </c>
      <c r="C327" t="s">
        <v>2449</v>
      </c>
      <c r="D327" s="18" t="s">
        <v>2446</v>
      </c>
      <c r="E327" s="14" t="s">
        <v>2452</v>
      </c>
    </row>
    <row r="328" spans="1:5" hidden="1" x14ac:dyDescent="0.2">
      <c r="A328" t="s">
        <v>3</v>
      </c>
      <c r="B328" s="5">
        <v>43707</v>
      </c>
      <c r="C328" t="s">
        <v>2450</v>
      </c>
      <c r="D328" s="18" t="s">
        <v>2447</v>
      </c>
      <c r="E328" s="14" t="s">
        <v>2452</v>
      </c>
    </row>
    <row r="329" spans="1:5" hidden="1" x14ac:dyDescent="0.2">
      <c r="A329" s="14" t="s">
        <v>694</v>
      </c>
      <c r="B329" s="16">
        <v>43709</v>
      </c>
      <c r="C329" t="s">
        <v>2322</v>
      </c>
      <c r="D329" s="15" t="s">
        <v>2349</v>
      </c>
      <c r="E329" s="14" t="s">
        <v>2518</v>
      </c>
    </row>
    <row r="330" spans="1:5" hidden="1" x14ac:dyDescent="0.2">
      <c r="A330" s="14" t="s">
        <v>694</v>
      </c>
      <c r="B330" s="16">
        <v>43709</v>
      </c>
      <c r="C330" t="s">
        <v>2322</v>
      </c>
      <c r="D330" s="15" t="s">
        <v>2321</v>
      </c>
      <c r="E330" s="14" t="s">
        <v>2519</v>
      </c>
    </row>
    <row r="331" spans="1:5" hidden="1" x14ac:dyDescent="0.2">
      <c r="A331" s="14" t="s">
        <v>694</v>
      </c>
      <c r="B331" s="16">
        <v>43709</v>
      </c>
      <c r="C331" t="s">
        <v>2323</v>
      </c>
      <c r="D331" s="15" t="s">
        <v>2324</v>
      </c>
      <c r="E331" s="14" t="s">
        <v>2520</v>
      </c>
    </row>
    <row r="332" spans="1:5" hidden="1" x14ac:dyDescent="0.2">
      <c r="A332" t="s">
        <v>1372</v>
      </c>
      <c r="B332" s="5">
        <v>43709</v>
      </c>
      <c r="C332" t="s">
        <v>2037</v>
      </c>
      <c r="D332" s="2">
        <v>584324660</v>
      </c>
      <c r="E332" s="14" t="s">
        <v>2507</v>
      </c>
    </row>
    <row r="333" spans="1:5" hidden="1" x14ac:dyDescent="0.2">
      <c r="A333" t="s">
        <v>1372</v>
      </c>
      <c r="B333" s="5">
        <v>43709</v>
      </c>
      <c r="C333" t="s">
        <v>2037</v>
      </c>
      <c r="D333" s="2">
        <v>584324660</v>
      </c>
      <c r="E333" s="14" t="s">
        <v>2508</v>
      </c>
    </row>
    <row r="334" spans="1:5" hidden="1" x14ac:dyDescent="0.2">
      <c r="A334" t="s">
        <v>1372</v>
      </c>
      <c r="B334" s="5">
        <v>43709.041666666664</v>
      </c>
      <c r="C334" t="s">
        <v>2038</v>
      </c>
      <c r="D334" s="2">
        <v>584324694</v>
      </c>
      <c r="E334" s="14" t="s">
        <v>2510</v>
      </c>
    </row>
    <row r="335" spans="1:5" hidden="1" x14ac:dyDescent="0.2">
      <c r="A335" t="s">
        <v>1372</v>
      </c>
      <c r="B335" s="5">
        <v>43709.041666666664</v>
      </c>
      <c r="C335" t="s">
        <v>2038</v>
      </c>
      <c r="D335" s="2">
        <v>584324694</v>
      </c>
      <c r="E335" s="14" t="s">
        <v>2509</v>
      </c>
    </row>
    <row r="336" spans="1:5" hidden="1" x14ac:dyDescent="0.2">
      <c r="A336" t="s">
        <v>154</v>
      </c>
      <c r="B336" s="5">
        <v>43711</v>
      </c>
      <c r="C336" t="s">
        <v>2522</v>
      </c>
      <c r="D336" s="15" t="s">
        <v>2523</v>
      </c>
      <c r="E336" s="14" t="s">
        <v>2524</v>
      </c>
    </row>
    <row r="337" spans="1:5" hidden="1" x14ac:dyDescent="0.2">
      <c r="A337" s="14" t="s">
        <v>694</v>
      </c>
      <c r="B337" s="16">
        <v>43712</v>
      </c>
      <c r="C337" t="s">
        <v>2413</v>
      </c>
      <c r="D337" s="15" t="s">
        <v>2420</v>
      </c>
      <c r="E337" s="14" t="s">
        <v>2543</v>
      </c>
    </row>
    <row r="338" spans="1:5" hidden="1" x14ac:dyDescent="0.2">
      <c r="A338" s="14" t="s">
        <v>694</v>
      </c>
      <c r="B338" s="16">
        <v>43712</v>
      </c>
      <c r="C338" t="s">
        <v>2413</v>
      </c>
      <c r="D338" s="15" t="s">
        <v>2414</v>
      </c>
      <c r="E338" s="14" t="s">
        <v>2544</v>
      </c>
    </row>
    <row r="339" spans="1:5" hidden="1" x14ac:dyDescent="0.2">
      <c r="A339" s="14" t="s">
        <v>694</v>
      </c>
      <c r="B339" s="16">
        <v>43712</v>
      </c>
      <c r="C339" t="s">
        <v>2415</v>
      </c>
      <c r="D339" s="15" t="s">
        <v>2496</v>
      </c>
      <c r="E339" s="14" t="s">
        <v>2541</v>
      </c>
    </row>
    <row r="340" spans="1:5" hidden="1" x14ac:dyDescent="0.2">
      <c r="A340" s="14" t="s">
        <v>694</v>
      </c>
      <c r="B340" s="16">
        <v>43712</v>
      </c>
      <c r="C340" t="s">
        <v>2415</v>
      </c>
      <c r="D340" s="15" t="s">
        <v>2417</v>
      </c>
      <c r="E340" s="14" t="s">
        <v>2541</v>
      </c>
    </row>
    <row r="341" spans="1:5" hidden="1" x14ac:dyDescent="0.2">
      <c r="A341" s="14" t="s">
        <v>694</v>
      </c>
      <c r="B341" s="16">
        <v>43712</v>
      </c>
      <c r="C341" t="s">
        <v>2416</v>
      </c>
      <c r="D341" s="15" t="s">
        <v>2418</v>
      </c>
      <c r="E341" s="14" t="s">
        <v>2545</v>
      </c>
    </row>
    <row r="342" spans="1:5" hidden="1" x14ac:dyDescent="0.2">
      <c r="A342" s="14" t="s">
        <v>950</v>
      </c>
      <c r="B342" s="16">
        <v>43712</v>
      </c>
      <c r="C342" t="s">
        <v>2490</v>
      </c>
      <c r="D342" s="15" t="s">
        <v>2485</v>
      </c>
      <c r="E342" s="14" t="s">
        <v>2540</v>
      </c>
    </row>
    <row r="343" spans="1:5" hidden="1" x14ac:dyDescent="0.2">
      <c r="A343" s="14" t="s">
        <v>950</v>
      </c>
      <c r="B343" s="16">
        <v>43712</v>
      </c>
      <c r="C343" t="s">
        <v>2490</v>
      </c>
      <c r="D343" s="15" t="s">
        <v>2486</v>
      </c>
      <c r="E343" s="14" t="s">
        <v>2540</v>
      </c>
    </row>
    <row r="344" spans="1:5" hidden="1" x14ac:dyDescent="0.2">
      <c r="A344" s="14" t="s">
        <v>950</v>
      </c>
      <c r="B344" s="16">
        <v>43712</v>
      </c>
      <c r="C344" t="s">
        <v>2490</v>
      </c>
      <c r="D344" s="15" t="s">
        <v>2487</v>
      </c>
      <c r="E344" s="14" t="s">
        <v>2540</v>
      </c>
    </row>
    <row r="345" spans="1:5" hidden="1" x14ac:dyDescent="0.2">
      <c r="A345" s="14" t="s">
        <v>950</v>
      </c>
      <c r="B345" s="16">
        <v>43712</v>
      </c>
      <c r="C345" t="s">
        <v>2490</v>
      </c>
      <c r="D345" s="15" t="s">
        <v>2488</v>
      </c>
      <c r="E345" s="14" t="s">
        <v>2540</v>
      </c>
    </row>
    <row r="346" spans="1:5" hidden="1" x14ac:dyDescent="0.2">
      <c r="A346" s="14" t="s">
        <v>950</v>
      </c>
      <c r="B346" s="16">
        <v>43712</v>
      </c>
      <c r="C346" t="s">
        <v>2490</v>
      </c>
      <c r="D346" s="15" t="s">
        <v>2489</v>
      </c>
      <c r="E346" s="14" t="s">
        <v>2540</v>
      </c>
    </row>
    <row r="347" spans="1:5" hidden="1" x14ac:dyDescent="0.2">
      <c r="A347" t="s">
        <v>146</v>
      </c>
      <c r="B347" s="5">
        <v>43712</v>
      </c>
      <c r="C347" t="s">
        <v>2516</v>
      </c>
      <c r="D347" s="2" t="s">
        <v>2515</v>
      </c>
      <c r="E347" s="14" t="s">
        <v>2538</v>
      </c>
    </row>
    <row r="348" spans="1:5" hidden="1" x14ac:dyDescent="0.2">
      <c r="A348" t="s">
        <v>146</v>
      </c>
      <c r="B348" s="5">
        <v>43712</v>
      </c>
      <c r="C348" t="s">
        <v>2516</v>
      </c>
      <c r="D348" s="2" t="s">
        <v>2536</v>
      </c>
      <c r="E348" s="14" t="s">
        <v>2539</v>
      </c>
    </row>
    <row r="349" spans="1:5" hidden="1" x14ac:dyDescent="0.2">
      <c r="A349" t="s">
        <v>146</v>
      </c>
      <c r="B349" s="5">
        <v>43712</v>
      </c>
      <c r="C349" t="s">
        <v>2516</v>
      </c>
      <c r="D349" s="2" t="s">
        <v>2537</v>
      </c>
      <c r="E349" s="14" t="s">
        <v>2539</v>
      </c>
    </row>
    <row r="350" spans="1:5" hidden="1" x14ac:dyDescent="0.2">
      <c r="A350" s="14" t="s">
        <v>2</v>
      </c>
      <c r="B350" s="16">
        <v>43714</v>
      </c>
      <c r="C350" t="s">
        <v>2513</v>
      </c>
      <c r="D350" s="15" t="s">
        <v>2525</v>
      </c>
      <c r="E350" s="14" t="s">
        <v>2561</v>
      </c>
    </row>
    <row r="351" spans="1:5" hidden="1" x14ac:dyDescent="0.2">
      <c r="A351" s="14" t="s">
        <v>2</v>
      </c>
      <c r="B351" s="16">
        <v>43714</v>
      </c>
      <c r="C351" t="s">
        <v>2550</v>
      </c>
      <c r="D351" s="15" t="s">
        <v>2638</v>
      </c>
      <c r="E351" s="14" t="s">
        <v>2561</v>
      </c>
    </row>
    <row r="352" spans="1:5" hidden="1" x14ac:dyDescent="0.2">
      <c r="A352" s="14" t="s">
        <v>2</v>
      </c>
      <c r="B352" s="16">
        <v>43714</v>
      </c>
      <c r="C352" t="s">
        <v>2551</v>
      </c>
      <c r="D352" s="15" t="s">
        <v>2639</v>
      </c>
      <c r="E352" s="14" t="s">
        <v>2561</v>
      </c>
    </row>
    <row r="353" spans="1:5" hidden="1" x14ac:dyDescent="0.2">
      <c r="A353" t="s">
        <v>621</v>
      </c>
      <c r="B353" s="5">
        <v>43716</v>
      </c>
      <c r="C353" t="s">
        <v>2552</v>
      </c>
      <c r="D353" s="15" t="s">
        <v>2560</v>
      </c>
      <c r="E353" s="14" t="s">
        <v>2599</v>
      </c>
    </row>
    <row r="354" spans="1:5" hidden="1" x14ac:dyDescent="0.2">
      <c r="A354" t="s">
        <v>621</v>
      </c>
      <c r="B354" s="5">
        <v>43716</v>
      </c>
      <c r="C354" t="s">
        <v>2552</v>
      </c>
      <c r="D354" s="15" t="s">
        <v>2555</v>
      </c>
      <c r="E354" s="14" t="s">
        <v>2600</v>
      </c>
    </row>
    <row r="355" spans="1:5" hidden="1" x14ac:dyDescent="0.2">
      <c r="A355" t="s">
        <v>621</v>
      </c>
      <c r="B355" s="5">
        <v>43716</v>
      </c>
      <c r="C355" t="s">
        <v>2553</v>
      </c>
      <c r="D355" s="15" t="s">
        <v>2556</v>
      </c>
      <c r="E355" s="14" t="s">
        <v>2601</v>
      </c>
    </row>
    <row r="356" spans="1:5" hidden="1" x14ac:dyDescent="0.2">
      <c r="A356" t="s">
        <v>621</v>
      </c>
      <c r="B356" s="5">
        <v>43716</v>
      </c>
      <c r="C356" t="s">
        <v>2554</v>
      </c>
      <c r="D356" s="15" t="s">
        <v>2557</v>
      </c>
      <c r="E356" s="14" t="s">
        <v>2602</v>
      </c>
    </row>
    <row r="357" spans="1:5" hidden="1" x14ac:dyDescent="0.2">
      <c r="A357" t="s">
        <v>1372</v>
      </c>
      <c r="B357" s="5">
        <v>43716</v>
      </c>
      <c r="C357" t="s">
        <v>2039</v>
      </c>
      <c r="D357" s="2">
        <v>584324727</v>
      </c>
      <c r="E357" s="14" t="s">
        <v>2594</v>
      </c>
    </row>
    <row r="358" spans="1:5" hidden="1" x14ac:dyDescent="0.2">
      <c r="A358" t="s">
        <v>1372</v>
      </c>
      <c r="B358" s="5">
        <v>43716</v>
      </c>
      <c r="C358" t="s">
        <v>2039</v>
      </c>
      <c r="D358" s="2">
        <v>584324727</v>
      </c>
      <c r="E358" s="14" t="s">
        <v>2593</v>
      </c>
    </row>
    <row r="359" spans="1:5" hidden="1" x14ac:dyDescent="0.2">
      <c r="A359" t="s">
        <v>1372</v>
      </c>
      <c r="B359" s="5">
        <v>43716.041666666664</v>
      </c>
      <c r="C359" t="s">
        <v>2040</v>
      </c>
      <c r="D359" s="2">
        <v>584324745</v>
      </c>
      <c r="E359" s="14" t="s">
        <v>2596</v>
      </c>
    </row>
    <row r="360" spans="1:5" hidden="1" x14ac:dyDescent="0.2">
      <c r="A360" t="s">
        <v>1372</v>
      </c>
      <c r="B360" s="5">
        <v>43716.041666666664</v>
      </c>
      <c r="C360" t="s">
        <v>2040</v>
      </c>
      <c r="D360" s="2">
        <v>584324745</v>
      </c>
      <c r="E360" s="14" t="s">
        <v>2595</v>
      </c>
    </row>
    <row r="361" spans="1:5" hidden="1" x14ac:dyDescent="0.2">
      <c r="A361" s="14" t="s">
        <v>694</v>
      </c>
      <c r="B361" s="16">
        <v>43719</v>
      </c>
      <c r="C361" t="s">
        <v>2588</v>
      </c>
      <c r="D361" s="15" t="s">
        <v>2597</v>
      </c>
      <c r="E361" s="14" t="s">
        <v>2634</v>
      </c>
    </row>
    <row r="362" spans="1:5" hidden="1" x14ac:dyDescent="0.2">
      <c r="A362" s="14" t="s">
        <v>694</v>
      </c>
      <c r="B362" s="16">
        <v>43719</v>
      </c>
      <c r="C362" t="s">
        <v>2588</v>
      </c>
      <c r="D362" s="15" t="s">
        <v>2589</v>
      </c>
      <c r="E362" s="14" t="s">
        <v>2635</v>
      </c>
    </row>
    <row r="363" spans="1:5" hidden="1" x14ac:dyDescent="0.2">
      <c r="A363" s="14" t="s">
        <v>694</v>
      </c>
      <c r="B363" s="16">
        <v>43719</v>
      </c>
      <c r="C363" t="s">
        <v>2590</v>
      </c>
      <c r="D363" s="15" t="s">
        <v>2591</v>
      </c>
      <c r="E363" s="14" t="s">
        <v>2636</v>
      </c>
    </row>
    <row r="364" spans="1:5" hidden="1" x14ac:dyDescent="0.2">
      <c r="A364" s="14" t="s">
        <v>950</v>
      </c>
      <c r="B364" s="16">
        <v>43719</v>
      </c>
      <c r="C364" t="s">
        <v>2626</v>
      </c>
      <c r="D364" s="15" t="s">
        <v>2571</v>
      </c>
      <c r="E364" s="14" t="s">
        <v>2631</v>
      </c>
    </row>
    <row r="365" spans="1:5" hidden="1" x14ac:dyDescent="0.2">
      <c r="A365" s="14" t="s">
        <v>950</v>
      </c>
      <c r="B365" s="16">
        <v>43719</v>
      </c>
      <c r="C365" t="s">
        <v>2626</v>
      </c>
      <c r="D365" s="15" t="s">
        <v>2627</v>
      </c>
      <c r="E365" s="14" t="s">
        <v>2631</v>
      </c>
    </row>
    <row r="366" spans="1:5" hidden="1" x14ac:dyDescent="0.2">
      <c r="A366" s="14" t="s">
        <v>950</v>
      </c>
      <c r="B366" s="16">
        <v>43719</v>
      </c>
      <c r="C366" t="s">
        <v>2626</v>
      </c>
      <c r="D366" s="15" t="s">
        <v>2628</v>
      </c>
      <c r="E366" s="14" t="s">
        <v>2631</v>
      </c>
    </row>
    <row r="367" spans="1:5" hidden="1" x14ac:dyDescent="0.2">
      <c r="A367" s="14" t="s">
        <v>950</v>
      </c>
      <c r="B367" s="16">
        <v>43719</v>
      </c>
      <c r="C367" t="s">
        <v>2626</v>
      </c>
      <c r="D367" s="15" t="s">
        <v>2629</v>
      </c>
      <c r="E367" s="14" t="s">
        <v>2632</v>
      </c>
    </row>
    <row r="368" spans="1:5" hidden="1" x14ac:dyDescent="0.2">
      <c r="A368" s="14" t="s">
        <v>950</v>
      </c>
      <c r="B368" s="16">
        <v>43719</v>
      </c>
      <c r="C368" t="s">
        <v>2626</v>
      </c>
      <c r="D368" s="15" t="s">
        <v>2630</v>
      </c>
      <c r="E368" s="14" t="s">
        <v>2632</v>
      </c>
    </row>
    <row r="369" spans="1:5" hidden="1" x14ac:dyDescent="0.2">
      <c r="A369" s="14" t="s">
        <v>152</v>
      </c>
      <c r="B369" s="16">
        <v>43719</v>
      </c>
      <c r="C369" t="s">
        <v>2614</v>
      </c>
      <c r="D369" s="15" t="s">
        <v>2577</v>
      </c>
      <c r="E369" s="14" t="s">
        <v>2612</v>
      </c>
    </row>
    <row r="370" spans="1:5" hidden="1" x14ac:dyDescent="0.2">
      <c r="A370" s="14" t="s">
        <v>152</v>
      </c>
      <c r="B370" s="16">
        <v>43719</v>
      </c>
      <c r="C370" t="s">
        <v>2614</v>
      </c>
      <c r="D370" s="15" t="s">
        <v>2610</v>
      </c>
      <c r="E370" s="14" t="s">
        <v>2613</v>
      </c>
    </row>
    <row r="371" spans="1:5" hidden="1" x14ac:dyDescent="0.2">
      <c r="A371" s="14" t="s">
        <v>152</v>
      </c>
      <c r="B371" s="16">
        <v>43719</v>
      </c>
      <c r="C371" t="s">
        <v>2614</v>
      </c>
      <c r="D371" s="15" t="s">
        <v>2611</v>
      </c>
      <c r="E371" s="14" t="s">
        <v>2613</v>
      </c>
    </row>
    <row r="372" spans="1:5" hidden="1" x14ac:dyDescent="0.2">
      <c r="A372" t="s">
        <v>3</v>
      </c>
      <c r="B372" s="5">
        <v>43721</v>
      </c>
      <c r="C372" t="s">
        <v>2564</v>
      </c>
      <c r="D372" s="2" t="s">
        <v>2716</v>
      </c>
      <c r="E372" s="14" t="s">
        <v>2656</v>
      </c>
    </row>
    <row r="373" spans="1:5" hidden="1" x14ac:dyDescent="0.2">
      <c r="A373" t="s">
        <v>3</v>
      </c>
      <c r="B373" s="5">
        <v>43721</v>
      </c>
      <c r="C373" t="s">
        <v>2644</v>
      </c>
      <c r="D373" s="2" t="s">
        <v>2642</v>
      </c>
      <c r="E373" s="14" t="s">
        <v>2656</v>
      </c>
    </row>
    <row r="374" spans="1:5" hidden="1" x14ac:dyDescent="0.2">
      <c r="A374" t="s">
        <v>3</v>
      </c>
      <c r="B374" s="5">
        <v>43721</v>
      </c>
      <c r="C374" t="s">
        <v>2645</v>
      </c>
      <c r="D374" s="2" t="s">
        <v>2643</v>
      </c>
      <c r="E374" s="14" t="s">
        <v>2656</v>
      </c>
    </row>
    <row r="375" spans="1:5" hidden="1" x14ac:dyDescent="0.2">
      <c r="A375" t="s">
        <v>621</v>
      </c>
      <c r="B375" s="5">
        <v>43723</v>
      </c>
      <c r="C375" t="s">
        <v>2658</v>
      </c>
      <c r="D375" s="15" t="s">
        <v>2659</v>
      </c>
      <c r="E375" s="14" t="s">
        <v>2687</v>
      </c>
    </row>
    <row r="376" spans="1:5" hidden="1" x14ac:dyDescent="0.2">
      <c r="A376" t="s">
        <v>621</v>
      </c>
      <c r="B376" s="5">
        <v>43723</v>
      </c>
      <c r="C376" t="s">
        <v>2658</v>
      </c>
      <c r="D376" s="15" t="s">
        <v>2659</v>
      </c>
      <c r="E376" s="14" t="s">
        <v>2686</v>
      </c>
    </row>
    <row r="377" spans="1:5" hidden="1" x14ac:dyDescent="0.2">
      <c r="A377" t="s">
        <v>621</v>
      </c>
      <c r="B377" s="5">
        <v>43723</v>
      </c>
      <c r="C377" t="s">
        <v>2662</v>
      </c>
      <c r="D377" s="15" t="s">
        <v>2664</v>
      </c>
      <c r="E377" s="14" t="s">
        <v>2688</v>
      </c>
    </row>
    <row r="378" spans="1:5" hidden="1" x14ac:dyDescent="0.2">
      <c r="A378" t="s">
        <v>621</v>
      </c>
      <c r="B378" s="5">
        <v>43723</v>
      </c>
      <c r="C378" t="s">
        <v>2663</v>
      </c>
      <c r="D378" s="15" t="s">
        <v>2665</v>
      </c>
      <c r="E378" s="14" t="s">
        <v>2689</v>
      </c>
    </row>
    <row r="379" spans="1:5" hidden="1" x14ac:dyDescent="0.2">
      <c r="A379" t="s">
        <v>1372</v>
      </c>
      <c r="B379" s="5">
        <v>43723</v>
      </c>
      <c r="C379" t="s">
        <v>2041</v>
      </c>
      <c r="D379" s="2">
        <v>584324763</v>
      </c>
      <c r="E379" s="14" t="s">
        <v>2705</v>
      </c>
    </row>
    <row r="380" spans="1:5" hidden="1" x14ac:dyDescent="0.2">
      <c r="A380" t="s">
        <v>1372</v>
      </c>
      <c r="B380" s="5">
        <v>43723</v>
      </c>
      <c r="C380" t="s">
        <v>2041</v>
      </c>
      <c r="D380" s="2">
        <v>584324763</v>
      </c>
      <c r="E380" s="14" t="s">
        <v>2706</v>
      </c>
    </row>
    <row r="381" spans="1:5" hidden="1" x14ac:dyDescent="0.2">
      <c r="A381" s="14" t="s">
        <v>702</v>
      </c>
      <c r="B381" s="16">
        <v>43723</v>
      </c>
      <c r="C381" t="s">
        <v>2707</v>
      </c>
      <c r="D381" s="15">
        <v>585888948</v>
      </c>
      <c r="E381" s="14" t="s">
        <v>2708</v>
      </c>
    </row>
    <row r="382" spans="1:5" hidden="1" x14ac:dyDescent="0.2">
      <c r="A382" t="s">
        <v>154</v>
      </c>
      <c r="B382" s="5">
        <v>43725</v>
      </c>
      <c r="C382" t="s">
        <v>2703</v>
      </c>
      <c r="D382" s="15" t="s">
        <v>2690</v>
      </c>
      <c r="E382" s="14" t="s">
        <v>2704</v>
      </c>
    </row>
    <row r="383" spans="1:5" hidden="1" x14ac:dyDescent="0.2">
      <c r="A383" s="14" t="s">
        <v>694</v>
      </c>
      <c r="B383" s="16">
        <v>43726</v>
      </c>
      <c r="C383" t="s">
        <v>2660</v>
      </c>
      <c r="D383" s="15" t="s">
        <v>2661</v>
      </c>
      <c r="E383" s="14" t="s">
        <v>2718</v>
      </c>
    </row>
    <row r="384" spans="1:5" hidden="1" x14ac:dyDescent="0.2">
      <c r="A384" s="14" t="s">
        <v>694</v>
      </c>
      <c r="B384" s="16">
        <v>43726</v>
      </c>
      <c r="C384" t="s">
        <v>2660</v>
      </c>
      <c r="D384" s="15" t="s">
        <v>2661</v>
      </c>
      <c r="E384" s="14" t="s">
        <v>2717</v>
      </c>
    </row>
    <row r="385" spans="1:5" hidden="1" x14ac:dyDescent="0.2">
      <c r="A385" s="14" t="s">
        <v>694</v>
      </c>
      <c r="B385" s="16">
        <v>43726</v>
      </c>
      <c r="C385" t="s">
        <v>2683</v>
      </c>
      <c r="D385" s="15" t="s">
        <v>2684</v>
      </c>
      <c r="E385" s="14" t="s">
        <v>2719</v>
      </c>
    </row>
    <row r="386" spans="1:5" hidden="1" x14ac:dyDescent="0.2">
      <c r="A386" s="14" t="s">
        <v>950</v>
      </c>
      <c r="B386" s="16">
        <v>43726</v>
      </c>
      <c r="C386" t="s">
        <v>2651</v>
      </c>
      <c r="D386" s="15" t="s">
        <v>2650</v>
      </c>
      <c r="E386" s="14" t="s">
        <v>2722</v>
      </c>
    </row>
    <row r="387" spans="1:5" hidden="1" x14ac:dyDescent="0.2">
      <c r="A387" s="14" t="s">
        <v>950</v>
      </c>
      <c r="B387" s="16">
        <v>43726</v>
      </c>
      <c r="C387" t="s">
        <v>2651</v>
      </c>
      <c r="D387" s="15" t="s">
        <v>2675</v>
      </c>
      <c r="E387" s="14" t="s">
        <v>2722</v>
      </c>
    </row>
    <row r="388" spans="1:5" hidden="1" x14ac:dyDescent="0.2">
      <c r="A388" s="14" t="s">
        <v>950</v>
      </c>
      <c r="B388" s="16">
        <v>43726</v>
      </c>
      <c r="C388" t="s">
        <v>2651</v>
      </c>
      <c r="D388" s="15" t="s">
        <v>2676</v>
      </c>
      <c r="E388" s="14" t="s">
        <v>2722</v>
      </c>
    </row>
    <row r="389" spans="1:5" hidden="1" x14ac:dyDescent="0.2">
      <c r="A389" s="14" t="s">
        <v>950</v>
      </c>
      <c r="B389" s="16">
        <v>43726</v>
      </c>
      <c r="C389" t="s">
        <v>2651</v>
      </c>
      <c r="D389" s="15" t="s">
        <v>2677</v>
      </c>
      <c r="E389" s="14" t="s">
        <v>2722</v>
      </c>
    </row>
    <row r="390" spans="1:5" hidden="1" x14ac:dyDescent="0.2">
      <c r="A390" s="14" t="s">
        <v>152</v>
      </c>
      <c r="B390" s="16">
        <v>43726</v>
      </c>
      <c r="C390" t="s">
        <v>2709</v>
      </c>
      <c r="D390" s="15" t="s">
        <v>2710</v>
      </c>
      <c r="E390" s="14" t="s">
        <v>2713</v>
      </c>
    </row>
    <row r="391" spans="1:5" hidden="1" x14ac:dyDescent="0.2">
      <c r="A391" s="14" t="s">
        <v>152</v>
      </c>
      <c r="B391" s="16">
        <v>43726</v>
      </c>
      <c r="C391" t="s">
        <v>2709</v>
      </c>
      <c r="D391" s="15" t="s">
        <v>2711</v>
      </c>
      <c r="E391" s="14" t="s">
        <v>2714</v>
      </c>
    </row>
    <row r="392" spans="1:5" hidden="1" x14ac:dyDescent="0.2">
      <c r="A392" s="14" t="s">
        <v>152</v>
      </c>
      <c r="B392" s="16">
        <v>43726</v>
      </c>
      <c r="C392" t="s">
        <v>2709</v>
      </c>
      <c r="D392" s="15" t="s">
        <v>2712</v>
      </c>
      <c r="E392" s="14" t="s">
        <v>2714</v>
      </c>
    </row>
    <row r="393" spans="1:5" hidden="1" x14ac:dyDescent="0.2">
      <c r="A393" t="s">
        <v>3</v>
      </c>
      <c r="B393" s="5">
        <v>43728</v>
      </c>
      <c r="C393" t="s">
        <v>2648</v>
      </c>
      <c r="D393" s="2" t="s">
        <v>2721</v>
      </c>
      <c r="E393" s="14" t="s">
        <v>2736</v>
      </c>
    </row>
    <row r="394" spans="1:5" hidden="1" x14ac:dyDescent="0.2">
      <c r="A394" t="s">
        <v>3</v>
      </c>
      <c r="B394" s="5">
        <v>43728</v>
      </c>
      <c r="C394" t="s">
        <v>2725</v>
      </c>
      <c r="D394" s="2" t="s">
        <v>2723</v>
      </c>
      <c r="E394" s="14" t="s">
        <v>2736</v>
      </c>
    </row>
    <row r="395" spans="1:5" hidden="1" x14ac:dyDescent="0.2">
      <c r="A395" t="s">
        <v>3</v>
      </c>
      <c r="B395" s="5">
        <v>43728</v>
      </c>
      <c r="C395" t="s">
        <v>2726</v>
      </c>
      <c r="D395" s="2" t="s">
        <v>2724</v>
      </c>
      <c r="E395" s="14" t="s">
        <v>2736</v>
      </c>
    </row>
    <row r="396" spans="1:5" hidden="1" x14ac:dyDescent="0.2">
      <c r="A396" s="14" t="s">
        <v>694</v>
      </c>
      <c r="B396" s="16">
        <v>43730</v>
      </c>
      <c r="C396" t="s">
        <v>2738</v>
      </c>
      <c r="D396" s="15" t="s">
        <v>2739</v>
      </c>
      <c r="E396" s="14" t="s">
        <v>2797</v>
      </c>
    </row>
    <row r="397" spans="1:5" hidden="1" x14ac:dyDescent="0.2">
      <c r="A397" s="14" t="s">
        <v>694</v>
      </c>
      <c r="B397" s="16">
        <v>43730</v>
      </c>
      <c r="C397" t="s">
        <v>2738</v>
      </c>
      <c r="D397" s="15" t="s">
        <v>2745</v>
      </c>
      <c r="E397" s="14" t="s">
        <v>2796</v>
      </c>
    </row>
    <row r="398" spans="1:5" hidden="1" x14ac:dyDescent="0.2">
      <c r="A398" s="14" t="s">
        <v>694</v>
      </c>
      <c r="B398" s="16">
        <v>43730</v>
      </c>
      <c r="C398" t="s">
        <v>2741</v>
      </c>
      <c r="D398" s="15" t="s">
        <v>2743</v>
      </c>
      <c r="E398" s="14" t="s">
        <v>2799</v>
      </c>
    </row>
    <row r="399" spans="1:5" hidden="1" x14ac:dyDescent="0.2">
      <c r="A399" s="14" t="s">
        <v>694</v>
      </c>
      <c r="B399" s="16">
        <v>43730</v>
      </c>
      <c r="C399" t="s">
        <v>2741</v>
      </c>
      <c r="D399" s="15" t="s">
        <v>2746</v>
      </c>
      <c r="E399" s="14" t="s">
        <v>2798</v>
      </c>
    </row>
    <row r="400" spans="1:5" hidden="1" x14ac:dyDescent="0.2">
      <c r="A400" s="14" t="s">
        <v>694</v>
      </c>
      <c r="B400" s="16">
        <v>43730</v>
      </c>
      <c r="C400" t="s">
        <v>2742</v>
      </c>
      <c r="D400" s="15" t="s">
        <v>2744</v>
      </c>
      <c r="E400" s="14" t="s">
        <v>2800</v>
      </c>
    </row>
    <row r="401" spans="1:5" hidden="1" x14ac:dyDescent="0.2">
      <c r="A401" s="14" t="s">
        <v>1371</v>
      </c>
      <c r="B401" s="16">
        <v>43730</v>
      </c>
      <c r="C401" t="s">
        <v>2042</v>
      </c>
      <c r="D401" s="15">
        <v>584324793</v>
      </c>
      <c r="E401" s="14" t="s">
        <v>2769</v>
      </c>
    </row>
    <row r="402" spans="1:5" hidden="1" x14ac:dyDescent="0.2">
      <c r="A402" s="14" t="s">
        <v>1371</v>
      </c>
      <c r="B402" s="16">
        <v>43730</v>
      </c>
      <c r="C402" t="s">
        <v>2042</v>
      </c>
      <c r="D402" s="15">
        <v>584324793</v>
      </c>
      <c r="E402" s="14" t="s">
        <v>2768</v>
      </c>
    </row>
    <row r="403" spans="1:5" hidden="1" x14ac:dyDescent="0.2">
      <c r="A403" s="14" t="s">
        <v>694</v>
      </c>
      <c r="B403" s="16">
        <v>43733</v>
      </c>
      <c r="C403" t="s">
        <v>2786</v>
      </c>
      <c r="D403" s="15" t="s">
        <v>2792</v>
      </c>
    </row>
    <row r="404" spans="1:5" hidden="1" x14ac:dyDescent="0.2">
      <c r="A404" s="14" t="s">
        <v>694</v>
      </c>
      <c r="B404" s="16">
        <v>43733</v>
      </c>
      <c r="C404" t="s">
        <v>2787</v>
      </c>
      <c r="D404" s="15" t="s">
        <v>2793</v>
      </c>
    </row>
    <row r="405" spans="1:5" hidden="1" x14ac:dyDescent="0.2">
      <c r="A405" s="14" t="s">
        <v>694</v>
      </c>
      <c r="B405" s="16">
        <v>43733</v>
      </c>
      <c r="C405" t="s">
        <v>2787</v>
      </c>
      <c r="D405" s="15" t="s">
        <v>2788</v>
      </c>
    </row>
    <row r="406" spans="1:5" hidden="1" x14ac:dyDescent="0.2">
      <c r="A406" s="14" t="s">
        <v>694</v>
      </c>
      <c r="B406" s="16">
        <v>43733</v>
      </c>
      <c r="C406" t="s">
        <v>2787</v>
      </c>
      <c r="D406" s="15" t="s">
        <v>2788</v>
      </c>
    </row>
    <row r="407" spans="1:5" hidden="1" x14ac:dyDescent="0.2">
      <c r="A407" s="14" t="s">
        <v>950</v>
      </c>
      <c r="B407" s="16">
        <v>43733</v>
      </c>
      <c r="C407" t="s">
        <v>2765</v>
      </c>
      <c r="D407" s="15" t="s">
        <v>2748</v>
      </c>
      <c r="E407" s="14" t="s">
        <v>2811</v>
      </c>
    </row>
    <row r="408" spans="1:5" hidden="1" x14ac:dyDescent="0.2">
      <c r="A408" s="14" t="s">
        <v>950</v>
      </c>
      <c r="B408" s="16">
        <v>43733</v>
      </c>
      <c r="C408" t="s">
        <v>2765</v>
      </c>
      <c r="D408" s="15" t="s">
        <v>2749</v>
      </c>
      <c r="E408" s="14" t="s">
        <v>2811</v>
      </c>
    </row>
    <row r="409" spans="1:5" hidden="1" x14ac:dyDescent="0.2">
      <c r="A409" s="14" t="s">
        <v>950</v>
      </c>
      <c r="B409" s="16">
        <v>43733</v>
      </c>
      <c r="C409" t="s">
        <v>2765</v>
      </c>
      <c r="D409" s="15" t="s">
        <v>2750</v>
      </c>
      <c r="E409" s="14" t="s">
        <v>2811</v>
      </c>
    </row>
    <row r="410" spans="1:5" hidden="1" x14ac:dyDescent="0.2">
      <c r="A410" s="14" t="s">
        <v>950</v>
      </c>
      <c r="B410" s="16">
        <v>43733</v>
      </c>
      <c r="C410" t="s">
        <v>2765</v>
      </c>
      <c r="D410" s="15" t="s">
        <v>2751</v>
      </c>
      <c r="E410" s="14" t="s">
        <v>2811</v>
      </c>
    </row>
    <row r="411" spans="1:5" hidden="1" x14ac:dyDescent="0.2">
      <c r="A411" t="s">
        <v>146</v>
      </c>
      <c r="B411" s="5">
        <v>43733</v>
      </c>
      <c r="C411" t="s">
        <v>2766</v>
      </c>
      <c r="D411" s="2" t="s">
        <v>2756</v>
      </c>
      <c r="E411" s="14" t="s">
        <v>2803</v>
      </c>
    </row>
    <row r="412" spans="1:5" hidden="1" x14ac:dyDescent="0.2">
      <c r="A412" t="s">
        <v>146</v>
      </c>
      <c r="B412" s="5">
        <v>43733</v>
      </c>
      <c r="C412" t="s">
        <v>2766</v>
      </c>
      <c r="D412" s="2" t="s">
        <v>2767</v>
      </c>
      <c r="E412" s="14" t="s">
        <v>2804</v>
      </c>
    </row>
    <row r="413" spans="1:5" hidden="1" x14ac:dyDescent="0.2">
      <c r="A413" s="14" t="s">
        <v>2854</v>
      </c>
      <c r="B413" s="16">
        <v>43733</v>
      </c>
      <c r="C413" t="s">
        <v>2873</v>
      </c>
      <c r="D413" s="15" t="s">
        <v>2874</v>
      </c>
      <c r="E413" s="14" t="s">
        <v>2884</v>
      </c>
    </row>
    <row r="414" spans="1:5" hidden="1" x14ac:dyDescent="0.2">
      <c r="A414" s="14" t="s">
        <v>2854</v>
      </c>
      <c r="B414" s="16">
        <v>43733</v>
      </c>
      <c r="C414" t="s">
        <v>2882</v>
      </c>
      <c r="D414" s="15" t="s">
        <v>2883</v>
      </c>
      <c r="E414" s="14" t="s">
        <v>2885</v>
      </c>
    </row>
    <row r="415" spans="1:5" hidden="1" x14ac:dyDescent="0.2">
      <c r="A415" s="14" t="s">
        <v>2830</v>
      </c>
      <c r="B415" s="16">
        <v>43733</v>
      </c>
      <c r="C415" t="s">
        <v>2786</v>
      </c>
      <c r="D415" s="15" t="s">
        <v>2896</v>
      </c>
      <c r="E415" s="14" t="s">
        <v>1202</v>
      </c>
    </row>
    <row r="416" spans="1:5" hidden="1" x14ac:dyDescent="0.2">
      <c r="A416" s="14" t="s">
        <v>2830</v>
      </c>
      <c r="B416" s="16">
        <v>43733</v>
      </c>
      <c r="C416" t="s">
        <v>2872</v>
      </c>
      <c r="D416" s="15" t="s">
        <v>2788</v>
      </c>
      <c r="E416" s="14" t="s">
        <v>2894</v>
      </c>
    </row>
    <row r="417" spans="1:5" hidden="1" x14ac:dyDescent="0.2">
      <c r="A417" s="14" t="s">
        <v>2830</v>
      </c>
      <c r="B417" s="16">
        <v>43733</v>
      </c>
      <c r="C417" t="s">
        <v>2892</v>
      </c>
      <c r="D417" s="15" t="s">
        <v>2788</v>
      </c>
      <c r="E417" s="14" t="s">
        <v>2893</v>
      </c>
    </row>
    <row r="418" spans="1:5" hidden="1" x14ac:dyDescent="0.2">
      <c r="A418" s="14" t="s">
        <v>2830</v>
      </c>
      <c r="B418" s="16">
        <v>43733</v>
      </c>
      <c r="C418" t="s">
        <v>2872</v>
      </c>
      <c r="D418" s="15" t="s">
        <v>2788</v>
      </c>
      <c r="E418" s="14" t="s">
        <v>2895</v>
      </c>
    </row>
    <row r="419" spans="1:5" hidden="1" x14ac:dyDescent="0.2">
      <c r="A419" s="14" t="s">
        <v>2</v>
      </c>
      <c r="B419" s="16">
        <v>43735</v>
      </c>
      <c r="C419" t="s">
        <v>2763</v>
      </c>
      <c r="D419" s="15" t="s">
        <v>3175</v>
      </c>
      <c r="E419" s="14" t="s">
        <v>2951</v>
      </c>
    </row>
    <row r="420" spans="1:5" hidden="1" x14ac:dyDescent="0.2">
      <c r="A420" s="14" t="s">
        <v>2</v>
      </c>
      <c r="B420" s="16">
        <v>43735</v>
      </c>
      <c r="C420" t="s">
        <v>2899</v>
      </c>
      <c r="D420" s="15" t="s">
        <v>2897</v>
      </c>
      <c r="E420" s="14" t="s">
        <v>2951</v>
      </c>
    </row>
    <row r="421" spans="1:5" hidden="1" x14ac:dyDescent="0.2">
      <c r="A421" s="14" t="s">
        <v>2</v>
      </c>
      <c r="B421" s="16">
        <v>43735</v>
      </c>
      <c r="C421" t="s">
        <v>2900</v>
      </c>
      <c r="D421" s="15" t="s">
        <v>2898</v>
      </c>
      <c r="E421" s="14" t="s">
        <v>2951</v>
      </c>
    </row>
    <row r="422" spans="1:5" hidden="1" x14ac:dyDescent="0.2">
      <c r="A422" t="s">
        <v>1372</v>
      </c>
      <c r="B422" s="5">
        <v>43737</v>
      </c>
      <c r="C422" t="s">
        <v>2618</v>
      </c>
      <c r="D422" s="2">
        <v>585788934</v>
      </c>
      <c r="E422" s="14" t="s">
        <v>3027</v>
      </c>
    </row>
    <row r="423" spans="1:5" hidden="1" x14ac:dyDescent="0.2">
      <c r="A423" t="s">
        <v>1372</v>
      </c>
      <c r="B423" s="5">
        <v>43737</v>
      </c>
      <c r="C423" t="s">
        <v>2618</v>
      </c>
      <c r="D423" s="2">
        <v>585788934</v>
      </c>
      <c r="E423" s="14" t="s">
        <v>3026</v>
      </c>
    </row>
    <row r="424" spans="1:5" hidden="1" x14ac:dyDescent="0.2">
      <c r="A424" s="14" t="s">
        <v>2830</v>
      </c>
      <c r="B424" s="16">
        <v>43737</v>
      </c>
      <c r="C424" t="s">
        <v>2906</v>
      </c>
      <c r="D424" s="15" t="s">
        <v>2907</v>
      </c>
    </row>
    <row r="425" spans="1:5" hidden="1" x14ac:dyDescent="0.2">
      <c r="A425" s="14" t="s">
        <v>2830</v>
      </c>
      <c r="B425" s="16">
        <v>43737</v>
      </c>
      <c r="C425" t="s">
        <v>2906</v>
      </c>
      <c r="D425" s="15" t="s">
        <v>2907</v>
      </c>
    </row>
    <row r="426" spans="1:5" hidden="1" x14ac:dyDescent="0.2">
      <c r="A426" s="14" t="s">
        <v>2830</v>
      </c>
      <c r="B426" s="16">
        <v>43737</v>
      </c>
      <c r="C426" t="s">
        <v>2906</v>
      </c>
      <c r="D426" s="15" t="s">
        <v>2907</v>
      </c>
    </row>
    <row r="427" spans="1:5" hidden="1" x14ac:dyDescent="0.2">
      <c r="A427" s="14" t="s">
        <v>2830</v>
      </c>
      <c r="B427" s="16">
        <v>43737</v>
      </c>
      <c r="C427" t="s">
        <v>2908</v>
      </c>
      <c r="D427" s="15" t="s">
        <v>2909</v>
      </c>
    </row>
    <row r="428" spans="1:5" hidden="1" x14ac:dyDescent="0.2">
      <c r="A428" s="14" t="s">
        <v>2830</v>
      </c>
      <c r="B428" s="16">
        <v>43737</v>
      </c>
      <c r="C428" t="s">
        <v>2908</v>
      </c>
      <c r="D428" s="15" t="s">
        <v>2909</v>
      </c>
    </row>
    <row r="429" spans="1:5" hidden="1" x14ac:dyDescent="0.2">
      <c r="A429" s="14" t="s">
        <v>950</v>
      </c>
      <c r="B429" s="16">
        <v>43740</v>
      </c>
      <c r="C429" t="s">
        <v>3124</v>
      </c>
      <c r="D429" s="15" t="s">
        <v>2937</v>
      </c>
      <c r="E429" s="14" t="s">
        <v>3129</v>
      </c>
    </row>
    <row r="430" spans="1:5" hidden="1" x14ac:dyDescent="0.2">
      <c r="A430" s="14" t="s">
        <v>950</v>
      </c>
      <c r="B430" s="16">
        <v>43740</v>
      </c>
      <c r="C430" t="s">
        <v>3124</v>
      </c>
      <c r="D430" s="15" t="s">
        <v>3125</v>
      </c>
      <c r="E430" s="14" t="s">
        <v>3129</v>
      </c>
    </row>
    <row r="431" spans="1:5" hidden="1" x14ac:dyDescent="0.2">
      <c r="A431" s="14" t="s">
        <v>950</v>
      </c>
      <c r="B431" s="16">
        <v>43740</v>
      </c>
      <c r="C431" t="s">
        <v>3124</v>
      </c>
      <c r="D431" s="15" t="s">
        <v>3126</v>
      </c>
      <c r="E431" s="14" t="s">
        <v>3129</v>
      </c>
    </row>
    <row r="432" spans="1:5" hidden="1" x14ac:dyDescent="0.2">
      <c r="A432" s="14" t="s">
        <v>950</v>
      </c>
      <c r="B432" s="16">
        <v>43740</v>
      </c>
      <c r="C432" t="s">
        <v>3124</v>
      </c>
      <c r="D432" s="15" t="s">
        <v>3127</v>
      </c>
      <c r="E432" s="14" t="s">
        <v>3130</v>
      </c>
    </row>
    <row r="433" spans="1:5" hidden="1" x14ac:dyDescent="0.2">
      <c r="A433" s="14" t="s">
        <v>950</v>
      </c>
      <c r="B433" s="16">
        <v>43740</v>
      </c>
      <c r="C433" t="s">
        <v>3124</v>
      </c>
      <c r="D433" s="15" t="s">
        <v>3128</v>
      </c>
      <c r="E433" s="14" t="s">
        <v>3130</v>
      </c>
    </row>
    <row r="434" spans="1:5" hidden="1" x14ac:dyDescent="0.2">
      <c r="A434" s="14" t="s">
        <v>2875</v>
      </c>
      <c r="B434" s="16">
        <v>43740</v>
      </c>
      <c r="C434" t="s">
        <v>2877</v>
      </c>
      <c r="D434" s="15" t="s">
        <v>2878</v>
      </c>
    </row>
    <row r="435" spans="1:5" hidden="1" x14ac:dyDescent="0.2">
      <c r="A435" s="14" t="s">
        <v>2875</v>
      </c>
      <c r="B435" s="16">
        <v>43740</v>
      </c>
      <c r="C435" t="s">
        <v>2877</v>
      </c>
      <c r="D435" s="15" t="s">
        <v>2878</v>
      </c>
    </row>
    <row r="436" spans="1:5" hidden="1" x14ac:dyDescent="0.2">
      <c r="A436" s="14" t="s">
        <v>2875</v>
      </c>
      <c r="B436" s="16">
        <v>43740</v>
      </c>
      <c r="C436" t="s">
        <v>2879</v>
      </c>
      <c r="D436" s="15" t="s">
        <v>2880</v>
      </c>
    </row>
    <row r="437" spans="1:5" hidden="1" x14ac:dyDescent="0.2">
      <c r="A437" s="14" t="s">
        <v>2875</v>
      </c>
      <c r="B437" s="16">
        <v>43740</v>
      </c>
      <c r="C437" t="s">
        <v>2879</v>
      </c>
      <c r="D437" s="15" t="s">
        <v>2880</v>
      </c>
    </row>
    <row r="438" spans="1:5" hidden="1" x14ac:dyDescent="0.2">
      <c r="A438" s="14" t="s">
        <v>2875</v>
      </c>
      <c r="B438" s="16">
        <v>43740</v>
      </c>
      <c r="C438" t="s">
        <v>2879</v>
      </c>
      <c r="D438" s="15" t="s">
        <v>2880</v>
      </c>
    </row>
    <row r="439" spans="1:5" hidden="1" x14ac:dyDescent="0.2">
      <c r="A439" s="14" t="s">
        <v>2875</v>
      </c>
      <c r="B439" s="16">
        <v>43740</v>
      </c>
      <c r="C439" t="s">
        <v>2879</v>
      </c>
      <c r="D439" s="15" t="s">
        <v>2880</v>
      </c>
    </row>
    <row r="440" spans="1:5" hidden="1" x14ac:dyDescent="0.2">
      <c r="A440" t="s">
        <v>146</v>
      </c>
      <c r="B440" s="5">
        <v>43740</v>
      </c>
      <c r="C440" t="s">
        <v>3006</v>
      </c>
      <c r="D440" s="2" t="s">
        <v>2810</v>
      </c>
      <c r="E440" s="14" t="s">
        <v>3099</v>
      </c>
    </row>
    <row r="441" spans="1:5" hidden="1" x14ac:dyDescent="0.2">
      <c r="A441" t="s">
        <v>146</v>
      </c>
      <c r="B441" s="5">
        <v>43740</v>
      </c>
      <c r="C441" t="s">
        <v>3006</v>
      </c>
      <c r="D441" s="2" t="s">
        <v>3097</v>
      </c>
      <c r="E441" s="14" t="s">
        <v>3100</v>
      </c>
    </row>
    <row r="442" spans="1:5" hidden="1" x14ac:dyDescent="0.2">
      <c r="A442" t="s">
        <v>146</v>
      </c>
      <c r="B442" s="5">
        <v>43740</v>
      </c>
      <c r="C442" t="s">
        <v>3006</v>
      </c>
      <c r="D442" s="18" t="s">
        <v>3098</v>
      </c>
      <c r="E442" s="14" t="s">
        <v>3100</v>
      </c>
    </row>
    <row r="443" spans="1:5" hidden="1" x14ac:dyDescent="0.2">
      <c r="A443" t="s">
        <v>154</v>
      </c>
      <c r="B443" s="5">
        <v>43740</v>
      </c>
      <c r="C443" t="s">
        <v>2581</v>
      </c>
      <c r="D443" s="2" t="s">
        <v>2580</v>
      </c>
      <c r="E443" s="14" t="s">
        <v>3101</v>
      </c>
    </row>
    <row r="444" spans="1:5" hidden="1" x14ac:dyDescent="0.2">
      <c r="A444" t="s">
        <v>1385</v>
      </c>
      <c r="B444" s="5">
        <v>43741</v>
      </c>
      <c r="C444" t="s">
        <v>3121</v>
      </c>
      <c r="D444" s="2" t="s">
        <v>2970</v>
      </c>
      <c r="E444" s="14" t="s">
        <v>3179</v>
      </c>
    </row>
    <row r="445" spans="1:5" hidden="1" x14ac:dyDescent="0.2">
      <c r="A445" t="s">
        <v>1385</v>
      </c>
      <c r="B445" s="5">
        <v>43741</v>
      </c>
      <c r="C445" t="s">
        <v>3122</v>
      </c>
      <c r="D445" s="2" t="s">
        <v>2972</v>
      </c>
      <c r="E445" s="14" t="s">
        <v>3181</v>
      </c>
    </row>
    <row r="446" spans="1:5" hidden="1" x14ac:dyDescent="0.2">
      <c r="A446" t="s">
        <v>1385</v>
      </c>
      <c r="B446" s="5">
        <v>43741</v>
      </c>
      <c r="C446" t="s">
        <v>3122</v>
      </c>
      <c r="D446" s="2" t="s">
        <v>2972</v>
      </c>
      <c r="E446" s="14" t="s">
        <v>3182</v>
      </c>
    </row>
    <row r="447" spans="1:5" hidden="1" x14ac:dyDescent="0.2">
      <c r="A447" t="s">
        <v>1385</v>
      </c>
      <c r="B447" s="5">
        <v>43741</v>
      </c>
      <c r="C447" t="s">
        <v>3122</v>
      </c>
      <c r="D447" s="2" t="s">
        <v>2972</v>
      </c>
      <c r="E447" s="14" t="s">
        <v>3180</v>
      </c>
    </row>
    <row r="448" spans="1:5" hidden="1" x14ac:dyDescent="0.2">
      <c r="A448" s="14" t="s">
        <v>2</v>
      </c>
      <c r="B448" s="16">
        <v>43742</v>
      </c>
      <c r="C448" t="s">
        <v>3070</v>
      </c>
      <c r="D448" s="15" t="s">
        <v>3136</v>
      </c>
      <c r="E448" s="14" t="s">
        <v>3168</v>
      </c>
    </row>
    <row r="449" spans="1:5" hidden="1" x14ac:dyDescent="0.2">
      <c r="A449" s="14" t="s">
        <v>2</v>
      </c>
      <c r="B449" s="16">
        <v>43742</v>
      </c>
      <c r="C449" t="s">
        <v>3132</v>
      </c>
      <c r="D449" s="15" t="s">
        <v>3133</v>
      </c>
      <c r="E449" s="14" t="s">
        <v>3168</v>
      </c>
    </row>
    <row r="450" spans="1:5" hidden="1" x14ac:dyDescent="0.2">
      <c r="A450" s="14" t="s">
        <v>2</v>
      </c>
      <c r="B450" s="16">
        <v>43742</v>
      </c>
      <c r="C450" t="s">
        <v>3135</v>
      </c>
      <c r="D450" s="15" t="s">
        <v>3134</v>
      </c>
      <c r="E450" s="14" t="s">
        <v>3168</v>
      </c>
    </row>
    <row r="451" spans="1:5" hidden="1" x14ac:dyDescent="0.2">
      <c r="A451" t="s">
        <v>146</v>
      </c>
      <c r="B451" s="5">
        <v>43747</v>
      </c>
      <c r="C451" t="s">
        <v>3053</v>
      </c>
      <c r="D451" s="2" t="s">
        <v>3022</v>
      </c>
      <c r="E451" s="14" t="s">
        <v>3170</v>
      </c>
    </row>
    <row r="452" spans="1:5" hidden="1" x14ac:dyDescent="0.2">
      <c r="A452" s="14" t="s">
        <v>3256</v>
      </c>
      <c r="B452" s="16">
        <v>43749</v>
      </c>
      <c r="C452" t="s">
        <v>3152</v>
      </c>
      <c r="D452" s="15" t="s">
        <v>3204</v>
      </c>
      <c r="E452" s="14" t="s">
        <v>3262</v>
      </c>
    </row>
    <row r="453" spans="1:5" hidden="1" x14ac:dyDescent="0.2">
      <c r="A453" t="s">
        <v>149</v>
      </c>
      <c r="B453" s="5">
        <v>43754</v>
      </c>
      <c r="C453" t="s">
        <v>3238</v>
      </c>
      <c r="D453" s="2" t="s">
        <v>3241</v>
      </c>
      <c r="E453" s="14" t="s">
        <v>3388</v>
      </c>
    </row>
    <row r="454" spans="1:5" hidden="1" x14ac:dyDescent="0.2">
      <c r="A454" t="s">
        <v>149</v>
      </c>
      <c r="B454" s="5">
        <v>43754</v>
      </c>
      <c r="C454" t="s">
        <v>3238</v>
      </c>
      <c r="D454" s="2" t="s">
        <v>3387</v>
      </c>
      <c r="E454" s="14" t="s">
        <v>3388</v>
      </c>
    </row>
    <row r="455" spans="1:5" hidden="1" x14ac:dyDescent="0.2">
      <c r="A455" s="14" t="s">
        <v>2</v>
      </c>
      <c r="B455" s="16">
        <v>43754</v>
      </c>
      <c r="C455" t="s">
        <v>3244</v>
      </c>
      <c r="D455" s="15" t="s">
        <v>3278</v>
      </c>
      <c r="E455" s="14" t="s">
        <v>3296</v>
      </c>
    </row>
    <row r="456" spans="1:5" hidden="1" x14ac:dyDescent="0.2">
      <c r="A456" s="14" t="s">
        <v>2</v>
      </c>
      <c r="B456" s="16">
        <v>43754</v>
      </c>
      <c r="C456" t="s">
        <v>3268</v>
      </c>
      <c r="D456" s="15" t="s">
        <v>3482</v>
      </c>
      <c r="E456" s="14" t="s">
        <v>3296</v>
      </c>
    </row>
    <row r="457" spans="1:5" hidden="1" x14ac:dyDescent="0.2">
      <c r="A457" t="s">
        <v>146</v>
      </c>
      <c r="B457" s="5">
        <v>43754</v>
      </c>
      <c r="C457" t="s">
        <v>3232</v>
      </c>
      <c r="D457" s="2">
        <v>586764298</v>
      </c>
      <c r="E457" s="14" t="s">
        <v>3282</v>
      </c>
    </row>
    <row r="458" spans="1:5" hidden="1" x14ac:dyDescent="0.2">
      <c r="A458" t="s">
        <v>146</v>
      </c>
      <c r="B458" s="5">
        <v>43754</v>
      </c>
      <c r="C458" t="s">
        <v>3232</v>
      </c>
      <c r="D458" s="2" t="s">
        <v>3280</v>
      </c>
      <c r="E458" s="14" t="s">
        <v>3283</v>
      </c>
    </row>
    <row r="459" spans="1:5" hidden="1" x14ac:dyDescent="0.2">
      <c r="A459" t="s">
        <v>146</v>
      </c>
      <c r="B459" s="5">
        <v>43754</v>
      </c>
      <c r="C459" t="s">
        <v>3232</v>
      </c>
      <c r="D459" s="2" t="s">
        <v>3281</v>
      </c>
      <c r="E459" s="14" t="s">
        <v>3283</v>
      </c>
    </row>
    <row r="460" spans="1:5" hidden="1" x14ac:dyDescent="0.2">
      <c r="A460" s="14" t="s">
        <v>3200</v>
      </c>
      <c r="B460" s="16">
        <v>43755</v>
      </c>
      <c r="C460" t="s">
        <v>3411</v>
      </c>
      <c r="D460" s="15" t="s">
        <v>3412</v>
      </c>
      <c r="E460" s="14" t="s">
        <v>3414</v>
      </c>
    </row>
    <row r="461" spans="1:5" hidden="1" x14ac:dyDescent="0.2">
      <c r="A461" s="14" t="s">
        <v>3200</v>
      </c>
      <c r="B461" s="16">
        <v>43755</v>
      </c>
      <c r="C461" t="s">
        <v>3411</v>
      </c>
      <c r="D461" s="15" t="s">
        <v>3412</v>
      </c>
      <c r="E461" s="14" t="s">
        <v>3415</v>
      </c>
    </row>
    <row r="462" spans="1:5" hidden="1" x14ac:dyDescent="0.2">
      <c r="A462" s="14" t="s">
        <v>3200</v>
      </c>
      <c r="B462" s="16">
        <v>43755</v>
      </c>
      <c r="C462" t="s">
        <v>3255</v>
      </c>
      <c r="D462" s="15" t="s">
        <v>3413</v>
      </c>
      <c r="E462" s="14" t="s">
        <v>3419</v>
      </c>
    </row>
    <row r="463" spans="1:5" hidden="1" x14ac:dyDescent="0.2">
      <c r="A463" s="14" t="s">
        <v>3200</v>
      </c>
      <c r="B463" s="16">
        <v>43755</v>
      </c>
      <c r="C463" t="s">
        <v>3255</v>
      </c>
      <c r="D463" s="15" t="s">
        <v>3413</v>
      </c>
      <c r="E463" s="14" t="s">
        <v>3416</v>
      </c>
    </row>
    <row r="464" spans="1:5" hidden="1" x14ac:dyDescent="0.2">
      <c r="A464" s="14" t="s">
        <v>3200</v>
      </c>
      <c r="B464" s="16">
        <v>43755</v>
      </c>
      <c r="C464" t="s">
        <v>3255</v>
      </c>
      <c r="D464" s="15" t="s">
        <v>3413</v>
      </c>
      <c r="E464" s="14" t="s">
        <v>3418</v>
      </c>
    </row>
    <row r="465" spans="1:5" hidden="1" x14ac:dyDescent="0.2">
      <c r="A465" s="14" t="s">
        <v>3200</v>
      </c>
      <c r="B465" s="16">
        <v>43755</v>
      </c>
      <c r="C465" t="s">
        <v>3255</v>
      </c>
      <c r="D465" s="15" t="s">
        <v>3413</v>
      </c>
      <c r="E465" s="14" t="s">
        <v>3417</v>
      </c>
    </row>
    <row r="466" spans="1:5" hidden="1" x14ac:dyDescent="0.2">
      <c r="A466" s="14" t="s">
        <v>3200</v>
      </c>
      <c r="B466" s="16">
        <v>43755</v>
      </c>
      <c r="C466" t="s">
        <v>3255</v>
      </c>
      <c r="D466" s="15" t="s">
        <v>3413</v>
      </c>
      <c r="E466" s="14" t="s">
        <v>3420</v>
      </c>
    </row>
    <row r="467" spans="1:5" hidden="1" x14ac:dyDescent="0.2">
      <c r="A467" s="14" t="s">
        <v>1371</v>
      </c>
      <c r="B467" s="16">
        <v>43755</v>
      </c>
      <c r="C467" t="s">
        <v>2620</v>
      </c>
      <c r="D467" s="15">
        <v>585806875</v>
      </c>
      <c r="E467" s="14" t="s">
        <v>3349</v>
      </c>
    </row>
    <row r="468" spans="1:5" hidden="1" x14ac:dyDescent="0.2">
      <c r="A468" s="14" t="s">
        <v>2</v>
      </c>
      <c r="B468" s="16">
        <v>43756</v>
      </c>
      <c r="C468" t="s">
        <v>3277</v>
      </c>
      <c r="D468" s="2" t="s">
        <v>3380</v>
      </c>
      <c r="E468" s="14" t="s">
        <v>3403</v>
      </c>
    </row>
    <row r="469" spans="1:5" hidden="1" x14ac:dyDescent="0.2">
      <c r="A469" s="14" t="s">
        <v>2</v>
      </c>
      <c r="B469" s="16">
        <v>43756</v>
      </c>
      <c r="C469" t="s">
        <v>3394</v>
      </c>
      <c r="D469" s="2" t="s">
        <v>3390</v>
      </c>
      <c r="E469" s="14" t="s">
        <v>3403</v>
      </c>
    </row>
    <row r="470" spans="1:5" hidden="1" x14ac:dyDescent="0.2">
      <c r="A470" s="14" t="s">
        <v>2</v>
      </c>
      <c r="B470" s="16">
        <v>43756</v>
      </c>
      <c r="C470" t="s">
        <v>3395</v>
      </c>
      <c r="D470" s="2" t="s">
        <v>3391</v>
      </c>
      <c r="E470" s="14" t="s">
        <v>3403</v>
      </c>
    </row>
    <row r="471" spans="1:5" hidden="1" x14ac:dyDescent="0.2">
      <c r="A471" s="14" t="s">
        <v>2</v>
      </c>
      <c r="B471" s="16">
        <v>43756</v>
      </c>
      <c r="C471" t="s">
        <v>3396</v>
      </c>
      <c r="D471" s="2" t="s">
        <v>3392</v>
      </c>
      <c r="E471" s="14" t="s">
        <v>3404</v>
      </c>
    </row>
    <row r="472" spans="1:5" hidden="1" x14ac:dyDescent="0.2">
      <c r="A472" s="14" t="s">
        <v>2</v>
      </c>
      <c r="B472" s="16">
        <v>43756</v>
      </c>
      <c r="C472" t="s">
        <v>3397</v>
      </c>
      <c r="D472" s="2" t="s">
        <v>3393</v>
      </c>
      <c r="E472" s="14" t="s">
        <v>3404</v>
      </c>
    </row>
    <row r="473" spans="1:5" hidden="1" x14ac:dyDescent="0.2">
      <c r="A473" t="s">
        <v>3559</v>
      </c>
      <c r="B473" s="5">
        <v>43758</v>
      </c>
      <c r="C473" t="s">
        <v>3567</v>
      </c>
      <c r="D473" s="15" t="s">
        <v>3568</v>
      </c>
      <c r="E473" s="14" t="s">
        <v>3637</v>
      </c>
    </row>
    <row r="474" spans="1:5" hidden="1" x14ac:dyDescent="0.2">
      <c r="A474" t="s">
        <v>3559</v>
      </c>
      <c r="B474" s="5">
        <v>43758</v>
      </c>
      <c r="C474" t="s">
        <v>3567</v>
      </c>
      <c r="D474" s="15" t="s">
        <v>3568</v>
      </c>
      <c r="E474" s="14" t="s">
        <v>3636</v>
      </c>
    </row>
    <row r="475" spans="1:5" hidden="1" x14ac:dyDescent="0.2">
      <c r="A475" t="s">
        <v>3559</v>
      </c>
      <c r="B475" s="5">
        <v>43758</v>
      </c>
      <c r="C475" t="s">
        <v>3567</v>
      </c>
      <c r="D475" s="15" t="s">
        <v>3568</v>
      </c>
      <c r="E475" s="14" t="s">
        <v>3635</v>
      </c>
    </row>
    <row r="476" spans="1:5" hidden="1" x14ac:dyDescent="0.2">
      <c r="A476" s="14" t="s">
        <v>156</v>
      </c>
      <c r="B476" s="16">
        <v>43760</v>
      </c>
      <c r="C476" t="s">
        <v>3517</v>
      </c>
      <c r="D476" s="15" t="s">
        <v>3518</v>
      </c>
      <c r="E476" s="14" t="s">
        <v>3519</v>
      </c>
    </row>
    <row r="477" spans="1:5" hidden="1" x14ac:dyDescent="0.2">
      <c r="A477" t="s">
        <v>3</v>
      </c>
      <c r="B477" s="5">
        <v>43761</v>
      </c>
      <c r="C477" t="s">
        <v>3451</v>
      </c>
      <c r="D477" s="2" t="s">
        <v>3487</v>
      </c>
      <c r="E477" s="14" t="s">
        <v>3521</v>
      </c>
    </row>
    <row r="478" spans="1:5" hidden="1" x14ac:dyDescent="0.2">
      <c r="A478" t="s">
        <v>3</v>
      </c>
      <c r="B478" s="5">
        <v>43761</v>
      </c>
      <c r="C478" t="s">
        <v>3492</v>
      </c>
      <c r="D478" s="2" t="s">
        <v>3490</v>
      </c>
      <c r="E478" s="14" t="s">
        <v>3520</v>
      </c>
    </row>
    <row r="479" spans="1:5" hidden="1" x14ac:dyDescent="0.2">
      <c r="A479" t="s">
        <v>3</v>
      </c>
      <c r="B479" s="5">
        <v>43761</v>
      </c>
      <c r="C479" t="s">
        <v>3493</v>
      </c>
      <c r="D479" s="2" t="s">
        <v>3491</v>
      </c>
      <c r="E479" s="14" t="s">
        <v>3520</v>
      </c>
    </row>
    <row r="480" spans="1:5" hidden="1" x14ac:dyDescent="0.2">
      <c r="A480" t="s">
        <v>3</v>
      </c>
      <c r="B480" s="5">
        <v>43761</v>
      </c>
      <c r="C480" t="s">
        <v>3522</v>
      </c>
      <c r="D480" s="2" t="s">
        <v>3523</v>
      </c>
      <c r="E480" s="14" t="s">
        <v>3520</v>
      </c>
    </row>
    <row r="481" spans="1:5" hidden="1" x14ac:dyDescent="0.2">
      <c r="A481" t="s">
        <v>146</v>
      </c>
      <c r="B481" s="5">
        <v>43761</v>
      </c>
      <c r="C481" t="s">
        <v>3489</v>
      </c>
      <c r="D481" s="2">
        <v>969720156</v>
      </c>
      <c r="E481" s="14" t="s">
        <v>3512</v>
      </c>
    </row>
    <row r="482" spans="1:5" hidden="1" x14ac:dyDescent="0.2">
      <c r="A482" t="s">
        <v>146</v>
      </c>
      <c r="B482" s="5">
        <v>43761</v>
      </c>
      <c r="C482" t="s">
        <v>3489</v>
      </c>
      <c r="D482" s="2" t="s">
        <v>3510</v>
      </c>
      <c r="E482" s="14" t="s">
        <v>3512</v>
      </c>
    </row>
    <row r="483" spans="1:5" hidden="1" x14ac:dyDescent="0.2">
      <c r="A483" t="s">
        <v>146</v>
      </c>
      <c r="B483" s="5">
        <v>43761</v>
      </c>
      <c r="C483" t="s">
        <v>3489</v>
      </c>
      <c r="D483" s="2" t="s">
        <v>3511</v>
      </c>
      <c r="E483" s="14" t="s">
        <v>3513</v>
      </c>
    </row>
    <row r="484" spans="1:5" hidden="1" x14ac:dyDescent="0.2">
      <c r="A484" s="14" t="s">
        <v>3653</v>
      </c>
      <c r="B484" s="16">
        <v>43763</v>
      </c>
      <c r="C484" t="s">
        <v>3701</v>
      </c>
      <c r="D484" s="15" t="s">
        <v>3657</v>
      </c>
      <c r="E484" s="14" t="s">
        <v>3702</v>
      </c>
    </row>
    <row r="485" spans="1:5" hidden="1" x14ac:dyDescent="0.2">
      <c r="A485" s="14" t="s">
        <v>3653</v>
      </c>
      <c r="B485" s="16">
        <v>43763</v>
      </c>
      <c r="C485" t="s">
        <v>3704</v>
      </c>
      <c r="D485" s="15" t="s">
        <v>3732</v>
      </c>
      <c r="E485" s="14" t="s">
        <v>3702</v>
      </c>
    </row>
    <row r="486" spans="1:5" hidden="1" x14ac:dyDescent="0.2">
      <c r="A486" s="14" t="s">
        <v>3653</v>
      </c>
      <c r="B486" s="16">
        <v>43763</v>
      </c>
      <c r="C486" t="s">
        <v>3703</v>
      </c>
      <c r="D486" s="15" t="s">
        <v>3731</v>
      </c>
      <c r="E486" s="14" t="s">
        <v>3702</v>
      </c>
    </row>
    <row r="487" spans="1:5" hidden="1" x14ac:dyDescent="0.2">
      <c r="A487" t="s">
        <v>3</v>
      </c>
      <c r="B487" s="5">
        <v>43763</v>
      </c>
      <c r="C487" t="s">
        <v>3594</v>
      </c>
      <c r="D487" s="2" t="s">
        <v>3738</v>
      </c>
      <c r="E487" s="14" t="s">
        <v>3617</v>
      </c>
    </row>
    <row r="488" spans="1:5" hidden="1" x14ac:dyDescent="0.2">
      <c r="A488" t="s">
        <v>3</v>
      </c>
      <c r="B488" s="5">
        <v>43763</v>
      </c>
      <c r="C488" t="s">
        <v>3579</v>
      </c>
      <c r="D488" s="2" t="s">
        <v>3576</v>
      </c>
      <c r="E488" s="14" t="s">
        <v>3617</v>
      </c>
    </row>
    <row r="489" spans="1:5" hidden="1" x14ac:dyDescent="0.2">
      <c r="A489" t="s">
        <v>3</v>
      </c>
      <c r="B489" s="5">
        <v>43763</v>
      </c>
      <c r="C489" t="s">
        <v>3580</v>
      </c>
      <c r="D489" s="2" t="s">
        <v>3577</v>
      </c>
      <c r="E489" s="14" t="s">
        <v>3617</v>
      </c>
    </row>
    <row r="490" spans="1:5" hidden="1" x14ac:dyDescent="0.2">
      <c r="A490" t="s">
        <v>3</v>
      </c>
      <c r="B490" s="5">
        <v>43763</v>
      </c>
      <c r="C490" t="s">
        <v>3581</v>
      </c>
      <c r="D490" s="2" t="s">
        <v>3578</v>
      </c>
      <c r="E490" s="14" t="s">
        <v>3617</v>
      </c>
    </row>
    <row r="491" spans="1:5" hidden="1" x14ac:dyDescent="0.2">
      <c r="A491" s="14" t="s">
        <v>3549</v>
      </c>
      <c r="B491" s="16">
        <v>43763</v>
      </c>
      <c r="C491" t="s">
        <v>3536</v>
      </c>
      <c r="D491" s="15" t="s">
        <v>3601</v>
      </c>
    </row>
    <row r="492" spans="1:5" hidden="1" x14ac:dyDescent="0.2">
      <c r="A492" s="14" t="s">
        <v>950</v>
      </c>
      <c r="B492" s="16">
        <v>43764</v>
      </c>
      <c r="C492" t="s">
        <v>3603</v>
      </c>
      <c r="D492" s="15">
        <v>586920371</v>
      </c>
      <c r="E492" s="14" t="s">
        <v>3606</v>
      </c>
    </row>
    <row r="493" spans="1:5" hidden="1" x14ac:dyDescent="0.2">
      <c r="A493" s="14" t="s">
        <v>950</v>
      </c>
      <c r="B493" s="16">
        <v>43764</v>
      </c>
      <c r="C493" t="s">
        <v>3603</v>
      </c>
      <c r="D493" s="15" t="s">
        <v>3604</v>
      </c>
      <c r="E493" s="14" t="s">
        <v>3606</v>
      </c>
    </row>
    <row r="494" spans="1:5" hidden="1" x14ac:dyDescent="0.2">
      <c r="A494" s="14" t="s">
        <v>950</v>
      </c>
      <c r="B494" s="16">
        <v>43764</v>
      </c>
      <c r="C494" t="s">
        <v>3603</v>
      </c>
      <c r="D494" s="15" t="s">
        <v>3605</v>
      </c>
      <c r="E494" s="14" t="s">
        <v>3606</v>
      </c>
    </row>
    <row r="495" spans="1:5" hidden="1" x14ac:dyDescent="0.2">
      <c r="A495" t="s">
        <v>1372</v>
      </c>
      <c r="B495" s="5">
        <v>43766</v>
      </c>
      <c r="C495" t="s">
        <v>2621</v>
      </c>
      <c r="D495" s="2">
        <v>585806958</v>
      </c>
      <c r="E495" s="14" t="s">
        <v>3690</v>
      </c>
    </row>
    <row r="496" spans="1:5" hidden="1" x14ac:dyDescent="0.2">
      <c r="A496" t="s">
        <v>1372</v>
      </c>
      <c r="B496" s="5">
        <v>43766</v>
      </c>
      <c r="C496" t="s">
        <v>3652</v>
      </c>
      <c r="D496" s="2">
        <v>586916934</v>
      </c>
      <c r="E496" s="14" t="s">
        <v>3692</v>
      </c>
    </row>
    <row r="497" spans="1:5" hidden="1" x14ac:dyDescent="0.2">
      <c r="A497" t="s">
        <v>1372</v>
      </c>
      <c r="B497" s="5">
        <v>43766</v>
      </c>
      <c r="C497" t="s">
        <v>3652</v>
      </c>
      <c r="D497" s="2">
        <v>586916934</v>
      </c>
      <c r="E497" s="14" t="s">
        <v>3694</v>
      </c>
    </row>
    <row r="498" spans="1:5" hidden="1" x14ac:dyDescent="0.2">
      <c r="A498" t="s">
        <v>1372</v>
      </c>
      <c r="B498" s="5">
        <v>43766</v>
      </c>
      <c r="C498" t="s">
        <v>3652</v>
      </c>
      <c r="D498" s="2">
        <v>586916934</v>
      </c>
      <c r="E498" s="14" t="s">
        <v>3691</v>
      </c>
    </row>
    <row r="499" spans="1:5" hidden="1" x14ac:dyDescent="0.2">
      <c r="A499" t="s">
        <v>1372</v>
      </c>
      <c r="B499" s="5">
        <v>43766</v>
      </c>
      <c r="C499" t="s">
        <v>3652</v>
      </c>
      <c r="D499" s="2">
        <v>586916934</v>
      </c>
      <c r="E499" s="14" t="s">
        <v>3693</v>
      </c>
    </row>
    <row r="500" spans="1:5" hidden="1" x14ac:dyDescent="0.2">
      <c r="A500" t="s">
        <v>700</v>
      </c>
      <c r="B500" s="5">
        <v>43766</v>
      </c>
      <c r="C500" t="s">
        <v>3470</v>
      </c>
      <c r="D500" s="2">
        <v>586741664</v>
      </c>
      <c r="E500" s="14" t="s">
        <v>3620</v>
      </c>
    </row>
    <row r="501" spans="1:5" hidden="1" x14ac:dyDescent="0.2">
      <c r="A501" s="14" t="s">
        <v>950</v>
      </c>
      <c r="B501" s="16">
        <v>43768</v>
      </c>
      <c r="C501" t="s">
        <v>3624</v>
      </c>
      <c r="D501" s="15" t="s">
        <v>3621</v>
      </c>
      <c r="E501" s="14" t="s">
        <v>3733</v>
      </c>
    </row>
    <row r="502" spans="1:5" hidden="1" x14ac:dyDescent="0.2">
      <c r="A502" s="14" t="s">
        <v>950</v>
      </c>
      <c r="B502" s="16">
        <v>43768</v>
      </c>
      <c r="C502" t="s">
        <v>3624</v>
      </c>
      <c r="D502" s="15" t="s">
        <v>3622</v>
      </c>
      <c r="E502" s="14" t="s">
        <v>3733</v>
      </c>
    </row>
    <row r="503" spans="1:5" hidden="1" x14ac:dyDescent="0.2">
      <c r="A503" s="14" t="s">
        <v>950</v>
      </c>
      <c r="B503" s="16">
        <v>43768</v>
      </c>
      <c r="C503" t="s">
        <v>3624</v>
      </c>
      <c r="D503" s="15" t="s">
        <v>3623</v>
      </c>
      <c r="E503" s="14" t="s">
        <v>3733</v>
      </c>
    </row>
    <row r="504" spans="1:5" hidden="1" x14ac:dyDescent="0.2">
      <c r="A504" s="14" t="s">
        <v>152</v>
      </c>
      <c r="B504" s="16">
        <v>43768</v>
      </c>
      <c r="C504" t="s">
        <v>3641</v>
      </c>
      <c r="D504" s="15" t="s">
        <v>3660</v>
      </c>
      <c r="E504" s="14" t="s">
        <v>3695</v>
      </c>
    </row>
    <row r="505" spans="1:5" hidden="1" x14ac:dyDescent="0.2">
      <c r="A505" s="14" t="s">
        <v>152</v>
      </c>
      <c r="B505" s="16">
        <v>43768</v>
      </c>
      <c r="C505" t="s">
        <v>3641</v>
      </c>
      <c r="D505" s="15" t="s">
        <v>3664</v>
      </c>
      <c r="E505" s="14" t="s">
        <v>3696</v>
      </c>
    </row>
    <row r="506" spans="1:5" hidden="1" x14ac:dyDescent="0.2">
      <c r="A506" s="14" t="s">
        <v>2</v>
      </c>
      <c r="B506" s="16">
        <v>43770</v>
      </c>
      <c r="C506" t="s">
        <v>3586</v>
      </c>
      <c r="D506" s="15" t="s">
        <v>3844</v>
      </c>
      <c r="E506" s="14" t="s">
        <v>3761</v>
      </c>
    </row>
    <row r="507" spans="1:5" hidden="1" x14ac:dyDescent="0.2">
      <c r="A507" s="14" t="s">
        <v>2</v>
      </c>
      <c r="B507" s="16">
        <v>43770</v>
      </c>
      <c r="C507" t="s">
        <v>3741</v>
      </c>
      <c r="D507" s="15" t="s">
        <v>3739</v>
      </c>
      <c r="E507" s="14" t="s">
        <v>3761</v>
      </c>
    </row>
    <row r="508" spans="1:5" hidden="1" x14ac:dyDescent="0.2">
      <c r="A508" s="14" t="s">
        <v>2</v>
      </c>
      <c r="B508" s="16">
        <v>43770</v>
      </c>
      <c r="C508" t="s">
        <v>3742</v>
      </c>
      <c r="D508" s="15" t="s">
        <v>3740</v>
      </c>
      <c r="E508" s="14" t="s">
        <v>3761</v>
      </c>
    </row>
    <row r="509" spans="1:5" hidden="1" x14ac:dyDescent="0.2">
      <c r="A509" s="14" t="s">
        <v>156</v>
      </c>
      <c r="B509" s="16">
        <v>43774</v>
      </c>
      <c r="C509" t="s">
        <v>3786</v>
      </c>
      <c r="D509" s="15">
        <v>587346262</v>
      </c>
      <c r="E509" s="14" t="s">
        <v>3855</v>
      </c>
    </row>
    <row r="510" spans="1:5" hidden="1" x14ac:dyDescent="0.2">
      <c r="A510" s="14" t="s">
        <v>950</v>
      </c>
      <c r="B510" s="16">
        <v>43775</v>
      </c>
      <c r="C510" t="s">
        <v>3779</v>
      </c>
      <c r="D510" s="15" t="s">
        <v>3778</v>
      </c>
      <c r="E510" s="14" t="s">
        <v>3834</v>
      </c>
    </row>
    <row r="511" spans="1:5" hidden="1" x14ac:dyDescent="0.2">
      <c r="A511" s="14" t="s">
        <v>950</v>
      </c>
      <c r="B511" s="16">
        <v>43775</v>
      </c>
      <c r="C511" t="s">
        <v>3779</v>
      </c>
      <c r="D511" s="15" t="s">
        <v>3848</v>
      </c>
      <c r="E511" s="14" t="s">
        <v>3833</v>
      </c>
    </row>
    <row r="512" spans="1:5" hidden="1" x14ac:dyDescent="0.2">
      <c r="A512" s="14" t="s">
        <v>950</v>
      </c>
      <c r="B512" s="16">
        <v>43775</v>
      </c>
      <c r="C512" t="s">
        <v>3779</v>
      </c>
      <c r="D512" s="15" t="s">
        <v>3849</v>
      </c>
      <c r="E512" s="14" t="s">
        <v>3833</v>
      </c>
    </row>
    <row r="513" spans="1:5" hidden="1" x14ac:dyDescent="0.2">
      <c r="A513" s="14" t="s">
        <v>950</v>
      </c>
      <c r="B513" s="16">
        <v>43775</v>
      </c>
      <c r="C513" t="s">
        <v>3779</v>
      </c>
      <c r="D513" s="15" t="s">
        <v>3850</v>
      </c>
      <c r="E513" s="14" t="s">
        <v>3833</v>
      </c>
    </row>
    <row r="514" spans="1:5" hidden="1" x14ac:dyDescent="0.2">
      <c r="A514" s="14" t="s">
        <v>950</v>
      </c>
      <c r="B514" s="16">
        <v>43775</v>
      </c>
      <c r="C514" t="s">
        <v>3779</v>
      </c>
      <c r="D514" s="15" t="s">
        <v>3851</v>
      </c>
      <c r="E514" s="14" t="s">
        <v>3833</v>
      </c>
    </row>
    <row r="515" spans="1:5" hidden="1" x14ac:dyDescent="0.2">
      <c r="A515" s="14" t="s">
        <v>152</v>
      </c>
      <c r="B515" s="16">
        <v>43775</v>
      </c>
      <c r="C515" t="s">
        <v>3771</v>
      </c>
      <c r="D515" s="15" t="s">
        <v>3770</v>
      </c>
      <c r="E515" s="14" t="s">
        <v>3821</v>
      </c>
    </row>
    <row r="516" spans="1:5" hidden="1" x14ac:dyDescent="0.2">
      <c r="A516" s="14" t="s">
        <v>152</v>
      </c>
      <c r="B516" s="16">
        <v>43775</v>
      </c>
      <c r="C516" t="s">
        <v>3771</v>
      </c>
      <c r="D516" s="15" t="s">
        <v>3772</v>
      </c>
      <c r="E516" s="14" t="s">
        <v>3822</v>
      </c>
    </row>
    <row r="517" spans="1:5" hidden="1" x14ac:dyDescent="0.2">
      <c r="A517" s="14" t="s">
        <v>152</v>
      </c>
      <c r="B517" s="16">
        <v>43775</v>
      </c>
      <c r="C517" t="s">
        <v>3771</v>
      </c>
      <c r="D517" s="15" t="s">
        <v>3883</v>
      </c>
      <c r="E517" s="14" t="s">
        <v>3822</v>
      </c>
    </row>
    <row r="518" spans="1:5" hidden="1" x14ac:dyDescent="0.2">
      <c r="A518" t="s">
        <v>1385</v>
      </c>
      <c r="B518" s="5">
        <v>43776</v>
      </c>
      <c r="C518" t="s">
        <v>3716</v>
      </c>
      <c r="D518" s="15" t="s">
        <v>3710</v>
      </c>
    </row>
    <row r="519" spans="1:5" hidden="1" x14ac:dyDescent="0.2">
      <c r="A519" t="s">
        <v>1385</v>
      </c>
      <c r="B519" s="5">
        <v>43776</v>
      </c>
      <c r="C519" t="s">
        <v>3716</v>
      </c>
      <c r="D519" s="15" t="s">
        <v>3710</v>
      </c>
    </row>
    <row r="520" spans="1:5" hidden="1" x14ac:dyDescent="0.2">
      <c r="A520" t="s">
        <v>1385</v>
      </c>
      <c r="B520" s="5">
        <v>43776</v>
      </c>
      <c r="C520" t="s">
        <v>3716</v>
      </c>
      <c r="D520" s="15" t="s">
        <v>3710</v>
      </c>
    </row>
    <row r="521" spans="1:5" hidden="1" x14ac:dyDescent="0.2">
      <c r="A521" t="s">
        <v>1385</v>
      </c>
      <c r="B521" s="5">
        <v>43776</v>
      </c>
      <c r="C521" t="s">
        <v>3717</v>
      </c>
      <c r="D521" s="15" t="s">
        <v>3712</v>
      </c>
    </row>
    <row r="522" spans="1:5" hidden="1" x14ac:dyDescent="0.2">
      <c r="A522" t="s">
        <v>1385</v>
      </c>
      <c r="B522" s="5">
        <v>43776</v>
      </c>
      <c r="C522" t="s">
        <v>3717</v>
      </c>
      <c r="D522" s="15" t="s">
        <v>3712</v>
      </c>
    </row>
    <row r="523" spans="1:5" hidden="1" x14ac:dyDescent="0.2">
      <c r="A523" t="s">
        <v>1385</v>
      </c>
      <c r="B523" s="5">
        <v>43776</v>
      </c>
      <c r="C523" t="s">
        <v>3718</v>
      </c>
      <c r="D523" s="15" t="s">
        <v>3714</v>
      </c>
    </row>
    <row r="524" spans="1:5" hidden="1" x14ac:dyDescent="0.2">
      <c r="A524" t="s">
        <v>1385</v>
      </c>
      <c r="B524" s="5">
        <v>43776</v>
      </c>
      <c r="C524" t="s">
        <v>3718</v>
      </c>
      <c r="D524" s="15" t="s">
        <v>3714</v>
      </c>
    </row>
    <row r="525" spans="1:5" hidden="1" x14ac:dyDescent="0.2">
      <c r="A525" t="s">
        <v>1385</v>
      </c>
      <c r="B525" s="5">
        <v>43776</v>
      </c>
      <c r="C525" t="s">
        <v>3718</v>
      </c>
      <c r="D525" s="15" t="s">
        <v>3714</v>
      </c>
    </row>
    <row r="526" spans="1:5" hidden="1" x14ac:dyDescent="0.2">
      <c r="A526" t="s">
        <v>1385</v>
      </c>
      <c r="B526" s="5">
        <v>43776</v>
      </c>
      <c r="C526" t="s">
        <v>3718</v>
      </c>
      <c r="D526" s="15" t="s">
        <v>3714</v>
      </c>
    </row>
    <row r="527" spans="1:5" hidden="1" x14ac:dyDescent="0.2">
      <c r="A527" s="14" t="s">
        <v>2</v>
      </c>
      <c r="B527" s="16">
        <v>43777</v>
      </c>
      <c r="C527" t="s">
        <v>3754</v>
      </c>
      <c r="D527" s="15" t="s">
        <v>3867</v>
      </c>
      <c r="E527" s="14" t="s">
        <v>3871</v>
      </c>
    </row>
    <row r="528" spans="1:5" hidden="1" x14ac:dyDescent="0.2">
      <c r="A528" s="14" t="s">
        <v>2</v>
      </c>
      <c r="B528" s="16">
        <v>43777</v>
      </c>
      <c r="C528" t="s">
        <v>3868</v>
      </c>
      <c r="D528" s="15" t="s">
        <v>3866</v>
      </c>
      <c r="E528" s="14" t="s">
        <v>3871</v>
      </c>
    </row>
    <row r="529" spans="1:5" hidden="1" x14ac:dyDescent="0.2">
      <c r="A529" s="14" t="s">
        <v>2</v>
      </c>
      <c r="B529" s="16">
        <v>43777</v>
      </c>
      <c r="C529" t="s">
        <v>3869</v>
      </c>
      <c r="D529" s="15" t="s">
        <v>3865</v>
      </c>
      <c r="E529" s="14" t="s">
        <v>3871</v>
      </c>
    </row>
    <row r="530" spans="1:5" hidden="1" x14ac:dyDescent="0.2">
      <c r="A530" s="14" t="s">
        <v>2</v>
      </c>
      <c r="B530" s="16">
        <v>43777</v>
      </c>
      <c r="C530" t="s">
        <v>3870</v>
      </c>
      <c r="D530" s="15" t="s">
        <v>3864</v>
      </c>
      <c r="E530" s="14" t="s">
        <v>3871</v>
      </c>
    </row>
    <row r="531" spans="1:5" x14ac:dyDescent="0.2">
      <c r="A531" s="14" t="s">
        <v>950</v>
      </c>
      <c r="B531" s="16">
        <v>43778</v>
      </c>
      <c r="C531" t="s">
        <v>3786</v>
      </c>
      <c r="D531" s="15">
        <v>587346262</v>
      </c>
      <c r="E531" s="14" t="s">
        <v>3919</v>
      </c>
    </row>
    <row r="532" spans="1:5" x14ac:dyDescent="0.2">
      <c r="A532" s="14" t="s">
        <v>950</v>
      </c>
      <c r="B532" s="16">
        <v>43778</v>
      </c>
      <c r="C532" t="s">
        <v>3786</v>
      </c>
      <c r="D532" s="15" t="s">
        <v>3852</v>
      </c>
      <c r="E532" s="14" t="s">
        <v>3919</v>
      </c>
    </row>
    <row r="533" spans="1:5" x14ac:dyDescent="0.2">
      <c r="A533" s="14" t="s">
        <v>950</v>
      </c>
      <c r="B533" s="16">
        <v>43778</v>
      </c>
      <c r="C533" t="s">
        <v>3786</v>
      </c>
      <c r="D533" s="15" t="s">
        <v>3853</v>
      </c>
      <c r="E533" s="14" t="s">
        <v>3919</v>
      </c>
    </row>
    <row r="534" spans="1:5" hidden="1" x14ac:dyDescent="0.2">
      <c r="A534" t="s">
        <v>3</v>
      </c>
      <c r="B534" s="5">
        <v>43782</v>
      </c>
      <c r="C534" t="s">
        <v>3875</v>
      </c>
      <c r="D534" s="2" t="s">
        <v>3942</v>
      </c>
    </row>
    <row r="535" spans="1:5" hidden="1" x14ac:dyDescent="0.2">
      <c r="A535" t="s">
        <v>3</v>
      </c>
      <c r="B535" s="5">
        <v>43782</v>
      </c>
      <c r="C535" t="s">
        <v>3925</v>
      </c>
      <c r="D535" s="15" t="s">
        <v>3923</v>
      </c>
    </row>
    <row r="536" spans="1:5" hidden="1" x14ac:dyDescent="0.2">
      <c r="A536" t="s">
        <v>3</v>
      </c>
      <c r="B536" s="5">
        <v>43782</v>
      </c>
      <c r="C536" t="s">
        <v>3926</v>
      </c>
      <c r="D536" s="15" t="s">
        <v>3924</v>
      </c>
    </row>
    <row r="537" spans="1:5" hidden="1" x14ac:dyDescent="0.2">
      <c r="A537" s="14" t="s">
        <v>152</v>
      </c>
      <c r="B537" s="16">
        <v>43782</v>
      </c>
      <c r="C537" t="s">
        <v>3914</v>
      </c>
      <c r="D537" s="2" t="s">
        <v>3803</v>
      </c>
    </row>
    <row r="538" spans="1:5" hidden="1" x14ac:dyDescent="0.2">
      <c r="A538" s="14" t="s">
        <v>152</v>
      </c>
      <c r="B538" s="16">
        <v>43782</v>
      </c>
      <c r="C538" t="s">
        <v>3914</v>
      </c>
      <c r="D538" s="2" t="s">
        <v>3915</v>
      </c>
    </row>
    <row r="539" spans="1:5" hidden="1" x14ac:dyDescent="0.2">
      <c r="A539" s="14" t="s">
        <v>152</v>
      </c>
      <c r="B539" s="16">
        <v>43782</v>
      </c>
      <c r="C539" t="s">
        <v>3914</v>
      </c>
      <c r="D539" s="18" t="s">
        <v>3916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2019-11-08T09:06:34Z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