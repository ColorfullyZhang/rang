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F76A58B9-5B7C-4370-98BF-C9BEDCEAB1D9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  <definedName name="切片器_ETD">#N/A</definedName>
    <definedName name="切片器_项目">#N/A</definedName>
  </definedNames>
  <calcPr calcId="181029"/>
  <pivotCaches>
    <pivotCache cacheId="65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72" i="11" l="1"/>
  <c r="J171" i="11" l="1"/>
  <c r="J170" i="11" l="1"/>
  <c r="J169" i="11" l="1"/>
  <c r="J139" i="11" l="1"/>
  <c r="J138" i="11"/>
  <c r="J137" i="11"/>
  <c r="J122" i="11"/>
  <c r="J163" i="11" l="1"/>
  <c r="J165" i="11"/>
  <c r="J166" i="11"/>
  <c r="J167" i="11"/>
  <c r="J168" i="11"/>
  <c r="J162" i="11" l="1"/>
  <c r="J151" i="11" l="1"/>
  <c r="J158" i="11"/>
  <c r="J159" i="11"/>
  <c r="H1" i="10" l="1"/>
  <c r="I1" i="10" s="1"/>
  <c r="J1" i="10" l="1"/>
  <c r="L1" i="10" s="1"/>
  <c r="K1" i="10"/>
  <c r="M1" i="10" s="1"/>
  <c r="J157" i="11" l="1"/>
  <c r="J156" i="11"/>
  <c r="J161" i="11" l="1"/>
  <c r="J143" i="11" l="1"/>
  <c r="J155" i="11" l="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40" i="11"/>
  <c r="J141" i="11"/>
  <c r="J142" i="11"/>
  <c r="J144" i="11"/>
  <c r="J145" i="11"/>
  <c r="J146" i="11"/>
  <c r="J147" i="11"/>
  <c r="J153" i="11"/>
  <c r="J148" i="11"/>
  <c r="J149" i="11"/>
  <c r="J150" i="11"/>
  <c r="J152" i="11"/>
  <c r="J154" i="11"/>
  <c r="J160" i="11"/>
  <c r="J164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<sst xmlns="http://schemas.openxmlformats.org/spreadsheetml/2006/main" count="7238" uniqueCount="2257">
  <si>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</si>
  <si>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</si>
  <si>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</si>
  <si>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</si>
  <si>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</si>
  <si>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</si>
  <si>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</si>
  <si>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</si>
  <si>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</si>
  <si>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</si>
  <si>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</si>
  <si>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</si>
  <si>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</si>
  <si>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</si>
  <si>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</si>
  <si>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</si>
  <si>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</si>
  <si>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</si>
  <si>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</si>
  <si>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</si>
  <si>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</si>
  <si>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</si>
  <si>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</si>
  <si>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</si>
  <si>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</si>
  <si>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</si>
  <si>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</si>
  <si>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</si>
  <si>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</si>
  <si>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</si>
  <si>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</si>
  <si>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</si>
  <si>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</si>
  <si>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</si>
  <si>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</si>
  <si>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</si>
  <si>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</si>
  <si>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</si>
  <si>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</si>
  <si>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</si>
  <si>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</si>
  <si>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</si>
  <si>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</si>
  <si>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</si>
  <si>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</si>
  <si>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</si>
  <si>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</si>
  <si>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</si>
  <si>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</si>
  <si>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</si>
  <si>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</si>
  <si>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</si>
  <si>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</si>
  <si>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</si>
  <si>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</si>
  <si>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</si>
  <si>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</si>
  <si>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</si>
  <si>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</si>
  <si>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</si>
  <si>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</si>
  <si>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</si>
  <si>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</si>
  <si>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</si>
  <si>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</si>
  <si>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</si>
  <si>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</si>
  <si>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</si>
  <si>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</si>
  <si>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</si>
  <si>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</si>
  <si>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</si>
  <si>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</si>
  <si>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</si>
  <si>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</si>
  <si>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</si>
  <si>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</si>
  <si>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</si>
  <si>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</si>
  <si>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</si>
  <si>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</si>
  <si>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</si>
  <si>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</si>
  <si>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</si>
  <si>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</si>
  <si>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</si>
  <si>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</si>
  <si>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</si>
  <si>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</si>
  <si>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</si>
  <si>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</si>
  <si>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</si>
  <si>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</si>
  <si>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</si>
  <si>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</si>
  <si>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</si>
  <si>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</si>
  <si>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</si>
  <si>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</si>
  <si>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</si>
  <si>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</si>
  <si>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</si>
  <si>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</si>
  <si>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</si>
  <si>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</si>
  <si>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</si>
  <si>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</si>
  <si>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</si>
  <si>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</si>
  <si>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</si>
  <si>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</si>
  <si>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</si>
  <si>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</si>
  <si>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</si>
  <si>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</si>
  <si>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</si>
  <si>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</si>
  <si>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</si>
  <si>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</si>
  <si>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</si>
  <si>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</si>
  <si>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</si>
  <si>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</si>
  <si>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</si>
  <si>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</si>
  <si>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</si>
  <si>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</si>
  <si>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</si>
  <si>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</si>
  <si>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</si>
  <si>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</si>
  <si>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</si>
  <si>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</si>
  <si>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</si>
  <si>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</si>
  <si>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</si>
  <si>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</si>
  <si>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</si>
  <si>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</si>
  <si>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</si>
  <si>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</si>
  <si>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</si>
  <si>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</si>
  <si>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</si>
  <si>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</si>
  <si>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</si>
  <si>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</si>
  <si>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</si>
  <si>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</si>
  <si>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</si>
  <si>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</si>
  <si>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</si>
  <si>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</si>
  <si>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</si>
  <si>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</si>
  <si>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</si>
  <si>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</si>
  <si>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</si>
  <si>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</si>
  <si>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</si>
  <si>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</si>
  <si>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</si>
  <si>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</si>
  <si>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</si>
  <si>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</si>
  <si>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</si>
  <si>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</si>
  <si>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</si>
  <si>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</si>
  <si>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</si>
  <si>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</si>
  <si>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</si>
  <si>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</si>
  <si>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</si>
  <si>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</si>
  <si>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</si>
  <si>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</si>
  <si>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</si>
  <si>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</si>
  <si>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</si>
  <si>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</si>
  <si>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</si>
  <si>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</si>
  <si>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</si>
  <si>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</si>
  <si>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</si>
  <si>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</si>
  <si>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</si>
  <si>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</si>
  <si>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</si>
  <si>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</si>
  <si>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</si>
  <si>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</si>
  <si>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</si>
  <si>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</si>
  <si>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</si>
  <si>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</si>
  <si>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</si>
  <si>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</si>
  <si>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</si>
  <si>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</si>
  <si>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</si>
  <si>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</si>
  <si>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</si>
  <si>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</si>
  <si>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</si>
  <si>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</si>
  <si>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</si>
  <si>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</si>
  <si>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</si>
  <si>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</si>
  <si>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</si>
  <si>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</si>
  <si>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</si>
  <si>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</si>
  <si>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</si>
  <si>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</si>
  <si>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</si>
  <si>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</si>
  <si>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</si>
  <si>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</si>
  <si>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</si>
  <si>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</si>
  <si>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</si>
  <si>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</si>
  <si>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</si>
  <si>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</si>
  <si>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</si>
  <si>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</si>
  <si>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</si>
  <si>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</si>
  <si>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</si>
  <si>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</si>
  <si>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</si>
  <si>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</si>
  <si>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</si>
  <si>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</si>
  <si>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</si>
  <si>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</si>
  <si>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</si>
  <si>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</si>
  <si>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</si>
  <si>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</si>
  <si>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</si>
  <si>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</si>
  <si>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</si>
  <si>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</si>
  <si>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</si>
  <si>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</si>
  <si>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</si>
  <si>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</si>
  <si>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</si>
  <si>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</si>
  <si>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</si>
  <si>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</si>
  <si>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</si>
  <si>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</si>
  <si>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</si>
  <si>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</si>
  <si>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</si>
  <si>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</si>
  <si>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</si>
  <si>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</si>
  <si>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</si>
  <si>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</si>
  <si>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</si>
  <si>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</si>
  <si>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</si>
  <si>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</si>
  <si>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</si>
  <si>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</si>
  <si>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</si>
  <si>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</si>
  <si>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</si>
  <si>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</si>
  <si>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</si>
  <si>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</si>
  <si>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</si>
  <si>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</si>
  <si>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</si>
  <si>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</si>
  <si>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</si>
  <si>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</si>
  <si>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</si>
  <si>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</si>
  <si>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</si>
  <si>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</si>
  <si>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</si>
  <si>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</si>
  <si>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</si>
  <si>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</si>
  <si>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</si>
  <si>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</si>
  <si>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</si>
  <si>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</si>
  <si>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</si>
  <si>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</si>
  <si>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</si>
  <si>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</si>
  <si>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</si>
  <si>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</si>
  <si>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</si>
  <si>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</si>
  <si>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</si>
  <si>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</si>
  <si>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</si>
  <si>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</si>
  <si>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</si>
  <si>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</si>
  <si>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</si>
  <si>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</si>
  <si>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</si>
  <si>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</si>
  <si>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</si>
  <si>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</si>
  <si>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</si>
  <si>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</si>
  <si>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</si>
  <si>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</si>
  <si>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</si>
  <si>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</si>
  <si>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</si>
  <si>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</si>
  <si>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</si>
  <si>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</si>
  <si>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</si>
  <si>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</si>
  <si>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</si>
  <si>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</si>
  <si>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</si>
  <si>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</si>
  <si>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</si>
  <si>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</si>
  <si>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</si>
  <si>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</si>
  <si>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</si>
  <si>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</si>
  <si>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</si>
  <si>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</si>
  <si>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</si>
  <si>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</si>
  <si>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</si>
  <si>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</si>
  <si>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</si>
  <si>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</si>
  <si>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</si>
  <si>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</si>
  <si>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</si>
  <si>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</si>
  <si>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</si>
  <si>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</si>
  <si>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</si>
  <si>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</si>
  <si>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</si>
  <si>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</si>
  <si>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</si>
  <si>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</si>
  <si>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</si>
  <si>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</si>
  <si>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</si>
  <si>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</si>
  <si>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</si>
  <si>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</si>
  <si>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</si>
  <si>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</si>
  <si>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</si>
  <si>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</si>
  <si>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</si>
  <si>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</si>
  <si>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</si>
  <si>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</si>
  <si>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</si>
  <si>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</si>
  <si>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</si>
  <si>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</si>
  <si>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</si>
  <si>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</si>
  <si>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</si>
  <si>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</si>
  <si>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</si>
  <si>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</si>
  <si>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</si>
  <si>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</si>
  <si>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</si>
  <si>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</si>
  <si>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</si>
  <si>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</si>
  <si>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</si>
  <si>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</si>
  <si>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</si>
  <si>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</si>
  <si>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</si>
  <si>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</si>
  <si>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</si>
  <si>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</si>
  <si>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</si>
  <si>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</si>
  <si>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</si>
  <si>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</si>
  <si>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</si>
  <si>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</si>
  <si>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</si>
  <si>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</si>
  <si>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</si>
  <si>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</si>
  <si>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</si>
  <si>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</si>
  <si>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</si>
  <si>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</si>
  <si>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</si>
  <si>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</si>
  <si>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</si>
  <si>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</si>
  <si>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</si>
  <si>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</si>
  <si>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</si>
  <si>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</si>
  <si>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</si>
  <si>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</si>
  <si>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</si>
  <si>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</si>
  <si>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</si>
  <si>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</si>
  <si>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</si>
  <si>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</si>
  <si>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</si>
  <si>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</si>
  <si>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</si>
  <si>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</si>
  <si>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</si>
  <si>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</si>
  <si>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</si>
  <si>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</si>
  <si>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</si>
  <si>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</si>
  <si>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</si>
  <si>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</si>
  <si>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</si>
  <si>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</si>
  <si>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</si>
  <si>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</si>
  <si>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</si>
  <si>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</si>
  <si>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</si>
  <si>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</si>
  <si>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</si>
  <si>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</si>
  <si>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</si>
  <si>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</si>
  <si>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</si>
  <si>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</si>
  <si>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</si>
  <si>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</si>
  <si>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</si>
  <si>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</si>
  <si>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</si>
  <si>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</si>
  <si>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</si>
  <si>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</si>
  <si>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</si>
  <si>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</si>
  <si>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</si>
  <si>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</si>
  <si>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</si>
  <si>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</si>
  <si>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</si>
  <si>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</si>
  <si>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</si>
  <si>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</si>
  <si>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</si>
  <si>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</si>
  <si>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</si>
  <si>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</si>
  <si>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</si>
  <si>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</si>
  <si>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</si>
  <si>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</si>
  <si>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</si>
  <si>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</si>
  <si>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</si>
  <si>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</si>
  <si>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</si>
  <si>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</si>
  <si>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</si>
  <si>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</si>
  <si>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</si>
  <si>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</si>
  <si>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</si>
  <si>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</si>
  <si>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</si>
  <si>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</si>
  <si>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</si>
  <si>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</si>
  <si>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</si>
  <si>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</si>
  <si>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</si>
  <si>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</si>
  <si>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</si>
  <si>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</si>
  <si>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</si>
  <si>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</si>
  <si>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</si>
  <si>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</si>
  <si>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</si>
  <si>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</si>
  <si>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</si>
  <si>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</si>
  <si>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</si>
  <si>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</si>
  <si>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</si>
  <si>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</si>
  <si>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</si>
  <si>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</si>
  <si>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</si>
  <si>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</si>
  <si>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</si>
  <si>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</si>
  <si>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</si>
  <si>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</si>
  <si>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</si>
  <si>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</si>
  <si>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</si>
  <si>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</si>
  <si>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</si>
  <si>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</si>
  <si>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</si>
  <si>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</si>
  <si>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</si>
  <si>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</si>
  <si>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</si>
  <si>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</si>
  <si>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</si>
  <si>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</si>
  <si>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</si>
  <si>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</si>
  <si>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</si>
  <si>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</si>
  <si>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</si>
  <si>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</si>
  <si>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</si>
  <si>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</si>
  <si>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</si>
  <si>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</si>
  <si>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</si>
  <si>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</si>
  <si>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</si>
  <si>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</si>
  <si>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</si>
  <si>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</si>
  <si>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</si>
  <si>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</si>
  <si>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</si>
  <si>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</si>
  <si>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</si>
  <si>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</si>
  <si>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</si>
  <si>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</si>
  <si>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</si>
  <si>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</si>
  <si>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</si>
  <si>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</si>
  <si>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</si>
  <si>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</si>
  <si>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</si>
  <si>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</si>
  <si>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</si>
  <si>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</si>
  <si>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</si>
  <si>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</si>
  <si>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</si>
  <si>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</si>
  <si>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</si>
  <si>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</si>
  <si>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</si>
  <si>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</si>
  <si>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</si>
  <si>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</si>
  <si>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</si>
  <si>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</si>
  <si>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</si>
  <si>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</si>
  <si>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</si>
  <si>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</si>
  <si>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</si>
  <si>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</si>
  <si>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</si>
  <si>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</si>
  <si>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</si>
  <si>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</si>
  <si>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</si>
  <si>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</si>
  <si>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</si>
  <si>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</si>
  <si>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</si>
  <si>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</si>
  <si>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</si>
  <si>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</si>
  <si>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</si>
  <si>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</si>
  <si>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</si>
  <si>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</si>
  <si>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</si>
  <si>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</si>
  <si>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</si>
  <si>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</si>
  <si>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</si>
  <si>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</si>
  <si>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</si>
  <si>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</si>
  <si>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</si>
  <si>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</si>
  <si>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</si>
  <si>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</si>
  <si>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</si>
  <si>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</si>
  <si>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</si>
  <si>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</si>
  <si>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</si>
  <si>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</si>
  <si>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</si>
  <si>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</si>
  <si>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</si>
  <si>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</si>
  <si>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</si>
  <si>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</si>
  <si>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</si>
  <si>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</si>
  <si>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</si>
  <si>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</si>
  <si>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</si>
  <si>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</si>
  <si>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</si>
  <si>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</si>
  <si>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</si>
  <si>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</si>
  <si>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</si>
  <si>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</si>
  <si>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</si>
  <si>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</si>
  <si>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</si>
  <si>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</si>
  <si>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</si>
  <si>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</si>
  <si>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</si>
  <si>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</si>
  <si>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</si>
  <si>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</si>
  <si>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</si>
  <si>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</si>
  <si>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</si>
  <si>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</si>
  <si>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</si>
  <si>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</si>
  <si>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</si>
  <si>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</si>
  <si>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</si>
  <si>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</si>
  <si>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</si>
  <si>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</si>
  <si>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</si>
  <si>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</si>
  <si>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</si>
  <si>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</si>
  <si>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</si>
  <si>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</si>
  <si>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</si>
  <si>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</si>
  <si>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</si>
  <si>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</si>
  <si>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</si>
  <si>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</si>
  <si>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</si>
  <si>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</si>
  <si>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</si>
  <si>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</si>
  <si>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</si>
  <si>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</si>
  <si>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</si>
  <si>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</si>
  <si>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</si>
  <si>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</si>
  <si>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</si>
  <si>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</si>
  <si>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</si>
  <si>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</si>
  <si>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</si>
  <si>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</si>
  <si>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</si>
  <si>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</si>
  <si>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</si>
  <si>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</si>
  <si>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</si>
  <si>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</si>
  <si>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</si>
  <si>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</si>
  <si>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</si>
  <si>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</si>
  <si>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</si>
  <si>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</si>
  <si>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</si>
  <si>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</si>
  <si>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</si>
  <si>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</si>
  <si>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</si>
  <si>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</si>
  <si>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</si>
  <si>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</si>
  <si>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</si>
  <si>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</si>
  <si>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</si>
  <si>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</si>
  <si>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</si>
  <si>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</si>
  <si>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</si>
  <si>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</si>
  <si>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</si>
  <si>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</si>
  <si>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</si>
  <si>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</si>
  <si>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</si>
  <si>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</si>
  <si>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</si>
  <si>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</si>
  <si>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</si>
  <si>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</si>
  <si>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</si>
  <si>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</si>
  <si>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</si>
  <si>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</si>
  <si>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</si>
  <si>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</si>
  <si>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</si>
  <si>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</si>
  <si>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</si>
  <si>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</si>
  <si>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10111353收MBL，10111408放KOOKYANG</t>
    <phoneticPr fontId="1" type="noConversion"/>
  </si>
  <si>
    <t>YJCSHAN1916751</t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</si>
  <si>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</si>
  <si>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</si>
  <si>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</si>
  <si>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</si>
  <si>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</si>
  <si>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</si>
  <si>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</si>
  <si>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</si>
  <si>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</si>
  <si>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</si>
  <si>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</si>
  <si>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</si>
  <si>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</si>
  <si>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</si>
  <si>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</si>
  <si>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</si>
  <si>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</si>
  <si>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</si>
  <si>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</si>
  <si>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</si>
  <si>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</si>
  <si>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</si>
  <si>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</si>
  <si>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</si>
  <si>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</si>
  <si>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</si>
  <si>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</si>
  <si>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</si>
  <si>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</si>
  <si>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</si>
  <si>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</si>
  <si>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</si>
  <si>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</si>
  <si>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</si>
  <si>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</si>
  <si>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</si>
  <si>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</si>
  <si>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</si>
  <si>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</si>
  <si>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</si>
  <si>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</si>
  <si>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</si>
  <si>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</si>
  <si>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</si>
  <si>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</si>
  <si>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</si>
  <si>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</si>
  <si>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</si>
  <si>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</si>
  <si>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</si>
  <si>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</si>
  <si>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</si>
  <si>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</si>
  <si>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</si>
  <si>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</si>
  <si>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</si>
  <si>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</si>
  <si>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</si>
  <si>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</si>
  <si>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</si>
  <si>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</si>
  <si>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</si>
  <si>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</si>
  <si>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</si>
  <si>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</si>
  <si>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</si>
  <si>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</si>
  <si>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</si>
  <si>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</si>
  <si>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</si>
  <si>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</si>
  <si>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</si>
  <si>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</si>
  <si>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</si>
  <si>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</si>
  <si>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</si>
  <si>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</si>
  <si>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</si>
  <si>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</si>
  <si>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</si>
  <si>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</si>
  <si>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</si>
  <si>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</si>
  <si>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</si>
  <si>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</si>
  <si>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</si>
  <si>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</si>
  <si>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</si>
  <si>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</si>
  <si>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</si>
  <si>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</si>
  <si>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</si>
  <si>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</si>
  <si>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</si>
  <si>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</si>
  <si>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</si>
  <si>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</si>
  <si>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</si>
  <si>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</si>
  <si>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</si>
  <si>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</si>
  <si>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</si>
  <si>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</si>
  <si>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</si>
  <si>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</si>
  <si>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</si>
  <si>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</si>
  <si>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</si>
  <si>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</si>
  <si>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</si>
  <si>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</si>
  <si>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</si>
  <si>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</si>
  <si>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</si>
  <si>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</si>
  <si>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</si>
  <si>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</si>
  <si>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</si>
  <si>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</si>
  <si>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</si>
  <si>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</si>
  <si>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</si>
  <si>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</si>
  <si>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</si>
  <si>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</si>
  <si>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</si>
  <si>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</si>
  <si>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</si>
  <si>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</si>
  <si>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</si>
  <si>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</si>
  <si>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</si>
  <si>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</si>
  <si>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</si>
  <si>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</si>
  <si>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</si>
  <si>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</si>
  <si>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</si>
  <si>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</si>
  <si>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</si>
  <si>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</si>
  <si>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</si>
  <si>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</si>
  <si>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</si>
  <si>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</si>
  <si>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</si>
  <si>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</si>
  <si>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</si>
  <si>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</si>
  <si>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</si>
  <si>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</si>
  <si>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</si>
  <si>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</si>
  <si>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</si>
  <si>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</si>
  <si>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</si>
  <si>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</si>
  <si>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</si>
  <si>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</si>
  <si>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</si>
  <si>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</si>
  <si>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</si>
  <si>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</si>
  <si>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</si>
  <si>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</si>
  <si>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</si>
  <si>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</si>
  <si>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</si>
  <si>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</si>
  <si>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</si>
  <si>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</si>
  <si>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</si>
  <si>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</si>
  <si>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</si>
  <si>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</si>
  <si>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</si>
  <si>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</si>
  <si>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</si>
  <si>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</si>
  <si>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</si>
  <si>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</si>
  <si>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</si>
  <si>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</si>
  <si>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</si>
  <si>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</si>
  <si>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</si>
  <si>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</si>
  <si>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</si>
  <si>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</si>
  <si>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</si>
  <si>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</si>
  <si>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</si>
  <si>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</si>
  <si>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</si>
  <si>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</si>
  <si>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</si>
  <si>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</si>
  <si>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</si>
  <si>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</si>
  <si>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</si>
  <si>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</si>
  <si>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</si>
  <si>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</si>
  <si>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</si>
  <si>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</si>
  <si>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</si>
  <si>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</si>
  <si>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</si>
  <si>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</si>
  <si>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</si>
  <si>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</si>
  <si>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</si>
  <si>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</si>
  <si>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</si>
  <si>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</si>
  <si>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</si>
  <si>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</si>
  <si>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</si>
  <si>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</si>
  <si>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</si>
  <si>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</si>
  <si>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</si>
  <si>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</si>
  <si>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</si>
  <si>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</si>
  <si>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</si>
  <si>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</si>
  <si>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</si>
  <si>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</si>
  <si>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</si>
  <si>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</si>
  <si>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</si>
  <si>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</si>
  <si>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</si>
  <si>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</si>
  <si>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</si>
  <si>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</si>
  <si>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</si>
  <si>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</si>
  <si>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</si>
  <si>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</si>
  <si>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</si>
  <si>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</si>
  <si>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</si>
  <si>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</si>
  <si>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</si>
  <si>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</si>
  <si>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</si>
  <si>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</si>
  <si>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</si>
  <si>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</si>
  <si>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</si>
  <si>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</si>
  <si>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</si>
  <si>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</si>
  <si>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</si>
  <si>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</si>
  <si>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</si>
  <si>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</si>
  <si>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</si>
  <si>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</si>
  <si>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</si>
  <si>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</si>
  <si>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</si>
  <si>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</si>
  <si>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</si>
  <si>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</si>
  <si>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</si>
  <si>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</si>
  <si>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</si>
  <si>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</si>
  <si>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</si>
  <si>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</si>
  <si>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</si>
  <si>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</si>
  <si>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</si>
  <si>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</si>
  <si>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</si>
  <si>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</si>
  <si>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</si>
  <si>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</si>
  <si>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</si>
  <si>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</si>
  <si>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</si>
  <si>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</si>
  <si>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</si>
  <si>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</si>
  <si>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</si>
  <si>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</si>
  <si>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</si>
  <si>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</si>
  <si>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</si>
  <si>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</si>
  <si>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</si>
  <si>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</si>
  <si>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</si>
  <si>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</si>
  <si>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</si>
  <si>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</si>
  <si>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</si>
  <si>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</si>
  <si>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</si>
  <si>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</si>
  <si>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</si>
  <si>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</si>
  <si>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</si>
  <si>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</si>
  <si>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</si>
  <si>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</si>
  <si>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</si>
  <si>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</si>
  <si>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</si>
  <si>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</si>
  <si>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</si>
  <si>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</si>
  <si>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</si>
  <si>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</si>
  <si>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</si>
  <si>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</si>
  <si>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</si>
  <si>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</si>
  <si>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</si>
  <si>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</si>
  <si>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</si>
  <si>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</si>
  <si>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</si>
  <si>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</si>
  <si>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</si>
  <si>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</si>
  <si>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</si>
  <si>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</si>
  <si>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</si>
  <si>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</si>
  <si>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</si>
  <si>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</si>
  <si>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</si>
  <si>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</si>
  <si>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</si>
  <si>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</si>
  <si>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</si>
  <si>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</si>
  <si>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</si>
  <si>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</si>
  <si>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</si>
  <si>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ANC</t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</si>
  <si>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</si>
  <si>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</si>
  <si>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</si>
  <si>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</si>
  <si>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</si>
  <si>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</si>
  <si>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</si>
  <si>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</si>
  <si>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</si>
  <si>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</si>
  <si>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</si>
  <si>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</si>
  <si>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</si>
  <si>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</si>
  <si>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</si>
  <si>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</si>
  <si>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</si>
  <si>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</si>
  <si>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</si>
  <si>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</si>
  <si>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</si>
  <si>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</si>
  <si>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</si>
  <si>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</si>
  <si>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</si>
  <si>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</si>
  <si>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</si>
  <si>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</si>
  <si>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</si>
  <si>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</si>
  <si>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</si>
  <si>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</si>
  <si>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</si>
  <si>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</si>
  <si>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</si>
  <si>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</si>
  <si>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</si>
  <si>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</si>
  <si>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</si>
  <si>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</si>
  <si>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</si>
  <si>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</si>
  <si>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</si>
  <si>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</si>
  <si>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</si>
  <si>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</si>
  <si>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</si>
  <si>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</si>
  <si>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</si>
  <si>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</si>
  <si>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</si>
  <si>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</si>
  <si>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</si>
  <si>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</si>
  <si>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</si>
  <si>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</si>
  <si>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</si>
  <si>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</si>
  <si>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</si>
  <si>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</si>
  <si>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</si>
  <si>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</si>
  <si>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</si>
  <si>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</si>
  <si>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</si>
  <si>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</si>
  <si>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</si>
  <si>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</si>
  <si>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</si>
  <si>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</si>
  <si>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</si>
  <si>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</si>
  <si>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</si>
  <si>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</si>
  <si>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</si>
  <si>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</si>
  <si>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</si>
  <si>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</si>
  <si>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</si>
  <si>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</si>
  <si>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</si>
  <si>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</si>
  <si>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</si>
  <si>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</si>
  <si>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</si>
  <si>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</si>
  <si>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</si>
  <si>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</si>
  <si>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</si>
  <si>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</si>
  <si>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</si>
  <si>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</si>
  <si>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</si>
  <si>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</si>
  <si>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</si>
  <si>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</si>
  <si>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</si>
  <si>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</si>
  <si>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</si>
  <si>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</si>
  <si>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</si>
  <si>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</si>
  <si>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</si>
  <si>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</si>
  <si>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</si>
  <si>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</si>
  <si>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</si>
  <si>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</si>
  <si>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</si>
  <si>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</si>
  <si>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</si>
  <si>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</si>
  <si>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</si>
  <si>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</si>
  <si>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</si>
  <si>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</si>
  <si>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</si>
  <si>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</si>
  <si>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</si>
  <si>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</si>
  <si>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</si>
  <si>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</si>
  <si>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</si>
  <si>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</si>
  <si>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</si>
  <si>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</si>
  <si>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</si>
  <si>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</si>
  <si>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</si>
  <si>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</si>
  <si>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</si>
  <si>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</si>
  <si>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</si>
  <si>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</si>
  <si>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</si>
  <si>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</si>
  <si>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</si>
  <si>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</si>
  <si>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</si>
  <si>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</si>
  <si>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</si>
  <si>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</si>
  <si>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</si>
  <si>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</si>
  <si>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</si>
  <si>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</si>
  <si>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</si>
  <si>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</si>
  <si>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</si>
  <si>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</si>
  <si>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</si>
  <si>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</si>
  <si>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</si>
  <si>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</si>
  <si>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</si>
  <si>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</si>
  <si>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</si>
  <si>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</si>
  <si>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</si>
  <si>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</si>
  <si>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</si>
  <si>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</si>
  <si>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</si>
  <si>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</si>
  <si>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</si>
  <si>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</si>
  <si>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</si>
  <si>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</si>
  <si>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</si>
  <si>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</si>
  <si>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</si>
  <si>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</si>
  <si>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</si>
  <si>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</si>
  <si>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</si>
  <si>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</si>
  <si>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</si>
  <si>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</si>
  <si>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</si>
  <si>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</si>
  <si>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</si>
  <si>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</si>
  <si>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</si>
  <si>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</si>
  <si>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</si>
  <si>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</si>
  <si>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</si>
  <si>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</si>
  <si>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</si>
  <si>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</si>
  <si>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</si>
  <si>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</si>
  <si>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</si>
  <si>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</si>
  <si>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</si>
  <si>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</si>
  <si>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</si>
  <si>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</si>
  <si>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</si>
  <si>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</si>
  <si>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</si>
  <si>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</si>
  <si>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</si>
  <si>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</si>
  <si>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</si>
  <si>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</si>
  <si>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</si>
  <si>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</si>
  <si>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</si>
  <si>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</si>
  <si>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</si>
  <si>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</si>
  <si>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</si>
  <si>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</si>
  <si>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</si>
  <si>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</si>
  <si>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</si>
  <si>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</si>
  <si>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</si>
  <si>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</si>
  <si>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</si>
  <si>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</si>
  <si>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</si>
  <si>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</si>
  <si>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</si>
  <si>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</si>
  <si>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</si>
  <si>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</si>
  <si>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</si>
  <si>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</si>
  <si>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</si>
  <si>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</si>
  <si>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</si>
  <si>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</si>
  <si>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</si>
  <si>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</si>
  <si>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</si>
  <si>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</si>
  <si>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</si>
  <si>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</si>
  <si>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</si>
  <si>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</si>
  <si>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</si>
  <si>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</si>
  <si>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</si>
  <si>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</si>
  <si>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</si>
  <si>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</si>
  <si>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</si>
  <si>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</si>
  <si>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</si>
  <si>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</si>
  <si>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</si>
  <si>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</si>
  <si>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</si>
  <si>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</si>
  <si>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</si>
  <si>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</si>
  <si>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</si>
  <si>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</si>
  <si>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</si>
  <si>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</si>
  <si>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</si>
  <si>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</si>
  <si>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</si>
  <si>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</si>
  <si>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</si>
  <si>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</si>
  <si>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</si>
  <si>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</si>
  <si>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</si>
  <si>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</si>
  <si>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</si>
  <si>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</si>
  <si>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</si>
  <si>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</si>
  <si>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</si>
  <si>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</si>
  <si>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</si>
  <si>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</si>
  <si>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</si>
  <si>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</si>
  <si>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</si>
  <si>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</si>
  <si>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</si>
  <si>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</si>
  <si>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</si>
  <si>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</si>
  <si>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</si>
  <si>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</si>
  <si>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</si>
  <si>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</si>
  <si>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</si>
  <si>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</si>
  <si>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</si>
  <si>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</si>
  <si>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</si>
  <si>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</si>
  <si>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</si>
  <si>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</si>
  <si>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</si>
  <si>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</si>
  <si>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</si>
  <si>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</si>
  <si>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</si>
  <si>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</si>
  <si>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</si>
  <si>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</si>
  <si>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</si>
  <si>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</si>
  <si>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</si>
  <si>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</si>
  <si>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</si>
  <si>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</si>
  <si>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</si>
  <si>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</si>
  <si>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</si>
  <si>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</si>
  <si>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</si>
  <si>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</si>
  <si>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</si>
  <si>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</si>
  <si>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</si>
  <si>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</si>
  <si>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</si>
  <si>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</si>
  <si>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</si>
  <si>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</si>
  <si>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</si>
  <si>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</si>
  <si>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</si>
  <si>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</si>
  <si>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</si>
  <si>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</si>
  <si>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</si>
  <si>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</si>
  <si>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</si>
  <si>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</si>
  <si>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</si>
  <si>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</si>
  <si>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</si>
  <si>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</si>
  <si>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</si>
  <si>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</si>
  <si>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</si>
  <si>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</si>
  <si>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</si>
  <si>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</si>
  <si>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</si>
  <si>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</si>
  <si>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</si>
  <si>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</si>
  <si>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</si>
  <si>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</si>
  <si>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</si>
  <si>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</si>
  <si>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</si>
  <si>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</si>
  <si>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</si>
  <si>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</si>
  <si>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</si>
  <si>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</si>
  <si>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</si>
  <si>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</si>
  <si>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</si>
  <si>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</si>
  <si>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</si>
  <si>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</si>
  <si>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</si>
  <si>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</si>
  <si>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</si>
  <si>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</si>
  <si>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</si>
  <si>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</si>
  <si>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</si>
  <si>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</si>
  <si>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</si>
  <si>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</si>
  <si>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</si>
  <si>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</si>
  <si>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</si>
  <si>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</si>
  <si>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</si>
  <si>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</si>
  <si>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</si>
  <si>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</si>
  <si>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</si>
  <si>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</si>
  <si>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</si>
  <si>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</si>
  <si>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</si>
  <si>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</si>
  <si>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</si>
  <si>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</si>
  <si>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</si>
  <si>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</si>
  <si>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</si>
  <si>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</si>
  <si>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</si>
  <si>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</si>
  <si>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</si>
  <si>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</si>
  <si>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</si>
  <si>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</si>
  <si>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</si>
  <si>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</si>
  <si>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</si>
  <si>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</si>
  <si>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</si>
  <si>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</si>
  <si>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</si>
  <si>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</si>
  <si>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</si>
  <si>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</si>
  <si>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</si>
  <si>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</si>
  <si>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</si>
  <si>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</si>
  <si>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</si>
  <si>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</si>
  <si>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</si>
  <si>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</si>
  <si>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</si>
  <si>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</si>
  <si>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</si>
  <si>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</si>
  <si>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</si>
  <si>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</si>
  <si>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</si>
  <si>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</si>
  <si>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</si>
  <si>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</si>
  <si>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</si>
  <si>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</si>
  <si>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</si>
  <si>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</si>
  <si>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</si>
  <si>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</si>
  <si>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船开，放HBL，放MBL</t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</si>
  <si>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</si>
  <si>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</si>
  <si>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</si>
  <si>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</si>
  <si>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</si>
  <si>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</si>
  <si>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</si>
  <si>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</si>
  <si>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</si>
  <si>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</si>
  <si>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</si>
  <si>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</si>
  <si>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</si>
  <si>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</si>
  <si>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</si>
  <si>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</si>
  <si>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</si>
  <si>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</si>
  <si>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</si>
  <si>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</si>
  <si>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</si>
  <si>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</si>
  <si>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</si>
  <si>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</si>
  <si>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</si>
  <si>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</si>
  <si>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</si>
  <si>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</si>
  <si>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</si>
  <si>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</si>
  <si>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ETD1229 确认订舱 出运清单 核数据 领取单 SWB</t>
  </si>
  <si>
    <t>1127费用（4号 公共盘 月账单表 发孙丹），1127额外费用邮件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</si>
  <si>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</si>
  <si>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</si>
  <si>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</si>
  <si>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进港，核数据，海放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</si>
  <si>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</si>
  <si>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</si>
  <si>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</si>
  <si>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</si>
  <si>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</si>
  <si>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</si>
  <si>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</si>
  <si>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</si>
  <si>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</si>
  <si>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</si>
  <si>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</si>
  <si>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</si>
  <si>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</si>
  <si>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</si>
  <si>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</si>
  <si>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</si>
  <si>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</si>
  <si>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</si>
  <si>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</si>
  <si>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</si>
  <si>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</si>
  <si>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</si>
  <si>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</si>
  <si>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</si>
  <si>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</si>
  <si>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</si>
  <si>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</si>
  <si>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</si>
  <si>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</si>
  <si>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</si>
  <si>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</si>
  <si>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</si>
  <si>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</si>
  <si>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</si>
  <si>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</si>
  <si>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</si>
  <si>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</si>
  <si>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</si>
  <si>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</si>
  <si>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</si>
  <si>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</si>
  <si>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</si>
  <si>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</si>
  <si>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</si>
  <si>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</si>
  <si>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</si>
  <si>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</si>
  <si>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</si>
  <si>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</si>
  <si>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</si>
  <si>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</si>
  <si>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</si>
  <si>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</si>
  <si>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</si>
  <si>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</si>
  <si>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</si>
  <si>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</si>
  <si>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</si>
  <si>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</si>
  <si>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</si>
  <si>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</si>
  <si>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</si>
  <si>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</si>
  <si>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</si>
  <si>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</si>
  <si>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1125KY确认，1125发进仓通知，1203截单，截货，确定船期</t>
    <phoneticPr fontId="1" type="noConversion"/>
  </si>
  <si>
    <t>周四下午进</t>
    <phoneticPr fontId="1" type="noConversion"/>
  </si>
  <si>
    <t>YJCSHAN1918981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</si>
  <si>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</si>
  <si>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</si>
  <si>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</si>
  <si>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</si>
  <si>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</si>
  <si>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</si>
  <si>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</si>
  <si>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</si>
  <si>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</si>
  <si>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</si>
  <si>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</si>
  <si>
    <t>华宝本月发票按明细开好后和主分单对应表一起寄客户（28号前要收到），水单</t>
    <phoneticPr fontId="1" type="noConversion"/>
  </si>
  <si>
    <t>MEHUIN</t>
  </si>
  <si>
    <t>951E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</si>
  <si>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</si>
  <si>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</si>
  <si>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</si>
  <si>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</si>
  <si>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</si>
  <si>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</si>
  <si>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</si>
  <si>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</si>
  <si>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计划</t>
    <phoneticPr fontId="1" type="noConversion"/>
  </si>
  <si>
    <t>拖车报关报价确认，订车</t>
    <phoneticPr fontId="1" type="noConversion"/>
  </si>
  <si>
    <t>HBL确认，邮件KY</t>
    <phoneticPr fontId="1" type="noConversion"/>
  </si>
  <si>
    <t>放MBL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</si>
  <si>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</si>
  <si>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</si>
  <si>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</si>
  <si>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</si>
  <si>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</si>
  <si>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</si>
  <si>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</si>
  <si>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</si>
  <si>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</si>
  <si>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</si>
  <si>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</si>
  <si>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</si>
  <si>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</si>
  <si>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</si>
  <si>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</si>
  <si>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</si>
  <si>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</si>
  <si>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</si>
  <si>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</si>
  <si>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HDMUQSWB4063853</t>
    <phoneticPr fontId="1" type="noConversion"/>
  </si>
  <si>
    <t>HDMUQSWB4063857</t>
    <phoneticPr fontId="1" type="noConversion"/>
  </si>
  <si>
    <t>HDMUQSWB4063854</t>
    <phoneticPr fontId="1" type="noConversion"/>
  </si>
  <si>
    <t>HDMUQSWB4063855</t>
    <phoneticPr fontId="1" type="noConversion"/>
  </si>
  <si>
    <t>HDMUQSWB4063856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</si>
  <si>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</si>
  <si>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</si>
  <si>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</si>
  <si>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</si>
  <si>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</si>
  <si>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</si>
  <si>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</si>
  <si>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</si>
  <si>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</si>
  <si>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</si>
  <si>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</si>
  <si>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</si>
  <si>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</si>
  <si>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</si>
  <si>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</si>
  <si>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</si>
  <si>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</si>
  <si>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</si>
  <si>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</si>
  <si>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</si>
  <si>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</si>
  <si>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</si>
  <si>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</si>
  <si>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HDMUQSWB4063831</t>
    <phoneticPr fontId="1" type="noConversion"/>
  </si>
  <si>
    <t>【HMI】1207开港，进港，核数据，报关</t>
    <phoneticPr fontId="1" type="noConversion"/>
  </si>
  <si>
    <t>1207海放，1209码放，1209配载，开船，通知Wanda</t>
    <phoneticPr fontId="1" type="noConversion"/>
  </si>
  <si>
    <t>HTL超期费申请减免</t>
    <phoneticPr fontId="1" type="noConversion"/>
  </si>
  <si>
    <t>PCLU1805PE4308 取消</t>
    <phoneticPr fontId="1" type="noConversion"/>
  </si>
  <si>
    <t>CASAMIA/KUKA 发舱单</t>
    <phoneticPr fontId="1" type="noConversion"/>
  </si>
  <si>
    <t>【应付】1205确认账单</t>
    <phoneticPr fontId="1" type="noConversion"/>
  </si>
  <si>
    <t>取消</t>
    <phoneticPr fontId="1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</si>
  <si>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</si>
  <si>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</si>
  <si>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</si>
  <si>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</si>
  <si>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</si>
  <si>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</si>
  <si>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1" type="noConversion"/>
  </si>
  <si>
    <t>drliqingcheng微博2019-12-16 09:47恢复</t>
    <phoneticPr fontId="1" type="noConversion"/>
  </si>
  <si>
    <t>1209海放，1210码放，1210配载，开船</t>
    <phoneticPr fontId="1" type="noConversion"/>
  </si>
  <si>
    <t>SITC HAINAN</t>
    <phoneticPr fontId="1" type="noConversion"/>
  </si>
  <si>
    <t>1930S</t>
    <phoneticPr fontId="1" type="noConversion"/>
  </si>
  <si>
    <t>SITGSHC8H04588</t>
    <phoneticPr fontId="1" type="noConversion"/>
  </si>
  <si>
    <t>1125托书，1210预配，1210YJC生成，1210做箱时间，订车，回孙丹</t>
    <phoneticPr fontId="1" type="noConversion"/>
  </si>
  <si>
    <t>YJCSHAN1920877</t>
    <phoneticPr fontId="1" type="noConversion"/>
  </si>
  <si>
    <t>PCLU1952HN4306 退载</t>
    <phoneticPr fontId="1" type="noConversion"/>
  </si>
  <si>
    <t>MOL BENEFACTOR</t>
    <phoneticPr fontId="1" type="noConversion"/>
  </si>
  <si>
    <t>HLCUSHA1904FMTC6</t>
  </si>
  <si>
    <t>1204托书，1210预配(沈丽)，YJC生成</t>
    <phoneticPr fontId="1" type="noConversion"/>
  </si>
  <si>
    <t>2报0联 落箱</t>
    <phoneticPr fontId="1" type="noConversion"/>
  </si>
  <si>
    <t>【应付】1204确认账单，1204发票，CCL水单</t>
    <phoneticPr fontId="1" type="noConversion"/>
  </si>
  <si>
    <t>1209海放，1210码放，1210配载，1211费用发陈吟勇石磊</t>
    <phoneticPr fontId="1" type="noConversion"/>
  </si>
  <si>
    <t>船开，放提单（PHISON、陈吟勇提单、陈云娣）</t>
    <phoneticPr fontId="1" type="noConversion"/>
  </si>
  <si>
    <t>海放，码放，配载，费用发陈吟勇石磊</t>
    <phoneticPr fontId="1" type="noConversion"/>
  </si>
  <si>
    <t>CAPE ARTEMISIO</t>
  </si>
  <si>
    <t>951W</t>
  </si>
  <si>
    <t>HDMUQSII8489281</t>
  </si>
  <si>
    <t>CK 刘佳</t>
  </si>
  <si>
    <t>009W</t>
  </si>
  <si>
    <t>COSCO SHIPPING PANAMA</t>
    <phoneticPr fontId="1" type="noConversion"/>
  </si>
  <si>
    <t>021W</t>
  </si>
  <si>
    <t>CNCC194145</t>
  </si>
  <si>
    <t>MSC GISELLE</t>
  </si>
  <si>
    <t>FI950A</t>
  </si>
  <si>
    <t>HLCUSHA1904FMTJ2</t>
    <phoneticPr fontId="1" type="noConversion"/>
  </si>
  <si>
    <t>COSCO SHIPPING ARIES</t>
  </si>
  <si>
    <t>010W</t>
  </si>
  <si>
    <t>COSU6253969520</t>
  </si>
  <si>
    <t>取消</t>
    <phoneticPr fontId="1" type="noConversion"/>
  </si>
  <si>
    <t>万盛，送货750，进仓费190，合940抵扣下一票拼箱</t>
    <phoneticPr fontId="1" type="noConversion"/>
  </si>
  <si>
    <t>TCL</t>
    <phoneticPr fontId="1" type="noConversion"/>
  </si>
  <si>
    <t>YJCSHAN1920939</t>
  </si>
  <si>
    <t>计划</t>
    <phoneticPr fontId="1" type="noConversion"/>
  </si>
  <si>
    <t>HBL确认，应收【抵扣】确认，应收发票，应收水单</t>
    <phoneticPr fontId="1" type="noConversion"/>
  </si>
  <si>
    <t>1211托书，1211订舱，1211邮件KY，进仓通知</t>
    <phoneticPr fontId="1" type="noConversion"/>
  </si>
  <si>
    <t>OKMBLCOPY，OK确认，OK应付确认，1211应付发票</t>
    <phoneticPr fontId="1" type="noConversion"/>
  </si>
  <si>
    <t>MBLCOPY，确认，应付确认，应付发票（1月开始月底一起开）</t>
    <phoneticPr fontId="1" type="noConversion"/>
  </si>
  <si>
    <t>1211船开，放提单（PHISON、陈吟勇提单、陈云娣）</t>
    <phoneticPr fontId="1" type="noConversion"/>
  </si>
  <si>
    <t>YJCSHAN1920799</t>
    <phoneticPr fontId="1" type="noConversion"/>
  </si>
  <si>
    <t>1211数据，1212发沈丽，1212要报关资料，发报关行</t>
    <phoneticPr fontId="1" type="noConversion"/>
  </si>
  <si>
    <t>1204托书，1204五步订舱，1211KY确认，1211振华确认</t>
    <phoneticPr fontId="1" type="noConversion"/>
  </si>
  <si>
    <t>YJCSHAN1920903</t>
    <phoneticPr fontId="1" type="noConversion"/>
  </si>
  <si>
    <t>YJCSHAN1920854</t>
    <phoneticPr fontId="1" type="noConversion"/>
  </si>
  <si>
    <t>收做资料(代做确认)，发报关行</t>
    <phoneticPr fontId="1" type="noConversion"/>
  </si>
  <si>
    <t>CASAMIA/KUKA 1208 YJCSHAN1919892 LSS向国内收取，发票</t>
    <phoneticPr fontId="1" type="noConversion"/>
  </si>
  <si>
    <t>S/KUKA C/CASAMIA指定PO 的 LSS向国内收取</t>
    <phoneticPr fontId="1" type="noConversion"/>
  </si>
  <si>
    <t>TJ-ACC</t>
    <phoneticPr fontId="1" type="noConversion"/>
  </si>
  <si>
    <t>TJ-CNA</t>
    <phoneticPr fontId="1" type="noConversion"/>
  </si>
  <si>
    <t>TJ-ELASTO</t>
    <phoneticPr fontId="1" type="noConversion"/>
  </si>
  <si>
    <t>TJ-HAOS</t>
  </si>
  <si>
    <t>TJ-HAOS</t>
    <phoneticPr fontId="1" type="noConversion"/>
  </si>
  <si>
    <t>TJ-HMB</t>
  </si>
  <si>
    <t>TJ-HMB</t>
    <phoneticPr fontId="1" type="noConversion"/>
  </si>
  <si>
    <t>TJ-HMI</t>
    <phoneticPr fontId="1" type="noConversion"/>
  </si>
  <si>
    <t>TJ-HMMR</t>
  </si>
  <si>
    <t>TJ-HMMR</t>
    <phoneticPr fontId="1" type="noConversion"/>
  </si>
  <si>
    <t>TJ-KMI</t>
  </si>
  <si>
    <t>TJ-KMI</t>
    <phoneticPr fontId="1" type="noConversion"/>
  </si>
  <si>
    <t>TJ-KMM</t>
    <phoneticPr fontId="1" type="noConversion"/>
  </si>
  <si>
    <t>TJ-HAOS</t>
    <phoneticPr fontId="1" type="noConversion"/>
  </si>
  <si>
    <t>预提</t>
    <phoneticPr fontId="1" type="noConversion"/>
  </si>
  <si>
    <t>计划</t>
    <phoneticPr fontId="1" type="noConversion"/>
  </si>
  <si>
    <t>YJCSHAN1921032</t>
  </si>
  <si>
    <t>跟客户确认资料好的时间，做费用，联代费用结清？</t>
    <phoneticPr fontId="1" type="noConversion"/>
  </si>
  <si>
    <t>开港时间，资料时间，做费用，联代费用结清？</t>
    <phoneticPr fontId="1" type="noConversion"/>
  </si>
  <si>
    <t>1205托书，1206预配，1212YJC生成，托书发维畅</t>
    <phoneticPr fontId="1" type="noConversion"/>
  </si>
  <si>
    <t>OK装箱单，OK转CK发舱单，核舱单</t>
    <phoneticPr fontId="1" type="noConversion"/>
  </si>
  <si>
    <t>OK资料，OKYJC截，OKHCP/INV确认，OK联代舱单，OKMSK截，核舱单</t>
    <phoneticPr fontId="1" type="noConversion"/>
  </si>
  <si>
    <t>船公司</t>
    <phoneticPr fontId="1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</si>
  <si>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</si>
  <si>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</si>
  <si>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</si>
  <si>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</si>
  <si>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</si>
  <si>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</si>
  <si>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</si>
  <si>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</si>
  <si>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</si>
  <si>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</si>
  <si>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</si>
  <si>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</si>
  <si>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</si>
  <si>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</si>
  <si>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</si>
  <si>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</si>
  <si>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</si>
  <si>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</si>
  <si>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</si>
  <si>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</si>
  <si>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</si>
  <si>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</si>
  <si>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</si>
  <si>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</si>
  <si>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</si>
  <si>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</si>
  <si>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</si>
  <si>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</si>
  <si>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</si>
  <si>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</si>
  <si>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</si>
  <si>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</si>
  <si>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</si>
  <si>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</si>
  <si>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</si>
  <si>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</si>
  <si>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</si>
  <si>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</si>
  <si>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</si>
  <si>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</si>
  <si>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</si>
  <si>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</si>
  <si>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COSCO SHIPPING LEO</t>
  </si>
  <si>
    <t>YJCSHAN1916661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</si>
  <si>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</si>
  <si>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</si>
  <si>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</si>
  <si>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</si>
  <si>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</si>
  <si>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</si>
  <si>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COSCO SHIPPING NEBULA</t>
  </si>
  <si>
    <t>V.006W</t>
  </si>
  <si>
    <t>YJCSHAN1919069</t>
  </si>
  <si>
    <t>COSU6225142200</t>
  </si>
  <si>
    <t>YJCSHAN1919072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</si>
  <si>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</si>
  <si>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</si>
  <si>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</si>
  <si>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</si>
  <si>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</si>
  <si>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</si>
  <si>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</si>
  <si>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</si>
  <si>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</si>
  <si>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</si>
  <si>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</si>
  <si>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</si>
  <si>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</si>
  <si>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</si>
  <si>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</si>
  <si>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</si>
  <si>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</si>
  <si>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</si>
  <si>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</si>
  <si>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</si>
  <si>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</si>
  <si>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</si>
  <si>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</si>
  <si>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</si>
  <si>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</si>
  <si>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</si>
  <si>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</si>
  <si>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</si>
  <si>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V.945W</t>
  </si>
  <si>
    <t>YJCSHAN1918619</t>
  </si>
  <si>
    <t>HLCUSHA1904FMRT1(DG)</t>
  </si>
  <si>
    <t>SANTOS</t>
  </si>
  <si>
    <t>CZECH</t>
  </si>
  <si>
    <t>V.947W</t>
  </si>
  <si>
    <t>YJCSHAN1919397</t>
  </si>
  <si>
    <t>HLCUSHA1904FMRX6(DG)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</si>
  <si>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</si>
  <si>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</si>
  <si>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</si>
  <si>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</si>
  <si>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</si>
  <si>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</si>
  <si>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</si>
  <si>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</si>
  <si>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</si>
  <si>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 xml:space="preserve">HDMUQSWB8489153 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</si>
  <si>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</si>
  <si>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</si>
  <si>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</si>
  <si>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</si>
  <si>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</si>
  <si>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</si>
  <si>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</si>
  <si>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</si>
  <si>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</si>
  <si>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</si>
  <si>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</si>
  <si>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</si>
  <si>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</si>
  <si>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</si>
  <si>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</si>
  <si>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</si>
  <si>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</si>
  <si>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</si>
  <si>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HLCUSHA1903FWMV9(DG)</t>
  </si>
  <si>
    <t>MOL BEACON</t>
  </si>
  <si>
    <t>V.939W</t>
  </si>
  <si>
    <t>YJCSHAN1915643</t>
  </si>
  <si>
    <t>HLCUSHA1903FWMR4(DG)</t>
  </si>
  <si>
    <t>MOL BEAUTY</t>
  </si>
  <si>
    <t>V.942W</t>
  </si>
  <si>
    <t>YJCSHAN1916679</t>
  </si>
  <si>
    <t>HLCUSHA1903FWMW0(DG)</t>
  </si>
  <si>
    <t>MSC ANCHORAGE</t>
  </si>
  <si>
    <t>V.FI943A</t>
  </si>
  <si>
    <t>YJCSHAN1917320</t>
  </si>
  <si>
    <t>HLCUSHA1903FWNA2(DG)</t>
  </si>
  <si>
    <t>MSC DANIT</t>
  </si>
  <si>
    <t>YJCSHAN1919394</t>
  </si>
  <si>
    <t>MSC DOMITILLE</t>
  </si>
  <si>
    <t>V.FI949A</t>
  </si>
  <si>
    <t>YJCSHAN1920675</t>
  </si>
  <si>
    <t>HLCUSHA1904FMTE8(DG)</t>
  </si>
  <si>
    <t>MSC LILY</t>
  </si>
  <si>
    <t>V.FI946A</t>
  </si>
  <si>
    <t>YJCSHAN1919075</t>
  </si>
  <si>
    <t>HLCUSHA1904FMRU2(DG)</t>
  </si>
  <si>
    <t>SKYROS</t>
  </si>
  <si>
    <t>YJCSHAN1918236</t>
  </si>
  <si>
    <t>HLCUSHA1904FMRM5(DG)</t>
  </si>
  <si>
    <t>YJCSHAN1917322</t>
  </si>
  <si>
    <t>SYMI I</t>
  </si>
  <si>
    <t>V.948W</t>
  </si>
  <si>
    <t>YJCSHAN1920175</t>
  </si>
  <si>
    <t>HLCUSHA1904FMRY7(DG)</t>
  </si>
  <si>
    <t>目的港</t>
    <phoneticPr fontId="1" type="noConversion"/>
  </si>
  <si>
    <t>1211HBL确认，1211应收确认，1212应收发票</t>
    <phoneticPr fontId="1" type="noConversion"/>
  </si>
  <si>
    <t>HMM</t>
    <phoneticPr fontId="1" type="noConversion"/>
  </si>
  <si>
    <t>YJCSHAN1921077</t>
  </si>
  <si>
    <t>LAZARO</t>
    <phoneticPr fontId="1" type="noConversion"/>
  </si>
  <si>
    <t>1212包装指示书，OK汇总，OK发工厂，做箱数据，发订舱口</t>
    <phoneticPr fontId="1" type="noConversion"/>
  </si>
  <si>
    <t>TJ-KMM</t>
    <phoneticPr fontId="1" type="noConversion"/>
  </si>
  <si>
    <t>OK收做资料(代做确认)，发报关行</t>
    <phoneticPr fontId="1" type="noConversion"/>
  </si>
  <si>
    <t>TCL</t>
    <phoneticPr fontId="1" type="noConversion"/>
  </si>
  <si>
    <t>KY确认，LSS到付？，发进仓通知，截单，截货，确定船期</t>
  </si>
  <si>
    <t>1212托书，1212订舱，邮件KY LSS?，进仓通知</t>
    <phoneticPr fontId="1" type="noConversion"/>
  </si>
  <si>
    <t>1211船开，1211放MBL，1212应收水单，放HBL</t>
    <phoneticPr fontId="1" type="noConversion"/>
  </si>
  <si>
    <t xml:space="preserve"> 1、维宁尔电子 2、舍弗勒   </t>
  </si>
  <si>
    <t>TJ-HMI</t>
    <phoneticPr fontId="1" type="noConversion"/>
  </si>
  <si>
    <t>1212托书，预配(沈丽)，YJC生成</t>
    <phoneticPr fontId="1" type="noConversion"/>
  </si>
  <si>
    <t>TJ-CNA</t>
    <phoneticPr fontId="1" type="noConversion"/>
  </si>
  <si>
    <t>UE ETD1218今天要确定，先通知SHPR</t>
    <phoneticPr fontId="1" type="noConversion"/>
  </si>
  <si>
    <t>PCLU1806PE4302 退载</t>
    <phoneticPr fontId="1" type="noConversion"/>
  </si>
  <si>
    <t>COSCO SHIPPING GEMINI</t>
    <phoneticPr fontId="1" type="noConversion"/>
  </si>
  <si>
    <t>1211KY确认，1211LSS到付，1211发进仓通知，13截单，15截货，确定船期</t>
    <phoneticPr fontId="1" type="noConversion"/>
  </si>
  <si>
    <t>官封 取消</t>
    <phoneticPr fontId="1" type="noConversion"/>
  </si>
  <si>
    <t>HLCUSHA1904FMTG0 这票船公司配的是12/26船，最晚可以12/23周一上午给我数据和箱号</t>
    <phoneticPr fontId="1" type="noConversion"/>
  </si>
  <si>
    <t>计划</t>
    <phoneticPr fontId="1" type="noConversion"/>
  </si>
  <si>
    <t>YJCSHAN1921031</t>
    <phoneticPr fontId="1" type="noConversion"/>
  </si>
  <si>
    <t>YJCSHAN1921042</t>
    <phoneticPr fontId="1" type="noConversion"/>
  </si>
  <si>
    <t>取消 万盛 15号中午前进仓</t>
    <phoneticPr fontId="1" type="noConversion"/>
  </si>
  <si>
    <t>TCL</t>
    <phoneticPr fontId="1" type="noConversion"/>
  </si>
  <si>
    <t>1213托书，1213订舱，邮件KY，进仓通知</t>
    <phoneticPr fontId="1" type="noConversion"/>
  </si>
  <si>
    <t>YJCSHAN1921191</t>
  </si>
  <si>
    <t>1、维宁尔电子 2、昆山进合 3、北京瑞延电子</t>
  </si>
  <si>
    <t>KATTUPALLI</t>
    <phoneticPr fontId="1" type="noConversion"/>
  </si>
  <si>
    <t>WANSHENG 送到仓库后退回去，沈丽取送货650*2 报国外$100*2 送货回去取货60元</t>
    <phoneticPr fontId="1" type="noConversion"/>
  </si>
  <si>
    <t>1213报关，进港，核数据，海放</t>
    <phoneticPr fontId="1" type="noConversion"/>
  </si>
  <si>
    <t>1214进港，核数据</t>
    <phoneticPr fontId="1" type="noConversion"/>
  </si>
  <si>
    <t>小箱洋提 大箱外港 预进港</t>
    <phoneticPr fontId="1" type="noConversion"/>
  </si>
  <si>
    <t>1216数据，1216发沈丽，1216要报关资料，发报关行</t>
    <phoneticPr fontId="1" type="noConversion"/>
  </si>
  <si>
    <t>1127托书，1204预配，YJC生成，OK做箱时间，订车，回孙丹</t>
    <phoneticPr fontId="1" type="noConversion"/>
  </si>
  <si>
    <t>GUAYAQUIL, Ecuador</t>
  </si>
  <si>
    <t>1216装箱单，1216转ZHL发舱单，核舱单</t>
    <phoneticPr fontId="1" type="noConversion"/>
  </si>
  <si>
    <t>ETD1211 1204确认订舱 1210出运清单 1211核数据 1216领取单 SWB</t>
    <phoneticPr fontId="1" type="noConversion"/>
  </si>
  <si>
    <t>YJCSHAN1920847</t>
    <phoneticPr fontId="1" type="noConversion"/>
  </si>
  <si>
    <t>计划</t>
    <phoneticPr fontId="1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</si>
  <si>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</si>
  <si>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</si>
  <si>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</si>
  <si>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</si>
  <si>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1" type="noConversion"/>
  </si>
  <si>
    <t>洋提</t>
    <phoneticPr fontId="1" type="noConversion"/>
  </si>
  <si>
    <t>悦达 预提 预进（本来要周四装，因一直不开港，确定的比较晚车子紧张同意周五装，预提100*3，预进港345*3）</t>
    <phoneticPr fontId="1" type="noConversion"/>
  </si>
  <si>
    <t>TJ-HMI</t>
  </si>
  <si>
    <t>ETD1215 1210确认订舱 1213出运清单 1214核数据 1217领取单 SWB</t>
    <phoneticPr fontId="1" type="noConversion"/>
  </si>
  <si>
    <t>YJCSHAN1920854</t>
  </si>
  <si>
    <t>KOCU2033592</t>
  </si>
  <si>
    <t>进港，1217核数据，报关，海放</t>
    <phoneticPr fontId="1" type="noConversion"/>
  </si>
  <si>
    <t>1215海放，1216码放，1217配载，开船</t>
    <phoneticPr fontId="1" type="noConversion"/>
  </si>
  <si>
    <t>MSC FLAVIA</t>
  </si>
  <si>
    <t>FA952A</t>
  </si>
  <si>
    <t>YJCSHAN1921372</t>
  </si>
  <si>
    <t>1212托书，1213预配(沈丽)，YJC生成</t>
    <phoneticPr fontId="1" type="noConversion"/>
  </si>
  <si>
    <t>KY-ANC</t>
    <phoneticPr fontId="1" type="noConversion"/>
  </si>
  <si>
    <t>KY-ANC</t>
    <phoneticPr fontId="1" type="noConversion"/>
  </si>
  <si>
    <t>KY-HUABAO</t>
    <phoneticPr fontId="1" type="noConversion"/>
  </si>
  <si>
    <t>KY-CABO-lcl</t>
    <phoneticPr fontId="1" type="noConversion"/>
  </si>
  <si>
    <t>KY-ARTIS-lcl</t>
    <phoneticPr fontId="1" type="noConversion"/>
  </si>
  <si>
    <t>KY-HTL-lcl</t>
    <phoneticPr fontId="1" type="noConversion"/>
  </si>
  <si>
    <t>KY-KUKA-lcl</t>
    <phoneticPr fontId="1" type="noConversion"/>
  </si>
  <si>
    <t>KY-LIXIN-lcl</t>
    <phoneticPr fontId="1" type="noConversion"/>
  </si>
  <si>
    <t>KY-NISCO-lcl</t>
    <phoneticPr fontId="1" type="noConversion"/>
  </si>
  <si>
    <t>KY-SKYLINE-lcl</t>
    <phoneticPr fontId="1" type="noConversion"/>
  </si>
  <si>
    <t>KY-TAK-lcl</t>
    <phoneticPr fontId="1" type="noConversion"/>
  </si>
  <si>
    <t>KY-WANSH-lcl</t>
    <phoneticPr fontId="1" type="noConversion"/>
  </si>
  <si>
    <t>EU-ROADSUN</t>
    <phoneticPr fontId="1" type="noConversion"/>
  </si>
  <si>
    <t>EU-RUBBER</t>
    <phoneticPr fontId="1" type="noConversion"/>
  </si>
  <si>
    <t>KY-HUABAO-lcl</t>
    <phoneticPr fontId="1" type="noConversion"/>
  </si>
  <si>
    <t>EU-ROADSUN</t>
  </si>
  <si>
    <t>MB-JS mobis</t>
    <phoneticPr fontId="1" type="noConversion"/>
  </si>
  <si>
    <t>MB-WX mobis</t>
  </si>
  <si>
    <t>MB-WX mobis</t>
    <phoneticPr fontId="1" type="noConversion"/>
  </si>
  <si>
    <t>提醒放设备单</t>
    <phoneticPr fontId="1" type="noConversion"/>
  </si>
  <si>
    <t>计划</t>
    <phoneticPr fontId="1" type="noConversion"/>
  </si>
  <si>
    <t>ATD 25号以后的万盛账单上显示ATD</t>
    <phoneticPr fontId="1" type="noConversion"/>
  </si>
  <si>
    <t>【日程】本月所有PANCON确认订舱24/出运清单/核数据/ATD/提单领取单/拿到SWB</t>
    <phoneticPr fontId="1" type="noConversion"/>
  </si>
  <si>
    <t>跟踪表ATD</t>
    <phoneticPr fontId="1" type="noConversion"/>
  </si>
  <si>
    <t>费用，两个箱子的费用直接跟孙丹结算（4号 公共盘 月账单表 发孙丹），额外费用邮件</t>
    <phoneticPr fontId="1" type="noConversion"/>
  </si>
  <si>
    <t>1216KY确认，LSS先按预付做，1213发进仓通知，1216截单，截货17，确定船期</t>
    <phoneticPr fontId="1" type="noConversion"/>
  </si>
  <si>
    <t>TJ-KMM</t>
  </si>
  <si>
    <t>MSC JULIE</t>
  </si>
  <si>
    <t>952E</t>
  </si>
  <si>
    <t>1217码放，1219配载，开船</t>
    <phoneticPr fontId="1" type="noConversion"/>
  </si>
  <si>
    <t>飞集后续</t>
    <phoneticPr fontId="1" type="noConversion"/>
  </si>
  <si>
    <t>8359E</t>
  </si>
  <si>
    <t>1217MBLCOPY，1217确认，应付确认，应付发票（1月开始月底一起开）</t>
    <phoneticPr fontId="1" type="noConversion"/>
  </si>
  <si>
    <t>YJCSHAN1921439</t>
  </si>
  <si>
    <t>MSC NEW YORK</t>
  </si>
  <si>
    <t>952W</t>
  </si>
  <si>
    <t>TCL</t>
    <phoneticPr fontId="1" type="noConversion"/>
  </si>
  <si>
    <t>计划</t>
    <phoneticPr fontId="1" type="noConversion"/>
  </si>
  <si>
    <t>周日装</t>
    <phoneticPr fontId="1" type="noConversion"/>
  </si>
  <si>
    <t>悦达 洋提</t>
    <phoneticPr fontId="1" type="noConversion"/>
  </si>
  <si>
    <t>洋提 两个搞定 200*2=400</t>
    <phoneticPr fontId="1" type="noConversion"/>
  </si>
  <si>
    <t>OK</t>
    <phoneticPr fontId="1" type="noConversion"/>
  </si>
  <si>
    <t>KY-WANSH-lcl</t>
  </si>
  <si>
    <t>SH GLV可以开电子票</t>
    <phoneticPr fontId="1" type="noConversion"/>
  </si>
  <si>
    <t>HLCUSHA1904FMTK3</t>
    <phoneticPr fontId="1" type="noConversion"/>
  </si>
  <si>
    <t>1214海放，1218码放，1218配载，开船</t>
    <phoneticPr fontId="1" type="noConversion"/>
  </si>
  <si>
    <t>COSU6254734490</t>
  </si>
  <si>
    <t>HDMUQSII8719000</t>
  </si>
  <si>
    <t>002WA</t>
  </si>
  <si>
    <t>HDMUQSII8719002</t>
  </si>
  <si>
    <t>YJCSHAN1921225</t>
    <phoneticPr fontId="1" type="noConversion"/>
  </si>
  <si>
    <t>TJ-ELASTO</t>
  </si>
  <si>
    <t>月底付</t>
    <phoneticPr fontId="1" type="noConversion"/>
  </si>
  <si>
    <t>YJCSHAN1921519</t>
  </si>
  <si>
    <t>YJCSHAN1921510</t>
  </si>
  <si>
    <t>HDMUQSWB4063833</t>
    <phoneticPr fontId="1" type="noConversion"/>
  </si>
  <si>
    <t>BCF(中转港必须是LAZARO)，发做箱通知(时间)，通知客户</t>
  </si>
  <si>
    <t>收报关资料，发报关行，要校对稿，做做箱数据给车队</t>
  </si>
  <si>
    <t>更新系统件毛体，买保险，异地付款保函，回传，校对稿，确认</t>
  </si>
  <si>
    <t>OK</t>
    <phoneticPr fontId="1" type="noConversion"/>
  </si>
  <si>
    <t>约号无价格，等韩国更新</t>
    <phoneticPr fontId="1" type="noConversion"/>
  </si>
  <si>
    <t>1218进港，1218核数据，1218海放，1218码放，1219配载，开船</t>
    <phoneticPr fontId="1" type="noConversion"/>
  </si>
  <si>
    <t>新万利 退715</t>
    <phoneticPr fontId="1" type="noConversion"/>
  </si>
  <si>
    <t>1219数据，1219发沈丽，要报关资料，发报关行</t>
    <phoneticPr fontId="1" type="noConversion"/>
  </si>
  <si>
    <t>HLCUSHA1904FMTF9</t>
    <phoneticPr fontId="1" type="noConversion"/>
  </si>
  <si>
    <t>1219装箱单，1219转CK发舱单，1219核舱单，报关</t>
    <phoneticPr fontId="1" type="noConversion"/>
  </si>
  <si>
    <t>汇率搞错了</t>
    <phoneticPr fontId="1" type="noConversion"/>
  </si>
  <si>
    <t>计划</t>
    <phoneticPr fontId="1" type="noConversion"/>
  </si>
  <si>
    <t>1219做箱时间，OK做箱通知，1219提单加拼EDI邮件Abbi，通知沈丽，加拼核对</t>
    <phoneticPr fontId="1" type="noConversion"/>
  </si>
  <si>
    <t>WEEK</t>
    <phoneticPr fontId="1" type="noConversion"/>
  </si>
  <si>
    <t>明和报关单发dongjiequ@myunghwa.com</t>
    <phoneticPr fontId="1" type="noConversion"/>
  </si>
  <si>
    <t>万盛发票</t>
    <phoneticPr fontId="1" type="noConversion"/>
  </si>
  <si>
    <t>MSK</t>
    <phoneticPr fontId="1" type="noConversion"/>
  </si>
  <si>
    <t>MB-JS mobis</t>
  </si>
  <si>
    <t>TJ-ACC</t>
  </si>
  <si>
    <t>TJ-CNA</t>
  </si>
  <si>
    <t>1217收报关资料，1219发报关行，1220要校对稿，1218做做箱数据给车队</t>
    <phoneticPr fontId="1" type="noConversion"/>
  </si>
  <si>
    <t>1218更新系统件毛体，1218买保险，1218异地付款保函，1218回传，1220校对稿，确认</t>
    <phoneticPr fontId="1" type="noConversion"/>
  </si>
  <si>
    <t>1215海放，1218码放，1220配载，开船</t>
    <phoneticPr fontId="1" type="noConversion"/>
  </si>
  <si>
    <t>1220装箱单，1220截单资料发万恒，核舱单，报关(装箱单)</t>
    <phoneticPr fontId="1" type="noConversion"/>
  </si>
  <si>
    <t>保费 380.87 洋提 预进港</t>
    <phoneticPr fontId="1" type="noConversion"/>
  </si>
  <si>
    <t>KMM</t>
    <phoneticPr fontId="1" type="noConversion"/>
  </si>
  <si>
    <t>1219托书，预配(沈丽)，YJC生成</t>
    <phoneticPr fontId="1" type="noConversion"/>
  </si>
  <si>
    <t>HMI</t>
    <phoneticPr fontId="1" type="noConversion"/>
  </si>
  <si>
    <t>1220包装指示书，1220汇总，1220发工厂，1220做箱数据【下周一装箱】，发订舱口</t>
    <phoneticPr fontId="1" type="noConversion"/>
  </si>
  <si>
    <t>YJCSHAN1921628</t>
    <phoneticPr fontId="1" type="noConversion"/>
  </si>
  <si>
    <t>永艺OEN19120032 费用做错了，发金</t>
    <phoneticPr fontId="1" type="noConversion"/>
  </si>
  <si>
    <t>1220包装指示书，1220汇总，发工厂，做箱数据，发订舱口</t>
    <phoneticPr fontId="1" type="noConversion"/>
  </si>
  <si>
    <t>1218托书，1218订舱，1220邮件KY，1218进仓通知</t>
    <phoneticPr fontId="1" type="noConversion"/>
  </si>
  <si>
    <t>TCL-SHA2019120318</t>
    <phoneticPr fontId="1" type="noConversion"/>
  </si>
  <si>
    <t>1220装箱单(洋提)，1220群发，发舱单，核舱单</t>
    <phoneticPr fontId="1" type="noConversion"/>
  </si>
  <si>
    <t>1220YJC截单，1220ESI，1220邮件CDWJY，校对COPY</t>
    <phoneticPr fontId="1" type="noConversion"/>
  </si>
  <si>
    <t>ETD1218 1211确认订舱 1218出运清单 1218核数据 1220领取单 SWB</t>
    <phoneticPr fontId="1" type="noConversion"/>
  </si>
  <si>
    <t>YJCSHAN1919525</t>
    <phoneticPr fontId="1" type="noConversion"/>
  </si>
  <si>
    <t>1220报关资料发报关行，1220核注清单，1220确认，1220校对稿，确认</t>
    <phoneticPr fontId="1" type="noConversion"/>
  </si>
  <si>
    <t>YJCSHAN1921666</t>
    <phoneticPr fontId="1" type="noConversion"/>
  </si>
  <si>
    <t>TJ-HMMR-DG</t>
    <phoneticPr fontId="1" type="noConversion"/>
  </si>
  <si>
    <t>COSU6255022790</t>
  </si>
  <si>
    <t>TJ-HMMR-DG</t>
    <phoneticPr fontId="1" type="noConversion"/>
  </si>
  <si>
    <t>COSU6254342860</t>
    <phoneticPr fontId="1" type="noConversion"/>
  </si>
  <si>
    <t>COSU6224837200</t>
    <phoneticPr fontId="1" type="noConversion"/>
  </si>
  <si>
    <t>COSU6224914640</t>
    <phoneticPr fontId="1" type="noConversion"/>
  </si>
  <si>
    <t>COSU6225043310</t>
    <phoneticPr fontId="1" type="noConversion"/>
  </si>
  <si>
    <t>COSU6225115560</t>
    <phoneticPr fontId="1" type="noConversion"/>
  </si>
  <si>
    <t>COSU6225296340</t>
    <phoneticPr fontId="1" type="noConversion"/>
  </si>
  <si>
    <t>KY-SKYLINE-lcl</t>
  </si>
  <si>
    <t>MBL确认，HBL确认，邮件KY，应付确认</t>
    <phoneticPr fontId="1" type="noConversion"/>
  </si>
  <si>
    <t>应付发票，应付水单，应收确认，发票，应收水单，放HBL</t>
    <phoneticPr fontId="1" type="noConversion"/>
  </si>
  <si>
    <t>船开，放MBL，邮件KY</t>
    <phoneticPr fontId="1" type="noConversion"/>
  </si>
  <si>
    <t>计划</t>
    <phoneticPr fontId="1" type="noConversion"/>
  </si>
  <si>
    <t>014W</t>
  </si>
  <si>
    <t>CMA</t>
    <phoneticPr fontId="1" type="noConversion"/>
  </si>
  <si>
    <t>CNCC196743</t>
  </si>
  <si>
    <t>OK</t>
    <phoneticPr fontId="1" type="noConversion"/>
  </si>
  <si>
    <t>1221船开，等通知放HBL，1222放MBL</t>
    <phoneticPr fontId="1" type="noConversion"/>
  </si>
  <si>
    <t>1222海放，码放，配载，费用发陈吟勇石磊，船开</t>
    <phoneticPr fontId="1" type="noConversion"/>
  </si>
  <si>
    <t>1220收做资料(代做确认)，1221发报关行，【HMI】货运模板</t>
    <phoneticPr fontId="1" type="noConversion"/>
  </si>
  <si>
    <t>【HMI】1222开港，进港，核数据，报关</t>
    <phoneticPr fontId="1" type="noConversion"/>
  </si>
  <si>
    <t>1220收做资料(代做确认)，1221发报关行，</t>
    <phoneticPr fontId="1" type="noConversion"/>
  </si>
  <si>
    <t>003E</t>
  </si>
  <si>
    <t>004E</t>
  </si>
  <si>
    <t>005E</t>
  </si>
  <si>
    <t>006E</t>
  </si>
  <si>
    <t>开港时间，资料时间，做费用，联代费用结清？</t>
  </si>
  <si>
    <t>EU-ROADSUN</t>
    <phoneticPr fontId="1" type="noConversion"/>
  </si>
  <si>
    <t>1220托书，约号？订舱，邮件Wanda，通知客户，确认</t>
    <phoneticPr fontId="1" type="noConversion"/>
  </si>
  <si>
    <t>SEAMAX NEW HAVEN</t>
    <phoneticPr fontId="1" type="noConversion"/>
  </si>
  <si>
    <t>跟客户确认资料好的时间，做费用，联代费用结清？</t>
  </si>
  <si>
    <t>发舱单，核舱单，报关，发VGM，参考0730ROADSUN截图</t>
  </si>
  <si>
    <t>进港，核数据，海放，码放，配载</t>
  </si>
  <si>
    <t>确认费用，APP，开票寄陈强英</t>
  </si>
  <si>
    <t>开船，通知Wanda，付款通知，放MBL</t>
  </si>
  <si>
    <t>【应收】水单，放提单、预录单、放行单</t>
  </si>
  <si>
    <t>EU-RUBBER</t>
    <phoneticPr fontId="1" type="noConversion"/>
  </si>
  <si>
    <t>1220托书，1222订舱，1222发确认给Wanda，更新订舱约号</t>
    <phoneticPr fontId="1" type="noConversion"/>
  </si>
  <si>
    <t>St.Petersburg, BRONKA</t>
    <phoneticPr fontId="1" type="noConversion"/>
  </si>
  <si>
    <t>托书，预配(沈丽)，YJC生成</t>
  </si>
  <si>
    <t>TJ-HMMR</t>
    <phoneticPr fontId="1" type="noConversion"/>
  </si>
  <si>
    <t>收做资料(代做确认)，发报关行，货运模板</t>
  </si>
  <si>
    <t>收做资料(代做确认)，发报关行，货运模板</t>
    <phoneticPr fontId="1" type="noConversion"/>
  </si>
  <si>
    <t>报关，成功，进港，核数据</t>
  </si>
  <si>
    <t>报关，成功，进港，核数据</t>
    <phoneticPr fontId="1" type="noConversion"/>
  </si>
  <si>
    <t>1216托书，1216预配(沈丽)，YJC生成</t>
    <phoneticPr fontId="1" type="noConversion"/>
  </si>
  <si>
    <t>TJ-KMM HMI KMI</t>
    <phoneticPr fontId="1" type="noConversion"/>
  </si>
  <si>
    <t>报关，成功，进港，核数据</t>
    <phoneticPr fontId="1" type="noConversion"/>
  </si>
  <si>
    <t>TJ-KMI</t>
    <phoneticPr fontId="1" type="noConversion"/>
  </si>
  <si>
    <t>1220托书，预配(沈丽)，YJC生成</t>
    <phoneticPr fontId="1" type="noConversion"/>
  </si>
  <si>
    <t>收做资料(代做确认)，发报关行</t>
    <phoneticPr fontId="1" type="noConversion"/>
  </si>
  <si>
    <t>TJ-AIR</t>
    <phoneticPr fontId="1" type="noConversion"/>
  </si>
  <si>
    <t>三立 厚林车队</t>
    <phoneticPr fontId="1" type="noConversion"/>
  </si>
  <si>
    <t>瑞进 YJC车队</t>
    <phoneticPr fontId="1" type="noConversion"/>
  </si>
  <si>
    <t>世钟 YJC车队</t>
    <phoneticPr fontId="1" type="noConversion"/>
  </si>
  <si>
    <t>收托书，发车队</t>
    <phoneticPr fontId="1" type="noConversion"/>
  </si>
  <si>
    <t>费用（4号 公共盘 月账单表 发孙丹）</t>
    <phoneticPr fontId="1" type="noConversion"/>
  </si>
  <si>
    <t>YJCSHAN1921711</t>
  </si>
  <si>
    <t>TJ-HAOS</t>
    <phoneticPr fontId="1" type="noConversion"/>
  </si>
  <si>
    <t>收做资料(代做确认)，发报关行</t>
  </si>
  <si>
    <t>1219托书，预配(沈丽)，YJC生成</t>
    <phoneticPr fontId="1" type="noConversion"/>
  </si>
  <si>
    <t>1213托书，1216预配(沈丽)，YJC生成</t>
    <phoneticPr fontId="1" type="noConversion"/>
  </si>
  <si>
    <t>1219托书，1220预配(沈丽)，YJC生成</t>
    <phoneticPr fontId="1" type="noConversion"/>
  </si>
  <si>
    <t>TJ-AIR</t>
  </si>
  <si>
    <t>TJ-KMI</t>
    <phoneticPr fontId="1" type="noConversion"/>
  </si>
  <si>
    <t>1213托书，1218预配(沈丽)，1220YJC生成</t>
    <phoneticPr fontId="1" type="noConversion"/>
  </si>
  <si>
    <t>OK</t>
    <phoneticPr fontId="1" type="noConversion"/>
  </si>
  <si>
    <t>收做资料(代做确认)，发报关行</t>
    <phoneticPr fontId="1" type="noConversion"/>
  </si>
  <si>
    <t>TJ-KMM</t>
    <phoneticPr fontId="1" type="noConversion"/>
  </si>
  <si>
    <t>TJ-HMI</t>
    <phoneticPr fontId="1" type="noConversion"/>
  </si>
  <si>
    <t>1222海放，1223码放，配载，开船，通知Wanda</t>
    <phoneticPr fontId="1" type="noConversion"/>
  </si>
  <si>
    <t>1214海放，改配，1223码放，配载，开船，通知Wanda</t>
    <phoneticPr fontId="1" type="noConversion"/>
  </si>
  <si>
    <t>收托书</t>
  </si>
  <si>
    <t>收托书</t>
    <phoneticPr fontId="1" type="noConversion"/>
  </si>
  <si>
    <t>转光洋</t>
    <phoneticPr fontId="1" type="noConversion"/>
  </si>
  <si>
    <t>计划</t>
    <phoneticPr fontId="1" type="noConversion"/>
  </si>
  <si>
    <t>收报关资料，发报关行</t>
  </si>
  <si>
    <t>收报关资料，发报关行</t>
    <phoneticPr fontId="1" type="noConversion"/>
  </si>
  <si>
    <t>收光洋装箱单，转CK，核舱单</t>
  </si>
  <si>
    <t>收光洋装箱单，转CK，核舱单</t>
    <phoneticPr fontId="1" type="noConversion"/>
  </si>
  <si>
    <t>接通知，报关，成功</t>
  </si>
  <si>
    <t>接通知，报关，成功</t>
    <phoneticPr fontId="1" type="noConversion"/>
  </si>
  <si>
    <t>进港，核数据，海放，码放，配载，开船</t>
    <phoneticPr fontId="1" type="noConversion"/>
  </si>
  <si>
    <t>做费用</t>
  </si>
  <si>
    <t>做费用</t>
    <phoneticPr fontId="1" type="noConversion"/>
  </si>
  <si>
    <t>收预配，转光洋</t>
    <phoneticPr fontId="1" type="noConversion"/>
  </si>
  <si>
    <t>8222E</t>
  </si>
  <si>
    <t>1222提单样本，1223确认，提单，客户放三单，陈吟勇提单</t>
    <phoneticPr fontId="1" type="noConversion"/>
  </si>
  <si>
    <t>YJCSHAN1921710</t>
    <phoneticPr fontId="1" type="noConversion"/>
  </si>
  <si>
    <t>取消</t>
    <phoneticPr fontId="1" type="noConversion"/>
  </si>
  <si>
    <t>TCLINC1912020D</t>
    <phoneticPr fontId="1" type="noConversion"/>
  </si>
  <si>
    <t>1220包装指示书，1223汇总，1223发工厂，1223做箱数据，发订舱口</t>
    <phoneticPr fontId="1" type="noConversion"/>
  </si>
  <si>
    <t>1220KY确认，1223LSS到付，1218发进仓通知，20截单，21截货，确定船期</t>
    <phoneticPr fontId="1" type="noConversion"/>
  </si>
  <si>
    <t>不知什么原因被拆成了两单，开船后联系船公司合并成一单，并减免费用</t>
    <phoneticPr fontId="1" type="noConversion"/>
  </si>
  <si>
    <t>小箱洋提 大箱外港</t>
    <phoneticPr fontId="1" type="noConversion"/>
  </si>
  <si>
    <t>WEEK</t>
    <phoneticPr fontId="1" type="noConversion"/>
  </si>
  <si>
    <t>12月货运表明天（1224）给孙丹</t>
    <phoneticPr fontId="1" type="noConversion"/>
  </si>
  <si>
    <t>HLCUSHA1904FMTG0</t>
    <phoneticPr fontId="1" type="noConversion"/>
  </si>
  <si>
    <t>TCLINC1912029C</t>
    <phoneticPr fontId="1" type="noConversion"/>
  </si>
  <si>
    <t>预提 多提了两个箱子要退 周五预提、截单 周六报关 周日装箱
小箱箱号APZU3161559预提200提箱上下车费70还箱215放单40*2还箱运费300共965超期费152
大箱箱号APZU4898387预提200提箱上下车费100还箱100放单40*2还箱运费300共880超期费304</t>
    <phoneticPr fontId="1" type="noConversion"/>
  </si>
  <si>
    <t>周三中午提供午饭</t>
    <phoneticPr fontId="1" type="noConversion"/>
  </si>
  <si>
    <t>计划</t>
    <phoneticPr fontId="1" type="noConversion"/>
  </si>
  <si>
    <t>预提</t>
    <phoneticPr fontId="1" type="noConversion"/>
  </si>
  <si>
    <t>1223MBLCOPY，1223确认，1223应付确认，1223应付发票（1月开始月底一起开）</t>
    <phoneticPr fontId="1" type="noConversion"/>
  </si>
  <si>
    <t>GOSUSNH20215566</t>
    <phoneticPr fontId="1" type="noConversion"/>
  </si>
  <si>
    <t>12月份LSS国外都按20/40收，退费重算</t>
    <phoneticPr fontId="1" type="noConversion"/>
  </si>
  <si>
    <t>计划</t>
    <phoneticPr fontId="1" type="noConversion"/>
  </si>
  <si>
    <t>发票快递 1223 772004205992850</t>
    <phoneticPr fontId="1" type="noConversion"/>
  </si>
  <si>
    <t>1220HBL确认，1220应收【抵扣】确认，1223应收发票，应收水单</t>
    <phoneticPr fontId="1" type="noConversion"/>
  </si>
  <si>
    <t>ZIM</t>
    <phoneticPr fontId="1" type="noConversion"/>
  </si>
  <si>
    <t>DKD</t>
    <phoneticPr fontId="1" type="noConversion"/>
  </si>
  <si>
    <t>1223托书，预配(沈丽)，YJC生成</t>
    <phoneticPr fontId="1" type="noConversion"/>
  </si>
  <si>
    <t>TJ-INDIMA</t>
  </si>
  <si>
    <t>TJ-INDIMA</t>
    <phoneticPr fontId="1" type="noConversion"/>
  </si>
  <si>
    <t>世钟</t>
    <phoneticPr fontId="1" type="noConversion"/>
  </si>
  <si>
    <t>计划</t>
    <phoneticPr fontId="1" type="noConversion"/>
  </si>
  <si>
    <t>1223托书，预配，YJC生成，做箱时间，订车，回孙丹</t>
    <phoneticPr fontId="1" type="noConversion"/>
  </si>
  <si>
    <t>数据，发沈丽，要报关资料，发报关行</t>
    <phoneticPr fontId="1" type="noConversion"/>
  </si>
  <si>
    <t>装箱单，转CK发舱单，核舱单</t>
    <phoneticPr fontId="1" type="noConversion"/>
  </si>
  <si>
    <t>报关，进港，核数据，海放</t>
    <phoneticPr fontId="1" type="noConversion"/>
  </si>
  <si>
    <t>码放，配载，开船</t>
    <phoneticPr fontId="1" type="noConversion"/>
  </si>
  <si>
    <t>1219应收确认，1219退费，1224应收发票，应收水单，放HBL</t>
    <phoneticPr fontId="1" type="noConversion"/>
  </si>
  <si>
    <t>YJCSHAN1921450</t>
    <phoneticPr fontId="1" type="noConversion"/>
  </si>
  <si>
    <t>大箱洋提 小箱外港</t>
    <phoneticPr fontId="1" type="noConversion"/>
  </si>
  <si>
    <t>YJCSHAN1921902</t>
  </si>
  <si>
    <t>YJCSHAN1921708</t>
  </si>
  <si>
    <t>报关单，LSS预付？，截单，截货</t>
    <phoneticPr fontId="1" type="noConversion"/>
  </si>
  <si>
    <t>1220托书，1224订舱，进仓通知，邮件KY，KY确认</t>
    <phoneticPr fontId="1" type="noConversion"/>
  </si>
  <si>
    <t>周日给数据</t>
    <phoneticPr fontId="1" type="noConversion"/>
  </si>
  <si>
    <t>EU-RUBBER</t>
  </si>
  <si>
    <t>HMI</t>
  </si>
  <si>
    <t>KMM</t>
  </si>
  <si>
    <t>KY-ANC</t>
  </si>
  <si>
    <t>KY-ARTIS-lcl</t>
  </si>
  <si>
    <t>KY-CABO-lcl</t>
  </si>
  <si>
    <t>TJ-HMMR-DG</t>
  </si>
  <si>
    <t>ETD1222 1218确认订舱 1221出运清单 CL核数据 1224领取单 SWB</t>
    <phoneticPr fontId="1" type="noConversion"/>
  </si>
  <si>
    <t>ETD1225 1218确认订舱 1224出运清单 核数据 领取单 SWB</t>
    <phoneticPr fontId="1" type="noConversion"/>
  </si>
  <si>
    <t>TCLINC200107A</t>
    <phoneticPr fontId="1" type="noConversion"/>
  </si>
  <si>
    <t>报关单，LSS预付？，3截单，5截货</t>
    <phoneticPr fontId="1" type="noConversion"/>
  </si>
  <si>
    <t>TCL-SHA2019120424</t>
  </si>
  <si>
    <t>1220进港，1222核数据，1220海放，1224码放，1224配载，开船</t>
    <phoneticPr fontId="1" type="noConversion"/>
  </si>
  <si>
    <t>1224码放，1224配载，开船</t>
    <phoneticPr fontId="1" type="noConversion"/>
  </si>
  <si>
    <t>洋提 落箱 保费312.40 4报3金1金联</t>
    <phoneticPr fontId="1" type="noConversion"/>
  </si>
  <si>
    <t>【外港】1222进港，1221落箱，1222核数据，1220报关，1220成功</t>
    <phoneticPr fontId="1" type="noConversion"/>
  </si>
  <si>
    <t>1223海放，1224码放，配载，开船</t>
    <phoneticPr fontId="1" type="noConversion"/>
  </si>
  <si>
    <t>1221报关，1221成功，1223进港，1223核数据</t>
    <phoneticPr fontId="1" type="noConversion"/>
  </si>
  <si>
    <t>【KMM】1223报关，1223成功，1223进港，1224核数据，发两家报关单和放行单</t>
    <phoneticPr fontId="1" type="noConversion"/>
  </si>
  <si>
    <t>1224海放，码放，配载，开船</t>
    <phoneticPr fontId="1" type="noConversion"/>
  </si>
  <si>
    <t>1225托书，1223订舱，1223进仓通知，邮件KY，KY确认</t>
    <phoneticPr fontId="1" type="noConversion"/>
  </si>
  <si>
    <t>1224HBL确认，1224应收【抵扣之前940，LSS到付】确认，应收发票，应收水单</t>
    <phoneticPr fontId="1" type="noConversion"/>
  </si>
  <si>
    <t>TCLINC1912024C 总费用1122.13 抵扣之前940实收182.13</t>
    <phoneticPr fontId="1" type="noConversion"/>
  </si>
  <si>
    <t>船开，放HBL，1224放MBL</t>
    <phoneticPr fontId="1" type="noConversion"/>
  </si>
  <si>
    <t>01/01 家居取消</t>
    <phoneticPr fontId="1" type="noConversion"/>
  </si>
  <si>
    <t>计划</t>
    <phoneticPr fontId="1" type="noConversion"/>
  </si>
  <si>
    <t>COSU6254339870</t>
    <phoneticPr fontId="1" type="noConversion"/>
  </si>
  <si>
    <t>新的LCL托书，订舱</t>
    <phoneticPr fontId="1" type="noConversion"/>
  </si>
  <si>
    <t>际托要安排表</t>
    <phoneticPr fontId="1" type="noConversion"/>
  </si>
  <si>
    <t>KY-ELLERMANN-lcl</t>
  </si>
  <si>
    <t>KY-ELLERMANN-lcl</t>
    <phoneticPr fontId="1" type="noConversion"/>
  </si>
  <si>
    <t>应付发票，应付水单，应收确认，发票，应收水单，放HBL</t>
  </si>
  <si>
    <t>1224托书，订舱，进仓通知，1224邮件KY，KY确认</t>
    <phoneticPr fontId="1" type="noConversion"/>
  </si>
  <si>
    <t>LSS预付？，截单，截货</t>
    <phoneticPr fontId="1" type="noConversion"/>
  </si>
  <si>
    <t>MBL确认，HBL确认，应付确认</t>
    <phoneticPr fontId="1" type="noConversion"/>
  </si>
  <si>
    <t>邮件KY，船开，放MBL，邮件KY</t>
    <phoneticPr fontId="1" type="noConversion"/>
  </si>
  <si>
    <t>YJCSHAN1921936</t>
    <phoneticPr fontId="1" type="noConversion"/>
  </si>
  <si>
    <t>拖车成本600，卖国外USD130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</si>
</sst>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 tint="-0.3499862666707357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0" fillId="0" borderId="0" xfId="0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>
      <alignment vertical="center"/>
    </xf>
    <xf numFmtId="178" fontId="3" fillId="0" borderId="0" xfId="1" applyNumberFormat="1" applyAlignment="1">
      <alignment vertical="center" shrinkToFit="1"/>
    </xf>
    <xf numFmtId="0" fontId="12" fillId="0" borderId="0" xfId="0" applyFont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571500</xdr:colOff>
      <xdr:row>191</xdr:row>
      <xdr:rowOff>76200</xdr:rowOff>
    </xdr:from>
    <xdr:to>
      <xdr:col>15</xdr:col>
      <xdr:colOff>1276350</xdr:colOff>
      <xdr:row>203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项目">
              <a:extLst>
                <a:ext uri="{FF2B5EF4-FFF2-40B4-BE49-F238E27FC236}">
                  <a16:creationId xmlns:a16="http://schemas.microsoft.com/office/drawing/2014/main" id="{9CAC9DAD-183B-409C-8F9F-CA2EBB53544E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项目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15950" y="38766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1266825</xdr:colOff>
      <xdr:row>191</xdr:row>
      <xdr:rowOff>76200</xdr:rowOff>
    </xdr:from>
    <xdr:to>
      <xdr:col>17</xdr:col>
      <xdr:colOff>466725</xdr:colOff>
      <xdr:row>203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32433DA2-5AEC-45D2-A719-C7993A6A49E9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35225" y="3876675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23.748541203706" createdVersion="6" refreshedVersion="6" minRefreshableVersion="3" recordCount="1514" xr:uid="{00000000-000A-0000-FFFF-FFFF1E000000}">
  <cacheSource type="worksheet">
    <worksheetSource name="表3"/>
  </cacheSource>
  <cacheFields count="9">
    <cacheField name="项目" numFmtId="0">
      <sharedItems containsBlank="1" count="81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AIR"/>
        <s v="TJ-HAOS"/>
        <s v="KY-ARTIS-lcl"/>
        <s v="KY-TAK-lcl"/>
        <s v="TJ-ELASTO"/>
        <s v="TJ-KMI"/>
        <s v="TJ-HMMR"/>
        <s v="HMI"/>
        <s v="KMM"/>
        <s v="TJ-HMMR-DG"/>
        <s v="TJ-HMB"/>
        <s v="TJ-INDIMA"/>
        <s v="KY-ELLERMANN-lcl"/>
        <m u="1"/>
        <s v="CASAMIA" u="1"/>
        <s v="ANC" u="1"/>
        <s v="MOBIS-WX" u="1"/>
        <s v="ZHOUJI" u="1"/>
        <s v="ANJI LIXIN" u="1"/>
        <s v="SKYLINE" u="1"/>
        <s v="RUBBER" u="1"/>
        <s v="JINDA催款" u="1"/>
        <s v="0 WEEK" u="1"/>
        <s v="ROADSUN" u="1"/>
        <s v="AYMESA" u="1"/>
        <s v="LCL" u="1"/>
        <s v="LCL-KUKA" u="1"/>
        <s v="JS mobis" u="1"/>
        <s v="ACC" u="1"/>
        <s v="CABO" u="1"/>
        <s v="YAJIAJU" u="1"/>
        <s v="SC glovis" u="1"/>
        <s v="MOBIS-JS" u="1"/>
        <s v="WX mobis" u="1"/>
        <s v="LCL-CABO" u="1"/>
        <s v="HTL" u="1"/>
        <s v="1 MONTH" u="1"/>
        <s v="HUABAO" u="1"/>
        <s v="CAN" u="1"/>
        <s v="WANSHENG 拼" u="1"/>
        <s v="JS mobis-1" u="1"/>
        <s v="万盛" u="1"/>
        <s v="DAMMAN" u="1"/>
        <s v="LCL-HTL" u="1"/>
        <s v="NISCO" u="1"/>
        <s v="LCL-LIXIN" u="1"/>
        <s v="LOUISUN" u="1"/>
        <s v="KUKA" u="1"/>
        <s v="ACC CNA" u="1"/>
        <s v="LCL-TAK" u="1"/>
        <s v="HANSSEM" u="1"/>
        <s v="ELASTO" u="1"/>
        <s v="CNA" u="1"/>
        <s v="SC glv" u="1"/>
        <s v="ZDS" u="1"/>
        <s v="LCL-NISCO" u="1"/>
        <s v="LCL-WANSH" u="1"/>
        <s v="LCL-ARTIS" u="1"/>
        <s v="UE" u="1"/>
        <s v="WANSHENG" u="1"/>
        <s v="ACC(CNA)" u="1"/>
        <s v="LCL-SKYLINE" u="1"/>
      </sharedItems>
    </cacheField>
    <cacheField name="ETD" numFmtId="180">
      <sharedItems containsSemiMixedTypes="0" containsNonDate="0" containsDate="1" containsString="0" minDate="1901-12-10T00:00:00" maxDate="2020-12-30T00:00:00" count="190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31T00:00:00"/>
        <d v="2019-12-29T00:00:00"/>
        <d v="2019-12-30T00:00:00"/>
        <d v="2020-01-01T00:00:00"/>
        <d v="2020-01-05T00:00:00"/>
        <d v="2020-01-07T00:00:00"/>
        <d v="2020-01-12T00:00:00"/>
        <d v="2020-01-14T00:00:00"/>
        <d v="2020-01-21T00:00:00"/>
        <d v="2020-01-28T00:00:00"/>
        <d v="2020-02-04T00:00:00"/>
        <d v="2020-02-11T00:00:00"/>
        <d v="2020-12-29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2-04T00:00:00" count="258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2-26T00:00:00"/>
        <d v="2019-11-03T00:00:00"/>
        <d v="2019-11-18T00:00:00"/>
        <d v="2019-11-16T00:00:00"/>
        <d v="2019-11-19T00:00:00"/>
        <d v="2020-01-02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4T00:00:00"/>
        <d v="2019-12-25T00:00:00"/>
        <d v="2019-12-27T00:00:00"/>
        <d v="2019-12-28T00:00:00"/>
        <d v="2019-12-30T00:00:00"/>
        <d v="2020-01-09T00:00:00"/>
        <d v="2019-12-03T00:00:00"/>
        <d v="2019-12-01T00:00:00"/>
        <d v="2019-12-07T00:00:00"/>
        <d v="2019-12-12T00:00:00"/>
        <d v="2019-12-08T00:00:00"/>
        <d v="2019-12-14T00:00:00"/>
        <d v="2019-12-22T00:00:00"/>
        <d v="2019-12-19T00:00:00"/>
        <d v="2019-12-15T00:00:00"/>
        <d v="2019-12-21T00:00:00"/>
        <d v="2019-12-29T00:00:00"/>
        <d v="2019-12-31T00:00:00"/>
        <d v="2020-01-03T00:00:00"/>
        <d v="2020-01-04T00:00:00"/>
        <d v="2020-01-01T00:00:00"/>
        <d v="2020-01-08T00:00:00"/>
        <d v="2020-01-13T00:00:00"/>
        <d v="2020-01-20T00:00:00"/>
        <d v="2020-01-27T00:00:00"/>
        <d v="2020-02-03T00:00:00"/>
        <d v="2020-01-05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4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APP了发票没开，转徐"/>
    <x v="5"/>
    <x v="0"/>
    <x v="1"/>
    <m/>
    <m/>
  </r>
  <r>
    <x v="0"/>
    <x v="0"/>
    <n v="11"/>
    <s v="提单节后给了么？"/>
    <x v="4"/>
    <x v="0"/>
    <x v="3"/>
    <s v="Caine"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2"/>
    <x v="5"/>
    <m/>
    <s v="成都近达催款，1011这周或下周，1114已有专项流水"/>
    <x v="12"/>
    <x v="1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万盛1013 YJCSHAN1916061两舱单费，退回来改"/>
    <x v="14"/>
    <x v="1"/>
    <x v="1"/>
    <m/>
    <m/>
  </r>
  <r>
    <x v="2"/>
    <x v="8"/>
    <m/>
    <s v="PCLU1942HN4300审核后改7个"/>
    <x v="12"/>
    <x v="0"/>
    <x v="2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HMI KMM MSK CK成本，账单"/>
    <x v="18"/>
    <x v="0"/>
    <x v="1"/>
    <m/>
    <m/>
  </r>
  <r>
    <x v="2"/>
    <x v="8"/>
    <m/>
    <s v="1017雅家居寄来月结协议SF438170211482，"/>
    <x v="16"/>
    <x v="0"/>
    <x v="1"/>
    <m/>
    <m/>
  </r>
  <r>
    <x v="2"/>
    <x v="8"/>
    <m/>
    <s v="20号船期做完了，把13 16 20的退费重新统计给金娥善"/>
    <x v="26"/>
    <x v="0"/>
    <x v="1"/>
    <m/>
    <m/>
  </r>
  <r>
    <x v="2"/>
    <x v="8"/>
    <m/>
    <s v="HTL LCL的资料和DBN 发KOOKYANG"/>
    <x v="45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0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YJCSHAN1916618退回来重做费用"/>
    <x v="20"/>
    <x v="0"/>
    <x v="1"/>
    <m/>
    <m/>
  </r>
  <r>
    <x v="2"/>
    <x v="13"/>
    <m/>
    <s v="陈赛赛100元现金"/>
    <x v="19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PCLU1944HN4304审核后加拼"/>
    <x v="49"/>
    <x v="1"/>
    <x v="1"/>
    <m/>
    <m/>
  </r>
  <r>
    <x v="2"/>
    <x v="13"/>
    <m/>
    <s v="KMTCSHAE473303 这个提单怎么没有了"/>
    <x v="46"/>
    <x v="0"/>
    <x v="3"/>
    <m/>
    <m/>
  </r>
  <r>
    <x v="3"/>
    <x v="14"/>
    <n v="1"/>
    <s v="收到胡媛媛发来订舱邮件"/>
    <x v="50"/>
    <x v="0"/>
    <x v="1"/>
    <m/>
    <m/>
  </r>
  <r>
    <x v="3"/>
    <x v="14"/>
    <n v="2"/>
    <s v="发订舱托书给万恒（翁小姐）"/>
    <x v="50"/>
    <x v="0"/>
    <x v="1"/>
    <m/>
    <m/>
  </r>
  <r>
    <x v="3"/>
    <x v="14"/>
    <n v="3"/>
    <s v="收到万恒（翁小姐）预配（中转港必须是LAZARO）"/>
    <x v="51"/>
    <x v="0"/>
    <x v="1"/>
    <m/>
    <s v="一般三小时左右"/>
  </r>
  <r>
    <x v="3"/>
    <x v="14"/>
    <n v="5"/>
    <s v="发做箱通知邮件给车队(沈丽)，通知做箱时间"/>
    <x v="51"/>
    <x v="0"/>
    <x v="1"/>
    <m/>
    <m/>
  </r>
  <r>
    <x v="3"/>
    <x v="14"/>
    <n v="6"/>
    <s v="通知胡媛媛订舱成功和做箱时间"/>
    <x v="51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2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3"/>
    <x v="0"/>
    <x v="1"/>
    <m/>
    <s v="MAERSK SYDNEY V. 944E"/>
  </r>
  <r>
    <x v="8"/>
    <x v="19"/>
    <n v="7"/>
    <s v="Wanda付款通知，放单给Wanda"/>
    <x v="54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3"/>
    <x v="0"/>
    <x v="1"/>
    <m/>
    <s v="MAERSK SYDNEY V. 944E"/>
  </r>
  <r>
    <x v="15"/>
    <x v="19"/>
    <n v="12"/>
    <s v="1107水单，放提单、OK预录单、OK放行单"/>
    <x v="54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5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3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6"/>
    <x v="0"/>
    <x v="4"/>
    <m/>
    <m/>
  </r>
  <r>
    <x v="1"/>
    <x v="21"/>
    <n v="9"/>
    <s v="WORKING PROCESS"/>
    <x v="55"/>
    <x v="0"/>
    <x v="1"/>
    <m/>
    <m/>
  </r>
  <r>
    <x v="1"/>
    <x v="21"/>
    <n v="10"/>
    <s v="核查JS mobis上月舱单，确认没有垃圾舱单（收件人看陈吟勇邮件）"/>
    <x v="54"/>
    <x v="0"/>
    <x v="1"/>
    <m/>
    <s v="每月第一个周五"/>
  </r>
  <r>
    <x v="1"/>
    <x v="21"/>
    <n v="11"/>
    <s v="WORKING PROCESS"/>
    <x v="54"/>
    <x v="0"/>
    <x v="1"/>
    <m/>
    <m/>
  </r>
  <r>
    <x v="1"/>
    <x v="21"/>
    <n v="12"/>
    <s v="ETD1110 1105确认订舱，1108出运清单，1112提单领取单，SWB"/>
    <x v="57"/>
    <x v="0"/>
    <x v="1"/>
    <m/>
    <m/>
  </r>
  <r>
    <x v="1"/>
    <x v="21"/>
    <n v="13"/>
    <s v="WORKING PROCESS/WEEKLY REPORT"/>
    <x v="58"/>
    <x v="0"/>
    <x v="1"/>
    <m/>
    <m/>
  </r>
  <r>
    <x v="1"/>
    <x v="21"/>
    <n v="14"/>
    <s v="ETD1113 1106确认订舱，1111出运清单，OK核数据，OK提单领取单，SWB"/>
    <x v="59"/>
    <x v="0"/>
    <x v="1"/>
    <m/>
    <m/>
  </r>
  <r>
    <x v="1"/>
    <x v="21"/>
    <n v="15"/>
    <s v="WORKING PROCESS"/>
    <x v="60"/>
    <x v="0"/>
    <x v="1"/>
    <m/>
    <m/>
  </r>
  <r>
    <x v="1"/>
    <x v="21"/>
    <n v="16"/>
    <s v="WORKING PROCESS"/>
    <x v="61"/>
    <x v="0"/>
    <x v="1"/>
    <m/>
    <m/>
  </r>
  <r>
    <x v="1"/>
    <x v="21"/>
    <n v="17"/>
    <s v="ETD1117 1111确认订舱，1115出运清单，1116核数据，1121提单领取单，SWB"/>
    <x v="62"/>
    <x v="0"/>
    <x v="4"/>
    <m/>
    <m/>
  </r>
  <r>
    <x v="1"/>
    <x v="21"/>
    <n v="18"/>
    <s v="WORKING PROCESS/WEEKLY REPORT"/>
    <x v="63"/>
    <x v="0"/>
    <x v="1"/>
    <m/>
    <m/>
  </r>
  <r>
    <x v="1"/>
    <x v="21"/>
    <n v="19"/>
    <s v="ETD1120 1114确认订舱，1118出运清单，1119核数据，OK提单领取单，SWB"/>
    <x v="64"/>
    <x v="0"/>
    <x v="1"/>
    <m/>
    <m/>
  </r>
  <r>
    <x v="1"/>
    <x v="21"/>
    <n v="20"/>
    <s v="WORKING PROCESS"/>
    <x v="65"/>
    <x v="0"/>
    <x v="1"/>
    <m/>
    <m/>
  </r>
  <r>
    <x v="1"/>
    <x v="21"/>
    <n v="21"/>
    <s v="WORKING PROCESS"/>
    <x v="62"/>
    <x v="0"/>
    <x v="1"/>
    <m/>
    <m/>
  </r>
  <r>
    <x v="1"/>
    <x v="21"/>
    <n v="22"/>
    <s v="ETD1124 1119确认订舱，1122出运清单，1123核数据，1125码放，1127提单领取单，SWB"/>
    <x v="66"/>
    <x v="0"/>
    <x v="1"/>
    <m/>
    <m/>
  </r>
  <r>
    <x v="1"/>
    <x v="21"/>
    <n v="23"/>
    <s v="ROADSUN对账，开票，快递1126 772003685980036"/>
    <x v="66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7"/>
    <x v="0"/>
    <x v="1"/>
    <m/>
    <s v="25日"/>
  </r>
  <r>
    <x v="1"/>
    <x v="21"/>
    <n v="25"/>
    <s v="SHGLV家居每两个月结一次操作费，1127 772003684236440"/>
    <x v="68"/>
    <x v="0"/>
    <x v="1"/>
    <m/>
    <s v="25日"/>
  </r>
  <r>
    <x v="1"/>
    <x v="21"/>
    <n v="26"/>
    <s v="雅家居月结"/>
    <x v="69"/>
    <x v="0"/>
    <x v="1"/>
    <m/>
    <s v="月底"/>
  </r>
  <r>
    <x v="1"/>
    <x v="21"/>
    <n v="27"/>
    <s v="WORKING PROCESS/WEEKLY REPORT"/>
    <x v="49"/>
    <x v="0"/>
    <x v="1"/>
    <m/>
    <m/>
  </r>
  <r>
    <x v="1"/>
    <x v="21"/>
    <n v="28"/>
    <s v="ETD1127 1120确认订舱，1125出运清单，1126核数据，提单领取单，SWB"/>
    <x v="70"/>
    <x v="0"/>
    <x v="1"/>
    <m/>
    <m/>
  </r>
  <r>
    <x v="1"/>
    <x v="21"/>
    <n v="29"/>
    <s v="家居本月GLV月结的账单全部发给金娥善"/>
    <x v="71"/>
    <x v="0"/>
    <x v="1"/>
    <m/>
    <s v="25日"/>
  </r>
  <r>
    <x v="1"/>
    <x v="21"/>
    <n v="30"/>
    <s v="下月 MONTH"/>
    <x v="66"/>
    <x v="0"/>
    <x v="1"/>
    <m/>
    <s v="28日"/>
  </r>
  <r>
    <x v="1"/>
    <x v="21"/>
    <n v="31"/>
    <s v="WORKING PROCESS"/>
    <x v="66"/>
    <x v="0"/>
    <x v="1"/>
    <m/>
    <m/>
  </r>
  <r>
    <x v="1"/>
    <x v="21"/>
    <n v="32"/>
    <s v="JS mobis本月车队费用邮件发给汤爱华"/>
    <x v="66"/>
    <x v="0"/>
    <x v="1"/>
    <m/>
    <s v="28日"/>
  </r>
  <r>
    <x v="1"/>
    <x v="21"/>
    <n v="33"/>
    <s v="WORKING PROCESS"/>
    <x v="67"/>
    <x v="0"/>
    <x v="1"/>
    <m/>
    <m/>
  </r>
  <r>
    <x v="1"/>
    <x v="21"/>
    <m/>
    <s v="PANCON 韩国12月LSS不涨，1月涨？"/>
    <x v="72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6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59"/>
    <x v="0"/>
    <x v="1"/>
    <m/>
    <m/>
  </r>
  <r>
    <x v="16"/>
    <x v="22"/>
    <n v="5"/>
    <s v="1105船开，1104放MBL"/>
    <x v="53"/>
    <x v="0"/>
    <x v="1"/>
    <m/>
    <m/>
  </r>
  <r>
    <x v="2"/>
    <x v="23"/>
    <n v="0"/>
    <s v="Abbi确认订舱预报，制作清单流水"/>
    <x v="53"/>
    <x v="0"/>
    <x v="1"/>
    <m/>
    <s v="周一"/>
  </r>
  <r>
    <x v="2"/>
    <x v="23"/>
    <n v="1"/>
    <s v="发本周JS mobis的报关单（收件人看陈吟勇邮件）"/>
    <x v="54"/>
    <x v="0"/>
    <x v="1"/>
    <m/>
    <s v="周五"/>
  </r>
  <r>
    <x v="2"/>
    <x v="23"/>
    <n v="2"/>
    <s v="下周WEEK"/>
    <x v="54"/>
    <x v="0"/>
    <x v="1"/>
    <m/>
    <m/>
  </r>
  <r>
    <x v="2"/>
    <x v="23"/>
    <m/>
    <s v="TCL 月结协议，1105快递772003031162673"/>
    <x v="55"/>
    <x v="0"/>
    <x v="1"/>
    <m/>
    <m/>
  </r>
  <r>
    <x v="2"/>
    <x v="23"/>
    <m/>
    <s v="ETD1030华达利和顾家提单寄反了，华寄回776001403693338"/>
    <x v="53"/>
    <x v="0"/>
    <x v="1"/>
    <m/>
    <m/>
  </r>
  <r>
    <x v="2"/>
    <x v="23"/>
    <m/>
    <s v="悦达数据不对"/>
    <x v="53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5"/>
    <x v="0"/>
    <x v="1"/>
    <m/>
    <m/>
  </r>
  <r>
    <x v="3"/>
    <x v="24"/>
    <n v="26"/>
    <s v="配载"/>
    <x v="53"/>
    <x v="1"/>
    <x v="1"/>
    <m/>
    <m/>
  </r>
  <r>
    <x v="3"/>
    <x v="24"/>
    <n v="27"/>
    <s v="开船"/>
    <x v="56"/>
    <x v="0"/>
    <x v="1"/>
    <m/>
    <m/>
  </r>
  <r>
    <x v="3"/>
    <x v="24"/>
    <n v="28"/>
    <s v="收到万恒账单，做费用，发账单给陈吟勇"/>
    <x v="56"/>
    <x v="0"/>
    <x v="1"/>
    <m/>
    <m/>
  </r>
  <r>
    <x v="3"/>
    <x v="24"/>
    <n v="29"/>
    <s v="收到万恒（翁小姐）提单，放提单和预录单给胡媛媛，提单发陈吟勇和石磊"/>
    <x v="54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6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3"/>
    <x v="1"/>
    <x v="1"/>
    <m/>
    <m/>
  </r>
  <r>
    <x v="4"/>
    <x v="25"/>
    <n v="7"/>
    <s v="OK海放，OK码放，1105配载，开船"/>
    <x v="55"/>
    <x v="0"/>
    <x v="2"/>
    <m/>
    <m/>
  </r>
  <r>
    <x v="4"/>
    <x v="25"/>
    <n v="8"/>
    <s v="费用（4号 公共盘 月账单表 发孙丹），额外费用邮件"/>
    <x v="55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3"/>
    <x v="0"/>
    <x v="1"/>
    <m/>
    <m/>
  </r>
  <r>
    <x v="5"/>
    <x v="25"/>
    <n v="7"/>
    <s v="1102海放，OK码放，OK配载，开船"/>
    <x v="56"/>
    <x v="0"/>
    <x v="1"/>
    <m/>
    <m/>
  </r>
  <r>
    <x v="5"/>
    <x v="25"/>
    <n v="8"/>
    <s v="费用（4号 公共盘 月账单表 发孙丹），额外费用邮件"/>
    <x v="55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3"/>
    <x v="0"/>
    <x v="1"/>
    <m/>
    <m/>
  </r>
  <r>
    <x v="6"/>
    <x v="26"/>
    <n v="4"/>
    <s v="1105进港，1105核数据，1105报关，4532查验，海放"/>
    <x v="56"/>
    <x v="0"/>
    <x v="2"/>
    <m/>
    <m/>
  </r>
  <r>
    <x v="6"/>
    <x v="26"/>
    <n v="5"/>
    <s v="1107码放，1107配载，开船"/>
    <x v="54"/>
    <x v="0"/>
    <x v="1"/>
    <m/>
    <m/>
  </r>
  <r>
    <x v="6"/>
    <x v="26"/>
    <n v="6"/>
    <s v="【应付】1111确认账单，1112发票，水单"/>
    <x v="61"/>
    <x v="0"/>
    <x v="1"/>
    <m/>
    <m/>
  </r>
  <r>
    <x v="6"/>
    <x v="26"/>
    <n v="7"/>
    <s v="【应收】费用表和明细发孙丹"/>
    <x v="57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3"/>
    <x v="0"/>
    <x v="1"/>
    <m/>
    <m/>
  </r>
  <r>
    <x v="7"/>
    <x v="27"/>
    <n v="4"/>
    <s v="做报关资料，发报关行，核注清单，确认，校对稿，确认"/>
    <x v="53"/>
    <x v="0"/>
    <x v="1"/>
    <m/>
    <m/>
  </r>
  <r>
    <x v="7"/>
    <x v="27"/>
    <n v="5"/>
    <s v="YJC截单，ESI，邮件He，校对COPY"/>
    <x v="53"/>
    <x v="0"/>
    <x v="1"/>
    <m/>
    <m/>
  </r>
  <r>
    <x v="7"/>
    <x v="27"/>
    <n v="6"/>
    <s v="保函邹(Abbi电话)，ISF，保险"/>
    <x v="53"/>
    <x v="0"/>
    <x v="1"/>
    <m/>
    <m/>
  </r>
  <r>
    <x v="7"/>
    <x v="27"/>
    <n v="7"/>
    <s v="VGM，亿通鹏海舱单，核舱单"/>
    <x v="53"/>
    <x v="0"/>
    <x v="1"/>
    <m/>
    <m/>
  </r>
  <r>
    <x v="7"/>
    <x v="27"/>
    <n v="8"/>
    <s v="【洋山】1105发装箱单报关，成功，进港(落箱费?)，核数据"/>
    <x v="55"/>
    <x v="0"/>
    <x v="1"/>
    <m/>
    <m/>
  </r>
  <r>
    <x v="7"/>
    <x v="27"/>
    <n v="9"/>
    <s v="【外港】进港(落箱费?)，核数据，报关，成功"/>
    <x v="53"/>
    <x v="1"/>
    <x v="1"/>
    <m/>
    <m/>
  </r>
  <r>
    <x v="7"/>
    <x v="27"/>
    <n v="10"/>
    <s v="OK海放，1107码放，1108配载，1111费用发陈吟勇石磊，1109船开"/>
    <x v="58"/>
    <x v="0"/>
    <x v="1"/>
    <m/>
    <m/>
  </r>
  <r>
    <x v="7"/>
    <x v="27"/>
    <n v="11"/>
    <s v="放提单（PHISON、陈吟勇提单、陈云娣）"/>
    <x v="58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3"/>
    <x v="0"/>
    <x v="1"/>
    <m/>
    <m/>
  </r>
  <r>
    <x v="4"/>
    <x v="28"/>
    <n v="4"/>
    <s v="1106装箱单(洋提)，1106群发，发舱单，核舱单"/>
    <x v="55"/>
    <x v="0"/>
    <x v="1"/>
    <m/>
    <m/>
  </r>
  <r>
    <x v="4"/>
    <x v="28"/>
    <n v="5"/>
    <s v="【HMI】开港，进港，核数据，报关"/>
    <x v="55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8"/>
    <x v="0"/>
    <x v="1"/>
    <m/>
    <m/>
  </r>
  <r>
    <x v="4"/>
    <x v="28"/>
    <n v="8"/>
    <s v="费用（4号 公共盘 月账单表 发孙丹），额外费用邮件"/>
    <x v="58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3"/>
    <x v="1"/>
    <x v="1"/>
    <m/>
    <m/>
  </r>
  <r>
    <x v="8"/>
    <x v="29"/>
    <n v="3"/>
    <s v="资料，YJC截，HCP/INV确认，联代舱单，MSK截，核舱单"/>
    <x v="56"/>
    <x v="1"/>
    <x v="1"/>
    <m/>
    <s v="件毛体箱封号唛头"/>
  </r>
  <r>
    <x v="8"/>
    <x v="29"/>
    <n v="4"/>
    <s v="2COPY/AMS/DEBIT邮件Wanda"/>
    <x v="56"/>
    <x v="1"/>
    <x v="1"/>
    <m/>
    <m/>
  </r>
  <r>
    <x v="8"/>
    <x v="29"/>
    <n v="5"/>
    <s v="进港，核数据"/>
    <x v="54"/>
    <x v="1"/>
    <x v="1"/>
    <m/>
    <m/>
  </r>
  <r>
    <x v="8"/>
    <x v="29"/>
    <n v="6"/>
    <s v="海放，码放，配载，开船，通知Wanda"/>
    <x v="54"/>
    <x v="1"/>
    <x v="1"/>
    <m/>
    <m/>
  </r>
  <r>
    <x v="8"/>
    <x v="29"/>
    <n v="7"/>
    <s v="Wanda付款通知，放单给Wanda"/>
    <x v="59"/>
    <x v="1"/>
    <x v="1"/>
    <m/>
    <m/>
  </r>
  <r>
    <x v="2"/>
    <x v="30"/>
    <n v="0"/>
    <s v="Abbi确认订舱预报，制作清单流水"/>
    <x v="57"/>
    <x v="0"/>
    <x v="1"/>
    <m/>
    <s v="周一"/>
  </r>
  <r>
    <x v="2"/>
    <x v="30"/>
    <n v="1"/>
    <s v="发本周JS mobis的报关单（收件人看陈吟勇邮件）"/>
    <x v="61"/>
    <x v="0"/>
    <x v="1"/>
    <m/>
    <s v="周五"/>
  </r>
  <r>
    <x v="2"/>
    <x v="30"/>
    <n v="2"/>
    <s v="下周WEEK"/>
    <x v="61"/>
    <x v="0"/>
    <x v="1"/>
    <m/>
    <m/>
  </r>
  <r>
    <x v="2"/>
    <x v="30"/>
    <m/>
    <s v="PCLU1802PE4302 审核后改两个"/>
    <x v="74"/>
    <x v="0"/>
    <x v="1"/>
    <m/>
    <m/>
  </r>
  <r>
    <x v="2"/>
    <x v="30"/>
    <m/>
    <s v="永艺1106提单更改保函，换签"/>
    <x v="58"/>
    <x v="0"/>
    <x v="1"/>
    <m/>
    <m/>
  </r>
  <r>
    <x v="2"/>
    <x v="30"/>
    <m/>
    <s v="把27 29跟12月的舱位预报都发给HMM，看船公司怎么处理"/>
    <x v="63"/>
    <x v="0"/>
    <x v="1"/>
    <m/>
    <m/>
  </r>
  <r>
    <x v="2"/>
    <x v="30"/>
    <m/>
    <s v="广州美越10月发票第三次寄 1111 772003230506600"/>
    <x v="57"/>
    <x v="0"/>
    <x v="1"/>
    <m/>
    <m/>
  </r>
  <r>
    <x v="2"/>
    <x v="30"/>
    <m/>
    <s v="ACC 1107 发票寄孙丹 1114 772003499537988"/>
    <x v="74"/>
    <x v="0"/>
    <x v="1"/>
    <m/>
    <m/>
  </r>
  <r>
    <x v="2"/>
    <x v="30"/>
    <m/>
    <s v="万盛10月发票寄金娥善1114 772003496605860"/>
    <x v="61"/>
    <x v="0"/>
    <x v="1"/>
    <m/>
    <m/>
  </r>
  <r>
    <x v="2"/>
    <x v="30"/>
    <m/>
    <s v="上海三立委托书荣马盖章 SF438923894257"/>
    <x v="75"/>
    <x v="0"/>
    <x v="1"/>
    <m/>
    <m/>
  </r>
  <r>
    <x v="2"/>
    <x v="30"/>
    <m/>
    <s v="上海三立委托书荣马盖章回寄"/>
    <x v="74"/>
    <x v="0"/>
    <x v="1"/>
    <m/>
    <m/>
  </r>
  <r>
    <x v="7"/>
    <x v="31"/>
    <n v="1"/>
    <s v="订舱预报，YJC生成，EDI，邮件Abbi，核对"/>
    <x v="53"/>
    <x v="0"/>
    <x v="1"/>
    <m/>
    <m/>
  </r>
  <r>
    <x v="7"/>
    <x v="31"/>
    <n v="2"/>
    <s v="做箱时间，做箱通知，提单加拼EDI邮件Abbi，通知沈丽，加拼核对"/>
    <x v="56"/>
    <x v="0"/>
    <x v="1"/>
    <m/>
    <m/>
  </r>
  <r>
    <x v="7"/>
    <x v="31"/>
    <n v="3"/>
    <s v="报关资料，报关加拼，做箱数据，邮件沈丽，装箱单，转客户"/>
    <x v="54"/>
    <x v="0"/>
    <x v="1"/>
    <m/>
    <m/>
  </r>
  <r>
    <x v="7"/>
    <x v="31"/>
    <n v="4"/>
    <s v="OK做报关资料，OK发报关行，OK核注清单，OK确认，校对稿，确认"/>
    <x v="54"/>
    <x v="0"/>
    <x v="1"/>
    <m/>
    <m/>
  </r>
  <r>
    <x v="7"/>
    <x v="31"/>
    <n v="5"/>
    <s v="YJC截单，ESI，邮件He，校对COPY"/>
    <x v="54"/>
    <x v="0"/>
    <x v="1"/>
    <m/>
    <m/>
  </r>
  <r>
    <x v="7"/>
    <x v="31"/>
    <n v="6"/>
    <s v="保函邹(Abbi电话)，ISF，保险"/>
    <x v="54"/>
    <x v="0"/>
    <x v="1"/>
    <m/>
    <m/>
  </r>
  <r>
    <x v="7"/>
    <x v="31"/>
    <n v="7"/>
    <s v="VGM，亿通鹏海舱单，核舱单"/>
    <x v="54"/>
    <x v="0"/>
    <x v="1"/>
    <m/>
    <m/>
  </r>
  <r>
    <x v="7"/>
    <x v="31"/>
    <n v="8"/>
    <s v="【洋山】发装箱单报关，成功，进港(落箱费?)，核数据"/>
    <x v="54"/>
    <x v="1"/>
    <x v="1"/>
    <m/>
    <m/>
  </r>
  <r>
    <x v="7"/>
    <x v="31"/>
    <n v="9"/>
    <s v="【外港】1111进港(落箱费?)，1109核数据，1109报关，成功"/>
    <x v="58"/>
    <x v="0"/>
    <x v="1"/>
    <m/>
    <m/>
  </r>
  <r>
    <x v="7"/>
    <x v="31"/>
    <n v="10"/>
    <s v="1111海放，1112码放，1113配载，1113费用发陈吟勇石磊，船开"/>
    <x v="60"/>
    <x v="0"/>
    <x v="1"/>
    <m/>
    <m/>
  </r>
  <r>
    <x v="7"/>
    <x v="31"/>
    <n v="11"/>
    <s v="放提单（PHISON、陈吟勇提单、陈云娣）"/>
    <x v="59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5"/>
    <x v="0"/>
    <x v="1"/>
    <m/>
    <m/>
  </r>
  <r>
    <x v="5"/>
    <x v="31"/>
    <n v="3"/>
    <s v="收做资料(代做确认)，发报关行，【HMI】货运模板"/>
    <x v="55"/>
    <x v="0"/>
    <x v="1"/>
    <m/>
    <m/>
  </r>
  <r>
    <x v="5"/>
    <x v="31"/>
    <n v="4"/>
    <s v="OK装箱单(洋提)，OK群发，发舱单，核舱单"/>
    <x v="54"/>
    <x v="0"/>
    <x v="1"/>
    <m/>
    <m/>
  </r>
  <r>
    <x v="5"/>
    <x v="31"/>
    <n v="5"/>
    <s v="【HMI】开港，进港，核数据，报关"/>
    <x v="54"/>
    <x v="1"/>
    <x v="1"/>
    <m/>
    <m/>
  </r>
  <r>
    <x v="5"/>
    <x v="31"/>
    <n v="6"/>
    <s v="【KMM】1108报关，1108成功，OK进港，OK核数据，发两家报关单和放行单"/>
    <x v="74"/>
    <x v="0"/>
    <x v="1"/>
    <m/>
    <m/>
  </r>
  <r>
    <x v="5"/>
    <x v="31"/>
    <n v="7"/>
    <s v="1109海放，1113码放，1113配载，开船"/>
    <x v="61"/>
    <x v="0"/>
    <x v="1"/>
    <m/>
    <m/>
  </r>
  <r>
    <x v="5"/>
    <x v="31"/>
    <n v="8"/>
    <s v="费用（4号 公共盘 月账单表 发孙丹），额外费用邮件"/>
    <x v="59"/>
    <x v="0"/>
    <x v="1"/>
    <m/>
    <m/>
  </r>
  <r>
    <x v="7"/>
    <x v="32"/>
    <n v="1"/>
    <s v="订舱预报，YJC生成，EDI，邮件Abbi，核对"/>
    <x v="53"/>
    <x v="0"/>
    <x v="1"/>
    <m/>
    <m/>
  </r>
  <r>
    <x v="7"/>
    <x v="32"/>
    <n v="2"/>
    <s v="做箱时间，做箱通知，提单加拼EDI邮件Abbi，通知沈丽，加拼核对"/>
    <x v="58"/>
    <x v="1"/>
    <x v="1"/>
    <m/>
    <m/>
  </r>
  <r>
    <x v="7"/>
    <x v="32"/>
    <n v="3"/>
    <s v="报关资料，报关加拼，做箱数据，邮件沈丽，装箱单，转客户"/>
    <x v="57"/>
    <x v="1"/>
    <x v="1"/>
    <m/>
    <m/>
  </r>
  <r>
    <x v="7"/>
    <x v="32"/>
    <n v="4"/>
    <s v="做报关资料，发报关行，核注清单，确认，校对稿，确认"/>
    <x v="57"/>
    <x v="1"/>
    <x v="1"/>
    <m/>
    <m/>
  </r>
  <r>
    <x v="7"/>
    <x v="32"/>
    <n v="5"/>
    <s v="YJC截单，ESI，邮件He，校对COPY"/>
    <x v="57"/>
    <x v="1"/>
    <x v="1"/>
    <m/>
    <m/>
  </r>
  <r>
    <x v="7"/>
    <x v="32"/>
    <n v="6"/>
    <s v="保函邹(Abbi电话)，ISF，保险"/>
    <x v="57"/>
    <x v="1"/>
    <x v="1"/>
    <m/>
    <m/>
  </r>
  <r>
    <x v="7"/>
    <x v="32"/>
    <n v="7"/>
    <s v="VGM，亿通鹏海舱单，核舱单"/>
    <x v="57"/>
    <x v="1"/>
    <x v="1"/>
    <m/>
    <m/>
  </r>
  <r>
    <x v="7"/>
    <x v="32"/>
    <n v="8"/>
    <s v="【洋山】发装箱单报关，成功，进港(落箱费?)，核数据"/>
    <x v="57"/>
    <x v="1"/>
    <x v="1"/>
    <m/>
    <m/>
  </r>
  <r>
    <x v="7"/>
    <x v="32"/>
    <n v="9"/>
    <s v="【外港】进港(落箱费?)，核数据，报关，成功"/>
    <x v="57"/>
    <x v="1"/>
    <x v="1"/>
    <m/>
    <m/>
  </r>
  <r>
    <x v="7"/>
    <x v="32"/>
    <n v="10"/>
    <s v="海放，码放，配载，费用发陈吟勇石磊，船开"/>
    <x v="60"/>
    <x v="1"/>
    <x v="1"/>
    <m/>
    <m/>
  </r>
  <r>
    <x v="7"/>
    <x v="32"/>
    <n v="11"/>
    <s v="放提单（PHISON、陈吟勇提单、陈云娣）"/>
    <x v="74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0"/>
    <x v="0"/>
    <x v="1"/>
    <m/>
    <m/>
  </r>
  <r>
    <x v="8"/>
    <x v="33"/>
    <n v="3"/>
    <s v="资料，YJC截，HCP/INV确认，联代舱单，MSK截，核舱单"/>
    <x v="60"/>
    <x v="0"/>
    <x v="1"/>
    <m/>
    <s v="件毛体箱封号唛头"/>
  </r>
  <r>
    <x v="8"/>
    <x v="33"/>
    <n v="4"/>
    <s v="2COPY/AMS/DEBIT邮件Wanda"/>
    <x v="60"/>
    <x v="0"/>
    <x v="1"/>
    <m/>
    <m/>
  </r>
  <r>
    <x v="8"/>
    <x v="33"/>
    <n v="5"/>
    <s v="进港，核数据"/>
    <x v="60"/>
    <x v="0"/>
    <x v="1"/>
    <m/>
    <m/>
  </r>
  <r>
    <x v="8"/>
    <x v="33"/>
    <n v="6"/>
    <s v="1113海放，1117码放，1117配载，1119开船，通知Wanda"/>
    <x v="76"/>
    <x v="0"/>
    <x v="1"/>
    <m/>
    <m/>
  </r>
  <r>
    <x v="8"/>
    <x v="33"/>
    <n v="7"/>
    <s v="Wanda付款通知，放单给Wanda"/>
    <x v="62"/>
    <x v="0"/>
    <x v="1"/>
    <m/>
    <m/>
  </r>
  <r>
    <x v="17"/>
    <x v="34"/>
    <n v="1"/>
    <s v="1104托书，1108预配，YJC生成，做箱时间，订车，回孙丹"/>
    <x v="57"/>
    <x v="0"/>
    <x v="1"/>
    <m/>
    <m/>
  </r>
  <r>
    <x v="17"/>
    <x v="34"/>
    <n v="2"/>
    <s v="1115数据，1115发沈丽，要报关资料，发报关行"/>
    <x v="61"/>
    <x v="0"/>
    <x v="1"/>
    <m/>
    <m/>
  </r>
  <r>
    <x v="17"/>
    <x v="34"/>
    <n v="3"/>
    <s v="1115装箱单，1115转ZHL发舱单，核舱单"/>
    <x v="61"/>
    <x v="0"/>
    <x v="1"/>
    <m/>
    <m/>
  </r>
  <r>
    <x v="17"/>
    <x v="34"/>
    <n v="4"/>
    <s v="1116进港，1116核数据，报关，海放"/>
    <x v="75"/>
    <x v="0"/>
    <x v="1"/>
    <m/>
    <m/>
  </r>
  <r>
    <x v="17"/>
    <x v="34"/>
    <n v="5"/>
    <s v="1120码放，1120配载，开船"/>
    <x v="62"/>
    <x v="0"/>
    <x v="1"/>
    <m/>
    <m/>
  </r>
  <r>
    <x v="17"/>
    <x v="34"/>
    <n v="6"/>
    <s v="1127费用（4号 公共盘 月账单表 发孙丹），1127额外费用邮件"/>
    <x v="66"/>
    <x v="0"/>
    <x v="1"/>
    <m/>
    <m/>
  </r>
  <r>
    <x v="2"/>
    <x v="34"/>
    <n v="0"/>
    <s v="Abbi确认订舱预报，制作清单流水"/>
    <x v="65"/>
    <x v="0"/>
    <x v="1"/>
    <m/>
    <s v="周一"/>
  </r>
  <r>
    <x v="2"/>
    <x v="34"/>
    <n v="1"/>
    <s v="发本周JS mobis的报关单（收件人看陈吟勇邮件）"/>
    <x v="64"/>
    <x v="1"/>
    <x v="1"/>
    <m/>
    <s v="周五"/>
  </r>
  <r>
    <x v="2"/>
    <x v="34"/>
    <n v="2"/>
    <s v="下周WEEK"/>
    <x v="64"/>
    <x v="0"/>
    <x v="1"/>
    <m/>
    <m/>
  </r>
  <r>
    <x v="2"/>
    <x v="34"/>
    <m/>
    <s v="万盛几票低硫费错了的改过来"/>
    <x v="76"/>
    <x v="0"/>
    <x v="1"/>
    <m/>
    <m/>
  </r>
  <r>
    <x v="2"/>
    <x v="34"/>
    <m/>
    <s v="APEX 水单 JS mobis ETD1113 经理434"/>
    <x v="77"/>
    <x v="2"/>
    <x v="1"/>
    <m/>
    <s v="月底付"/>
  </r>
  <r>
    <x v="7"/>
    <x v="35"/>
    <n v="1"/>
    <s v="1108订舱预报，1112YJC生成，1112EDI，1112邮件Abbi，核对"/>
    <x v="57"/>
    <x v="0"/>
    <x v="1"/>
    <m/>
    <m/>
  </r>
  <r>
    <x v="7"/>
    <x v="35"/>
    <n v="2"/>
    <s v="做箱时间，做箱通知，提单加拼EDI邮件Abbi，通知沈丽，加拼核对"/>
    <x v="60"/>
    <x v="0"/>
    <x v="1"/>
    <m/>
    <m/>
  </r>
  <r>
    <x v="7"/>
    <x v="35"/>
    <n v="3"/>
    <s v="报关资料，报关加拼，做箱数据，邮件沈丽，装箱单，转客户"/>
    <x v="59"/>
    <x v="0"/>
    <x v="1"/>
    <m/>
    <m/>
  </r>
  <r>
    <x v="7"/>
    <x v="35"/>
    <n v="3"/>
    <s v="【加】1118报关资料，1118发报关行，OK核注清单，OK确认，OK校对稿，确认"/>
    <x v="74"/>
    <x v="0"/>
    <x v="1"/>
    <m/>
    <m/>
  </r>
  <r>
    <x v="7"/>
    <x v="35"/>
    <n v="4"/>
    <s v="1114做报关资料，1114发报关行，1114核注清单，OK确认，OK校对稿，确认"/>
    <x v="59"/>
    <x v="0"/>
    <x v="1"/>
    <m/>
    <m/>
  </r>
  <r>
    <x v="7"/>
    <x v="35"/>
    <n v="5"/>
    <s v="1114YJC截单，1114ESI，1114邮件He，校对COPY"/>
    <x v="59"/>
    <x v="0"/>
    <x v="1"/>
    <m/>
    <m/>
  </r>
  <r>
    <x v="7"/>
    <x v="35"/>
    <n v="5"/>
    <s v="【加】1118ESI，1118邮件He，校对COPY"/>
    <x v="76"/>
    <x v="0"/>
    <x v="1"/>
    <m/>
    <m/>
  </r>
  <r>
    <x v="7"/>
    <x v="35"/>
    <n v="6"/>
    <s v="保函邹(Abbi电话)，ISF，保险"/>
    <x v="59"/>
    <x v="0"/>
    <x v="1"/>
    <m/>
    <m/>
  </r>
  <r>
    <x v="7"/>
    <x v="35"/>
    <n v="6"/>
    <s v="【加】保函邹(Abbi电话)，ISF，保险"/>
    <x v="74"/>
    <x v="0"/>
    <x v="1"/>
    <m/>
    <m/>
  </r>
  <r>
    <x v="7"/>
    <x v="35"/>
    <n v="7"/>
    <s v="1114VGM，1114亿通鹏海舱单，核舱单"/>
    <x v="59"/>
    <x v="0"/>
    <x v="1"/>
    <m/>
    <m/>
  </r>
  <r>
    <x v="7"/>
    <x v="35"/>
    <n v="7"/>
    <s v="【加】1117VGM，1117亿通鹏海舱单，核舱单"/>
    <x v="63"/>
    <x v="0"/>
    <x v="1"/>
    <m/>
    <m/>
  </r>
  <r>
    <x v="7"/>
    <x v="35"/>
    <n v="8"/>
    <s v="【洋山】发装箱单报关，成功，进港(落箱费?)，核数据"/>
    <x v="59"/>
    <x v="1"/>
    <x v="1"/>
    <m/>
    <m/>
  </r>
  <r>
    <x v="7"/>
    <x v="35"/>
    <n v="9"/>
    <s v="【外港】OK进港，1117核数据，报关"/>
    <x v="74"/>
    <x v="0"/>
    <x v="1"/>
    <m/>
    <m/>
  </r>
  <r>
    <x v="7"/>
    <x v="35"/>
    <n v="10"/>
    <s v="1118海放，1119码放，1119配载，费用发陈吟勇石磊，1120船开"/>
    <x v="65"/>
    <x v="0"/>
    <x v="1"/>
    <m/>
    <m/>
  </r>
  <r>
    <x v="7"/>
    <x v="35"/>
    <n v="11"/>
    <s v="放提单（PHISON、陈吟勇提单、陈云娣）"/>
    <x v="65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8"/>
    <x v="0"/>
    <x v="1"/>
    <m/>
    <s v="截单前三天"/>
  </r>
  <r>
    <x v="3"/>
    <x v="35"/>
    <n v="8"/>
    <s v="收到胡媛媛发来报关资料"/>
    <x v="58"/>
    <x v="0"/>
    <x v="1"/>
    <m/>
    <s v="船开前一周？"/>
  </r>
  <r>
    <x v="3"/>
    <x v="35"/>
    <n v="9"/>
    <s v="完善报关资料发报关行（罗运生），要校对稿，做箱数据给沈丽，更新系统件毛体"/>
    <x v="58"/>
    <x v="0"/>
    <x v="1"/>
    <m/>
    <m/>
  </r>
  <r>
    <x v="3"/>
    <x v="35"/>
    <n v="10"/>
    <s v="买保险"/>
    <x v="58"/>
    <x v="0"/>
    <x v="1"/>
    <m/>
    <m/>
  </r>
  <r>
    <x v="3"/>
    <x v="35"/>
    <n v="11"/>
    <s v="做异地付款保函，发胡媛媛确认盖章回传"/>
    <x v="58"/>
    <x v="0"/>
    <x v="1"/>
    <m/>
    <m/>
  </r>
  <r>
    <x v="3"/>
    <x v="35"/>
    <n v="12"/>
    <s v="收到客户（胡媛媛）发来保函扫描件"/>
    <x v="57"/>
    <x v="0"/>
    <x v="1"/>
    <m/>
    <s v="一般马上"/>
  </r>
  <r>
    <x v="3"/>
    <x v="35"/>
    <n v="13"/>
    <s v="收到罗运生校对稿，发客户（胡媛媛）确认"/>
    <x v="57"/>
    <x v="0"/>
    <x v="1"/>
    <m/>
    <s v="一般半天内"/>
  </r>
  <r>
    <x v="3"/>
    <x v="35"/>
    <n v="14"/>
    <s v="收到客户（胡媛媛）确认校对稿OK"/>
    <x v="57"/>
    <x v="0"/>
    <x v="1"/>
    <m/>
    <s v="一般马上"/>
  </r>
  <r>
    <x v="3"/>
    <x v="35"/>
    <n v="15"/>
    <s v="关注开港时间，跟车队(沈丽)确认做箱时间，如有变动通知胡媛媛"/>
    <x v="60"/>
    <x v="1"/>
    <x v="1"/>
    <m/>
    <s v="截单前一天"/>
  </r>
  <r>
    <x v="3"/>
    <x v="35"/>
    <n v="16"/>
    <s v="收到沈丽发来装箱单"/>
    <x v="61"/>
    <x v="0"/>
    <x v="1"/>
    <m/>
    <s v="截单当天"/>
  </r>
  <r>
    <x v="3"/>
    <x v="35"/>
    <n v="17"/>
    <s v="完善截单资料发万恒（翁小姐），请求发舱单"/>
    <x v="61"/>
    <x v="0"/>
    <x v="1"/>
    <m/>
    <m/>
  </r>
  <r>
    <x v="3"/>
    <x v="35"/>
    <n v="18"/>
    <s v="收到舱单发送通知，核对舱单，装箱单发报关行报关"/>
    <x v="61"/>
    <x v="0"/>
    <x v="1"/>
    <m/>
    <m/>
  </r>
  <r>
    <x v="3"/>
    <x v="35"/>
    <n v="19"/>
    <s v="请求万恒（翁小姐）发提单样本"/>
    <x v="61"/>
    <x v="0"/>
    <x v="1"/>
    <m/>
    <m/>
  </r>
  <r>
    <x v="3"/>
    <x v="35"/>
    <n v="20"/>
    <s v="收到万恒（翁小姐）发来提单样本，发胡媛媛确认"/>
    <x v="61"/>
    <x v="0"/>
    <x v="1"/>
    <m/>
    <m/>
  </r>
  <r>
    <x v="3"/>
    <x v="35"/>
    <n v="21"/>
    <s v="收到胡媛媛提单确认"/>
    <x v="76"/>
    <x v="0"/>
    <x v="1"/>
    <m/>
    <m/>
  </r>
  <r>
    <x v="3"/>
    <x v="35"/>
    <n v="22"/>
    <s v="收到报关成功通知，通知车队可进港 "/>
    <x v="75"/>
    <x v="0"/>
    <x v="1"/>
    <m/>
    <m/>
  </r>
  <r>
    <x v="3"/>
    <x v="35"/>
    <n v="23"/>
    <s v="进港，核对数据"/>
    <x v="75"/>
    <x v="0"/>
    <x v="1"/>
    <m/>
    <m/>
  </r>
  <r>
    <x v="3"/>
    <x v="35"/>
    <n v="24"/>
    <s v="海放"/>
    <x v="75"/>
    <x v="0"/>
    <x v="1"/>
    <m/>
    <m/>
  </r>
  <r>
    <x v="3"/>
    <x v="35"/>
    <n v="25"/>
    <s v="码放"/>
    <x v="76"/>
    <x v="0"/>
    <x v="1"/>
    <m/>
    <m/>
  </r>
  <r>
    <x v="3"/>
    <x v="35"/>
    <n v="26"/>
    <s v="配载"/>
    <x v="76"/>
    <x v="0"/>
    <x v="1"/>
    <m/>
    <m/>
  </r>
  <r>
    <x v="3"/>
    <x v="35"/>
    <n v="27"/>
    <s v="开船"/>
    <x v="65"/>
    <x v="0"/>
    <x v="1"/>
    <m/>
    <m/>
  </r>
  <r>
    <x v="3"/>
    <x v="35"/>
    <n v="28"/>
    <s v="收到万恒账单，做费用，发账单给陈吟勇"/>
    <x v="65"/>
    <x v="0"/>
    <x v="1"/>
    <m/>
    <m/>
  </r>
  <r>
    <x v="3"/>
    <x v="35"/>
    <n v="29"/>
    <s v="收到万恒（翁小姐）提单，放提单和预录单给胡媛媛，提单发陈吟勇和石磊"/>
    <x v="65"/>
    <x v="0"/>
    <x v="1"/>
    <m/>
    <m/>
  </r>
  <r>
    <x v="3"/>
    <x v="35"/>
    <m/>
    <s v="小件数不一致，确认一下"/>
    <x v="57"/>
    <x v="0"/>
    <x v="1"/>
    <m/>
    <m/>
  </r>
  <r>
    <x v="4"/>
    <x v="35"/>
    <n v="1"/>
    <s v="1107托书，1112预配(沈丽)，YJC生成"/>
    <x v="60"/>
    <x v="0"/>
    <x v="1"/>
    <m/>
    <m/>
  </r>
  <r>
    <x v="4"/>
    <x v="35"/>
    <n v="2"/>
    <s v="包装指示书，汇总，发工厂，做箱数据，发订舱口"/>
    <x v="61"/>
    <x v="0"/>
    <x v="1"/>
    <m/>
    <m/>
  </r>
  <r>
    <x v="4"/>
    <x v="35"/>
    <n v="3"/>
    <s v="收做资料(代做确认)，发报关行，【HMI】货运模板"/>
    <x v="74"/>
    <x v="0"/>
    <x v="1"/>
    <m/>
    <m/>
  </r>
  <r>
    <x v="4"/>
    <x v="35"/>
    <n v="4"/>
    <s v="1117装箱单，1117群发，核舱单"/>
    <x v="74"/>
    <x v="0"/>
    <x v="1"/>
    <m/>
    <m/>
  </r>
  <r>
    <x v="4"/>
    <x v="35"/>
    <n v="5"/>
    <s v="【HMI】OK开港，1117进港，1117核数据，报关"/>
    <x v="74"/>
    <x v="0"/>
    <x v="1"/>
    <m/>
    <m/>
  </r>
  <r>
    <x v="4"/>
    <x v="35"/>
    <n v="6"/>
    <s v="【KMM】报关，成功，进港，核数据，发两家报关单和放行单"/>
    <x v="63"/>
    <x v="1"/>
    <x v="1"/>
    <m/>
    <m/>
  </r>
  <r>
    <x v="4"/>
    <x v="35"/>
    <n v="7"/>
    <s v="1118海放，1119码放，1119配载，开船"/>
    <x v="65"/>
    <x v="0"/>
    <x v="1"/>
    <m/>
    <m/>
  </r>
  <r>
    <x v="4"/>
    <x v="35"/>
    <n v="8"/>
    <s v="费用（4号 公共盘 月账单表 发孙丹），额外费用邮件"/>
    <x v="65"/>
    <x v="0"/>
    <x v="1"/>
    <m/>
    <m/>
  </r>
  <r>
    <x v="5"/>
    <x v="35"/>
    <n v="1"/>
    <s v="1107托书，预配(沈丽)，YJC生成"/>
    <x v="56"/>
    <x v="0"/>
    <x v="1"/>
    <m/>
    <m/>
  </r>
  <r>
    <x v="5"/>
    <x v="35"/>
    <n v="2"/>
    <s v="包装指示书，汇总，发工厂，做箱数据，发订舱口"/>
    <x v="59"/>
    <x v="0"/>
    <x v="1"/>
    <m/>
    <m/>
  </r>
  <r>
    <x v="5"/>
    <x v="35"/>
    <n v="3"/>
    <s v="收做资料(代做确认)，发报关行，【HMI】货运模板"/>
    <x v="61"/>
    <x v="0"/>
    <x v="1"/>
    <m/>
    <m/>
  </r>
  <r>
    <x v="5"/>
    <x v="35"/>
    <n v="4"/>
    <s v="1115装箱单(洋提)，1115群发，1115发舱单，核舱单"/>
    <x v="61"/>
    <x v="0"/>
    <x v="1"/>
    <m/>
    <m/>
  </r>
  <r>
    <x v="5"/>
    <x v="35"/>
    <n v="5"/>
    <s v="【HMI】开港，进港，核数据，报关"/>
    <x v="61"/>
    <x v="1"/>
    <x v="1"/>
    <m/>
    <m/>
  </r>
  <r>
    <x v="5"/>
    <x v="35"/>
    <n v="6"/>
    <s v="【KMM】OK报关，OK成功，OK进港，OK核数据，发两家报关单和放行单"/>
    <x v="63"/>
    <x v="0"/>
    <x v="1"/>
    <m/>
    <m/>
  </r>
  <r>
    <x v="5"/>
    <x v="35"/>
    <n v="7"/>
    <s v="1116海放，1119码放，1119配载，开船"/>
    <x v="65"/>
    <x v="0"/>
    <x v="1"/>
    <m/>
    <m/>
  </r>
  <r>
    <x v="5"/>
    <x v="35"/>
    <n v="8"/>
    <s v="费用（4号 公共盘 月账单表 发孙丹），额外费用邮件"/>
    <x v="65"/>
    <x v="0"/>
    <x v="1"/>
    <m/>
    <m/>
  </r>
  <r>
    <x v="6"/>
    <x v="36"/>
    <n v="1"/>
    <s v="1104托书，1106预配，1106YJC生成，做箱时间，订车，回孙丹"/>
    <x v="57"/>
    <x v="0"/>
    <x v="1"/>
    <m/>
    <m/>
  </r>
  <r>
    <x v="6"/>
    <x v="36"/>
    <n v="2"/>
    <s v="数据，发沈丽，要报关资料，发报关行"/>
    <x v="74"/>
    <x v="0"/>
    <x v="1"/>
    <m/>
    <m/>
  </r>
  <r>
    <x v="6"/>
    <x v="36"/>
    <n v="3"/>
    <s v="1118装箱单，1118转ZHL发舱单，核舱单"/>
    <x v="76"/>
    <x v="0"/>
    <x v="1"/>
    <m/>
    <m/>
  </r>
  <r>
    <x v="6"/>
    <x v="36"/>
    <n v="4"/>
    <s v="1119进港，1119核数据，1119报关，海放"/>
    <x v="76"/>
    <x v="0"/>
    <x v="1"/>
    <m/>
    <m/>
  </r>
  <r>
    <x v="6"/>
    <x v="36"/>
    <n v="5"/>
    <s v="1121码放，1121配载，开船"/>
    <x v="64"/>
    <x v="0"/>
    <x v="1"/>
    <m/>
    <m/>
  </r>
  <r>
    <x v="6"/>
    <x v="36"/>
    <n v="6"/>
    <s v="【应付】1125确认账单，1126发票，水单"/>
    <x v="67"/>
    <x v="0"/>
    <x v="1"/>
    <m/>
    <m/>
  </r>
  <r>
    <x v="6"/>
    <x v="36"/>
    <n v="7"/>
    <s v="【应收】费用表和明细发孙丹"/>
    <x v="49"/>
    <x v="0"/>
    <x v="1"/>
    <m/>
    <m/>
  </r>
  <r>
    <x v="8"/>
    <x v="37"/>
    <n v="1"/>
    <s v="1104托书，1106订舱，邮件Wanda，通知客户，确认"/>
    <x v="55"/>
    <x v="0"/>
    <x v="1"/>
    <m/>
    <m/>
  </r>
  <r>
    <x v="8"/>
    <x v="37"/>
    <n v="2"/>
    <s v="1120开港时间，1120资料时间，做费用"/>
    <x v="62"/>
    <x v="0"/>
    <x v="1"/>
    <m/>
    <m/>
  </r>
  <r>
    <x v="8"/>
    <x v="37"/>
    <n v="3"/>
    <s v="资料，YJC截，HCP/INV确认，联代舱单，MSK截，核舱单"/>
    <x v="62"/>
    <x v="0"/>
    <x v="1"/>
    <m/>
    <s v="件毛体箱封号唛头"/>
  </r>
  <r>
    <x v="8"/>
    <x v="37"/>
    <n v="4"/>
    <s v="2COPY/AMS/DEBIT邮件Wanda"/>
    <x v="62"/>
    <x v="0"/>
    <x v="1"/>
    <m/>
    <m/>
  </r>
  <r>
    <x v="8"/>
    <x v="37"/>
    <n v="5"/>
    <s v="进港，核数据"/>
    <x v="64"/>
    <x v="0"/>
    <x v="4"/>
    <m/>
    <m/>
  </r>
  <r>
    <x v="8"/>
    <x v="37"/>
    <n v="6"/>
    <s v="1121海放，1125码放，1126配载，1126开船，通知Wanda"/>
    <x v="66"/>
    <x v="0"/>
    <x v="1"/>
    <m/>
    <m/>
  </r>
  <r>
    <x v="8"/>
    <x v="37"/>
    <n v="7"/>
    <s v="Wanda付款通知，放单给Wanda"/>
    <x v="78"/>
    <x v="0"/>
    <x v="1"/>
    <m/>
    <m/>
  </r>
  <r>
    <x v="2"/>
    <x v="38"/>
    <n v="0"/>
    <s v="Abbi确认订舱预报，制作清单流水"/>
    <x v="49"/>
    <x v="1"/>
    <x v="1"/>
    <m/>
    <s v="周一"/>
  </r>
  <r>
    <x v="2"/>
    <x v="38"/>
    <n v="1"/>
    <s v="发本周JS mobis的报关单（收件人看陈吟勇邮件）"/>
    <x v="67"/>
    <x v="1"/>
    <x v="1"/>
    <m/>
    <s v="周五"/>
  </r>
  <r>
    <x v="2"/>
    <x v="38"/>
    <n v="2"/>
    <s v="下周WEEK"/>
    <x v="67"/>
    <x v="0"/>
    <x v="1"/>
    <m/>
    <s v="周五"/>
  </r>
  <r>
    <x v="2"/>
    <x v="38"/>
    <n v="3"/>
    <s v="手机QQ切换登陆一下"/>
    <x v="67"/>
    <x v="0"/>
    <x v="1"/>
    <m/>
    <s v="周五"/>
  </r>
  <r>
    <x v="2"/>
    <x v="38"/>
    <m/>
    <s v="HDMUQSWB4063806 这票保险费需要减掉0.94元"/>
    <x v="71"/>
    <x v="0"/>
    <x v="1"/>
    <m/>
    <m/>
  </r>
  <r>
    <x v="2"/>
    <x v="38"/>
    <m/>
    <s v="JS mobis 本月发票快递石磊 1128 772003722999455"/>
    <x v="67"/>
    <x v="0"/>
    <x v="1"/>
    <m/>
    <m/>
  </r>
  <r>
    <x v="2"/>
    <x v="38"/>
    <m/>
    <s v="CASAMIA 本月操作费发票快递金娥善 1128  772003723248617"/>
    <x v="67"/>
    <x v="0"/>
    <x v="1"/>
    <m/>
    <m/>
  </r>
  <r>
    <x v="2"/>
    <x v="38"/>
    <m/>
    <s v="预约体检"/>
    <x v="70"/>
    <x v="0"/>
    <x v="1"/>
    <m/>
    <m/>
  </r>
  <r>
    <x v="2"/>
    <x v="38"/>
    <m/>
    <s v="WX mobis 本月发票快递石磊 1129 772003741935956"/>
    <x v="70"/>
    <x v="0"/>
    <x v="1"/>
    <m/>
    <m/>
  </r>
  <r>
    <x v="7"/>
    <x v="39"/>
    <n v="1"/>
    <s v="1118订舱预报，1120YJC生成，1120EDI，1120邮件Abbi，核对"/>
    <x v="65"/>
    <x v="0"/>
    <x v="1"/>
    <m/>
    <m/>
  </r>
  <r>
    <x v="7"/>
    <x v="39"/>
    <n v="2"/>
    <s v="做箱时间，做箱通知，提单加拼EDI邮件Abbi，通知沈丽，加拼核对"/>
    <x v="62"/>
    <x v="1"/>
    <x v="1"/>
    <m/>
    <m/>
  </r>
  <r>
    <x v="7"/>
    <x v="39"/>
    <n v="3"/>
    <s v="报关资料，报关加拼，做箱数据，邮件沈丽，装箱单，转客户"/>
    <x v="64"/>
    <x v="1"/>
    <x v="1"/>
    <m/>
    <m/>
  </r>
  <r>
    <x v="7"/>
    <x v="39"/>
    <n v="4"/>
    <s v="报关资料发报关行，核注清单，确认，校对稿，确认"/>
    <x v="64"/>
    <x v="1"/>
    <x v="1"/>
    <m/>
    <m/>
  </r>
  <r>
    <x v="7"/>
    <x v="39"/>
    <n v="5"/>
    <s v="YJC截单，ESI，邮件He，校对COPY"/>
    <x v="64"/>
    <x v="1"/>
    <x v="1"/>
    <m/>
    <m/>
  </r>
  <r>
    <x v="7"/>
    <x v="39"/>
    <n v="6"/>
    <s v="保函邹(Abbi电话)，ISF，保险"/>
    <x v="64"/>
    <x v="1"/>
    <x v="1"/>
    <m/>
    <m/>
  </r>
  <r>
    <x v="7"/>
    <x v="39"/>
    <n v="7"/>
    <s v="VGM，亿通鹏海舱单，核舱单"/>
    <x v="64"/>
    <x v="1"/>
    <x v="1"/>
    <m/>
    <m/>
  </r>
  <r>
    <x v="7"/>
    <x v="39"/>
    <n v="9"/>
    <s v="【外港】进港(落箱费?)，核数据，报关，成功"/>
    <x v="64"/>
    <x v="1"/>
    <x v="1"/>
    <m/>
    <m/>
  </r>
  <r>
    <x v="7"/>
    <x v="39"/>
    <n v="10"/>
    <s v="海放，码放，配载，费用发陈吟勇石磊，船开"/>
    <x v="64"/>
    <x v="1"/>
    <x v="1"/>
    <m/>
    <m/>
  </r>
  <r>
    <x v="7"/>
    <x v="39"/>
    <n v="11"/>
    <s v="放提单（PHISON、陈吟勇提单、陈云娣）"/>
    <x v="64"/>
    <x v="1"/>
    <x v="1"/>
    <m/>
    <m/>
  </r>
  <r>
    <x v="4"/>
    <x v="39"/>
    <n v="1"/>
    <s v="1114托书，预配(沈丽)，YJC生成"/>
    <x v="65"/>
    <x v="0"/>
    <x v="1"/>
    <m/>
    <m/>
  </r>
  <r>
    <x v="4"/>
    <x v="39"/>
    <n v="2"/>
    <s v="包装指示书，汇总，发工厂，做箱数据，发订舱口"/>
    <x v="62"/>
    <x v="0"/>
    <x v="1"/>
    <m/>
    <m/>
  </r>
  <r>
    <x v="4"/>
    <x v="39"/>
    <n v="3"/>
    <s v="收做资料(代做确认)，发报关行，【HMI】货运模板"/>
    <x v="49"/>
    <x v="0"/>
    <x v="1"/>
    <m/>
    <m/>
  </r>
  <r>
    <x v="4"/>
    <x v="39"/>
    <n v="4"/>
    <s v="装箱单(洋提)，群发，发舱单，核舱单"/>
    <x v="64"/>
    <x v="0"/>
    <x v="1"/>
    <m/>
    <m/>
  </r>
  <r>
    <x v="4"/>
    <x v="39"/>
    <n v="5"/>
    <s v="【HMI】开港，两大进港，一小进港，核数据，报关"/>
    <x v="71"/>
    <x v="0"/>
    <x v="1"/>
    <m/>
    <m/>
  </r>
  <r>
    <x v="4"/>
    <x v="39"/>
    <n v="6"/>
    <s v="【KMM】报关，成功，进港，核数据，发两家报关单和放行单"/>
    <x v="64"/>
    <x v="1"/>
    <x v="1"/>
    <m/>
    <m/>
  </r>
  <r>
    <x v="4"/>
    <x v="39"/>
    <n v="7"/>
    <s v="1126海放，1127码放，1127配载，开船"/>
    <x v="66"/>
    <x v="0"/>
    <x v="1"/>
    <m/>
    <m/>
  </r>
  <r>
    <x v="4"/>
    <x v="39"/>
    <n v="8"/>
    <s v="费用（4号 公共盘 月账单表 发孙丹），额外费用邮件"/>
    <x v="71"/>
    <x v="0"/>
    <x v="1"/>
    <m/>
    <m/>
  </r>
  <r>
    <x v="5"/>
    <x v="39"/>
    <n v="1"/>
    <s v="1113托书，预配(沈丽)，YJC生成"/>
    <x v="64"/>
    <x v="0"/>
    <x v="1"/>
    <m/>
    <m/>
  </r>
  <r>
    <x v="5"/>
    <x v="39"/>
    <n v="2"/>
    <s v="包装指示书，汇总，发工厂，做箱数据，发订舱口"/>
    <x v="64"/>
    <x v="0"/>
    <x v="1"/>
    <m/>
    <m/>
  </r>
  <r>
    <x v="5"/>
    <x v="39"/>
    <n v="3"/>
    <s v="收做资料(代做确认)，发报关行，【HMI】货运模板"/>
    <x v="64"/>
    <x v="0"/>
    <x v="1"/>
    <m/>
    <m/>
  </r>
  <r>
    <x v="5"/>
    <x v="39"/>
    <n v="4"/>
    <s v="装箱单(洋提)，群发，发舱单，核舱单"/>
    <x v="64"/>
    <x v="0"/>
    <x v="1"/>
    <m/>
    <m/>
  </r>
  <r>
    <x v="5"/>
    <x v="39"/>
    <n v="5"/>
    <s v="【HMI】开港，进港，核数据，报关"/>
    <x v="64"/>
    <x v="1"/>
    <x v="1"/>
    <m/>
    <m/>
  </r>
  <r>
    <x v="5"/>
    <x v="39"/>
    <n v="6"/>
    <s v="【KMM】1122报关，1123成功，1124进港，1125核数据，发两家报关单和放行单"/>
    <x v="49"/>
    <x v="0"/>
    <x v="1"/>
    <m/>
    <m/>
  </r>
  <r>
    <x v="5"/>
    <x v="39"/>
    <n v="7"/>
    <s v="1124海放，1126码放，1127配载，开船"/>
    <x v="66"/>
    <x v="0"/>
    <x v="2"/>
    <m/>
    <m/>
  </r>
  <r>
    <x v="5"/>
    <x v="39"/>
    <n v="8"/>
    <s v="费用（4号 公共盘 月账单表 发孙丹），额外费用邮件"/>
    <x v="71"/>
    <x v="0"/>
    <x v="1"/>
    <m/>
    <m/>
  </r>
  <r>
    <x v="6"/>
    <x v="40"/>
    <n v="1"/>
    <s v="1111托书，1118预配，OKYJC生成，做箱时间，订车，回孙丹"/>
    <x v="64"/>
    <x v="0"/>
    <x v="1"/>
    <m/>
    <m/>
  </r>
  <r>
    <x v="6"/>
    <x v="40"/>
    <n v="2"/>
    <s v="1125数据，1125发沈丽，要报关资料，发报关行"/>
    <x v="71"/>
    <x v="0"/>
    <x v="1"/>
    <m/>
    <m/>
  </r>
  <r>
    <x v="6"/>
    <x v="40"/>
    <n v="3"/>
    <s v="1125装箱单，1125转ZHL发舱单，核舱单"/>
    <x v="71"/>
    <x v="0"/>
    <x v="1"/>
    <m/>
    <m/>
  </r>
  <r>
    <x v="6"/>
    <x v="40"/>
    <n v="4"/>
    <s v="1126进港，1126核数据，报关，海放"/>
    <x v="71"/>
    <x v="0"/>
    <x v="1"/>
    <m/>
    <m/>
  </r>
  <r>
    <x v="6"/>
    <x v="40"/>
    <n v="5"/>
    <s v="1128码放，1128配载，开船"/>
    <x v="67"/>
    <x v="0"/>
    <x v="1"/>
    <m/>
    <m/>
  </r>
  <r>
    <x v="6"/>
    <x v="40"/>
    <n v="6"/>
    <s v="【应付】1204确认账单，1204发票，CCL水单"/>
    <x v="79"/>
    <x v="0"/>
    <x v="1"/>
    <m/>
    <m/>
  </r>
  <r>
    <x v="6"/>
    <x v="40"/>
    <n v="7"/>
    <s v="【应收】费用表和明细发孙丹"/>
    <x v="66"/>
    <x v="0"/>
    <x v="1"/>
    <m/>
    <m/>
  </r>
  <r>
    <x v="9"/>
    <x v="41"/>
    <n v="1"/>
    <s v="1119托书，OK订舱，OK邮件KY，收进仓通知"/>
    <x v="65"/>
    <x v="0"/>
    <x v="1"/>
    <m/>
    <m/>
  </r>
  <r>
    <x v="9"/>
    <x v="41"/>
    <n v="2"/>
    <s v="1120KY确认，1120发进仓通知，1120截单，1121KY再确认，截货，确定船期"/>
    <x v="66"/>
    <x v="0"/>
    <x v="1"/>
    <m/>
    <m/>
  </r>
  <r>
    <x v="9"/>
    <x v="41"/>
    <n v="3"/>
    <s v="1121MBLCOPY，1127确认，11274应付确认"/>
    <x v="66"/>
    <x v="0"/>
    <x v="1"/>
    <m/>
    <m/>
  </r>
  <r>
    <x v="9"/>
    <x v="41"/>
    <n v="4"/>
    <s v="1128HBL确认，1128应收确认，1128应收发票"/>
    <x v="68"/>
    <x v="0"/>
    <x v="1"/>
    <m/>
    <m/>
  </r>
  <r>
    <x v="9"/>
    <x v="41"/>
    <n v="5"/>
    <s v="1202船开，1128放MBL，应收水单，放HBL"/>
    <x v="80"/>
    <x v="0"/>
    <x v="1"/>
    <m/>
    <m/>
  </r>
  <r>
    <x v="7"/>
    <x v="41"/>
    <n v="1"/>
    <s v="1118订舱预报，1120YJC生成，1120EDI，1120邮件Abbi，核对"/>
    <x v="65"/>
    <x v="0"/>
    <x v="1"/>
    <m/>
    <m/>
  </r>
  <r>
    <x v="7"/>
    <x v="41"/>
    <n v="2"/>
    <s v="做箱时间，做箱通知，提单加拼EDI邮件Abbi，通知沈丽，加拼核对"/>
    <x v="49"/>
    <x v="1"/>
    <x v="1"/>
    <m/>
    <m/>
  </r>
  <r>
    <x v="7"/>
    <x v="41"/>
    <n v="3"/>
    <s v="报关资料，报关加拼，做箱数据，邮件沈丽，装箱单，转客户"/>
    <x v="49"/>
    <x v="1"/>
    <x v="1"/>
    <m/>
    <m/>
  </r>
  <r>
    <x v="7"/>
    <x v="41"/>
    <n v="4"/>
    <s v="报关资料发报关行，核注清单，确认，校对稿，确认"/>
    <x v="49"/>
    <x v="1"/>
    <x v="1"/>
    <m/>
    <m/>
  </r>
  <r>
    <x v="7"/>
    <x v="41"/>
    <n v="5"/>
    <s v="YJC截单，ESI，邮件He，校对COPY"/>
    <x v="49"/>
    <x v="1"/>
    <x v="1"/>
    <m/>
    <m/>
  </r>
  <r>
    <x v="7"/>
    <x v="41"/>
    <n v="6"/>
    <s v="保函邹(Abbi电话)，ISF，保险"/>
    <x v="49"/>
    <x v="1"/>
    <x v="1"/>
    <m/>
    <m/>
  </r>
  <r>
    <x v="7"/>
    <x v="41"/>
    <n v="7"/>
    <s v="VGM，亿通鹏海舱单，核舱单"/>
    <x v="49"/>
    <x v="1"/>
    <x v="1"/>
    <m/>
    <m/>
  </r>
  <r>
    <x v="7"/>
    <x v="41"/>
    <n v="8"/>
    <s v="【洋山】发装箱单报关，成功，进港(落箱费?)，核数据"/>
    <x v="49"/>
    <x v="1"/>
    <x v="1"/>
    <m/>
    <m/>
  </r>
  <r>
    <x v="7"/>
    <x v="41"/>
    <n v="10"/>
    <s v="海放，码放，配载，费用发陈吟勇石磊，船开"/>
    <x v="49"/>
    <x v="1"/>
    <x v="1"/>
    <m/>
    <m/>
  </r>
  <r>
    <x v="7"/>
    <x v="41"/>
    <n v="11"/>
    <s v="放提单（PHISON、陈吟勇提单、陈云娣）"/>
    <x v="49"/>
    <x v="1"/>
    <x v="1"/>
    <m/>
    <m/>
  </r>
  <r>
    <x v="1"/>
    <x v="42"/>
    <n v="1"/>
    <s v="ETD1201 1127确认订舱 1130出运清单 1201核数据 领取单 SWB"/>
    <x v="70"/>
    <x v="0"/>
    <x v="1"/>
    <m/>
    <m/>
  </r>
  <r>
    <x v="1"/>
    <x v="42"/>
    <n v="2"/>
    <s v="【日程】本月所有WORKING PROCESS/WEEKLY REPORT"/>
    <x v="66"/>
    <x v="0"/>
    <x v="1"/>
    <m/>
    <s v="NOW"/>
  </r>
  <r>
    <x v="1"/>
    <x v="42"/>
    <n v="3"/>
    <s v="【日程】本月所有PANCON确认订舱24/出运清单/核数据/提单领取单/拿到SWB"/>
    <x v="66"/>
    <x v="0"/>
    <x v="1"/>
    <m/>
    <s v="NOW"/>
  </r>
  <r>
    <x v="1"/>
    <x v="42"/>
    <n v="4"/>
    <s v="【文件】本月所有PANCON出运清单文件"/>
    <x v="66"/>
    <x v="0"/>
    <x v="1"/>
    <m/>
    <s v="NOW"/>
  </r>
  <r>
    <x v="1"/>
    <x v="42"/>
    <n v="5"/>
    <s v="ETD1204 1127确认订舱 1202出运清单 1203核数据 领取单 SWB"/>
    <x v="69"/>
    <x v="0"/>
    <x v="1"/>
    <m/>
    <m/>
  </r>
  <r>
    <x v="1"/>
    <x v="42"/>
    <n v="6"/>
    <s v="汇率有了改下当月所有单子的汇率"/>
    <x v="70"/>
    <x v="0"/>
    <x v="1"/>
    <m/>
    <s v="1日"/>
  </r>
  <r>
    <x v="1"/>
    <x v="42"/>
    <n v="7"/>
    <s v="WORKING PROCESS/WEEKLY REPORT"/>
    <x v="70"/>
    <x v="0"/>
    <x v="1"/>
    <m/>
    <m/>
  </r>
  <r>
    <x v="1"/>
    <x v="42"/>
    <n v="8"/>
    <s v="ETD1208 1202确认订舱 1206出运清单 1207核数据 领取单 SWB"/>
    <x v="69"/>
    <x v="0"/>
    <x v="1"/>
    <m/>
    <m/>
  </r>
  <r>
    <x v="1"/>
    <x v="42"/>
    <n v="9"/>
    <s v="WORKING PROCESS"/>
    <x v="78"/>
    <x v="0"/>
    <x v="1"/>
    <m/>
    <m/>
  </r>
  <r>
    <x v="1"/>
    <x v="42"/>
    <n v="10"/>
    <s v="ETD1211 1204确认订舱 1210出运清单 1211核数据 1216领取单 SWB"/>
    <x v="81"/>
    <x v="0"/>
    <x v="1"/>
    <m/>
    <m/>
  </r>
  <r>
    <x v="1"/>
    <x v="42"/>
    <n v="11"/>
    <s v="核查JS mobis上月舱单，确认没有垃圾舱单（收件人看陈吟勇邮件）"/>
    <x v="82"/>
    <x v="0"/>
    <x v="1"/>
    <m/>
    <s v="每月第一个周五"/>
  </r>
  <r>
    <x v="1"/>
    <x v="42"/>
    <n v="12"/>
    <s v="WORKING PROCESS"/>
    <x v="82"/>
    <x v="0"/>
    <x v="1"/>
    <m/>
    <m/>
  </r>
  <r>
    <x v="1"/>
    <x v="42"/>
    <n v="13"/>
    <s v="WORKING PROCESS/WEEKLY REPORT"/>
    <x v="69"/>
    <x v="0"/>
    <x v="1"/>
    <m/>
    <m/>
  </r>
  <r>
    <x v="1"/>
    <x v="42"/>
    <n v="14"/>
    <s v="ETD1215 1210确认订舱 1213出运清单 1214核数据 1217领取单 SWB"/>
    <x v="83"/>
    <x v="0"/>
    <x v="4"/>
    <m/>
    <m/>
  </r>
  <r>
    <x v="1"/>
    <x v="42"/>
    <n v="15"/>
    <s v="WORKING PROCESS"/>
    <x v="84"/>
    <x v="0"/>
    <x v="1"/>
    <m/>
    <m/>
  </r>
  <r>
    <x v="1"/>
    <x v="42"/>
    <n v="16"/>
    <s v="ETD1218 1211确认订舱 1218出运清单 1218核数据 1220领取单 SWB"/>
    <x v="85"/>
    <x v="0"/>
    <x v="1"/>
    <m/>
    <m/>
  </r>
  <r>
    <x v="1"/>
    <x v="42"/>
    <n v="17"/>
    <s v="WORKING PROCESS"/>
    <x v="86"/>
    <x v="0"/>
    <x v="1"/>
    <m/>
    <m/>
  </r>
  <r>
    <x v="1"/>
    <x v="42"/>
    <n v="18"/>
    <s v="WORKING PROCESS/WEEKLY REPORT"/>
    <x v="81"/>
    <x v="0"/>
    <x v="1"/>
    <m/>
    <m/>
  </r>
  <r>
    <x v="1"/>
    <x v="42"/>
    <n v="19"/>
    <s v="ETD1222 1218确认订舱 1221出运清单 CL核数据 1224领取单 SWB"/>
    <x v="87"/>
    <x v="2"/>
    <x v="1"/>
    <m/>
    <m/>
  </r>
  <r>
    <x v="1"/>
    <x v="42"/>
    <n v="20"/>
    <s v="WORKING PROCESS"/>
    <x v="52"/>
    <x v="0"/>
    <x v="1"/>
    <m/>
    <m/>
  </r>
  <r>
    <x v="1"/>
    <x v="42"/>
    <n v="21"/>
    <s v="ETD1225 1218确认订舱 1224出运清单 核数据 领取单 SWB"/>
    <x v="87"/>
    <x v="2"/>
    <x v="1"/>
    <m/>
    <m/>
  </r>
  <r>
    <x v="1"/>
    <x v="42"/>
    <n v="22"/>
    <s v="WORKING PROCESS"/>
    <x v="85"/>
    <x v="0"/>
    <x v="1"/>
    <m/>
    <m/>
  </r>
  <r>
    <x v="1"/>
    <x v="42"/>
    <n v="23"/>
    <s v="TJ GLV 本月全部账单"/>
    <x v="87"/>
    <x v="2"/>
    <x v="1"/>
    <m/>
    <s v="25日"/>
  </r>
  <r>
    <x v="1"/>
    <x v="42"/>
    <n v="24"/>
    <s v="WORKING PROCESS/WEEKLY REPORT"/>
    <x v="48"/>
    <x v="0"/>
    <x v="1"/>
    <m/>
    <m/>
  </r>
  <r>
    <x v="1"/>
    <x v="42"/>
    <n v="25"/>
    <s v="家居本月GLV月结的账单全部发给金娥善"/>
    <x v="87"/>
    <x v="2"/>
    <x v="1"/>
    <m/>
    <s v="25日"/>
  </r>
  <r>
    <x v="1"/>
    <x v="42"/>
    <n v="26"/>
    <s v="ROADSUN对账，开票，快递，收到"/>
    <x v="87"/>
    <x v="2"/>
    <x v="1"/>
    <m/>
    <s v="25日 参考路递申月结流程"/>
  </r>
  <r>
    <x v="1"/>
    <x v="42"/>
    <n v="27"/>
    <s v="华宝本月发票按明细开好后和主分单对应表一起寄客户（28号前要收到），水单"/>
    <x v="87"/>
    <x v="2"/>
    <x v="1"/>
    <m/>
    <s v="25日"/>
  </r>
  <r>
    <x v="1"/>
    <x v="42"/>
    <n v="28"/>
    <s v="SHGLV家居每两个月结一次操作费，小柜$10大柜$15，参考上次结的时间"/>
    <x v="87"/>
    <x v="2"/>
    <x v="1"/>
    <m/>
    <s v="25日"/>
  </r>
  <r>
    <x v="1"/>
    <x v="42"/>
    <n v="29"/>
    <s v="雅家居月结"/>
    <x v="87"/>
    <x v="2"/>
    <x v="1"/>
    <m/>
    <s v="月底"/>
  </r>
  <r>
    <x v="1"/>
    <x v="42"/>
    <n v="30"/>
    <s v="ETD1229 确认订舱 出运清单 核数据 领取单 SWB"/>
    <x v="87"/>
    <x v="2"/>
    <x v="1"/>
    <m/>
    <m/>
  </r>
  <r>
    <x v="1"/>
    <x v="42"/>
    <n v="31"/>
    <s v="JS mobis本月车队费用邮件发给汤爱华"/>
    <x v="88"/>
    <x v="2"/>
    <x v="1"/>
    <m/>
    <s v="28日"/>
  </r>
  <r>
    <x v="1"/>
    <x v="42"/>
    <n v="32"/>
    <s v="WORKING PROCESS"/>
    <x v="88"/>
    <x v="2"/>
    <x v="1"/>
    <m/>
    <m/>
  </r>
  <r>
    <x v="1"/>
    <x v="42"/>
    <n v="33"/>
    <s v="WORKING PROCESS"/>
    <x v="89"/>
    <x v="2"/>
    <x v="1"/>
    <m/>
    <m/>
  </r>
  <r>
    <x v="1"/>
    <x v="42"/>
    <n v="34"/>
    <s v="下月 MONTH"/>
    <x v="90"/>
    <x v="2"/>
    <x v="1"/>
    <m/>
    <s v="28日"/>
  </r>
  <r>
    <x v="1"/>
    <x v="42"/>
    <n v="35"/>
    <s v="WORKING PROCESS/WEEKLY REPORT"/>
    <x v="91"/>
    <x v="2"/>
    <x v="1"/>
    <m/>
    <m/>
  </r>
  <r>
    <x v="1"/>
    <x v="42"/>
    <m/>
    <s v="01/16体检"/>
    <x v="92"/>
    <x v="2"/>
    <x v="1"/>
    <m/>
    <m/>
  </r>
  <r>
    <x v="2"/>
    <x v="43"/>
    <n v="0"/>
    <s v="Abbi确认订舱预报，制作清单流水"/>
    <x v="70"/>
    <x v="1"/>
    <x v="1"/>
    <m/>
    <s v="周一"/>
  </r>
  <r>
    <x v="2"/>
    <x v="43"/>
    <n v="1"/>
    <s v="发本周JS mobis的报关单（收件人看陈吟勇邮件）"/>
    <x v="82"/>
    <x v="1"/>
    <x v="1"/>
    <m/>
    <s v="周五"/>
  </r>
  <r>
    <x v="2"/>
    <x v="43"/>
    <n v="2"/>
    <s v="下周WEEK"/>
    <x v="82"/>
    <x v="0"/>
    <x v="1"/>
    <m/>
    <s v="周五"/>
  </r>
  <r>
    <x v="2"/>
    <x v="43"/>
    <n v="3"/>
    <s v="手机QQ切换登陆一下"/>
    <x v="82"/>
    <x v="0"/>
    <x v="1"/>
    <m/>
    <s v="周五"/>
  </r>
  <r>
    <x v="8"/>
    <x v="44"/>
    <n v="1"/>
    <s v="1104托书，1106订舱，邮件Wanda，通知客户，确认"/>
    <x v="55"/>
    <x v="0"/>
    <x v="1"/>
    <m/>
    <m/>
  </r>
  <r>
    <x v="8"/>
    <x v="44"/>
    <n v="2"/>
    <s v="开港时间，资料时间，做费用"/>
    <x v="68"/>
    <x v="0"/>
    <x v="1"/>
    <m/>
    <m/>
  </r>
  <r>
    <x v="8"/>
    <x v="44"/>
    <n v="3"/>
    <s v="资料，YJC截，HCP/INV确认，联代舱单，MSK截，核舱单"/>
    <x v="68"/>
    <x v="0"/>
    <x v="1"/>
    <m/>
    <s v="件毛体箱封号唛头"/>
  </r>
  <r>
    <x v="8"/>
    <x v="44"/>
    <n v="4"/>
    <s v="1128 2COPY/AMS/邮件Wanda，1203有汇率后发CDN"/>
    <x v="93"/>
    <x v="0"/>
    <x v="1"/>
    <m/>
    <m/>
  </r>
  <r>
    <x v="8"/>
    <x v="44"/>
    <n v="5"/>
    <s v="进港，核数据"/>
    <x v="67"/>
    <x v="0"/>
    <x v="1"/>
    <m/>
    <m/>
  </r>
  <r>
    <x v="8"/>
    <x v="44"/>
    <n v="6"/>
    <s v="1129海放，1202码放，1203配载，开船，通知Wanda"/>
    <x v="78"/>
    <x v="0"/>
    <x v="1"/>
    <m/>
    <m/>
  </r>
  <r>
    <x v="8"/>
    <x v="44"/>
    <n v="7"/>
    <s v="Wanda付款通知，放单给Wanda"/>
    <x v="80"/>
    <x v="0"/>
    <x v="1"/>
    <m/>
    <m/>
  </r>
  <r>
    <x v="15"/>
    <x v="44"/>
    <n v="1"/>
    <s v="托书，订舱，发确认给Wanda"/>
    <x v="74"/>
    <x v="0"/>
    <x v="1"/>
    <m/>
    <m/>
  </r>
  <r>
    <x v="15"/>
    <x v="44"/>
    <n v="2"/>
    <s v="做箱通知给沈丽，通知客户做箱时间"/>
    <x v="74"/>
    <x v="0"/>
    <x v="1"/>
    <m/>
    <m/>
  </r>
  <r>
    <x v="15"/>
    <x v="44"/>
    <n v="3"/>
    <s v="跟客户确认资料好的时间，做费用"/>
    <x v="68"/>
    <x v="0"/>
    <x v="1"/>
    <m/>
    <m/>
  </r>
  <r>
    <x v="15"/>
    <x v="44"/>
    <n v="4"/>
    <s v="收报关资料，做做箱数据发车队（约号改不了外港提箱），资料发报关行"/>
    <x v="68"/>
    <x v="0"/>
    <x v="1"/>
    <m/>
    <m/>
  </r>
  <r>
    <x v="15"/>
    <x v="44"/>
    <n v="5"/>
    <s v="邮件请MSK代发AMS，要HBL no"/>
    <x v="68"/>
    <x v="0"/>
    <x v="1"/>
    <m/>
    <m/>
  </r>
  <r>
    <x v="15"/>
    <x v="44"/>
    <n v="6"/>
    <s v="收装箱单，截单（收货人通知人使用新的，让康跟国外确认）参考0730ROADSUN截图"/>
    <x v="68"/>
    <x v="0"/>
    <x v="1"/>
    <m/>
    <m/>
  </r>
  <r>
    <x v="15"/>
    <x v="44"/>
    <n v="7"/>
    <s v="1128发HBL COPY、MBL COPY、AMS给Wanda，1203有汇率发DBN"/>
    <x v="93"/>
    <x v="0"/>
    <x v="1"/>
    <m/>
    <m/>
  </r>
  <r>
    <x v="15"/>
    <x v="44"/>
    <n v="8"/>
    <s v="OK发舱单，OK核舱单，报关"/>
    <x v="68"/>
    <x v="0"/>
    <x v="1"/>
    <m/>
    <m/>
  </r>
  <r>
    <x v="15"/>
    <x v="44"/>
    <n v="9"/>
    <s v="1128进港，1128核数据，1128海放，1202码放，配载"/>
    <x v="93"/>
    <x v="0"/>
    <x v="1"/>
    <m/>
    <m/>
  </r>
  <r>
    <x v="15"/>
    <x v="44"/>
    <n v="10"/>
    <s v="1128确认费用，1128APP，开票寄陈强英1203 772003796201682"/>
    <x v="78"/>
    <x v="0"/>
    <x v="1"/>
    <m/>
    <m/>
  </r>
  <r>
    <x v="15"/>
    <x v="44"/>
    <n v="11"/>
    <s v="开船"/>
    <x v="78"/>
    <x v="0"/>
    <x v="1"/>
    <m/>
    <m/>
  </r>
  <r>
    <x v="15"/>
    <x v="44"/>
    <n v="12"/>
    <s v="水单，1205放提单、预录单、放行单"/>
    <x v="80"/>
    <x v="0"/>
    <x v="1"/>
    <m/>
    <m/>
  </r>
  <r>
    <x v="7"/>
    <x v="45"/>
    <n v="1"/>
    <s v="1118订舱预报，1120YJC生成，1120EDI，1120邮件Abbi，核对"/>
    <x v="65"/>
    <x v="0"/>
    <x v="1"/>
    <m/>
    <m/>
  </r>
  <r>
    <x v="7"/>
    <x v="45"/>
    <n v="2"/>
    <s v="做箱时间，做箱通知，提单加拼EDI邮件Abbi，通知沈丽，加拼核对"/>
    <x v="68"/>
    <x v="1"/>
    <x v="1"/>
    <m/>
    <m/>
  </r>
  <r>
    <x v="7"/>
    <x v="45"/>
    <n v="3"/>
    <s v="报关资料，报关加拼，做箱数据，邮件沈丽，装箱单，转客户"/>
    <x v="67"/>
    <x v="1"/>
    <x v="1"/>
    <m/>
    <m/>
  </r>
  <r>
    <x v="7"/>
    <x v="45"/>
    <n v="4"/>
    <s v="报关资料发报关行，核注清单，确认，校对稿，确认"/>
    <x v="67"/>
    <x v="1"/>
    <x v="1"/>
    <m/>
    <m/>
  </r>
  <r>
    <x v="7"/>
    <x v="45"/>
    <n v="5"/>
    <s v="YJC截单，ESI，邮件He，校对COPY"/>
    <x v="67"/>
    <x v="1"/>
    <x v="1"/>
    <m/>
    <m/>
  </r>
  <r>
    <x v="7"/>
    <x v="45"/>
    <n v="6"/>
    <s v="保函邹(Abbi电话)，ISF，保险"/>
    <x v="67"/>
    <x v="1"/>
    <x v="1"/>
    <m/>
    <m/>
  </r>
  <r>
    <x v="7"/>
    <x v="45"/>
    <n v="7"/>
    <s v="VGM，亿通鹏海舱单，核舱单"/>
    <x v="67"/>
    <x v="1"/>
    <x v="1"/>
    <m/>
    <m/>
  </r>
  <r>
    <x v="7"/>
    <x v="45"/>
    <n v="8"/>
    <s v="【洋山】发装箱单报关，成功，进港(落箱费?)，核数据"/>
    <x v="67"/>
    <x v="1"/>
    <x v="1"/>
    <m/>
    <m/>
  </r>
  <r>
    <x v="7"/>
    <x v="45"/>
    <n v="9"/>
    <s v="【外港】进港(落箱费?)，核数据，报关，成功"/>
    <x v="67"/>
    <x v="1"/>
    <x v="1"/>
    <m/>
    <m/>
  </r>
  <r>
    <x v="7"/>
    <x v="45"/>
    <n v="10"/>
    <s v="海放，码放，配载，费用发陈吟勇石磊，船开"/>
    <x v="67"/>
    <x v="1"/>
    <x v="1"/>
    <m/>
    <m/>
  </r>
  <r>
    <x v="7"/>
    <x v="45"/>
    <n v="11"/>
    <s v="放提单（PHISON、陈吟勇提单、陈云娣）"/>
    <x v="67"/>
    <x v="1"/>
    <x v="1"/>
    <m/>
    <m/>
  </r>
  <r>
    <x v="3"/>
    <x v="45"/>
    <n v="1"/>
    <s v="托书，订舱"/>
    <x v="58"/>
    <x v="0"/>
    <x v="1"/>
    <m/>
    <m/>
  </r>
  <r>
    <x v="3"/>
    <x v="45"/>
    <n v="2"/>
    <s v="1111BCF(中转港必须是LAZARO)，发做箱通知(时间)，通知客户"/>
    <x v="58"/>
    <x v="0"/>
    <x v="1"/>
    <m/>
    <m/>
  </r>
  <r>
    <x v="3"/>
    <x v="45"/>
    <n v="3"/>
    <s v="1126收报关资料，发报关行，要校对稿，做做箱数据给车队"/>
    <x v="71"/>
    <x v="0"/>
    <x v="1"/>
    <m/>
    <m/>
  </r>
  <r>
    <x v="3"/>
    <x v="45"/>
    <n v="4"/>
    <s v="1126更新系统件毛体，1126买保险，1126异地付款保函，1127回传，1126校对稿，确认"/>
    <x v="71"/>
    <x v="0"/>
    <x v="1"/>
    <m/>
    <m/>
  </r>
  <r>
    <x v="3"/>
    <x v="45"/>
    <n v="5"/>
    <s v="关注开港时间，跟车队(沈丽)确认做箱时间，如有变动通知胡媛媛"/>
    <x v="68"/>
    <x v="0"/>
    <x v="1"/>
    <m/>
    <m/>
  </r>
  <r>
    <x v="3"/>
    <x v="45"/>
    <n v="6"/>
    <s v="1129装箱单，1129截单资料发万恒，核舱单，报关(装箱单)"/>
    <x v="67"/>
    <x v="0"/>
    <x v="1"/>
    <m/>
    <m/>
  </r>
  <r>
    <x v="3"/>
    <x v="45"/>
    <n v="7"/>
    <s v="1129提单样本，1129确认，提单，客户放三单，陈吟勇提单"/>
    <x v="80"/>
    <x v="0"/>
    <x v="1"/>
    <m/>
    <m/>
  </r>
  <r>
    <x v="3"/>
    <x v="45"/>
    <n v="8"/>
    <s v="1129进港，1129核数据，1129海放，1204码放，1204配载，开船"/>
    <x v="80"/>
    <x v="0"/>
    <x v="1"/>
    <m/>
    <m/>
  </r>
  <r>
    <x v="3"/>
    <x v="45"/>
    <n v="9"/>
    <s v="【应付】1205确认账单"/>
    <x v="80"/>
    <x v="0"/>
    <x v="1"/>
    <m/>
    <m/>
  </r>
  <r>
    <x v="3"/>
    <x v="45"/>
    <n v="10"/>
    <s v="【应收】账单，邮件"/>
    <x v="80"/>
    <x v="0"/>
    <x v="1"/>
    <m/>
    <m/>
  </r>
  <r>
    <x v="4"/>
    <x v="45"/>
    <n v="1"/>
    <s v="1221托书，预配(沈丽)，YJC生成"/>
    <x v="66"/>
    <x v="0"/>
    <x v="1"/>
    <m/>
    <m/>
  </r>
  <r>
    <x v="4"/>
    <x v="45"/>
    <n v="2"/>
    <s v="包装指示书，汇总，发工厂，做箱数据，发订舱口"/>
    <x v="68"/>
    <x v="0"/>
    <x v="1"/>
    <m/>
    <m/>
  </r>
  <r>
    <x v="4"/>
    <x v="45"/>
    <n v="3"/>
    <s v="收做资料(代做确认)，发报关行，【HMI】货运模板"/>
    <x v="67"/>
    <x v="0"/>
    <x v="1"/>
    <m/>
    <m/>
  </r>
  <r>
    <x v="4"/>
    <x v="45"/>
    <n v="4"/>
    <s v="1129装箱单(洋提)，1129群发，发舱单，核舱单，报关"/>
    <x v="67"/>
    <x v="0"/>
    <x v="1"/>
    <m/>
    <m/>
  </r>
  <r>
    <x v="4"/>
    <x v="45"/>
    <n v="5"/>
    <s v="【HMI】开港，进港，核数据"/>
    <x v="94"/>
    <x v="0"/>
    <x v="1"/>
    <m/>
    <m/>
  </r>
  <r>
    <x v="4"/>
    <x v="45"/>
    <n v="6"/>
    <s v="【KMM】报关，成功，进港，核数据，发两家报关单和放行单"/>
    <x v="67"/>
    <x v="1"/>
    <x v="1"/>
    <m/>
    <m/>
  </r>
  <r>
    <x v="4"/>
    <x v="45"/>
    <n v="7"/>
    <s v="1201海放，1205码放，1205配载，开船"/>
    <x v="80"/>
    <x v="0"/>
    <x v="1"/>
    <m/>
    <m/>
  </r>
  <r>
    <x v="4"/>
    <x v="45"/>
    <n v="8"/>
    <s v="费用（4号 公共盘 月账单表 发孙丹），额外费用邮件"/>
    <x v="80"/>
    <x v="0"/>
    <x v="1"/>
    <m/>
    <m/>
  </r>
  <r>
    <x v="5"/>
    <x v="45"/>
    <n v="1"/>
    <s v="1121托书，1121预配(沈丽)，YJC生成"/>
    <x v="62"/>
    <x v="0"/>
    <x v="1"/>
    <m/>
    <m/>
  </r>
  <r>
    <x v="5"/>
    <x v="45"/>
    <n v="2"/>
    <s v="包装指示书，汇总，发工厂，做箱数据，发订舱口"/>
    <x v="68"/>
    <x v="0"/>
    <x v="1"/>
    <m/>
    <m/>
  </r>
  <r>
    <x v="5"/>
    <x v="45"/>
    <n v="3"/>
    <s v="收做资料(代做确认)，发报关行，【HMI】货运模板"/>
    <x v="68"/>
    <x v="0"/>
    <x v="1"/>
    <m/>
    <m/>
  </r>
  <r>
    <x v="5"/>
    <x v="45"/>
    <n v="4"/>
    <s v="装箱单(洋提)，群发，发舱单，核舱单"/>
    <x v="67"/>
    <x v="0"/>
    <x v="1"/>
    <m/>
    <m/>
  </r>
  <r>
    <x v="5"/>
    <x v="45"/>
    <n v="5"/>
    <s v="【HMI】开港，进港，核数据，报关"/>
    <x v="67"/>
    <x v="1"/>
    <x v="1"/>
    <m/>
    <m/>
  </r>
  <r>
    <x v="5"/>
    <x v="45"/>
    <n v="6"/>
    <s v="【KMM】1129报关，1129成功，1130进港，1130核数据，发两家报关单和放行单"/>
    <x v="94"/>
    <x v="0"/>
    <x v="1"/>
    <m/>
    <m/>
  </r>
  <r>
    <x v="5"/>
    <x v="45"/>
    <n v="7"/>
    <s v="1130海放，1204码放，1204配载，开船"/>
    <x v="80"/>
    <x v="0"/>
    <x v="1"/>
    <m/>
    <m/>
  </r>
  <r>
    <x v="5"/>
    <x v="45"/>
    <n v="8"/>
    <s v="费用（4号 公共盘 月账单表 发孙丹），额外费用邮件"/>
    <x v="80"/>
    <x v="0"/>
    <x v="1"/>
    <m/>
    <m/>
  </r>
  <r>
    <x v="8"/>
    <x v="46"/>
    <n v="1"/>
    <s v="1104托书，1106订舱，邮件Wanda，通知客户，确认"/>
    <x v="55"/>
    <x v="0"/>
    <x v="1"/>
    <m/>
    <m/>
  </r>
  <r>
    <x v="8"/>
    <x v="46"/>
    <n v="2"/>
    <s v="开港时间，资料时间，做费用"/>
    <x v="82"/>
    <x v="0"/>
    <x v="1"/>
    <m/>
    <m/>
  </r>
  <r>
    <x v="8"/>
    <x v="46"/>
    <n v="3"/>
    <s v="资料，YJC截，HCP/INV确认，联代舱单，MSK截，核舱单"/>
    <x v="82"/>
    <x v="0"/>
    <x v="1"/>
    <m/>
    <s v="件毛体箱封号唛头"/>
  </r>
  <r>
    <x v="8"/>
    <x v="46"/>
    <n v="4"/>
    <s v="2COPY/AMS/DEBIT邮件Wanda"/>
    <x v="82"/>
    <x v="0"/>
    <x v="1"/>
    <m/>
    <m/>
  </r>
  <r>
    <x v="8"/>
    <x v="46"/>
    <n v="5"/>
    <s v="进港，核数据"/>
    <x v="95"/>
    <x v="0"/>
    <x v="1"/>
    <m/>
    <m/>
  </r>
  <r>
    <x v="8"/>
    <x v="46"/>
    <n v="6"/>
    <s v="1207海放，1209码放，1209配载，开船，通知Wanda"/>
    <x v="79"/>
    <x v="0"/>
    <x v="1"/>
    <m/>
    <m/>
  </r>
  <r>
    <x v="8"/>
    <x v="46"/>
    <n v="7"/>
    <s v="Wanda付款通知，放单给Wanda"/>
    <x v="84"/>
    <x v="0"/>
    <x v="1"/>
    <m/>
    <m/>
  </r>
  <r>
    <x v="2"/>
    <x v="47"/>
    <n v="0"/>
    <s v="Abbi确认订舱预报，制作清单流水"/>
    <x v="69"/>
    <x v="1"/>
    <x v="1"/>
    <m/>
    <s v="周一"/>
  </r>
  <r>
    <x v="2"/>
    <x v="47"/>
    <n v="1"/>
    <s v="发本周JS mobis的报关单（收件人看陈吟勇邮件）"/>
    <x v="86"/>
    <x v="0"/>
    <x v="1"/>
    <m/>
    <s v="周五"/>
  </r>
  <r>
    <x v="2"/>
    <x v="47"/>
    <n v="2"/>
    <s v="下周WEEK"/>
    <x v="86"/>
    <x v="0"/>
    <x v="1"/>
    <m/>
    <s v="周五"/>
  </r>
  <r>
    <x v="2"/>
    <x v="47"/>
    <n v="3"/>
    <s v="手机QQ切换登陆一下"/>
    <x v="86"/>
    <x v="0"/>
    <x v="1"/>
    <m/>
    <s v="周五"/>
  </r>
  <r>
    <x v="2"/>
    <x v="47"/>
    <m/>
    <s v="HMM提单生成发CDWJY@hmm21.com"/>
    <x v="87"/>
    <x v="2"/>
    <x v="1"/>
    <m/>
    <m/>
  </r>
  <r>
    <x v="2"/>
    <x v="47"/>
    <m/>
    <s v="HTL超期费申请减免"/>
    <x v="84"/>
    <x v="0"/>
    <x v="1"/>
    <m/>
    <m/>
  </r>
  <r>
    <x v="2"/>
    <x v="47"/>
    <m/>
    <s v="PCLU1805PE4308 取消"/>
    <x v="79"/>
    <x v="0"/>
    <x v="1"/>
    <m/>
    <m/>
  </r>
  <r>
    <x v="2"/>
    <x v="47"/>
    <m/>
    <s v="CASAMIA/KUKA 发舱单"/>
    <x v="81"/>
    <x v="0"/>
    <x v="1"/>
    <m/>
    <m/>
  </r>
  <r>
    <x v="2"/>
    <x v="47"/>
    <m/>
    <s v="drliqingcheng微博2019-12-16 09:47恢复"/>
    <x v="81"/>
    <x v="0"/>
    <x v="1"/>
    <m/>
    <m/>
  </r>
  <r>
    <x v="2"/>
    <x v="47"/>
    <m/>
    <s v="PCLU1952HN4306 退载"/>
    <x v="48"/>
    <x v="0"/>
    <x v="1"/>
    <m/>
    <m/>
  </r>
  <r>
    <x v="2"/>
    <x v="47"/>
    <m/>
    <s v="CASAMIA/KUKA 1208 YJCSHAN1919892 LSS向国内收取，发票"/>
    <x v="96"/>
    <x v="0"/>
    <x v="1"/>
    <m/>
    <m/>
  </r>
  <r>
    <x v="2"/>
    <x v="47"/>
    <m/>
    <s v="S/KUKA C/CASAMIA指定PO 的 LSS向国内收取"/>
    <x v="90"/>
    <x v="2"/>
    <x v="1"/>
    <m/>
    <m/>
  </r>
  <r>
    <x v="2"/>
    <x v="47"/>
    <m/>
    <s v="UE ETD1218今天要确定，先通知SHPR"/>
    <x v="86"/>
    <x v="0"/>
    <x v="1"/>
    <m/>
    <m/>
  </r>
  <r>
    <x v="2"/>
    <x v="47"/>
    <m/>
    <s v="PCLU1806PE4302 退载"/>
    <x v="83"/>
    <x v="0"/>
    <x v="1"/>
    <m/>
    <m/>
  </r>
  <r>
    <x v="2"/>
    <x v="47"/>
    <m/>
    <s v="HLCUSHA1904FMTG0 这票船公司配的是12/26船，最晚可以12/23周一上午给我数据和箱号"/>
    <x v="83"/>
    <x v="0"/>
    <x v="1"/>
    <m/>
    <m/>
  </r>
  <r>
    <x v="18"/>
    <x v="48"/>
    <n v="1"/>
    <s v="1125托书，1125订舱，1125邮件KY，进仓通知"/>
    <x v="49"/>
    <x v="0"/>
    <x v="1"/>
    <m/>
    <m/>
  </r>
  <r>
    <x v="18"/>
    <x v="48"/>
    <n v="2"/>
    <s v="1125KY确认，1125发进仓通知，1203截单，截货，确定船期"/>
    <x v="79"/>
    <x v="0"/>
    <x v="1"/>
    <m/>
    <s v="周四下午进"/>
  </r>
  <r>
    <x v="18"/>
    <x v="48"/>
    <n v="3"/>
    <s v="OKMBLCOPY，OK确认，OK应付确认，1211应付发票"/>
    <x v="84"/>
    <x v="0"/>
    <x v="1"/>
    <m/>
    <m/>
  </r>
  <r>
    <x v="18"/>
    <x v="48"/>
    <n v="4"/>
    <s v="1211HBL确认，1211应收确认，1212应收发票"/>
    <x v="96"/>
    <x v="0"/>
    <x v="2"/>
    <m/>
    <m/>
  </r>
  <r>
    <x v="18"/>
    <x v="48"/>
    <n v="5"/>
    <s v="1211船开，1211放MBL，1212应收水单，放HBL"/>
    <x v="96"/>
    <x v="0"/>
    <x v="1"/>
    <m/>
    <m/>
  </r>
  <r>
    <x v="7"/>
    <x v="49"/>
    <n v="1"/>
    <s v="1118订舱预报，1120YJC生成，1120EDI，1120邮件Abbi，核对"/>
    <x v="65"/>
    <x v="0"/>
    <x v="1"/>
    <m/>
    <m/>
  </r>
  <r>
    <x v="7"/>
    <x v="49"/>
    <n v="2"/>
    <s v="做箱时间，做箱通知，提单加拼EDI邮件Abbi，通知沈丽，加拼核对"/>
    <x v="80"/>
    <x v="0"/>
    <x v="1"/>
    <m/>
    <m/>
  </r>
  <r>
    <x v="7"/>
    <x v="49"/>
    <n v="3"/>
    <s v="报关资料，报关加拼，做箱数据，邮件沈丽，装箱单，转客户"/>
    <x v="80"/>
    <x v="0"/>
    <x v="1"/>
    <m/>
    <m/>
  </r>
  <r>
    <x v="7"/>
    <x v="49"/>
    <n v="4"/>
    <s v="1205报关资料发报关行，OK核注清单，1206确认，校对稿，确认"/>
    <x v="82"/>
    <x v="0"/>
    <x v="1"/>
    <m/>
    <m/>
  </r>
  <r>
    <x v="7"/>
    <x v="49"/>
    <n v="5"/>
    <s v="1205YJC截单，1205ESI，1205邮件He，校对COPY"/>
    <x v="97"/>
    <x v="0"/>
    <x v="1"/>
    <m/>
    <m/>
  </r>
  <r>
    <x v="7"/>
    <x v="49"/>
    <n v="6"/>
    <s v="保函邹(Abbi电话)，ISF，保险"/>
    <x v="82"/>
    <x v="0"/>
    <x v="1"/>
    <m/>
    <m/>
  </r>
  <r>
    <x v="7"/>
    <x v="49"/>
    <n v="7"/>
    <s v="1205VGM，1205亿通鹏海舱单，1206核舱单，报关，成功"/>
    <x v="95"/>
    <x v="0"/>
    <x v="1"/>
    <m/>
    <m/>
  </r>
  <r>
    <x v="7"/>
    <x v="49"/>
    <n v="8"/>
    <s v="【洋山】发装箱单报关，成功，进港(落箱费?)，核数据"/>
    <x v="82"/>
    <x v="1"/>
    <x v="1"/>
    <m/>
    <m/>
  </r>
  <r>
    <x v="7"/>
    <x v="49"/>
    <n v="9"/>
    <s v="【外港】进港(落箱费?)，核数据"/>
    <x v="69"/>
    <x v="0"/>
    <x v="1"/>
    <m/>
    <m/>
  </r>
  <r>
    <x v="7"/>
    <x v="49"/>
    <n v="10"/>
    <s v="1209海放，1210码放，1210配载，1211费用发陈吟勇石磊"/>
    <x v="84"/>
    <x v="0"/>
    <x v="1"/>
    <m/>
    <m/>
  </r>
  <r>
    <x v="7"/>
    <x v="49"/>
    <n v="11"/>
    <s v="1211船开，放提单（PHISON、陈吟勇提单、陈云娣）"/>
    <x v="96"/>
    <x v="0"/>
    <x v="2"/>
    <m/>
    <m/>
  </r>
  <r>
    <x v="7"/>
    <x v="49"/>
    <m/>
    <s v="汇率搞错了"/>
    <x v="87"/>
    <x v="2"/>
    <x v="1"/>
    <m/>
    <m/>
  </r>
  <r>
    <x v="19"/>
    <x v="49"/>
    <n v="1"/>
    <s v="收托书，发车队"/>
    <x v="82"/>
    <x v="0"/>
    <x v="1"/>
    <m/>
    <m/>
  </r>
  <r>
    <x v="19"/>
    <x v="49"/>
    <n v="2"/>
    <s v="费用（4号 公共盘 月账单表 发孙丹）"/>
    <x v="87"/>
    <x v="2"/>
    <x v="1"/>
    <m/>
    <m/>
  </r>
  <r>
    <x v="4"/>
    <x v="49"/>
    <n v="1"/>
    <s v="1128托书，1203预配(沈丽)，YJC生成"/>
    <x v="78"/>
    <x v="0"/>
    <x v="1"/>
    <m/>
    <m/>
  </r>
  <r>
    <x v="4"/>
    <x v="49"/>
    <n v="2"/>
    <s v="包装指示书，汇总，发工厂，做箱数据，发订舱口"/>
    <x v="80"/>
    <x v="0"/>
    <x v="1"/>
    <m/>
    <m/>
  </r>
  <r>
    <x v="4"/>
    <x v="49"/>
    <n v="3"/>
    <s v="收做资料(代做确认)，发报关行，【HMI】货运模板"/>
    <x v="82"/>
    <x v="0"/>
    <x v="1"/>
    <m/>
    <m/>
  </r>
  <r>
    <x v="4"/>
    <x v="49"/>
    <n v="4"/>
    <s v="1206装箱单(洋提)，1206群发，发舱单，核舱单"/>
    <x v="82"/>
    <x v="0"/>
    <x v="1"/>
    <m/>
    <m/>
  </r>
  <r>
    <x v="4"/>
    <x v="49"/>
    <n v="5"/>
    <s v="【HMI】1207开港，进港，核数据，报关"/>
    <x v="69"/>
    <x v="0"/>
    <x v="1"/>
    <m/>
    <m/>
  </r>
  <r>
    <x v="4"/>
    <x v="49"/>
    <n v="6"/>
    <s v="【KMM】报关，成功，进港，核数据，发两家报关单和放行单"/>
    <x v="97"/>
    <x v="1"/>
    <x v="1"/>
    <m/>
    <m/>
  </r>
  <r>
    <x v="4"/>
    <x v="49"/>
    <n v="7"/>
    <s v="1209海放，1210码放，1210配载，开船"/>
    <x v="84"/>
    <x v="0"/>
    <x v="1"/>
    <m/>
    <m/>
  </r>
  <r>
    <x v="4"/>
    <x v="49"/>
    <n v="8"/>
    <s v="费用（4号 公共盘 月账单表 发孙丹），额外费用邮件"/>
    <x v="84"/>
    <x v="0"/>
    <x v="1"/>
    <m/>
    <m/>
  </r>
  <r>
    <x v="17"/>
    <x v="50"/>
    <n v="1"/>
    <s v="1127托书，1129预配，YJC生成，做箱时间，订车，回孙丹"/>
    <x v="69"/>
    <x v="0"/>
    <x v="1"/>
    <m/>
    <m/>
  </r>
  <r>
    <x v="17"/>
    <x v="50"/>
    <n v="2"/>
    <s v="1211数据，1212发沈丽，1212要报关资料，发报关行"/>
    <x v="96"/>
    <x v="0"/>
    <x v="2"/>
    <m/>
    <m/>
  </r>
  <r>
    <x v="17"/>
    <x v="50"/>
    <n v="3"/>
    <s v="OK装箱单，OK转CK发舱单，核舱单"/>
    <x v="96"/>
    <x v="0"/>
    <x v="1"/>
    <m/>
    <m/>
  </r>
  <r>
    <x v="17"/>
    <x v="50"/>
    <n v="4"/>
    <s v="1213报关，进港，核数据，海放"/>
    <x v="98"/>
    <x v="0"/>
    <x v="1"/>
    <m/>
    <m/>
  </r>
  <r>
    <x v="17"/>
    <x v="50"/>
    <n v="5"/>
    <s v="1217码放，1219配载，开船"/>
    <x v="52"/>
    <x v="0"/>
    <x v="4"/>
    <m/>
    <m/>
  </r>
  <r>
    <x v="17"/>
    <x v="50"/>
    <n v="6"/>
    <s v="费用（4号 公共盘 月账单表 发孙丹），额外费用邮件"/>
    <x v="87"/>
    <x v="2"/>
    <x v="1"/>
    <m/>
    <m/>
  </r>
  <r>
    <x v="2"/>
    <x v="50"/>
    <n v="0"/>
    <s v="Abbi确认订舱预报，制作清单流水"/>
    <x v="81"/>
    <x v="1"/>
    <x v="1"/>
    <m/>
    <s v="周一"/>
  </r>
  <r>
    <x v="2"/>
    <x v="50"/>
    <n v="1"/>
    <s v="发本周JS mobis的报关单（收件人看陈吟勇邮件）"/>
    <x v="85"/>
    <x v="1"/>
    <x v="1"/>
    <m/>
    <s v="周五"/>
  </r>
  <r>
    <x v="2"/>
    <x v="50"/>
    <n v="2"/>
    <s v="下周WEEK"/>
    <x v="99"/>
    <x v="0"/>
    <x v="1"/>
    <m/>
    <s v="周五"/>
  </r>
  <r>
    <x v="2"/>
    <x v="50"/>
    <n v="3"/>
    <s v="手机QQ切换登陆一下"/>
    <x v="99"/>
    <x v="0"/>
    <x v="1"/>
    <m/>
    <s v="周五"/>
  </r>
  <r>
    <x v="2"/>
    <x v="50"/>
    <m/>
    <s v="2020-01-01 PS1空班"/>
    <x v="48"/>
    <x v="1"/>
    <x v="1"/>
    <m/>
    <m/>
  </r>
  <r>
    <x v="2"/>
    <x v="50"/>
    <m/>
    <s v="飞集后续"/>
    <x v="87"/>
    <x v="2"/>
    <x v="1"/>
    <m/>
    <m/>
  </r>
  <r>
    <x v="2"/>
    <x v="50"/>
    <m/>
    <s v="提醒放设备单"/>
    <x v="100"/>
    <x v="0"/>
    <x v="1"/>
    <m/>
    <m/>
  </r>
  <r>
    <x v="2"/>
    <x v="50"/>
    <m/>
    <s v="跟踪表ATD"/>
    <x v="99"/>
    <x v="0"/>
    <x v="1"/>
    <m/>
    <m/>
  </r>
  <r>
    <x v="2"/>
    <x v="50"/>
    <m/>
    <s v="明和报关单发dongjiequ@myunghwa.com"/>
    <x v="87"/>
    <x v="2"/>
    <x v="1"/>
    <m/>
    <m/>
  </r>
  <r>
    <x v="2"/>
    <x v="50"/>
    <m/>
    <s v="万盛发票"/>
    <x v="85"/>
    <x v="0"/>
    <x v="1"/>
    <m/>
    <m/>
  </r>
  <r>
    <x v="2"/>
    <x v="50"/>
    <m/>
    <s v="永艺OEN19120032 费用做错了，发金"/>
    <x v="85"/>
    <x v="0"/>
    <x v="1"/>
    <m/>
    <m/>
  </r>
  <r>
    <x v="8"/>
    <x v="51"/>
    <n v="1"/>
    <s v="1104托书，1106订舱，邮件Wanda，通知客户，确认"/>
    <x v="55"/>
    <x v="0"/>
    <x v="1"/>
    <m/>
    <m/>
  </r>
  <r>
    <x v="8"/>
    <x v="51"/>
    <n v="2"/>
    <s v="开港时间，资料时间，做费用，联代费用结清？"/>
    <x v="96"/>
    <x v="0"/>
    <x v="1"/>
    <m/>
    <m/>
  </r>
  <r>
    <x v="8"/>
    <x v="51"/>
    <n v="3"/>
    <s v="OK资料，OKYJC截，OKHCP/INV确认，OK联代舱单，OKMSK截，核舱单"/>
    <x v="96"/>
    <x v="0"/>
    <x v="1"/>
    <m/>
    <s v="件毛体箱封号唛头"/>
  </r>
  <r>
    <x v="8"/>
    <x v="51"/>
    <n v="4"/>
    <s v="2COPY/AMS/DEBIT邮件Wanda"/>
    <x v="96"/>
    <x v="0"/>
    <x v="1"/>
    <m/>
    <m/>
  </r>
  <r>
    <x v="8"/>
    <x v="51"/>
    <n v="5"/>
    <s v="1214进港，核数据"/>
    <x v="81"/>
    <x v="0"/>
    <x v="1"/>
    <m/>
    <m/>
  </r>
  <r>
    <x v="8"/>
    <x v="51"/>
    <n v="6"/>
    <s v="1214海放，改配，1223码放，配载，开船，通知Wanda"/>
    <x v="87"/>
    <x v="2"/>
    <x v="1"/>
    <m/>
    <m/>
  </r>
  <r>
    <x v="8"/>
    <x v="51"/>
    <n v="7"/>
    <s v="不知什么原因被拆成了两单，开船后联系船公司合并成一单，并减免费用"/>
    <x v="87"/>
    <x v="2"/>
    <x v="1"/>
    <m/>
    <m/>
  </r>
  <r>
    <x v="8"/>
    <x v="51"/>
    <n v="8"/>
    <s v="Wanda付款通知，放单给Wanda"/>
    <x v="89"/>
    <x v="2"/>
    <x v="1"/>
    <m/>
    <m/>
  </r>
  <r>
    <x v="0"/>
    <x v="51"/>
    <n v="1"/>
    <s v="1211托书，1211订舱，1211邮件KY，进仓通知"/>
    <x v="84"/>
    <x v="0"/>
    <x v="1"/>
    <m/>
    <m/>
  </r>
  <r>
    <x v="0"/>
    <x v="51"/>
    <n v="2"/>
    <s v="1211KY确认，1211LSS到付，1211发进仓通知，13截单，15截货，确定船期"/>
    <x v="86"/>
    <x v="1"/>
    <x v="5"/>
    <m/>
    <m/>
  </r>
  <r>
    <x v="0"/>
    <x v="51"/>
    <n v="3"/>
    <s v="MBLCOPY，确认，应付确认，应付发票（1月开始月底一起开）"/>
    <x v="98"/>
    <x v="1"/>
    <x v="1"/>
    <m/>
    <m/>
  </r>
  <r>
    <x v="0"/>
    <x v="51"/>
    <n v="4"/>
    <s v="HBL确认，应收【抵扣】确认，应收发票，应收水单"/>
    <x v="81"/>
    <x v="1"/>
    <x v="1"/>
    <m/>
    <m/>
  </r>
  <r>
    <x v="0"/>
    <x v="51"/>
    <n v="5"/>
    <s v="船开，放HBL，放MBL"/>
    <x v="83"/>
    <x v="1"/>
    <x v="1"/>
    <m/>
    <m/>
  </r>
  <r>
    <x v="13"/>
    <x v="52"/>
    <n v="1"/>
    <s v="1204托书，1204五步订舱，1211KY确认，1211振华确认"/>
    <x v="84"/>
    <x v="0"/>
    <x v="1"/>
    <m/>
    <m/>
  </r>
  <r>
    <x v="13"/>
    <x v="52"/>
    <n v="2"/>
    <s v="拖车报关报价确认，订车"/>
    <x v="80"/>
    <x v="1"/>
    <x v="1"/>
    <m/>
    <m/>
  </r>
  <r>
    <x v="13"/>
    <x v="52"/>
    <n v="3"/>
    <s v="HBL确认，邮件KY"/>
    <x v="83"/>
    <x v="0"/>
    <x v="1"/>
    <m/>
    <m/>
  </r>
  <r>
    <x v="13"/>
    <x v="52"/>
    <n v="4"/>
    <s v="1218进港，1218核数据，1218海放，1218码放，1219配载，开船"/>
    <x v="85"/>
    <x v="0"/>
    <x v="1"/>
    <m/>
    <m/>
  </r>
  <r>
    <x v="13"/>
    <x v="52"/>
    <n v="5"/>
    <s v="1219应收确认，1219退费，1224应收发票，应收水单，放HBL"/>
    <x v="87"/>
    <x v="2"/>
    <x v="1"/>
    <m/>
    <m/>
  </r>
  <r>
    <x v="13"/>
    <x v="52"/>
    <n v="6"/>
    <s v="放MBL"/>
    <x v="85"/>
    <x v="0"/>
    <x v="1"/>
    <m/>
    <m/>
  </r>
  <r>
    <x v="7"/>
    <x v="52"/>
    <n v="1"/>
    <s v="1118订舱预报，1120YJC生成，1120EDI，1120邮件Abbi，核对"/>
    <x v="65"/>
    <x v="0"/>
    <x v="1"/>
    <m/>
    <m/>
  </r>
  <r>
    <x v="7"/>
    <x v="52"/>
    <n v="2"/>
    <s v="做箱时间，做箱通知，提单加拼EDI邮件Abbi，通知沈丽，加拼核对"/>
    <x v="84"/>
    <x v="1"/>
    <x v="1"/>
    <m/>
    <m/>
  </r>
  <r>
    <x v="7"/>
    <x v="52"/>
    <n v="3"/>
    <s v="报关资料，报关加拼，做箱数据，邮件沈丽，装箱单，转客户"/>
    <x v="96"/>
    <x v="1"/>
    <x v="1"/>
    <m/>
    <m/>
  </r>
  <r>
    <x v="7"/>
    <x v="52"/>
    <n v="4"/>
    <s v="报关资料发报关行，核注清单，确认，校对稿，确认"/>
    <x v="96"/>
    <x v="1"/>
    <x v="1"/>
    <m/>
    <m/>
  </r>
  <r>
    <x v="7"/>
    <x v="52"/>
    <n v="5"/>
    <s v="YJC截单，ESI，邮件CDWJY，校对COPY"/>
    <x v="96"/>
    <x v="1"/>
    <x v="1"/>
    <m/>
    <m/>
  </r>
  <r>
    <x v="7"/>
    <x v="52"/>
    <n v="6"/>
    <s v="保函邹(Abbi电话)，ISF，保险"/>
    <x v="96"/>
    <x v="1"/>
    <x v="1"/>
    <m/>
    <m/>
  </r>
  <r>
    <x v="7"/>
    <x v="52"/>
    <n v="7"/>
    <s v="VGM，亿通鹏海舱单，核舱单"/>
    <x v="96"/>
    <x v="1"/>
    <x v="1"/>
    <m/>
    <m/>
  </r>
  <r>
    <x v="7"/>
    <x v="52"/>
    <n v="8"/>
    <s v="【洋山】发装箱单报关，成功，进港(落箱费?)，核数据"/>
    <x v="96"/>
    <x v="1"/>
    <x v="1"/>
    <m/>
    <m/>
  </r>
  <r>
    <x v="7"/>
    <x v="52"/>
    <n v="9"/>
    <s v="【外港】进港(落箱费?)，核数据，报关，成功"/>
    <x v="96"/>
    <x v="1"/>
    <x v="1"/>
    <m/>
    <m/>
  </r>
  <r>
    <x v="7"/>
    <x v="52"/>
    <n v="10"/>
    <s v="海放，码放，配载，费用发陈吟勇石磊"/>
    <x v="96"/>
    <x v="1"/>
    <x v="1"/>
    <m/>
    <m/>
  </r>
  <r>
    <x v="7"/>
    <x v="52"/>
    <n v="11"/>
    <s v="船开，放提单（PHISON、陈吟勇提单、陈云娣）"/>
    <x v="96"/>
    <x v="1"/>
    <x v="1"/>
    <m/>
    <m/>
  </r>
  <r>
    <x v="20"/>
    <x v="52"/>
    <n v="1"/>
    <s v="1205托书，1206预配，1212YJC生成，托书发维畅"/>
    <x v="81"/>
    <x v="0"/>
    <x v="1"/>
    <m/>
    <m/>
  </r>
  <r>
    <x v="20"/>
    <x v="52"/>
    <n v="2"/>
    <s v="包装指示书，汇总，发工厂，做箱数据，发订舱口"/>
    <x v="81"/>
    <x v="0"/>
    <x v="1"/>
    <m/>
    <m/>
  </r>
  <r>
    <x v="20"/>
    <x v="52"/>
    <n v="3"/>
    <s v="收做资料(代做确认)，发报关行"/>
    <x v="81"/>
    <x v="0"/>
    <x v="1"/>
    <m/>
    <m/>
  </r>
  <r>
    <x v="20"/>
    <x v="52"/>
    <n v="4"/>
    <s v="装箱单(洋提)，群发，发舱单，核舱单"/>
    <x v="81"/>
    <x v="0"/>
    <x v="1"/>
    <m/>
    <m/>
  </r>
  <r>
    <x v="20"/>
    <x v="52"/>
    <n v="5"/>
    <s v="1214报关，1214成功，1215进港，1216核数据，发两家报关单和放行单"/>
    <x v="81"/>
    <x v="0"/>
    <x v="1"/>
    <m/>
    <m/>
  </r>
  <r>
    <x v="20"/>
    <x v="52"/>
    <n v="6"/>
    <s v="1215海放，1216码放，1217配载，开船"/>
    <x v="52"/>
    <x v="0"/>
    <x v="1"/>
    <m/>
    <m/>
  </r>
  <r>
    <x v="20"/>
    <x v="52"/>
    <n v="7"/>
    <s v="费用，两个箱子的费用直接跟孙丹结算（4号 公共盘 月账单表 发孙丹），额外费用邮件"/>
    <x v="87"/>
    <x v="2"/>
    <x v="1"/>
    <m/>
    <m/>
  </r>
  <r>
    <x v="4"/>
    <x v="52"/>
    <n v="1"/>
    <s v="1205托书，1210预配(沈丽)，YJC生成"/>
    <x v="79"/>
    <x v="0"/>
    <x v="1"/>
    <m/>
    <m/>
  </r>
  <r>
    <x v="4"/>
    <x v="52"/>
    <n v="2"/>
    <s v="包装指示书，汇总，发工厂，做箱数据，发订舱口"/>
    <x v="86"/>
    <x v="0"/>
    <x v="1"/>
    <m/>
    <m/>
  </r>
  <r>
    <x v="4"/>
    <x v="52"/>
    <n v="3"/>
    <s v="收做资料(代做确认)，发报关行，【HMI】货运模板"/>
    <x v="86"/>
    <x v="0"/>
    <x v="1"/>
    <m/>
    <m/>
  </r>
  <r>
    <x v="4"/>
    <x v="52"/>
    <n v="4"/>
    <s v="装箱单(洋提)，群发，发舱单，核舱单"/>
    <x v="86"/>
    <x v="0"/>
    <x v="1"/>
    <m/>
    <m/>
  </r>
  <r>
    <x v="4"/>
    <x v="52"/>
    <n v="5"/>
    <s v="【HMI】开港，进港，核数据，报关"/>
    <x v="101"/>
    <x v="0"/>
    <x v="1"/>
    <m/>
    <m/>
  </r>
  <r>
    <x v="4"/>
    <x v="52"/>
    <n v="7"/>
    <s v="1215海放，1218码放，1220配载，开船"/>
    <x v="102"/>
    <x v="0"/>
    <x v="0"/>
    <m/>
    <m/>
  </r>
  <r>
    <x v="4"/>
    <x v="52"/>
    <n v="8"/>
    <s v="费用（4号 公共盘 月账单表 发孙丹），额外费用邮件"/>
    <x v="87"/>
    <x v="2"/>
    <x v="1"/>
    <m/>
    <m/>
  </r>
  <r>
    <x v="5"/>
    <x v="52"/>
    <n v="1"/>
    <s v="1204托书，1210预配(沈丽)，YJC生成"/>
    <x v="79"/>
    <x v="0"/>
    <x v="1"/>
    <m/>
    <m/>
  </r>
  <r>
    <x v="5"/>
    <x v="52"/>
    <n v="2"/>
    <s v="1212包装指示书，OK汇总，OK发工厂，做箱数据，发订舱口"/>
    <x v="96"/>
    <x v="0"/>
    <x v="2"/>
    <m/>
    <m/>
  </r>
  <r>
    <x v="5"/>
    <x v="52"/>
    <n v="3"/>
    <s v="OK收做资料(代做确认)，发报关行"/>
    <x v="86"/>
    <x v="0"/>
    <x v="1"/>
    <m/>
    <m/>
  </r>
  <r>
    <x v="5"/>
    <x v="52"/>
    <n v="4"/>
    <s v="装箱单(洋提)，群发，发舱单，核舱单"/>
    <x v="86"/>
    <x v="0"/>
    <x v="1"/>
    <m/>
    <m/>
  </r>
  <r>
    <x v="5"/>
    <x v="52"/>
    <n v="5"/>
    <s v="【HMI】开港，进港，核数据，报关"/>
    <x v="86"/>
    <x v="1"/>
    <x v="1"/>
    <m/>
    <m/>
  </r>
  <r>
    <x v="5"/>
    <x v="52"/>
    <n v="6"/>
    <s v="【KMM】报关，成功，进港，核数据，发两家报关单和放行单"/>
    <x v="86"/>
    <x v="0"/>
    <x v="1"/>
    <m/>
    <m/>
  </r>
  <r>
    <x v="5"/>
    <x v="52"/>
    <n v="7"/>
    <s v="1214海放，1218码放，1218配载，开船"/>
    <x v="100"/>
    <x v="0"/>
    <x v="1"/>
    <m/>
    <m/>
  </r>
  <r>
    <x v="5"/>
    <x v="52"/>
    <n v="8"/>
    <s v="费用（4号 公共盘 月账单表 发孙丹），额外费用邮件"/>
    <x v="87"/>
    <x v="2"/>
    <x v="1"/>
    <m/>
    <m/>
  </r>
  <r>
    <x v="6"/>
    <x v="53"/>
    <n v="1"/>
    <s v="1125托书，1210预配，1210YJC生成，1210做箱时间，订车，回孙丹"/>
    <x v="79"/>
    <x v="0"/>
    <x v="1"/>
    <m/>
    <m/>
  </r>
  <r>
    <x v="6"/>
    <x v="53"/>
    <n v="2"/>
    <s v="1216数据，1216发沈丽，1216要报关资料，发报关行"/>
    <x v="81"/>
    <x v="0"/>
    <x v="1"/>
    <m/>
    <m/>
  </r>
  <r>
    <x v="6"/>
    <x v="53"/>
    <n v="3"/>
    <s v="1216装箱单，1216转ZHL发舱单，核舱单"/>
    <x v="81"/>
    <x v="0"/>
    <x v="1"/>
    <m/>
    <m/>
  </r>
  <r>
    <x v="6"/>
    <x v="53"/>
    <n v="4"/>
    <s v="进港，1217核数据，报关，海放"/>
    <x v="83"/>
    <x v="0"/>
    <x v="2"/>
    <m/>
    <m/>
  </r>
  <r>
    <x v="6"/>
    <x v="53"/>
    <n v="5"/>
    <s v="码放，配载，开船"/>
    <x v="85"/>
    <x v="0"/>
    <x v="1"/>
    <m/>
    <m/>
  </r>
  <r>
    <x v="6"/>
    <x v="53"/>
    <n v="6"/>
    <s v="【应付】确认账单，发票，水单"/>
    <x v="87"/>
    <x v="2"/>
    <x v="1"/>
    <m/>
    <m/>
  </r>
  <r>
    <x v="6"/>
    <x v="53"/>
    <n v="7"/>
    <s v="【应收】费用表和明细发孙丹"/>
    <x v="87"/>
    <x v="2"/>
    <x v="1"/>
    <m/>
    <m/>
  </r>
  <r>
    <x v="21"/>
    <x v="54"/>
    <n v="1"/>
    <s v="1213托书，1213订舱，邮件KY，进仓通知"/>
    <x v="86"/>
    <x v="0"/>
    <x v="1"/>
    <m/>
    <m/>
  </r>
  <r>
    <x v="21"/>
    <x v="54"/>
    <n v="2"/>
    <s v="1216KY确认，LSS先按预付做，1213发进仓通知，1216截单，截货17，确定船期"/>
    <x v="83"/>
    <x v="0"/>
    <x v="1"/>
    <m/>
    <m/>
  </r>
  <r>
    <x v="21"/>
    <x v="54"/>
    <n v="3"/>
    <s v="1217MBLCOPY，1217确认，应付确认，应付发票（1月开始月底一起开）"/>
    <x v="85"/>
    <x v="0"/>
    <x v="1"/>
    <m/>
    <m/>
  </r>
  <r>
    <x v="21"/>
    <x v="54"/>
    <n v="4"/>
    <s v="1220HBL确认，1220应收【抵扣】确认，1223应收发票，应收水单"/>
    <x v="88"/>
    <x v="2"/>
    <x v="1"/>
    <m/>
    <m/>
  </r>
  <r>
    <x v="21"/>
    <x v="54"/>
    <n v="5"/>
    <s v="1221船开，等通知放HBL，1222放MBL"/>
    <x v="88"/>
    <x v="2"/>
    <x v="1"/>
    <m/>
    <m/>
  </r>
  <r>
    <x v="22"/>
    <x v="54"/>
    <n v="1"/>
    <s v="1212托书，1212订舱，邮件KY LSS?，进仓通知"/>
    <x v="86"/>
    <x v="1"/>
    <x v="1"/>
    <m/>
    <m/>
  </r>
  <r>
    <x v="22"/>
    <x v="54"/>
    <n v="2"/>
    <s v="KY确认，LSS到付？，发进仓通知，截单，截货，确定船期"/>
    <x v="86"/>
    <x v="1"/>
    <x v="1"/>
    <m/>
    <m/>
  </r>
  <r>
    <x v="22"/>
    <x v="54"/>
    <n v="3"/>
    <s v="MBLCOPY，确认，应付确认，应付发票（1月开始月底一起开）"/>
    <x v="86"/>
    <x v="1"/>
    <x v="1"/>
    <m/>
    <m/>
  </r>
  <r>
    <x v="22"/>
    <x v="54"/>
    <n v="4"/>
    <s v="HBL确认，应收【抵扣】确认，应收发票，应收水单"/>
    <x v="86"/>
    <x v="1"/>
    <x v="1"/>
    <m/>
    <m/>
  </r>
  <r>
    <x v="22"/>
    <x v="54"/>
    <n v="5"/>
    <s v="船开，放HBL，放MBL"/>
    <x v="86"/>
    <x v="1"/>
    <x v="1"/>
    <m/>
    <m/>
  </r>
  <r>
    <x v="19"/>
    <x v="54"/>
    <n v="1"/>
    <s v="收托书，发车队"/>
    <x v="85"/>
    <x v="0"/>
    <x v="1"/>
    <m/>
    <m/>
  </r>
  <r>
    <x v="19"/>
    <x v="54"/>
    <n v="2"/>
    <s v="费用（4号 公共盘 月账单表 发孙丹）"/>
    <x v="87"/>
    <x v="2"/>
    <x v="1"/>
    <m/>
    <m/>
  </r>
  <r>
    <x v="2"/>
    <x v="55"/>
    <n v="0"/>
    <s v="Abbi确认订舱预报，制作清单流水"/>
    <x v="72"/>
    <x v="2"/>
    <x v="1"/>
    <m/>
    <s v="周一"/>
  </r>
  <r>
    <x v="2"/>
    <x v="55"/>
    <n v="1"/>
    <s v="发本周JS mobis的报关单（收件人看陈吟勇邮件）"/>
    <x v="89"/>
    <x v="2"/>
    <x v="1"/>
    <m/>
    <s v="周五"/>
  </r>
  <r>
    <x v="2"/>
    <x v="55"/>
    <n v="2"/>
    <s v="下周WEEK"/>
    <x v="89"/>
    <x v="2"/>
    <x v="1"/>
    <m/>
    <s v="周五"/>
  </r>
  <r>
    <x v="2"/>
    <x v="55"/>
    <n v="3"/>
    <s v="手机QQ切换登陆一下"/>
    <x v="89"/>
    <x v="2"/>
    <x v="1"/>
    <m/>
    <s v="周五"/>
  </r>
  <r>
    <x v="8"/>
    <x v="56"/>
    <n v="1"/>
    <s v="1204托书，1204订舱，邮件Wanda，通知客户，确认"/>
    <x v="80"/>
    <x v="0"/>
    <x v="1"/>
    <m/>
    <m/>
  </r>
  <r>
    <x v="8"/>
    <x v="56"/>
    <n v="2"/>
    <s v="开港时间，资料时间，做费用，联代费用结清？"/>
    <x v="100"/>
    <x v="0"/>
    <x v="1"/>
    <m/>
    <m/>
  </r>
  <r>
    <x v="8"/>
    <x v="56"/>
    <n v="3"/>
    <s v="资料，YJC截，HCP/INV确认，联代舱单，MSK截，核舱单"/>
    <x v="100"/>
    <x v="0"/>
    <x v="1"/>
    <m/>
    <s v="件毛体箱封号唛头"/>
  </r>
  <r>
    <x v="8"/>
    <x v="56"/>
    <n v="4"/>
    <s v="2COPY/AMS/DEBIT邮件Wanda"/>
    <x v="100"/>
    <x v="0"/>
    <x v="1"/>
    <m/>
    <m/>
  </r>
  <r>
    <x v="8"/>
    <x v="56"/>
    <n v="5"/>
    <s v="进港，核数据"/>
    <x v="99"/>
    <x v="0"/>
    <x v="1"/>
    <m/>
    <m/>
  </r>
  <r>
    <x v="8"/>
    <x v="56"/>
    <n v="6"/>
    <s v="1222海放，1223码放，配载，开船，通知Wanda"/>
    <x v="87"/>
    <x v="2"/>
    <x v="1"/>
    <m/>
    <m/>
  </r>
  <r>
    <x v="8"/>
    <x v="56"/>
    <n v="7"/>
    <s v="Wanda付款通知，放单给Wanda"/>
    <x v="89"/>
    <x v="2"/>
    <x v="1"/>
    <m/>
    <m/>
  </r>
  <r>
    <x v="0"/>
    <x v="56"/>
    <n v="1"/>
    <s v="1218托书，1218订舱，1220邮件KY，1218进仓通知"/>
    <x v="85"/>
    <x v="0"/>
    <x v="1"/>
    <m/>
    <m/>
  </r>
  <r>
    <x v="0"/>
    <x v="56"/>
    <n v="2"/>
    <s v="1220KY确认，1223LSS到付，1218发进仓通知，20截单，21截货，确定船期"/>
    <x v="99"/>
    <x v="0"/>
    <x v="1"/>
    <m/>
    <m/>
  </r>
  <r>
    <x v="0"/>
    <x v="56"/>
    <n v="3"/>
    <s v="1223MBLCOPY，1223确认，1223应付确认，1223应付发票（1月开始月底一起开）"/>
    <x v="48"/>
    <x v="0"/>
    <x v="1"/>
    <m/>
    <m/>
  </r>
  <r>
    <x v="0"/>
    <x v="56"/>
    <n v="4"/>
    <s v="1224HBL确认，1224应收【抵扣之前940，LSS到付】确认，应收发票，应收水单"/>
    <x v="88"/>
    <x v="2"/>
    <x v="1"/>
    <m/>
    <m/>
  </r>
  <r>
    <x v="0"/>
    <x v="56"/>
    <n v="5"/>
    <s v="船开，放HBL，1224放MBL"/>
    <x v="88"/>
    <x v="2"/>
    <x v="1"/>
    <m/>
    <m/>
  </r>
  <r>
    <x v="3"/>
    <x v="56"/>
    <n v="1"/>
    <s v="托书，订舱"/>
    <x v="78"/>
    <x v="0"/>
    <x v="1"/>
    <m/>
    <m/>
  </r>
  <r>
    <x v="3"/>
    <x v="56"/>
    <n v="2"/>
    <s v="1205BCF(中转港必须是LAZARO)，发做箱通知(时间)，通知客户"/>
    <x v="80"/>
    <x v="0"/>
    <x v="1"/>
    <m/>
    <m/>
  </r>
  <r>
    <x v="3"/>
    <x v="56"/>
    <n v="3"/>
    <s v="1217收报关资料，1219发报关行，1220要校对稿，1218做做箱数据给车队"/>
    <x v="85"/>
    <x v="0"/>
    <x v="1"/>
    <m/>
    <m/>
  </r>
  <r>
    <x v="3"/>
    <x v="56"/>
    <n v="4"/>
    <s v="1218更新系统件毛体，1218买保险，1218异地付款保函，1218回传，1220校对稿，确认"/>
    <x v="85"/>
    <x v="0"/>
    <x v="1"/>
    <m/>
    <m/>
  </r>
  <r>
    <x v="3"/>
    <x v="56"/>
    <n v="5"/>
    <s v="关注开港时间，跟车队(沈丽)确认做箱时间，如有变动通知胡媛媛"/>
    <x v="100"/>
    <x v="0"/>
    <x v="1"/>
    <m/>
    <m/>
  </r>
  <r>
    <x v="3"/>
    <x v="56"/>
    <n v="6"/>
    <s v="1220装箱单，1220截单资料发万恒，核舱单，报关(装箱单)"/>
    <x v="85"/>
    <x v="0"/>
    <x v="1"/>
    <m/>
    <m/>
  </r>
  <r>
    <x v="3"/>
    <x v="56"/>
    <n v="7"/>
    <s v="1222提单样本，1223确认，提单，客户放三单，陈吟勇提单"/>
    <x v="88"/>
    <x v="2"/>
    <x v="1"/>
    <m/>
    <m/>
  </r>
  <r>
    <x v="3"/>
    <x v="56"/>
    <n v="8"/>
    <s v="1220进港，1222核数据，1220海放，1224码放，1224配载，开船"/>
    <x v="88"/>
    <x v="2"/>
    <x v="1"/>
    <m/>
    <m/>
  </r>
  <r>
    <x v="3"/>
    <x v="56"/>
    <n v="9"/>
    <s v="【应付】确认账单，发票，水单"/>
    <x v="88"/>
    <x v="2"/>
    <x v="1"/>
    <m/>
    <m/>
  </r>
  <r>
    <x v="3"/>
    <x v="56"/>
    <n v="10"/>
    <s v="【应收】账单，邮件"/>
    <x v="87"/>
    <x v="2"/>
    <x v="1"/>
    <m/>
    <m/>
  </r>
  <r>
    <x v="23"/>
    <x v="56"/>
    <n v="1"/>
    <s v="1127托书，1204预配，YJC生成，OK做箱时间，订车，回孙丹"/>
    <x v="81"/>
    <x v="0"/>
    <x v="1"/>
    <m/>
    <m/>
  </r>
  <r>
    <x v="23"/>
    <x v="56"/>
    <n v="2"/>
    <s v="1219数据，1219发沈丽，要报关资料，发报关行"/>
    <x v="100"/>
    <x v="0"/>
    <x v="1"/>
    <m/>
    <m/>
  </r>
  <r>
    <x v="23"/>
    <x v="56"/>
    <n v="3"/>
    <s v="1219装箱单，1219转CK发舱单，1219核舱单，报关"/>
    <x v="100"/>
    <x v="0"/>
    <x v="1"/>
    <m/>
    <m/>
  </r>
  <r>
    <x v="23"/>
    <x v="56"/>
    <n v="4"/>
    <s v="进港，核数据，海放"/>
    <x v="85"/>
    <x v="0"/>
    <x v="1"/>
    <m/>
    <m/>
  </r>
  <r>
    <x v="23"/>
    <x v="56"/>
    <n v="5"/>
    <s v="1224码放，1224配载，开船"/>
    <x v="88"/>
    <x v="2"/>
    <x v="1"/>
    <m/>
    <m/>
  </r>
  <r>
    <x v="23"/>
    <x v="56"/>
    <n v="6"/>
    <s v="【应付】确认账单，发票，水单"/>
    <x v="87"/>
    <x v="1"/>
    <x v="1"/>
    <m/>
    <m/>
  </r>
  <r>
    <x v="23"/>
    <x v="56"/>
    <n v="7"/>
    <s v="【应收】费用表和明细发孙丹"/>
    <x v="87"/>
    <x v="2"/>
    <x v="1"/>
    <m/>
    <m/>
  </r>
  <r>
    <x v="7"/>
    <x v="57"/>
    <n v="1"/>
    <s v="1118订舱预报，1120YJC生成，1120EDI，1120邮件Abbi，核对"/>
    <x v="65"/>
    <x v="0"/>
    <x v="1"/>
    <m/>
    <m/>
  </r>
  <r>
    <x v="7"/>
    <x v="57"/>
    <n v="2"/>
    <s v="1219做箱时间，OK做箱通知，1219提单加拼EDI邮件Abbi，通知沈丽，加拼核对"/>
    <x v="100"/>
    <x v="0"/>
    <x v="1"/>
    <m/>
    <m/>
  </r>
  <r>
    <x v="7"/>
    <x v="57"/>
    <n v="3"/>
    <s v="报关资料，报关加拼，做箱数据，邮件沈丽，装箱单，转客户"/>
    <x v="85"/>
    <x v="0"/>
    <x v="1"/>
    <m/>
    <m/>
  </r>
  <r>
    <x v="7"/>
    <x v="57"/>
    <n v="4"/>
    <s v="1220报关资料发报关行，1220核注清单，1220确认，1220校对稿，确认"/>
    <x v="102"/>
    <x v="0"/>
    <x v="1"/>
    <m/>
    <m/>
  </r>
  <r>
    <x v="7"/>
    <x v="57"/>
    <n v="5"/>
    <s v="1220YJC截单，1220ESI，1220邮件CDWJY，校对COPY"/>
    <x v="99"/>
    <x v="0"/>
    <x v="1"/>
    <m/>
    <m/>
  </r>
  <r>
    <x v="7"/>
    <x v="57"/>
    <n v="6"/>
    <s v="保函邹(Abbi电话)，ISF，保险"/>
    <x v="85"/>
    <x v="0"/>
    <x v="1"/>
    <m/>
    <m/>
  </r>
  <r>
    <x v="7"/>
    <x v="57"/>
    <n v="7"/>
    <s v="VGM，亿通鹏海舱单，核舱单"/>
    <x v="85"/>
    <x v="0"/>
    <x v="1"/>
    <m/>
    <m/>
  </r>
  <r>
    <x v="7"/>
    <x v="57"/>
    <n v="8"/>
    <s v="【洋山】发装箱单报关，成功，进港(落箱费?)，核数据"/>
    <x v="85"/>
    <x v="1"/>
    <x v="1"/>
    <m/>
    <m/>
  </r>
  <r>
    <x v="7"/>
    <x v="57"/>
    <n v="9"/>
    <s v="【外港】1222进港，1221落箱，1222核数据，1220报关，1220成功"/>
    <x v="102"/>
    <x v="0"/>
    <x v="1"/>
    <m/>
    <m/>
  </r>
  <r>
    <x v="7"/>
    <x v="57"/>
    <n v="10"/>
    <s v="1222海放，码放，配载，费用发陈吟勇石磊，船开"/>
    <x v="87"/>
    <x v="2"/>
    <x v="1"/>
    <m/>
    <m/>
  </r>
  <r>
    <x v="7"/>
    <x v="57"/>
    <n v="11"/>
    <s v="放提单（PHISON、陈吟勇提单、陈云娣）"/>
    <x v="88"/>
    <x v="2"/>
    <x v="1"/>
    <m/>
    <m/>
  </r>
  <r>
    <x v="4"/>
    <x v="57"/>
    <n v="1"/>
    <s v="1212托书，预配(沈丽)，YJC生成"/>
    <x v="85"/>
    <x v="0"/>
    <x v="1"/>
    <m/>
    <m/>
  </r>
  <r>
    <x v="4"/>
    <x v="57"/>
    <n v="2"/>
    <s v="1220包装指示书，1220汇总，发工厂，做箱数据，发订舱口"/>
    <x v="85"/>
    <x v="0"/>
    <x v="1"/>
    <m/>
    <m/>
  </r>
  <r>
    <x v="4"/>
    <x v="57"/>
    <n v="3"/>
    <s v="1220收做资料(代做确认)，1221发报关行，【HMI】货运模板"/>
    <x v="87"/>
    <x v="2"/>
    <x v="1"/>
    <m/>
    <m/>
  </r>
  <r>
    <x v="4"/>
    <x v="57"/>
    <n v="4"/>
    <s v="1220装箱单(洋提)，1220群发，发舱单，核舱单"/>
    <x v="85"/>
    <x v="0"/>
    <x v="1"/>
    <m/>
    <m/>
  </r>
  <r>
    <x v="4"/>
    <x v="57"/>
    <n v="5"/>
    <s v="【HMI】1222开港，进港，核数据，报关"/>
    <x v="99"/>
    <x v="0"/>
    <x v="1"/>
    <m/>
    <m/>
  </r>
  <r>
    <x v="4"/>
    <x v="57"/>
    <n v="7"/>
    <s v="1223海放，1224码放，配载，开船"/>
    <x v="88"/>
    <x v="2"/>
    <x v="1"/>
    <m/>
    <m/>
  </r>
  <r>
    <x v="4"/>
    <x v="57"/>
    <n v="8"/>
    <s v="费用（4号 公共盘 月账单表 发孙丹），额外费用邮件"/>
    <x v="87"/>
    <x v="2"/>
    <x v="1"/>
    <m/>
    <m/>
  </r>
  <r>
    <x v="24"/>
    <x v="57"/>
    <n v="1"/>
    <s v="1213托书，1218预配(沈丽)，1220YJC生成"/>
    <x v="85"/>
    <x v="0"/>
    <x v="1"/>
    <m/>
    <m/>
  </r>
  <r>
    <x v="24"/>
    <x v="57"/>
    <n v="2"/>
    <s v="包装指示书，汇总，发工厂，做箱数据，发订舱口"/>
    <x v="85"/>
    <x v="0"/>
    <x v="1"/>
    <m/>
    <m/>
  </r>
  <r>
    <x v="24"/>
    <x v="57"/>
    <n v="3"/>
    <s v="收做资料(代做确认)，发报关行"/>
    <x v="85"/>
    <x v="0"/>
    <x v="1"/>
    <m/>
    <m/>
  </r>
  <r>
    <x v="24"/>
    <x v="57"/>
    <n v="4"/>
    <s v="装箱单(洋提)，群发，发舱单，核舱单"/>
    <x v="85"/>
    <x v="0"/>
    <x v="1"/>
    <m/>
    <m/>
  </r>
  <r>
    <x v="24"/>
    <x v="57"/>
    <n v="5"/>
    <s v="1221报关，1221成功，1223进港，1223核数据"/>
    <x v="48"/>
    <x v="0"/>
    <x v="1"/>
    <m/>
    <m/>
  </r>
  <r>
    <x v="24"/>
    <x v="57"/>
    <n v="6"/>
    <s v="1223海放，1224码放，配载，开船"/>
    <x v="88"/>
    <x v="2"/>
    <x v="1"/>
    <m/>
    <m/>
  </r>
  <r>
    <x v="24"/>
    <x v="57"/>
    <n v="7"/>
    <s v="费用（4号 公共盘 月账单表 发孙丹），额外费用邮件"/>
    <x v="87"/>
    <x v="2"/>
    <x v="1"/>
    <m/>
    <m/>
  </r>
  <r>
    <x v="5"/>
    <x v="57"/>
    <n v="1"/>
    <s v="1212托书，1213预配(沈丽)，YJC生成"/>
    <x v="83"/>
    <x v="0"/>
    <x v="1"/>
    <m/>
    <m/>
  </r>
  <r>
    <x v="5"/>
    <x v="57"/>
    <n v="2"/>
    <s v="1220包装指示书，1220汇总，1220发工厂，1220做箱数据【下周一装箱】，发订舱口"/>
    <x v="85"/>
    <x v="0"/>
    <x v="1"/>
    <m/>
    <m/>
  </r>
  <r>
    <x v="5"/>
    <x v="57"/>
    <n v="3"/>
    <s v="1220收做资料(代做确认)，1221发报关行，"/>
    <x v="99"/>
    <x v="0"/>
    <x v="1"/>
    <m/>
    <m/>
  </r>
  <r>
    <x v="5"/>
    <x v="57"/>
    <n v="4"/>
    <s v="装箱单(洋提)，群发，发舱单，核舱单"/>
    <x v="48"/>
    <x v="0"/>
    <x v="1"/>
    <m/>
    <m/>
  </r>
  <r>
    <x v="5"/>
    <x v="57"/>
    <n v="5"/>
    <s v="【HMI】开港，进港，核数据，报关"/>
    <x v="48"/>
    <x v="1"/>
    <x v="1"/>
    <m/>
    <m/>
  </r>
  <r>
    <x v="5"/>
    <x v="57"/>
    <n v="6"/>
    <s v="【KMM】1223报关，1223成功，1223进港，1224核数据，发两家报关单和放行单"/>
    <x v="87"/>
    <x v="2"/>
    <x v="1"/>
    <m/>
    <m/>
  </r>
  <r>
    <x v="5"/>
    <x v="57"/>
    <n v="7"/>
    <s v="1224海放，码放，配载，开船"/>
    <x v="72"/>
    <x v="2"/>
    <x v="1"/>
    <m/>
    <m/>
  </r>
  <r>
    <x v="5"/>
    <x v="57"/>
    <n v="8"/>
    <s v="费用（4号 公共盘 月账单表 发孙丹），额外费用邮件"/>
    <x v="87"/>
    <x v="2"/>
    <x v="1"/>
    <m/>
    <m/>
  </r>
  <r>
    <x v="14"/>
    <x v="58"/>
    <n v="1"/>
    <s v="1225托书，1223订舱，1223进仓通知，邮件KY，KY确认"/>
    <x v="48"/>
    <x v="0"/>
    <x v="1"/>
    <m/>
    <m/>
  </r>
  <r>
    <x v="14"/>
    <x v="58"/>
    <n v="2"/>
    <s v="报关单，LSS预付？，截单，截货"/>
    <x v="72"/>
    <x v="2"/>
    <x v="1"/>
    <m/>
    <m/>
  </r>
  <r>
    <x v="14"/>
    <x v="58"/>
    <n v="3"/>
    <s v="MBL确认，HBL确认，邮件KY，应付确认"/>
    <x v="72"/>
    <x v="2"/>
    <x v="1"/>
    <m/>
    <m/>
  </r>
  <r>
    <x v="14"/>
    <x v="58"/>
    <n v="4"/>
    <s v="应付发票，应付水单，应收确认，发票，应收水单，放HBL"/>
    <x v="72"/>
    <x v="2"/>
    <x v="1"/>
    <m/>
    <m/>
  </r>
  <r>
    <x v="14"/>
    <x v="58"/>
    <n v="5"/>
    <s v="船开，放MBL，邮件KY"/>
    <x v="72"/>
    <x v="2"/>
    <x v="1"/>
    <m/>
    <m/>
  </r>
  <r>
    <x v="25"/>
    <x v="59"/>
    <n v="1"/>
    <s v="1216托书，1216预配(沈丽)，YJC生成"/>
    <x v="99"/>
    <x v="0"/>
    <x v="1"/>
    <m/>
    <m/>
  </r>
  <r>
    <x v="25"/>
    <x v="59"/>
    <n v="2"/>
    <s v="包装指示书，汇总，发工厂，做箱数据，发订舱口"/>
    <x v="48"/>
    <x v="0"/>
    <x v="1"/>
    <m/>
    <m/>
  </r>
  <r>
    <x v="25"/>
    <x v="59"/>
    <n v="3"/>
    <s v="收做资料(代做确认)，发报关行，货运模板"/>
    <x v="87"/>
    <x v="2"/>
    <x v="1"/>
    <m/>
    <m/>
  </r>
  <r>
    <x v="25"/>
    <x v="59"/>
    <n v="4"/>
    <s v="装箱单(洋提)，群发，发舱单，核舱单"/>
    <x v="88"/>
    <x v="2"/>
    <x v="1"/>
    <m/>
    <m/>
  </r>
  <r>
    <x v="25"/>
    <x v="59"/>
    <n v="5"/>
    <s v="报关，成功，进港，核数据"/>
    <x v="88"/>
    <x v="2"/>
    <x v="1"/>
    <m/>
    <m/>
  </r>
  <r>
    <x v="25"/>
    <x v="59"/>
    <n v="6"/>
    <s v="海放，码放，配载，开船"/>
    <x v="88"/>
    <x v="2"/>
    <x v="1"/>
    <m/>
    <m/>
  </r>
  <r>
    <x v="25"/>
    <x v="59"/>
    <n v="7"/>
    <s v="费用（4号 公共盘 月账单表 发孙丹），额外费用邮件"/>
    <x v="90"/>
    <x v="2"/>
    <x v="1"/>
    <m/>
    <m/>
  </r>
  <r>
    <x v="20"/>
    <x v="60"/>
    <n v="1"/>
    <s v="1213托书，1216预配(沈丽)，YJC生成"/>
    <x v="99"/>
    <x v="0"/>
    <x v="1"/>
    <m/>
    <m/>
  </r>
  <r>
    <x v="20"/>
    <x v="60"/>
    <n v="2"/>
    <s v="1220包装指示书，1223汇总，1223发工厂，1223做箱数据，发订舱口"/>
    <x v="48"/>
    <x v="0"/>
    <x v="1"/>
    <m/>
    <m/>
  </r>
  <r>
    <x v="20"/>
    <x v="60"/>
    <n v="3"/>
    <s v="收做资料(代做确认)，发报关行"/>
    <x v="87"/>
    <x v="0"/>
    <x v="1"/>
    <m/>
    <m/>
  </r>
  <r>
    <x v="20"/>
    <x v="60"/>
    <n v="4"/>
    <s v="装箱单(洋提)，群发，发舱单，核舱单"/>
    <x v="72"/>
    <x v="2"/>
    <x v="1"/>
    <m/>
    <m/>
  </r>
  <r>
    <x v="20"/>
    <x v="60"/>
    <n v="5"/>
    <s v="报关，成功，进港，核数据"/>
    <x v="72"/>
    <x v="2"/>
    <x v="1"/>
    <m/>
    <m/>
  </r>
  <r>
    <x v="20"/>
    <x v="60"/>
    <n v="6"/>
    <s v="海放，码放，配载，开船"/>
    <x v="72"/>
    <x v="2"/>
    <x v="1"/>
    <m/>
    <m/>
  </r>
  <r>
    <x v="20"/>
    <x v="60"/>
    <n v="7"/>
    <s v="费用（4号 公共盘 月账单表 发孙丹），额外费用邮件"/>
    <x v="90"/>
    <x v="2"/>
    <x v="1"/>
    <m/>
    <m/>
  </r>
  <r>
    <x v="8"/>
    <x v="58"/>
    <n v="1"/>
    <s v="1204托书，1204订舱，邮件Wanda，通知客户，确认"/>
    <x v="80"/>
    <x v="0"/>
    <x v="1"/>
    <m/>
    <m/>
  </r>
  <r>
    <x v="8"/>
    <x v="58"/>
    <n v="2"/>
    <s v="开港时间，资料时间，做费用，联代费用结清？"/>
    <x v="88"/>
    <x v="2"/>
    <x v="1"/>
    <m/>
    <m/>
  </r>
  <r>
    <x v="8"/>
    <x v="58"/>
    <n v="3"/>
    <s v="资料，YJC截，HCP/INV确认，联代舱单，MSK截，核舱单"/>
    <x v="72"/>
    <x v="2"/>
    <x v="1"/>
    <m/>
    <s v="件毛体箱封号唛头"/>
  </r>
  <r>
    <x v="8"/>
    <x v="58"/>
    <n v="4"/>
    <s v="2COPY/AMS/DEBIT邮件Wanda"/>
    <x v="72"/>
    <x v="2"/>
    <x v="1"/>
    <m/>
    <m/>
  </r>
  <r>
    <x v="8"/>
    <x v="58"/>
    <n v="5"/>
    <s v="进港，核数据"/>
    <x v="72"/>
    <x v="2"/>
    <x v="1"/>
    <m/>
    <m/>
  </r>
  <r>
    <x v="8"/>
    <x v="58"/>
    <n v="6"/>
    <s v="海放，码放，配载，开船，通知Wanda"/>
    <x v="72"/>
    <x v="2"/>
    <x v="1"/>
    <m/>
    <m/>
  </r>
  <r>
    <x v="8"/>
    <x v="58"/>
    <n v="7"/>
    <s v="Wanda付款通知，放单给Wanda"/>
    <x v="72"/>
    <x v="2"/>
    <x v="1"/>
    <m/>
    <m/>
  </r>
  <r>
    <x v="26"/>
    <x v="61"/>
    <n v="1"/>
    <s v="1219托书，预配(沈丽)，YJC生成"/>
    <x v="87"/>
    <x v="2"/>
    <x v="1"/>
    <m/>
    <m/>
  </r>
  <r>
    <x v="26"/>
    <x v="61"/>
    <n v="2"/>
    <s v="包装指示书，汇总，发工厂，做箱数据，发订舱口"/>
    <x v="72"/>
    <x v="2"/>
    <x v="1"/>
    <m/>
    <m/>
  </r>
  <r>
    <x v="26"/>
    <x v="61"/>
    <n v="3"/>
    <s v="收做资料(代做确认)，发报关行，【HMI】货运模板"/>
    <x v="72"/>
    <x v="2"/>
    <x v="1"/>
    <m/>
    <m/>
  </r>
  <r>
    <x v="26"/>
    <x v="61"/>
    <n v="4"/>
    <s v="装箱单(洋提)，群发，发舱单，核舱单"/>
    <x v="89"/>
    <x v="2"/>
    <x v="1"/>
    <m/>
    <m/>
  </r>
  <r>
    <x v="26"/>
    <x v="61"/>
    <n v="5"/>
    <s v="【HMI】开港，进港，核数据，报关"/>
    <x v="103"/>
    <x v="2"/>
    <x v="1"/>
    <m/>
    <m/>
  </r>
  <r>
    <x v="26"/>
    <x v="61"/>
    <n v="7"/>
    <s v="海放，码放，配载，开船"/>
    <x v="103"/>
    <x v="2"/>
    <x v="1"/>
    <m/>
    <m/>
  </r>
  <r>
    <x v="26"/>
    <x v="61"/>
    <n v="8"/>
    <s v="费用（4号 公共盘 月账单表 发孙丹），额外费用邮件"/>
    <x v="103"/>
    <x v="2"/>
    <x v="1"/>
    <m/>
    <m/>
  </r>
  <r>
    <x v="27"/>
    <x v="61"/>
    <n v="1"/>
    <s v="1219托书，预配(沈丽)，YJC生成"/>
    <x v="87"/>
    <x v="2"/>
    <x v="1"/>
    <m/>
    <m/>
  </r>
  <r>
    <x v="27"/>
    <x v="61"/>
    <n v="2"/>
    <s v="包装指示书，汇总，发工厂，做箱数据，发订舱口"/>
    <x v="72"/>
    <x v="2"/>
    <x v="1"/>
    <m/>
    <m/>
  </r>
  <r>
    <x v="27"/>
    <x v="61"/>
    <n v="3"/>
    <s v="收做资料(代做确认)，发报关行"/>
    <x v="72"/>
    <x v="2"/>
    <x v="1"/>
    <m/>
    <m/>
  </r>
  <r>
    <x v="27"/>
    <x v="61"/>
    <n v="4"/>
    <s v="装箱单(洋提)，群发，发舱单，核舱单"/>
    <x v="89"/>
    <x v="2"/>
    <x v="1"/>
    <m/>
    <m/>
  </r>
  <r>
    <x v="27"/>
    <x v="61"/>
    <n v="6"/>
    <s v="【KMM】报关，成功，进港，核数据，发两家报关单和放行单"/>
    <x v="89"/>
    <x v="2"/>
    <x v="1"/>
    <m/>
    <m/>
  </r>
  <r>
    <x v="27"/>
    <x v="61"/>
    <n v="7"/>
    <s v="海放，码放，配载，开船"/>
    <x v="89"/>
    <x v="2"/>
    <x v="1"/>
    <m/>
    <m/>
  </r>
  <r>
    <x v="27"/>
    <x v="61"/>
    <n v="8"/>
    <s v="费用（4号 公共盘 月账单表 发孙丹），额外费用邮件"/>
    <x v="90"/>
    <x v="2"/>
    <x v="1"/>
    <m/>
    <m/>
  </r>
  <r>
    <x v="20"/>
    <x v="61"/>
    <n v="1"/>
    <s v="1219托书，1220预配(沈丽)，YJC生成"/>
    <x v="99"/>
    <x v="0"/>
    <x v="1"/>
    <m/>
    <m/>
  </r>
  <r>
    <x v="20"/>
    <x v="61"/>
    <n v="2"/>
    <s v="包装指示书，汇总，发工厂，做箱数据，发订舱口"/>
    <x v="87"/>
    <x v="2"/>
    <x v="1"/>
    <m/>
    <m/>
  </r>
  <r>
    <x v="20"/>
    <x v="61"/>
    <n v="3"/>
    <s v="收做资料(代做确认)，发报关行"/>
    <x v="87"/>
    <x v="2"/>
    <x v="1"/>
    <m/>
    <m/>
  </r>
  <r>
    <x v="20"/>
    <x v="61"/>
    <n v="4"/>
    <s v="装箱单(洋提)，群发，发舱单，核舱单"/>
    <x v="89"/>
    <x v="2"/>
    <x v="1"/>
    <m/>
    <m/>
  </r>
  <r>
    <x v="20"/>
    <x v="61"/>
    <n v="5"/>
    <s v="报关，成功，进港，核数据"/>
    <x v="90"/>
    <x v="2"/>
    <x v="1"/>
    <m/>
    <m/>
  </r>
  <r>
    <x v="20"/>
    <x v="61"/>
    <n v="6"/>
    <s v="海放，码放，配载，开船"/>
    <x v="103"/>
    <x v="2"/>
    <x v="1"/>
    <m/>
    <m/>
  </r>
  <r>
    <x v="20"/>
    <x v="61"/>
    <n v="7"/>
    <s v="费用（4号 公共盘 月账单表 发孙丹），额外费用邮件"/>
    <x v="103"/>
    <x v="2"/>
    <x v="1"/>
    <m/>
    <m/>
  </r>
  <r>
    <x v="4"/>
    <x v="61"/>
    <n v="1"/>
    <s v="1219托书，预配(沈丽)，YJC生成"/>
    <x v="87"/>
    <x v="2"/>
    <x v="1"/>
    <m/>
    <m/>
  </r>
  <r>
    <x v="4"/>
    <x v="61"/>
    <n v="2"/>
    <s v="包装指示书，汇总，发工厂，做箱数据，发订舱口"/>
    <x v="72"/>
    <x v="2"/>
    <x v="1"/>
    <m/>
    <m/>
  </r>
  <r>
    <x v="4"/>
    <x v="61"/>
    <n v="3"/>
    <s v="收做资料(代做确认)，发报关行，【HMI】货运模板"/>
    <x v="72"/>
    <x v="2"/>
    <x v="1"/>
    <m/>
    <m/>
  </r>
  <r>
    <x v="4"/>
    <x v="61"/>
    <n v="4"/>
    <s v="装箱单(洋提)，群发，发舱单，核舱单"/>
    <x v="89"/>
    <x v="2"/>
    <x v="1"/>
    <m/>
    <m/>
  </r>
  <r>
    <x v="4"/>
    <x v="61"/>
    <n v="5"/>
    <s v="报关，成功，进港，核数据"/>
    <x v="89"/>
    <x v="2"/>
    <x v="1"/>
    <m/>
    <m/>
  </r>
  <r>
    <x v="4"/>
    <x v="61"/>
    <n v="6"/>
    <s v="海放，码放，配载，开船"/>
    <x v="89"/>
    <x v="2"/>
    <x v="1"/>
    <m/>
    <m/>
  </r>
  <r>
    <x v="4"/>
    <x v="61"/>
    <n v="7"/>
    <s v="费用（4号 公共盘 月账单表 发孙丹），额外费用邮件"/>
    <x v="90"/>
    <x v="2"/>
    <x v="1"/>
    <m/>
    <m/>
  </r>
  <r>
    <x v="24"/>
    <x v="61"/>
    <n v="1"/>
    <s v="1220托书，预配(沈丽)，YJC生成"/>
    <x v="87"/>
    <x v="2"/>
    <x v="1"/>
    <m/>
    <m/>
  </r>
  <r>
    <x v="24"/>
    <x v="61"/>
    <n v="2"/>
    <s v="包装指示书，汇总，发工厂，做箱数据，发订舱口"/>
    <x v="72"/>
    <x v="2"/>
    <x v="1"/>
    <m/>
    <m/>
  </r>
  <r>
    <x v="24"/>
    <x v="61"/>
    <n v="3"/>
    <s v="收做资料(代做确认)，发报关行"/>
    <x v="89"/>
    <x v="2"/>
    <x v="1"/>
    <m/>
    <m/>
  </r>
  <r>
    <x v="24"/>
    <x v="61"/>
    <n v="4"/>
    <s v="装箱单(洋提)，群发，发舱单，核舱单"/>
    <x v="89"/>
    <x v="2"/>
    <x v="1"/>
    <m/>
    <m/>
  </r>
  <r>
    <x v="24"/>
    <x v="61"/>
    <n v="5"/>
    <s v="报关，成功，进港，核数据"/>
    <x v="90"/>
    <x v="2"/>
    <x v="1"/>
    <m/>
    <m/>
  </r>
  <r>
    <x v="24"/>
    <x v="61"/>
    <n v="6"/>
    <s v="海放，码放，配载，开船"/>
    <x v="89"/>
    <x v="2"/>
    <x v="1"/>
    <m/>
    <m/>
  </r>
  <r>
    <x v="24"/>
    <x v="61"/>
    <n v="7"/>
    <s v="费用（4号 公共盘 月账单表 发孙丹），额外费用邮件"/>
    <x v="90"/>
    <x v="2"/>
    <x v="1"/>
    <m/>
    <m/>
  </r>
  <r>
    <x v="5"/>
    <x v="61"/>
    <n v="1"/>
    <s v="1219托书，预配(沈丽)，YJC生成"/>
    <x v="87"/>
    <x v="2"/>
    <x v="1"/>
    <m/>
    <m/>
  </r>
  <r>
    <x v="5"/>
    <x v="61"/>
    <n v="2"/>
    <s v="包装指示书，汇总，发工厂，做箱数据，发订舱口"/>
    <x v="72"/>
    <x v="2"/>
    <x v="1"/>
    <m/>
    <m/>
  </r>
  <r>
    <x v="5"/>
    <x v="61"/>
    <n v="3"/>
    <s v="收做资料(代做确认)，发报关行，【HMI】货运模板"/>
    <x v="72"/>
    <x v="2"/>
    <x v="1"/>
    <m/>
    <m/>
  </r>
  <r>
    <x v="5"/>
    <x v="61"/>
    <n v="4"/>
    <s v="装箱单(洋提)，群发，发舱单，核舱单"/>
    <x v="89"/>
    <x v="2"/>
    <x v="1"/>
    <m/>
    <m/>
  </r>
  <r>
    <x v="5"/>
    <x v="61"/>
    <n v="5"/>
    <s v="报关，成功，进港，核数据"/>
    <x v="89"/>
    <x v="2"/>
    <x v="1"/>
    <m/>
    <m/>
  </r>
  <r>
    <x v="5"/>
    <x v="61"/>
    <n v="6"/>
    <s v="海放，码放，配载，开船"/>
    <x v="89"/>
    <x v="2"/>
    <x v="1"/>
    <m/>
    <m/>
  </r>
  <r>
    <x v="5"/>
    <x v="61"/>
    <n v="7"/>
    <s v="费用（4号 公共盘 月账单表 发孙丹），额外费用邮件"/>
    <x v="90"/>
    <x v="2"/>
    <x v="1"/>
    <m/>
    <m/>
  </r>
  <r>
    <x v="28"/>
    <x v="62"/>
    <n v="1"/>
    <s v="收托书"/>
    <x v="85"/>
    <x v="0"/>
    <x v="1"/>
    <m/>
    <m/>
  </r>
  <r>
    <x v="28"/>
    <x v="62"/>
    <n v="2"/>
    <s v="转光洋"/>
    <x v="48"/>
    <x v="0"/>
    <x v="1"/>
    <m/>
    <m/>
  </r>
  <r>
    <x v="28"/>
    <x v="62"/>
    <n v="3"/>
    <s v="收报关资料，发报关行"/>
    <x v="89"/>
    <x v="2"/>
    <x v="1"/>
    <m/>
    <m/>
  </r>
  <r>
    <x v="28"/>
    <x v="62"/>
    <n v="4"/>
    <s v="收光洋装箱单，转CK，核舱单"/>
    <x v="104"/>
    <x v="2"/>
    <x v="1"/>
    <m/>
    <m/>
  </r>
  <r>
    <x v="28"/>
    <x v="62"/>
    <n v="5"/>
    <s v="接通知，报关，成功"/>
    <x v="105"/>
    <x v="2"/>
    <x v="1"/>
    <m/>
    <m/>
  </r>
  <r>
    <x v="28"/>
    <x v="62"/>
    <n v="6"/>
    <s v="进港，核数据，海放，码放，配载，开船"/>
    <x v="106"/>
    <x v="2"/>
    <x v="1"/>
    <m/>
    <m/>
  </r>
  <r>
    <x v="28"/>
    <x v="62"/>
    <n v="7"/>
    <s v="做费用"/>
    <x v="106"/>
    <x v="2"/>
    <x v="1"/>
    <m/>
    <m/>
  </r>
  <r>
    <x v="8"/>
    <x v="63"/>
    <n v="1"/>
    <s v="1204托书，订舱，邮件Wanda，通知客户，确认"/>
    <x v="69"/>
    <x v="1"/>
    <x v="1"/>
    <m/>
    <m/>
  </r>
  <r>
    <x v="8"/>
    <x v="63"/>
    <n v="2"/>
    <s v="开港时间，资料时间，做费用"/>
    <x v="107"/>
    <x v="1"/>
    <x v="1"/>
    <m/>
    <m/>
  </r>
  <r>
    <x v="8"/>
    <x v="63"/>
    <n v="3"/>
    <s v="资料，YJC截，HCP/INV确认，联代舱单，MSK截，核舱单"/>
    <x v="77"/>
    <x v="1"/>
    <x v="1"/>
    <m/>
    <s v="件毛体箱封号唛头"/>
  </r>
  <r>
    <x v="8"/>
    <x v="63"/>
    <n v="4"/>
    <s v="2COPY/AMS/DEBIT邮件Wanda"/>
    <x v="77"/>
    <x v="1"/>
    <x v="1"/>
    <m/>
    <m/>
  </r>
  <r>
    <x v="8"/>
    <x v="63"/>
    <n v="5"/>
    <s v="进港，核数据"/>
    <x v="77"/>
    <x v="1"/>
    <x v="1"/>
    <m/>
    <m/>
  </r>
  <r>
    <x v="8"/>
    <x v="63"/>
    <n v="6"/>
    <s v="海放，码放，配载，开船，通知Wanda"/>
    <x v="77"/>
    <x v="1"/>
    <x v="1"/>
    <m/>
    <m/>
  </r>
  <r>
    <x v="8"/>
    <x v="63"/>
    <n v="7"/>
    <s v="Wanda付款通知，放单给Wanda"/>
    <x v="77"/>
    <x v="1"/>
    <x v="1"/>
    <m/>
    <m/>
  </r>
  <r>
    <x v="3"/>
    <x v="63"/>
    <n v="1"/>
    <s v="托书，订舱"/>
    <x v="100"/>
    <x v="0"/>
    <x v="1"/>
    <m/>
    <m/>
  </r>
  <r>
    <x v="3"/>
    <x v="63"/>
    <n v="2"/>
    <s v="BCF(中转港必须是LAZARO)，发做箱通知(时间)，通知客户"/>
    <x v="91"/>
    <x v="2"/>
    <x v="1"/>
    <m/>
    <s v="约号无价格，等韩国更新"/>
  </r>
  <r>
    <x v="3"/>
    <x v="63"/>
    <n v="3"/>
    <s v="收报关资料，发报关行，要校对稿，做做箱数据给车队"/>
    <x v="91"/>
    <x v="2"/>
    <x v="1"/>
    <m/>
    <m/>
  </r>
  <r>
    <x v="3"/>
    <x v="63"/>
    <n v="4"/>
    <s v="更新系统件毛体，买保险，异地付款保函，回传，校对稿，确认"/>
    <x v="91"/>
    <x v="2"/>
    <x v="1"/>
    <m/>
    <m/>
  </r>
  <r>
    <x v="3"/>
    <x v="63"/>
    <n v="5"/>
    <s v="关注开港时间，跟车队(沈丽)确认做箱时间，如有变动通知胡媛媛"/>
    <x v="104"/>
    <x v="2"/>
    <x v="1"/>
    <m/>
    <m/>
  </r>
  <r>
    <x v="3"/>
    <x v="63"/>
    <n v="6"/>
    <s v="装箱单，截单资料发万恒，核舱单，报关(装箱单)"/>
    <x v="104"/>
    <x v="2"/>
    <x v="1"/>
    <m/>
    <m/>
  </r>
  <r>
    <x v="3"/>
    <x v="63"/>
    <n v="7"/>
    <s v="提单样本，确认，提单，客户放三单，陈吟勇提单"/>
    <x v="104"/>
    <x v="2"/>
    <x v="1"/>
    <m/>
    <m/>
  </r>
  <r>
    <x v="3"/>
    <x v="63"/>
    <n v="8"/>
    <s v="进港，核数据，海放，码放，配载，开船"/>
    <x v="104"/>
    <x v="2"/>
    <x v="1"/>
    <m/>
    <m/>
  </r>
  <r>
    <x v="3"/>
    <x v="63"/>
    <n v="9"/>
    <s v="【应付】确认账单，发票，水单"/>
    <x v="104"/>
    <x v="2"/>
    <x v="1"/>
    <m/>
    <m/>
  </r>
  <r>
    <x v="3"/>
    <x v="63"/>
    <n v="10"/>
    <s v="【应收】账单，邮件"/>
    <x v="104"/>
    <x v="2"/>
    <x v="1"/>
    <m/>
    <m/>
  </r>
  <r>
    <x v="29"/>
    <x v="63"/>
    <n v="1"/>
    <s v="收托书"/>
    <x v="100"/>
    <x v="0"/>
    <x v="1"/>
    <m/>
    <m/>
  </r>
  <r>
    <x v="29"/>
    <x v="63"/>
    <n v="2"/>
    <s v="收预配，转光洋"/>
    <x v="87"/>
    <x v="2"/>
    <x v="1"/>
    <m/>
    <m/>
  </r>
  <r>
    <x v="29"/>
    <x v="63"/>
    <n v="3"/>
    <s v="收报关资料，发报关行"/>
    <x v="87"/>
    <x v="2"/>
    <x v="1"/>
    <m/>
    <m/>
  </r>
  <r>
    <x v="29"/>
    <x v="63"/>
    <n v="4"/>
    <s v="收光洋装箱单，转CK，核舱单"/>
    <x v="87"/>
    <x v="2"/>
    <x v="1"/>
    <m/>
    <m/>
  </r>
  <r>
    <x v="29"/>
    <x v="63"/>
    <n v="5"/>
    <s v="接通知，报关，成功"/>
    <x v="87"/>
    <x v="2"/>
    <x v="1"/>
    <m/>
    <m/>
  </r>
  <r>
    <x v="29"/>
    <x v="63"/>
    <n v="6"/>
    <s v="进港，核数据，海放，码放，配载，开船"/>
    <x v="87"/>
    <x v="2"/>
    <x v="1"/>
    <m/>
    <m/>
  </r>
  <r>
    <x v="29"/>
    <x v="63"/>
    <n v="7"/>
    <s v="做费用"/>
    <x v="87"/>
    <x v="2"/>
    <x v="1"/>
    <m/>
    <m/>
  </r>
  <r>
    <x v="15"/>
    <x v="64"/>
    <n v="1"/>
    <s v="1220托书，1222订舱，1222发确认给Wanda，更新订舱约号"/>
    <x v="87"/>
    <x v="2"/>
    <x v="1"/>
    <m/>
    <m/>
  </r>
  <r>
    <x v="15"/>
    <x v="64"/>
    <n v="2"/>
    <s v="做箱通知给沈丽，通知客户做箱时间"/>
    <x v="90"/>
    <x v="2"/>
    <x v="1"/>
    <m/>
    <m/>
  </r>
  <r>
    <x v="15"/>
    <x v="64"/>
    <n v="3"/>
    <s v="跟客户确认资料好的时间，做费用，联代费用结清？"/>
    <x v="108"/>
    <x v="2"/>
    <x v="1"/>
    <m/>
    <m/>
  </r>
  <r>
    <x v="15"/>
    <x v="64"/>
    <n v="4"/>
    <s v="收报关资料，做做箱数据发车队（约号改不了外港提箱），资料发报关行"/>
    <x v="108"/>
    <x v="2"/>
    <x v="1"/>
    <m/>
    <m/>
  </r>
  <r>
    <x v="15"/>
    <x v="64"/>
    <n v="5"/>
    <s v="邮件请MSK代发AMS，要HBL no"/>
    <x v="108"/>
    <x v="2"/>
    <x v="1"/>
    <m/>
    <m/>
  </r>
  <r>
    <x v="15"/>
    <x v="64"/>
    <n v="6"/>
    <s v="收装箱单，截单（收货人通知人使用新的，让康跟国外确认）参考0730ROADSUN截图"/>
    <x v="108"/>
    <x v="2"/>
    <x v="1"/>
    <m/>
    <m/>
  </r>
  <r>
    <x v="15"/>
    <x v="64"/>
    <n v="7"/>
    <s v="发HBL COPY、MBL COPY、AMS、CREDIT给Wanda确认"/>
    <x v="108"/>
    <x v="2"/>
    <x v="1"/>
    <m/>
    <m/>
  </r>
  <r>
    <x v="15"/>
    <x v="64"/>
    <n v="8"/>
    <s v="发舱单，核舱单，报关，发VGM，参考0730ROADSUN截图"/>
    <x v="108"/>
    <x v="2"/>
    <x v="1"/>
    <m/>
    <m/>
  </r>
  <r>
    <x v="15"/>
    <x v="64"/>
    <n v="9"/>
    <s v="进港，核数据，海放，码放，配载"/>
    <x v="108"/>
    <x v="2"/>
    <x v="1"/>
    <m/>
    <m/>
  </r>
  <r>
    <x v="15"/>
    <x v="64"/>
    <n v="10"/>
    <s v="确认费用，APP，开票寄陈强英"/>
    <x v="108"/>
    <x v="2"/>
    <x v="1"/>
    <m/>
    <m/>
  </r>
  <r>
    <x v="15"/>
    <x v="64"/>
    <n v="11"/>
    <s v="开船，通知Wanda，付款通知，放MBL"/>
    <x v="108"/>
    <x v="2"/>
    <x v="1"/>
    <m/>
    <m/>
  </r>
  <r>
    <x v="15"/>
    <x v="64"/>
    <n v="12"/>
    <s v="【应收】水单，放提单、预录单、放行单"/>
    <x v="108"/>
    <x v="2"/>
    <x v="1"/>
    <m/>
    <m/>
  </r>
  <r>
    <x v="8"/>
    <x v="65"/>
    <n v="1"/>
    <s v="1204托书，订舱，邮件Wanda，通知客户，确认"/>
    <x v="69"/>
    <x v="1"/>
    <x v="1"/>
    <m/>
    <m/>
  </r>
  <r>
    <x v="8"/>
    <x v="65"/>
    <n v="2"/>
    <s v="开港时间，资料时间，做费用"/>
    <x v="108"/>
    <x v="1"/>
    <x v="1"/>
    <m/>
    <m/>
  </r>
  <r>
    <x v="8"/>
    <x v="65"/>
    <n v="3"/>
    <s v="资料，YJC截，HCP/INV确认，联代舱单，MSK截，核舱单"/>
    <x v="92"/>
    <x v="1"/>
    <x v="1"/>
    <m/>
    <s v="件毛体箱封号唛头"/>
  </r>
  <r>
    <x v="8"/>
    <x v="65"/>
    <n v="4"/>
    <s v="2COPY/AMS/DEBIT邮件Wanda"/>
    <x v="92"/>
    <x v="1"/>
    <x v="1"/>
    <m/>
    <m/>
  </r>
  <r>
    <x v="8"/>
    <x v="65"/>
    <n v="5"/>
    <s v="进港，核数据"/>
    <x v="92"/>
    <x v="1"/>
    <x v="1"/>
    <m/>
    <m/>
  </r>
  <r>
    <x v="8"/>
    <x v="65"/>
    <n v="6"/>
    <s v="海放，码放，配载，开船，通知Wanda"/>
    <x v="92"/>
    <x v="1"/>
    <x v="1"/>
    <m/>
    <m/>
  </r>
  <r>
    <x v="8"/>
    <x v="65"/>
    <n v="7"/>
    <s v="Wanda付款通知，放单给Wanda"/>
    <x v="92"/>
    <x v="1"/>
    <x v="1"/>
    <m/>
    <m/>
  </r>
  <r>
    <x v="8"/>
    <x v="66"/>
    <n v="1"/>
    <s v="1220托书，约号？订舱，邮件Wanda，通知客户，确认"/>
    <x v="48"/>
    <x v="2"/>
    <x v="1"/>
    <m/>
    <m/>
  </r>
  <r>
    <x v="8"/>
    <x v="66"/>
    <n v="2"/>
    <s v="开港时间，资料时间，做费用，联代费用结清？"/>
    <x v="109"/>
    <x v="2"/>
    <x v="1"/>
    <m/>
    <m/>
  </r>
  <r>
    <x v="8"/>
    <x v="66"/>
    <n v="3"/>
    <s v="资料，YJC截，HCP/INV确认，联代舱单，MSK截，核舱单"/>
    <x v="109"/>
    <x v="2"/>
    <x v="1"/>
    <m/>
    <m/>
  </r>
  <r>
    <x v="8"/>
    <x v="66"/>
    <n v="4"/>
    <s v="2COPY/AMS/DEBIT邮件Wanda"/>
    <x v="109"/>
    <x v="2"/>
    <x v="1"/>
    <m/>
    <m/>
  </r>
  <r>
    <x v="8"/>
    <x v="66"/>
    <n v="5"/>
    <s v="进港，核数据"/>
    <x v="109"/>
    <x v="2"/>
    <x v="1"/>
    <m/>
    <m/>
  </r>
  <r>
    <x v="8"/>
    <x v="66"/>
    <n v="6"/>
    <s v="海放，码放，配载，开船，通知Wanda"/>
    <x v="109"/>
    <x v="2"/>
    <x v="1"/>
    <m/>
    <m/>
  </r>
  <r>
    <x v="8"/>
    <x v="66"/>
    <n v="7"/>
    <s v="Wanda付款通知，放单给Wanda"/>
    <x v="109"/>
    <x v="2"/>
    <x v="1"/>
    <m/>
    <m/>
  </r>
  <r>
    <x v="8"/>
    <x v="67"/>
    <n v="1"/>
    <s v="1220托书，约号？订舱，邮件Wanda，通知客户，确认"/>
    <x v="48"/>
    <x v="2"/>
    <x v="1"/>
    <m/>
    <m/>
  </r>
  <r>
    <x v="8"/>
    <x v="67"/>
    <n v="2"/>
    <s v="开港时间，资料时间，做费用，联代费用结清？"/>
    <x v="110"/>
    <x v="2"/>
    <x v="1"/>
    <m/>
    <m/>
  </r>
  <r>
    <x v="8"/>
    <x v="67"/>
    <n v="3"/>
    <s v="资料，YJC截，HCP/INV确认，联代舱单，MSK截，核舱单"/>
    <x v="110"/>
    <x v="2"/>
    <x v="1"/>
    <m/>
    <m/>
  </r>
  <r>
    <x v="8"/>
    <x v="67"/>
    <n v="4"/>
    <s v="2COPY/AMS/DEBIT邮件Wanda"/>
    <x v="110"/>
    <x v="2"/>
    <x v="1"/>
    <m/>
    <m/>
  </r>
  <r>
    <x v="8"/>
    <x v="67"/>
    <n v="5"/>
    <s v="进港，核数据"/>
    <x v="110"/>
    <x v="2"/>
    <x v="1"/>
    <m/>
    <m/>
  </r>
  <r>
    <x v="8"/>
    <x v="67"/>
    <n v="6"/>
    <s v="海放，码放，配载，开船，通知Wanda"/>
    <x v="110"/>
    <x v="2"/>
    <x v="1"/>
    <m/>
    <m/>
  </r>
  <r>
    <x v="8"/>
    <x v="67"/>
    <n v="7"/>
    <s v="Wanda付款通知，放单给Wanda"/>
    <x v="110"/>
    <x v="2"/>
    <x v="1"/>
    <m/>
    <m/>
  </r>
  <r>
    <x v="8"/>
    <x v="68"/>
    <n v="1"/>
    <s v="1220托书，约号？订舱，邮件Wanda，通知客户，确认"/>
    <x v="48"/>
    <x v="2"/>
    <x v="1"/>
    <m/>
    <m/>
  </r>
  <r>
    <x v="8"/>
    <x v="68"/>
    <n v="2"/>
    <s v="开港时间，资料时间，做费用，联代费用结清？"/>
    <x v="111"/>
    <x v="2"/>
    <x v="1"/>
    <m/>
    <m/>
  </r>
  <r>
    <x v="8"/>
    <x v="68"/>
    <n v="3"/>
    <s v="资料，YJC截，HCP/INV确认，联代舱单，MSK截，核舱单"/>
    <x v="111"/>
    <x v="2"/>
    <x v="1"/>
    <m/>
    <m/>
  </r>
  <r>
    <x v="8"/>
    <x v="68"/>
    <n v="4"/>
    <s v="2COPY/AMS/DEBIT邮件Wanda"/>
    <x v="111"/>
    <x v="2"/>
    <x v="1"/>
    <m/>
    <m/>
  </r>
  <r>
    <x v="8"/>
    <x v="68"/>
    <n v="5"/>
    <s v="进港，核数据"/>
    <x v="111"/>
    <x v="2"/>
    <x v="1"/>
    <m/>
    <m/>
  </r>
  <r>
    <x v="8"/>
    <x v="68"/>
    <n v="6"/>
    <s v="海放，码放，配载，开船，通知Wanda"/>
    <x v="111"/>
    <x v="2"/>
    <x v="1"/>
    <m/>
    <m/>
  </r>
  <r>
    <x v="8"/>
    <x v="68"/>
    <n v="7"/>
    <s v="Wanda付款通知，放单给Wanda"/>
    <x v="111"/>
    <x v="2"/>
    <x v="1"/>
    <m/>
    <m/>
  </r>
  <r>
    <x v="8"/>
    <x v="69"/>
    <n v="1"/>
    <s v="1220托书，约号？订舱，邮件Wanda，通知客户，确认"/>
    <x v="48"/>
    <x v="2"/>
    <x v="1"/>
    <m/>
    <m/>
  </r>
  <r>
    <x v="8"/>
    <x v="69"/>
    <n v="2"/>
    <s v="开港时间，资料时间，做费用，联代费用结清？"/>
    <x v="112"/>
    <x v="2"/>
    <x v="1"/>
    <m/>
    <m/>
  </r>
  <r>
    <x v="8"/>
    <x v="69"/>
    <n v="3"/>
    <s v="资料，YJC截，HCP/INV确认，联代舱单，MSK截，核舱单"/>
    <x v="112"/>
    <x v="2"/>
    <x v="1"/>
    <m/>
    <m/>
  </r>
  <r>
    <x v="8"/>
    <x v="69"/>
    <n v="4"/>
    <s v="2COPY/AMS/DEBIT邮件Wanda"/>
    <x v="112"/>
    <x v="2"/>
    <x v="1"/>
    <m/>
    <m/>
  </r>
  <r>
    <x v="8"/>
    <x v="69"/>
    <n v="5"/>
    <s v="进港，核数据"/>
    <x v="112"/>
    <x v="2"/>
    <x v="1"/>
    <m/>
    <m/>
  </r>
  <r>
    <x v="8"/>
    <x v="69"/>
    <n v="6"/>
    <s v="海放，码放，配载，开船，通知Wanda"/>
    <x v="112"/>
    <x v="2"/>
    <x v="1"/>
    <m/>
    <m/>
  </r>
  <r>
    <x v="8"/>
    <x v="69"/>
    <n v="7"/>
    <s v="Wanda付款通知，放单给Wanda"/>
    <x v="112"/>
    <x v="2"/>
    <x v="1"/>
    <m/>
    <m/>
  </r>
  <r>
    <x v="2"/>
    <x v="55"/>
    <m/>
    <s v="12月货运表明天（1224）给孙丹"/>
    <x v="48"/>
    <x v="2"/>
    <x v="1"/>
    <m/>
    <m/>
  </r>
  <r>
    <x v="2"/>
    <x v="55"/>
    <m/>
    <s v="周三中午提供午饭"/>
    <x v="87"/>
    <x v="2"/>
    <x v="1"/>
    <m/>
    <m/>
  </r>
  <r>
    <x v="2"/>
    <x v="55"/>
    <m/>
    <s v="12月份LSS国外都按20/40收，退费重算"/>
    <x v="87"/>
    <x v="2"/>
    <x v="1"/>
    <m/>
    <m/>
  </r>
  <r>
    <x v="21"/>
    <x v="54"/>
    <n v="6"/>
    <s v="发票快递 1223 772004205992850"/>
    <x v="87"/>
    <x v="2"/>
    <x v="1"/>
    <m/>
    <m/>
  </r>
  <r>
    <x v="25"/>
    <x v="62"/>
    <n v="1"/>
    <s v="1223托书，预配(沈丽)，YJC生成"/>
    <x v="88"/>
    <x v="2"/>
    <x v="1"/>
    <m/>
    <m/>
  </r>
  <r>
    <x v="25"/>
    <x v="62"/>
    <n v="2"/>
    <s v="包装指示书，汇总，发工厂，做箱数据，发订舱口"/>
    <x v="89"/>
    <x v="2"/>
    <x v="1"/>
    <m/>
    <s v="周日给数据"/>
  </r>
  <r>
    <x v="25"/>
    <x v="62"/>
    <n v="3"/>
    <s v="收做资料(代做确认)，发报关行，货运模板"/>
    <x v="91"/>
    <x v="2"/>
    <x v="1"/>
    <m/>
    <m/>
  </r>
  <r>
    <x v="25"/>
    <x v="62"/>
    <n v="4"/>
    <s v="装箱单(洋提)，群发，发舱单，核舱单"/>
    <x v="91"/>
    <x v="2"/>
    <x v="1"/>
    <m/>
    <m/>
  </r>
  <r>
    <x v="25"/>
    <x v="62"/>
    <n v="5"/>
    <s v="报关，成功，进港，核数据"/>
    <x v="91"/>
    <x v="2"/>
    <x v="1"/>
    <m/>
    <m/>
  </r>
  <r>
    <x v="25"/>
    <x v="62"/>
    <n v="6"/>
    <s v="海放，码放，配载，开船"/>
    <x v="91"/>
    <x v="2"/>
    <x v="1"/>
    <m/>
    <m/>
  </r>
  <r>
    <x v="25"/>
    <x v="62"/>
    <n v="7"/>
    <s v="费用（4号 公共盘 月账单表 发孙丹），额外费用邮件"/>
    <x v="106"/>
    <x v="2"/>
    <x v="1"/>
    <m/>
    <m/>
  </r>
  <r>
    <x v="30"/>
    <x v="63"/>
    <n v="1"/>
    <s v="1223托书，预配，YJC生成，做箱时间，订车，回孙丹"/>
    <x v="91"/>
    <x v="2"/>
    <x v="1"/>
    <m/>
    <m/>
  </r>
  <r>
    <x v="30"/>
    <x v="63"/>
    <n v="2"/>
    <s v="数据，发沈丽，要报关资料，发报关行"/>
    <x v="104"/>
    <x v="2"/>
    <x v="1"/>
    <m/>
    <m/>
  </r>
  <r>
    <x v="30"/>
    <x v="63"/>
    <n v="3"/>
    <s v="装箱单，转CK发舱单，核舱单"/>
    <x v="104"/>
    <x v="2"/>
    <x v="1"/>
    <m/>
    <m/>
  </r>
  <r>
    <x v="30"/>
    <x v="63"/>
    <n v="4"/>
    <s v="报关，进港，核数据，海放"/>
    <x v="104"/>
    <x v="2"/>
    <x v="1"/>
    <m/>
    <m/>
  </r>
  <r>
    <x v="30"/>
    <x v="63"/>
    <n v="5"/>
    <s v="码放，配载，开船"/>
    <x v="104"/>
    <x v="2"/>
    <x v="1"/>
    <m/>
    <m/>
  </r>
  <r>
    <x v="30"/>
    <x v="63"/>
    <n v="6"/>
    <s v="费用（4号 公共盘 月账单表 发孙丹），额外费用邮件"/>
    <x v="113"/>
    <x v="2"/>
    <x v="1"/>
    <m/>
    <m/>
  </r>
  <r>
    <x v="18"/>
    <x v="63"/>
    <n v="1"/>
    <s v="1220托书，1224订舱，进仓通知，邮件KY，KY确认"/>
    <x v="87"/>
    <x v="2"/>
    <x v="1"/>
    <m/>
    <m/>
  </r>
  <r>
    <x v="18"/>
    <x v="63"/>
    <n v="2"/>
    <s v="报关单，LSS预付？，3截单，5截货"/>
    <x v="91"/>
    <x v="2"/>
    <x v="1"/>
    <m/>
    <m/>
  </r>
  <r>
    <x v="18"/>
    <x v="63"/>
    <n v="3"/>
    <s v="MBL确认，HBL确认，邮件KY，应付确认"/>
    <x v="91"/>
    <x v="2"/>
    <x v="1"/>
    <m/>
    <m/>
  </r>
  <r>
    <x v="18"/>
    <x v="63"/>
    <n v="4"/>
    <s v="应付发票，应付水单，应收确认，发票，应收水单，放HBL"/>
    <x v="91"/>
    <x v="2"/>
    <x v="1"/>
    <m/>
    <m/>
  </r>
  <r>
    <x v="18"/>
    <x v="63"/>
    <n v="5"/>
    <s v="船开，放MBL，邮件KY"/>
    <x v="91"/>
    <x v="2"/>
    <x v="1"/>
    <m/>
    <m/>
  </r>
  <r>
    <x v="2"/>
    <x v="55"/>
    <m/>
    <s v="01/01 家居取消"/>
    <x v="87"/>
    <x v="2"/>
    <x v="1"/>
    <m/>
    <m/>
  </r>
  <r>
    <x v="2"/>
    <x v="55"/>
    <m/>
    <s v="新的LCL托书，订舱"/>
    <x v="87"/>
    <x v="2"/>
    <x v="1"/>
    <m/>
    <m/>
  </r>
  <r>
    <x v="2"/>
    <x v="55"/>
    <m/>
    <s v="际托要安排表"/>
    <x v="88"/>
    <x v="2"/>
    <x v="1"/>
    <m/>
    <m/>
  </r>
  <r>
    <x v="31"/>
    <x v="70"/>
    <n v="1"/>
    <s v="1224托书，订舱，进仓通知，1224邮件KY，KY确认"/>
    <x v="88"/>
    <x v="2"/>
    <x v="1"/>
    <m/>
    <m/>
  </r>
  <r>
    <x v="31"/>
    <x v="70"/>
    <n v="2"/>
    <s v="LSS预付？，截单，截货"/>
    <x v="88"/>
    <x v="2"/>
    <x v="1"/>
    <m/>
    <m/>
  </r>
  <r>
    <x v="31"/>
    <x v="70"/>
    <n v="3"/>
    <s v="MBL确认，HBL确认，应付确认"/>
    <x v="72"/>
    <x v="2"/>
    <x v="1"/>
    <m/>
    <m/>
  </r>
  <r>
    <x v="31"/>
    <x v="70"/>
    <n v="4"/>
    <s v="应付发票，应付水单，应收确认，发票，应收水单，放HBL"/>
    <x v="72"/>
    <x v="2"/>
    <x v="1"/>
    <m/>
    <m/>
  </r>
  <r>
    <x v="31"/>
    <x v="70"/>
    <n v="5"/>
    <s v="邮件KY，船开，放MBL，邮件KY"/>
    <x v="72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65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G75" firstHeaderRow="1" firstDataRow="2" firstDataCol="1" rowPageCount="2" colPageCount="1"/>
  <pivotFields count="9">
    <pivotField axis="axisRow" subtotalTop="0" showAll="0" sortType="ascending" defaultSubtotal="0">
      <items count="81">
        <item m="1" x="41"/>
        <item m="1" x="55"/>
        <item m="1" x="47"/>
        <item m="1" x="67"/>
        <item m="1" x="79"/>
        <item m="1" x="34"/>
        <item m="1" x="37"/>
        <item m="1" x="43"/>
        <item m="1" x="48"/>
        <item m="1" x="57"/>
        <item m="1" x="33"/>
        <item m="1" x="71"/>
        <item m="1" x="61"/>
        <item m="1" x="70"/>
        <item x="8"/>
        <item x="15"/>
        <item m="1" x="69"/>
        <item x="26"/>
        <item m="1" x="54"/>
        <item m="1" x="56"/>
        <item m="1" x="40"/>
        <item m="1" x="46"/>
        <item m="1" x="59"/>
        <item x="27"/>
        <item m="1" x="66"/>
        <item x="13"/>
        <item x="21"/>
        <item x="18"/>
        <item x="31"/>
        <item x="10"/>
        <item x="11"/>
        <item x="9"/>
        <item x="12"/>
        <item x="16"/>
        <item x="14"/>
        <item x="22"/>
        <item x="0"/>
        <item m="1" x="44"/>
        <item m="1" x="76"/>
        <item m="1" x="53"/>
        <item m="1" x="62"/>
        <item m="1" x="45"/>
        <item m="1" x="64"/>
        <item m="1" x="74"/>
        <item m="1" x="80"/>
        <item m="1" x="68"/>
        <item m="1" x="75"/>
        <item m="1" x="65"/>
        <item x="7"/>
        <item x="3"/>
        <item m="1" x="51"/>
        <item m="1" x="35"/>
        <item x="1"/>
        <item m="1" x="63"/>
        <item m="1" x="42"/>
        <item m="1" x="39"/>
        <item m="1" x="50"/>
        <item m="1" x="72"/>
        <item m="1" x="38"/>
        <item x="6"/>
        <item x="19"/>
        <item x="17"/>
        <item x="23"/>
        <item x="20"/>
        <item x="29"/>
        <item x="4"/>
        <item x="25"/>
        <item x="28"/>
        <item x="30"/>
        <item x="24"/>
        <item x="5"/>
        <item m="1" x="77"/>
        <item m="1" x="78"/>
        <item m="1" x="58"/>
        <item x="2"/>
        <item m="1" x="52"/>
        <item m="1" x="49"/>
        <item m="1" x="73"/>
        <item m="1" x="36"/>
        <item m="1" x="60"/>
        <item m="1"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90">
        <item m="1" x="166"/>
        <item m="1" x="155"/>
        <item m="1" x="121"/>
        <item m="1" x="130"/>
        <item m="1" x="115"/>
        <item m="1" x="98"/>
        <item m="1" x="128"/>
        <item m="1" x="173"/>
        <item m="1" x="112"/>
        <item m="1" x="92"/>
        <item m="1" x="123"/>
        <item m="1" x="107"/>
        <item m="1" x="84"/>
        <item m="1" x="118"/>
        <item m="1" x="158"/>
        <item m="1" x="161"/>
        <item m="1" x="101"/>
        <item m="1" x="76"/>
        <item m="1" x="79"/>
        <item m="1" x="110"/>
        <item m="1" x="90"/>
        <item m="1" x="184"/>
        <item m="1" x="164"/>
        <item m="1" x="145"/>
        <item m="1" x="81"/>
        <item m="1" x="85"/>
        <item m="1" x="179"/>
        <item m="1" x="156"/>
        <item m="1" x="141"/>
        <item m="1" x="74"/>
        <item m="1" x="176"/>
        <item m="1" x="151"/>
        <item m="1" x="136"/>
        <item m="1" x="188"/>
        <item m="1" x="169"/>
        <item m="1" x="147"/>
        <item m="1" x="99"/>
        <item m="1" x="73"/>
        <item m="1" x="174"/>
        <item m="1" x="150"/>
        <item m="1" x="93"/>
        <item m="1" x="94"/>
        <item m="1" x="96"/>
        <item m="1" x="135"/>
        <item m="1" x="137"/>
        <item m="1" x="186"/>
        <item m="1" x="124"/>
        <item m="1" x="167"/>
        <item m="1" x="146"/>
        <item m="1" x="86"/>
        <item m="1" x="88"/>
        <item m="1" x="133"/>
        <item m="1" x="180"/>
        <item m="1" x="119"/>
        <item m="1" x="159"/>
        <item m="1" x="102"/>
        <item m="1" x="143"/>
        <item m="1" x="77"/>
        <item m="1" x="177"/>
        <item m="1" x="153"/>
        <item m="1" x="139"/>
        <item m="1" x="71"/>
        <item m="1" x="127"/>
        <item m="1" x="171"/>
        <item m="1" x="82"/>
        <item m="1" x="132"/>
        <item m="1" x="117"/>
        <item m="1" x="157"/>
        <item m="1" x="100"/>
        <item m="1" x="142"/>
        <item m="1" x="75"/>
        <item m="1" x="129"/>
        <item m="1" x="113"/>
        <item m="1" x="152"/>
        <item m="1" x="95"/>
        <item m="1" x="138"/>
        <item m="1" x="126"/>
        <item m="1" x="109"/>
        <item m="1" x="148"/>
        <item m="1" x="89"/>
        <item m="1" x="134"/>
        <item m="1" x="122"/>
        <item m="1" x="104"/>
        <item m="1" x="105"/>
        <item m="1" x="144"/>
        <item m="1" x="80"/>
        <item m="1" x="83"/>
        <item m="1" x="131"/>
        <item m="1" x="116"/>
        <item m="1" x="187"/>
        <item m="1" x="189"/>
        <item m="1" x="125"/>
        <item m="1" x="168"/>
        <item m="1" x="170"/>
        <item m="1" x="108"/>
        <item m="1" x="87"/>
        <item m="1" x="181"/>
        <item m="1" x="182"/>
        <item m="1" x="120"/>
        <item m="1" x="160"/>
        <item m="1" x="162"/>
        <item m="1" x="103"/>
        <item m="1" x="78"/>
        <item m="1" x="178"/>
        <item m="1" x="114"/>
        <item m="1" x="154"/>
        <item m="1" x="97"/>
        <item m="1" x="140"/>
        <item m="1" x="72"/>
        <item m="1" x="172"/>
        <item m="1" x="111"/>
        <item m="1" x="149"/>
        <item m="1" x="91"/>
        <item m="1" x="185"/>
        <item m="1" x="165"/>
        <item m="1" x="106"/>
        <item x="0"/>
        <item x="1"/>
        <item x="2"/>
        <item x="3"/>
        <item x="4"/>
        <item x="5"/>
        <item x="6"/>
        <item x="7"/>
        <item m="1" x="183"/>
        <item x="8"/>
        <item x="9"/>
        <item x="10"/>
        <item x="11"/>
        <item x="12"/>
        <item x="13"/>
        <item x="14"/>
        <item x="15"/>
        <item x="16"/>
        <item x="17"/>
        <item x="18"/>
        <item m="1" x="175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63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9"/>
        <item x="60"/>
        <item x="58"/>
        <item x="61"/>
        <item x="62"/>
        <item x="63"/>
        <item x="64"/>
        <item x="65"/>
        <item x="66"/>
        <item x="67"/>
        <item x="68"/>
        <item x="69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58">
        <item m="1" x="126"/>
        <item m="1" x="189"/>
        <item m="1" x="248"/>
        <item m="1" x="165"/>
        <item m="1" x="203"/>
        <item m="1" x="116"/>
        <item m="1" x="239"/>
        <item m="1" x="155"/>
        <item m="1" x="217"/>
        <item m="1" x="169"/>
        <item m="1" x="184"/>
        <item m="1" x="244"/>
        <item m="1" x="161"/>
        <item m="1" x="222"/>
        <item m="1" x="138"/>
        <item m="1" x="201"/>
        <item m="1" x="178"/>
        <item m="1" x="237"/>
        <item m="1" x="153"/>
        <item m="1" x="215"/>
        <item m="1" x="132"/>
        <item m="1" x="172"/>
        <item m="1" x="231"/>
        <item m="1" x="147"/>
        <item m="1" x="210"/>
        <item m="1" x="127"/>
        <item m="1" x="190"/>
        <item m="1" x="249"/>
        <item m="1" x="166"/>
        <item m="1" x="226"/>
        <item m="1" x="142"/>
        <item m="1" x="206"/>
        <item m="1" x="120"/>
        <item m="1" x="152"/>
        <item m="1" x="214"/>
        <item m="1" x="131"/>
        <item m="1" x="195"/>
        <item m="1" x="253"/>
        <item m="1" x="171"/>
        <item m="1" x="230"/>
        <item m="1" x="146"/>
        <item m="1" x="209"/>
        <item m="1" x="123"/>
        <item m="1" x="186"/>
        <item m="1" x="246"/>
        <item m="1" x="163"/>
        <item m="1" x="224"/>
        <item m="1" x="140"/>
        <item m="1" x="204"/>
        <item m="1" x="117"/>
        <item m="1" x="180"/>
        <item m="1" x="240"/>
        <item m="1" x="156"/>
        <item m="1" x="218"/>
        <item m="1" x="134"/>
        <item m="1" x="197"/>
        <item m="1" x="256"/>
        <item m="1" x="174"/>
        <item m="1" x="233"/>
        <item m="1" x="150"/>
        <item m="1" x="212"/>
        <item m="1" x="129"/>
        <item m="1" x="193"/>
        <item m="1" x="139"/>
        <item m="1" x="202"/>
        <item m="1" x="115"/>
        <item m="1" x="179"/>
        <item m="1" x="238"/>
        <item m="1" x="154"/>
        <item m="1" x="216"/>
        <item m="1" x="133"/>
        <item m="1" x="196"/>
        <item m="1" x="254"/>
        <item m="1" x="173"/>
        <item m="1" x="232"/>
        <item m="1" x="148"/>
        <item m="1" x="211"/>
        <item m="1" x="128"/>
        <item m="1" x="191"/>
        <item m="1" x="250"/>
        <item m="1" x="167"/>
        <item m="1" x="227"/>
        <item m="1" x="143"/>
        <item m="1" x="207"/>
        <item m="1" x="121"/>
        <item m="1" x="182"/>
        <item m="1" x="242"/>
        <item m="1" x="159"/>
        <item m="1" x="220"/>
        <item m="1" x="136"/>
        <item m="1" x="199"/>
        <item m="1" x="114"/>
        <item m="1" x="176"/>
        <item m="1" x="235"/>
        <item m="1" x="124"/>
        <item m="1" x="187"/>
        <item m="1" x="247"/>
        <item m="1" x="164"/>
        <item m="1" x="225"/>
        <item m="1" x="141"/>
        <item m="1" x="205"/>
        <item m="1" x="118"/>
        <item m="1" x="181"/>
        <item m="1" x="241"/>
        <item m="1" x="157"/>
        <item m="1" x="219"/>
        <item m="1" x="135"/>
        <item m="1" x="198"/>
        <item m="1" x="257"/>
        <item m="1" x="175"/>
        <item m="1" x="234"/>
        <item m="1" x="151"/>
        <item m="1" x="213"/>
        <item m="1" x="130"/>
        <item m="1" x="194"/>
        <item m="1" x="252"/>
        <item m="1" x="170"/>
        <item m="1" x="229"/>
        <item m="1" x="145"/>
        <item m="1" x="208"/>
        <item m="1" x="122"/>
        <item m="1" x="185"/>
        <item m="1" x="245"/>
        <item m="1" x="162"/>
        <item m="1" x="223"/>
        <item m="1" x="255"/>
        <item x="29"/>
        <item x="30"/>
        <item m="1" x="149"/>
        <item x="41"/>
        <item x="42"/>
        <item m="1" x="192"/>
        <item m="1" x="251"/>
        <item m="1" x="168"/>
        <item m="1" x="228"/>
        <item m="1" x="144"/>
        <item x="50"/>
        <item x="51"/>
        <item m="1" x="183"/>
        <item m="1" x="243"/>
        <item m="1" x="160"/>
        <item m="1" x="221"/>
        <item x="36"/>
        <item x="34"/>
        <item x="37"/>
        <item m="1" x="177"/>
        <item m="1" x="236"/>
        <item x="0"/>
        <item x="1"/>
        <item x="8"/>
        <item x="2"/>
        <item x="31"/>
        <item x="3"/>
        <item x="4"/>
        <item x="35"/>
        <item x="6"/>
        <item m="1" x="158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3"/>
        <item x="13"/>
        <item x="53"/>
        <item x="55"/>
        <item x="56"/>
        <item x="54"/>
        <item m="1" x="137"/>
        <item m="1" x="200"/>
        <item x="58"/>
        <item x="57"/>
        <item x="60"/>
        <item x="59"/>
        <item x="61"/>
        <item x="75"/>
        <item x="63"/>
        <item x="74"/>
        <item x="76"/>
        <item x="65"/>
        <item x="62"/>
        <item x="64"/>
        <item m="1" x="125"/>
        <item m="1" x="188"/>
        <item x="49"/>
        <item x="71"/>
        <item x="66"/>
        <item x="68"/>
        <item x="67"/>
        <item m="1" x="119"/>
        <item x="94"/>
        <item x="70"/>
        <item x="93"/>
        <item x="78"/>
        <item x="80"/>
        <item x="82"/>
        <item x="95"/>
        <item x="97"/>
        <item x="69"/>
        <item x="79"/>
        <item x="84"/>
        <item x="96"/>
        <item x="86"/>
        <item x="98"/>
        <item x="101"/>
        <item x="81"/>
        <item x="83"/>
        <item x="52"/>
        <item x="100"/>
        <item x="85"/>
        <item x="102"/>
        <item x="99"/>
        <item x="48"/>
        <item x="87"/>
        <item x="88"/>
        <item x="72"/>
        <item x="89"/>
        <item x="90"/>
        <item x="103"/>
        <item x="91"/>
        <item x="104"/>
        <item x="107"/>
        <item x="77"/>
        <item x="105"/>
        <item x="106"/>
        <item x="113"/>
        <item x="108"/>
        <item x="92"/>
        <item x="109"/>
        <item x="110"/>
        <item x="111"/>
        <item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70">
    <i>
      <x v="14"/>
    </i>
    <i r="1">
      <x v="170"/>
    </i>
    <i r="1">
      <x v="175"/>
    </i>
    <i r="1">
      <x v="179"/>
    </i>
    <i r="1">
      <x v="185"/>
    </i>
    <i r="1">
      <x v="186"/>
    </i>
    <i r="1">
      <x v="187"/>
    </i>
    <i r="1">
      <x v="188"/>
    </i>
    <i>
      <x v="15"/>
    </i>
    <i r="1">
      <x v="183"/>
    </i>
    <i>
      <x v="17"/>
    </i>
    <i r="1">
      <x v="180"/>
    </i>
    <i>
      <x v="23"/>
    </i>
    <i r="1">
      <x v="180"/>
    </i>
    <i>
      <x v="25"/>
    </i>
    <i r="1">
      <x v="171"/>
    </i>
    <i>
      <x v="26"/>
    </i>
    <i r="1">
      <x v="173"/>
    </i>
    <i>
      <x v="27"/>
    </i>
    <i r="1">
      <x v="182"/>
    </i>
    <i>
      <x v="28"/>
    </i>
    <i r="1">
      <x v="189"/>
    </i>
    <i>
      <x v="34"/>
    </i>
    <i r="1">
      <x v="179"/>
    </i>
    <i>
      <x v="36"/>
    </i>
    <i r="1">
      <x v="175"/>
    </i>
    <i>
      <x v="48"/>
    </i>
    <i r="1">
      <x v="168"/>
    </i>
    <i r="1">
      <x v="176"/>
    </i>
    <i>
      <x v="49"/>
    </i>
    <i r="1">
      <x v="175"/>
    </i>
    <i>
      <x v="52"/>
    </i>
    <i r="1">
      <x v="139"/>
    </i>
    <i r="1">
      <x v="160"/>
    </i>
    <i>
      <x v="59"/>
    </i>
    <i r="1">
      <x v="172"/>
    </i>
    <i>
      <x v="60"/>
    </i>
    <i r="1">
      <x v="168"/>
    </i>
    <i r="1">
      <x v="173"/>
    </i>
    <i>
      <x v="61"/>
    </i>
    <i r="1">
      <x v="169"/>
    </i>
    <i>
      <x v="62"/>
    </i>
    <i r="1">
      <x v="175"/>
    </i>
    <i>
      <x v="63"/>
    </i>
    <i r="1">
      <x v="171"/>
    </i>
    <i r="1">
      <x v="178"/>
    </i>
    <i r="1">
      <x v="180"/>
    </i>
    <i>
      <x v="64"/>
    </i>
    <i r="1">
      <x v="182"/>
    </i>
    <i>
      <x v="65"/>
    </i>
    <i r="1">
      <x v="171"/>
    </i>
    <i r="1">
      <x v="176"/>
    </i>
    <i r="1">
      <x v="180"/>
    </i>
    <i>
      <x v="66"/>
    </i>
    <i r="1">
      <x v="177"/>
    </i>
    <i r="1">
      <x v="181"/>
    </i>
    <i>
      <x v="67"/>
    </i>
    <i r="1">
      <x v="181"/>
    </i>
    <i>
      <x v="69"/>
    </i>
    <i r="1">
      <x v="176"/>
    </i>
    <i r="1">
      <x v="180"/>
    </i>
    <i>
      <x v="70"/>
    </i>
    <i r="1">
      <x v="171"/>
    </i>
    <i r="1">
      <x v="176"/>
    </i>
    <i r="1">
      <x v="180"/>
    </i>
    <i>
      <x v="74"/>
    </i>
    <i r="1">
      <x v="166"/>
    </i>
    <i r="1">
      <x v="169"/>
    </i>
    <i r="1">
      <x v="174"/>
    </i>
    <i t="grand">
      <x/>
    </i>
  </rowItems>
  <colFields count="1">
    <field x="4"/>
  </colFields>
  <colItems count="6">
    <i>
      <x v="238"/>
    </i>
    <i>
      <x v="239"/>
    </i>
    <i>
      <x v="240"/>
    </i>
    <i>
      <x v="241"/>
    </i>
    <i>
      <x v="242"/>
    </i>
    <i>
      <x v="243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thisWeek" evalOrder="-1" id="1128">
      <autoFilter ref="A1">
        <filterColumn colId="0">
          <dynamicFilter type="thisWeek" val="43821" maxVal="4382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项目" xr10:uid="{CFC45BA1-3763-4149-AA3C-A01E2D12D10A}" sourceName="项目">
  <extLst>
    <x:ext xmlns:x15="http://schemas.microsoft.com/office/spreadsheetml/2010/11/main" uri="{2F2917AC-EB37-4324-AD4E-5DD8C200BD13}">
      <x15:tableSlicerCache tableId="4" column="1" sortOrder="descending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9FA77465-90D4-4AAC-9767-D6D80A14D020}" sourceName="ETD">
  <extLst>
    <x:ext xmlns:x15="http://schemas.microsoft.com/office/spreadsheetml/2010/11/main" uri="{2F2917AC-EB37-4324-AD4E-5DD8C200BD13}">
      <x15:tableSlicerCache tableId="4" column="2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项目" xr10:uid="{F30E7487-5D2A-41C3-90DB-AF6B8BAAE733}" cache="切片器_项目" caption="项目" startItem="12" lockedPosition="1" rowHeight="209550"/>
  <slicer name="ETD" xr10:uid="{93EDF192-441B-4803-B08B-29C1AE29C0F6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98" totalsRowShown="0" headerRowDxfId="88" dataDxfId="87">
  <autoFilter ref="A1:I198" xr:uid="{00000000-0009-0000-0100-000001000000}">
    <filterColumn colId="0">
      <filters>
        <filter val="TJ-HMMR"/>
      </filters>
    </filterColumn>
  </autoFilter>
  <sortState ref="A20:I26">
    <sortCondition ref="C23"/>
  </sortState>
  <tableColumns count="9">
    <tableColumn id="1" xr3:uid="{00000000-0010-0000-0100-000001000000}" name="项目" dataDxfId="86"/>
    <tableColumn id="2" xr3:uid="{00000000-0010-0000-0100-000002000000}" name="ETD" dataDxfId="85"/>
    <tableColumn id="8" xr3:uid="{00000000-0010-0000-0100-000008000000}" name="顺序" dataDxfId="84"/>
    <tableColumn id="4" xr3:uid="{00000000-0010-0000-0100-000004000000}" name="内容" dataDxfId="83"/>
    <tableColumn id="5" xr3:uid="{00000000-0010-0000-0100-000005000000}" name="日期" dataDxfId="82"/>
    <tableColumn id="6" xr3:uid="{00000000-0010-0000-0100-000006000000}" name="状态" dataDxfId="81"/>
    <tableColumn id="3" xr3:uid="{39B09608-8898-46BE-814D-5F316AE18DE2}" name="时段" dataDxfId="80"/>
    <tableColumn id="9" xr3:uid="{A68E67D6-0921-4A34-8238-E2CF141D8B74}" name="对象" dataDxfId="79"/>
    <tableColumn id="7" xr3:uid="{00000000-0010-0000-0100-000007000000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515" totalsRowShown="0" headerRowDxfId="75" dataDxfId="74">
  <autoFilter ref="A1:I1515" xr:uid="{00000000-0009-0000-0100-000003000000}">
    <filterColumn colId="0">
      <filters>
        <filter val="KY-CABO-lcl"/>
      </filters>
    </filterColumn>
    <filterColumn colId="1">
      <filters>
        <dateGroupItem year="2020" month="1" day="7" hour="0" dateTimeGrouping="hour"/>
      </filters>
    </filterColumn>
  </autoFilter>
  <tableColumns count="9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172" totalsRowShown="0" headerRowDxfId="63">
  <autoFilter ref="A1:P172" xr:uid="{00000000-0009-0000-0100-000004000000}">
    <filterColumn colId="0">
      <filters>
        <filter val="KY-ELLERMANN-lcl"/>
      </filters>
    </filterColumn>
    <filterColumn colId="1">
      <filters>
        <dateGroupItem year="2020" month="12" day="29" hour="0" dateTimeGrouping="hour"/>
      </filters>
    </filterColumn>
  </autoFilter>
  <tableColumns count="16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9" xr3:uid="{00000000-0010-0000-0000-000009000000}" name="订舱口" dataDxfId="58"/>
    <tableColumn id="13" xr3:uid="{CBCDD462-2D64-4752-B5D0-6272DB6A195D}" name="船公司" dataDxfId="57"/>
    <tableColumn id="23" xr3:uid="{1D53E6D8-AF80-486D-BC6E-2A5909FD19DD}" name="船名" dataDxfId="56"/>
    <tableColumn id="22" xr3:uid="{ECF89B32-FD9C-4C86-A588-2D2BB5258B42}" name="航次" dataDxfId="55"/>
    <tableColumn id="10" xr3:uid="{00000000-0010-0000-0000-00000A000000}" name="船名航次" dataDxfId="54" dataCellStyle="超链接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53"/>
    <tableColumn id="4" xr3:uid="{00000000-0010-0000-0000-000004000000}" name="MAIN MBL" dataDxfId="52"/>
    <tableColumn id="12" xr3:uid="{DAC8F280-4BA9-4787-AC54-051723ECE221}" name="开港" dataDxfId="51"/>
    <tableColumn id="11" xr3:uid="{24433DA5-6853-44D7-A589-186FE8F3EBA0}" name="做箱" dataDxfId="50"/>
    <tableColumn id="14" xr3:uid="{BB7416F0-C64E-446D-B4AA-9D90B25DCA07}" name="目的港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60" totalsRowShown="0">
  <autoFilter ref="A1:E160" xr:uid="{00000000-0009-0000-0100-000002000000}">
    <filterColumn colId="0">
      <filters>
        <filter val="TJ-HMI"/>
      </filters>
    </filterColumn>
    <filterColumn colId="1">
      <filters>
        <dateGroupItem year="2019" month="12" day="18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F26" sqref="F26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3" t="s">
        <v>4</v>
      </c>
      <c r="B1" s="43" t="s">
        <v>198</v>
      </c>
      <c r="C1" s="43" t="s">
        <v>199</v>
      </c>
      <c r="D1" s="43" t="s">
        <v>200</v>
      </c>
      <c r="E1" s="43" t="s">
        <v>201</v>
      </c>
      <c r="F1" s="44" t="s">
        <v>211</v>
      </c>
    </row>
    <row r="2" spans="1:6" ht="28.5" x14ac:dyDescent="0.2">
      <c r="A2" s="45" t="s">
        <v>491</v>
      </c>
      <c r="B2" s="46" t="s">
        <v>165</v>
      </c>
      <c r="C2" s="46"/>
      <c r="D2" s="46"/>
      <c r="E2" s="46"/>
      <c r="F2" s="47" t="s">
        <v>337</v>
      </c>
    </row>
    <row r="3" spans="1:6" x14ac:dyDescent="0.2">
      <c r="A3" s="48" t="s">
        <v>3</v>
      </c>
      <c r="B3" s="49" t="s">
        <v>165</v>
      </c>
      <c r="C3" s="49" t="s">
        <v>165</v>
      </c>
      <c r="D3" s="49" t="s">
        <v>165</v>
      </c>
      <c r="E3" s="49" t="s">
        <v>165</v>
      </c>
      <c r="F3" s="50" t="s">
        <v>1372</v>
      </c>
    </row>
    <row r="4" spans="1:6" x14ac:dyDescent="0.2">
      <c r="A4" s="51" t="s">
        <v>71</v>
      </c>
      <c r="B4" s="52" t="s">
        <v>315</v>
      </c>
      <c r="C4" s="52" t="s">
        <v>165</v>
      </c>
      <c r="D4" s="52" t="s">
        <v>165</v>
      </c>
      <c r="E4" s="52"/>
      <c r="F4" s="53" t="s">
        <v>446</v>
      </c>
    </row>
    <row r="5" spans="1:6" x14ac:dyDescent="0.2">
      <c r="A5" s="48" t="s">
        <v>68</v>
      </c>
      <c r="B5" s="49" t="s">
        <v>315</v>
      </c>
      <c r="C5" s="49" t="s">
        <v>165</v>
      </c>
      <c r="D5" s="49" t="s">
        <v>165</v>
      </c>
      <c r="E5" s="49"/>
      <c r="F5" s="50" t="s">
        <v>447</v>
      </c>
    </row>
    <row r="6" spans="1:6" ht="28.5" x14ac:dyDescent="0.2">
      <c r="A6" s="51" t="s">
        <v>73</v>
      </c>
      <c r="B6" s="52" t="s">
        <v>165</v>
      </c>
      <c r="C6" s="52" t="s">
        <v>165</v>
      </c>
      <c r="D6" s="52" t="s">
        <v>165</v>
      </c>
      <c r="E6" s="52" t="s">
        <v>165</v>
      </c>
      <c r="F6" s="53" t="s">
        <v>429</v>
      </c>
    </row>
    <row r="7" spans="1:6" x14ac:dyDescent="0.2">
      <c r="A7" s="48" t="s">
        <v>81</v>
      </c>
      <c r="B7" s="49" t="s">
        <v>165</v>
      </c>
      <c r="C7" s="49"/>
      <c r="D7" s="49" t="s">
        <v>165</v>
      </c>
      <c r="E7" s="49"/>
      <c r="F7" s="50"/>
    </row>
    <row r="8" spans="1:6" x14ac:dyDescent="0.2">
      <c r="A8" s="51" t="s">
        <v>342</v>
      </c>
      <c r="B8" s="52" t="s">
        <v>343</v>
      </c>
      <c r="C8" s="52"/>
      <c r="D8" s="52"/>
      <c r="E8" s="52"/>
      <c r="F8" s="53" t="s">
        <v>394</v>
      </c>
    </row>
    <row r="9" spans="1:6" x14ac:dyDescent="0.2">
      <c r="A9" s="48" t="s">
        <v>206</v>
      </c>
      <c r="B9" s="49" t="s">
        <v>165</v>
      </c>
      <c r="C9" s="49" t="s">
        <v>165</v>
      </c>
      <c r="D9" s="49" t="s">
        <v>165</v>
      </c>
      <c r="E9" s="49"/>
      <c r="F9" s="50" t="s">
        <v>427</v>
      </c>
    </row>
    <row r="10" spans="1:6" x14ac:dyDescent="0.2">
      <c r="A10" s="51" t="s">
        <v>317</v>
      </c>
      <c r="B10" s="52" t="s">
        <v>315</v>
      </c>
      <c r="C10" s="52" t="s">
        <v>165</v>
      </c>
      <c r="D10" s="52" t="s">
        <v>319</v>
      </c>
      <c r="E10" s="52"/>
      <c r="F10" s="53" t="s">
        <v>324</v>
      </c>
    </row>
    <row r="11" spans="1:6" x14ac:dyDescent="0.2">
      <c r="A11" s="48" t="s">
        <v>316</v>
      </c>
      <c r="B11" s="49" t="s">
        <v>315</v>
      </c>
      <c r="C11" s="49" t="s">
        <v>319</v>
      </c>
      <c r="D11" s="49" t="s">
        <v>319</v>
      </c>
      <c r="E11" s="49"/>
      <c r="F11" s="50" t="s">
        <v>323</v>
      </c>
    </row>
    <row r="12" spans="1:6" x14ac:dyDescent="0.2">
      <c r="A12" s="54" t="s">
        <v>318</v>
      </c>
      <c r="B12" s="55" t="s">
        <v>314</v>
      </c>
      <c r="C12" s="55" t="s">
        <v>319</v>
      </c>
      <c r="D12" s="55" t="s">
        <v>165</v>
      </c>
      <c r="E12" s="55"/>
      <c r="F12" s="56" t="s">
        <v>424</v>
      </c>
    </row>
    <row r="16" spans="1:6" x14ac:dyDescent="0.2">
      <c r="A16" t="s">
        <v>257</v>
      </c>
    </row>
    <row r="17" spans="1:6" x14ac:dyDescent="0.2">
      <c r="A17" t="s">
        <v>258</v>
      </c>
    </row>
    <row r="18" spans="1:6" x14ac:dyDescent="0.2">
      <c r="A18" t="s">
        <v>1414</v>
      </c>
    </row>
    <row r="20" spans="1:6" x14ac:dyDescent="0.2">
      <c r="A20" t="s">
        <v>1431</v>
      </c>
    </row>
    <row r="24" spans="1:6" x14ac:dyDescent="0.2">
      <c r="A24" t="s">
        <v>634</v>
      </c>
    </row>
    <row r="25" spans="1:6" x14ac:dyDescent="0.2">
      <c r="A25" t="s">
        <v>669</v>
      </c>
      <c r="B25" t="s">
        <v>670</v>
      </c>
      <c r="C25" t="s">
        <v>671</v>
      </c>
      <c r="F25" t="s">
        <v>2036</v>
      </c>
    </row>
    <row r="26" spans="1:6" x14ac:dyDescent="0.2">
      <c r="A26" t="s">
        <v>669</v>
      </c>
      <c r="B26" t="s">
        <v>672</v>
      </c>
      <c r="C26" t="s">
        <v>673</v>
      </c>
    </row>
    <row r="27" spans="1:6" x14ac:dyDescent="0.2">
      <c r="A27" t="s">
        <v>669</v>
      </c>
      <c r="B27" t="s">
        <v>674</v>
      </c>
      <c r="C27" t="s">
        <v>1227</v>
      </c>
    </row>
    <row r="28" spans="1:6" x14ac:dyDescent="0.2">
      <c r="A28" t="s">
        <v>669</v>
      </c>
      <c r="B28" t="s">
        <v>675</v>
      </c>
      <c r="C28" t="s">
        <v>758</v>
      </c>
    </row>
    <row r="29" spans="1:6" x14ac:dyDescent="0.2">
      <c r="A29" t="s">
        <v>677</v>
      </c>
      <c r="B29" t="s">
        <v>676</v>
      </c>
      <c r="C29" t="s">
        <v>673</v>
      </c>
    </row>
    <row r="31" spans="1:6" x14ac:dyDescent="0.2">
      <c r="A31" t="s">
        <v>1228</v>
      </c>
      <c r="B31">
        <v>7.0437000000000003</v>
      </c>
    </row>
    <row r="32" spans="1:6" x14ac:dyDescent="0.2">
      <c r="A32" t="s">
        <v>1229</v>
      </c>
      <c r="B32">
        <v>7.0437000000000003</v>
      </c>
    </row>
  </sheetData>
  <phoneticPr fontId="1" type="noConversion"/>
  <conditionalFormatting sqref="B2:E12">
    <cfRule type="containsText" dxfId="8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8"/>
  <sheetViews>
    <sheetView workbookViewId="0">
      <pane ySplit="1" topLeftCell="A2" activePane="bottomLeft" state="frozen"/>
      <selection pane="bottomLeft" activeCell="D208" sqref="D208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135</v>
      </c>
      <c r="D1" s="4" t="s">
        <v>6</v>
      </c>
      <c r="E1" s="4" t="s">
        <v>0</v>
      </c>
      <c r="F1" s="4" t="s">
        <v>89</v>
      </c>
      <c r="G1" s="4" t="s">
        <v>306</v>
      </c>
      <c r="H1" s="4" t="s">
        <v>503</v>
      </c>
      <c r="I1" s="4" t="s">
        <v>57</v>
      </c>
    </row>
    <row r="2" spans="1:9" hidden="1" x14ac:dyDescent="0.2">
      <c r="A2" s="4" t="s">
        <v>678</v>
      </c>
      <c r="B2" s="11"/>
      <c r="C2" s="12">
        <v>1</v>
      </c>
      <c r="D2" s="4" t="s">
        <v>1344</v>
      </c>
      <c r="F2" s="4" t="s">
        <v>85</v>
      </c>
    </row>
    <row r="3" spans="1:9" hidden="1" x14ac:dyDescent="0.2">
      <c r="A3" s="4" t="s">
        <v>678</v>
      </c>
      <c r="B3" s="11"/>
      <c r="C3" s="12">
        <v>2</v>
      </c>
      <c r="D3" s="4" t="s">
        <v>1289</v>
      </c>
      <c r="F3" s="4" t="s">
        <v>85</v>
      </c>
    </row>
    <row r="4" spans="1:9" hidden="1" x14ac:dyDescent="0.2">
      <c r="A4" s="4" t="s">
        <v>678</v>
      </c>
      <c r="B4" s="11"/>
      <c r="C4" s="12">
        <v>3</v>
      </c>
      <c r="D4" s="4" t="s">
        <v>1516</v>
      </c>
      <c r="F4" s="4" t="s">
        <v>85</v>
      </c>
    </row>
    <row r="5" spans="1:9" hidden="1" x14ac:dyDescent="0.2">
      <c r="A5" s="4" t="s">
        <v>678</v>
      </c>
      <c r="B5" s="11"/>
      <c r="C5" s="12">
        <v>4</v>
      </c>
      <c r="D5" s="4" t="s">
        <v>1343</v>
      </c>
      <c r="F5" s="4" t="s">
        <v>85</v>
      </c>
    </row>
    <row r="6" spans="1:9" hidden="1" x14ac:dyDescent="0.2">
      <c r="A6" s="4" t="s">
        <v>678</v>
      </c>
      <c r="B6" s="11"/>
      <c r="C6" s="12">
        <v>5</v>
      </c>
      <c r="D6" s="4" t="s">
        <v>1290</v>
      </c>
      <c r="F6" s="4" t="s">
        <v>85</v>
      </c>
    </row>
    <row r="7" spans="1:9" hidden="1" x14ac:dyDescent="0.2">
      <c r="A7" s="4" t="s">
        <v>678</v>
      </c>
      <c r="B7" s="11"/>
      <c r="C7" s="12">
        <v>6</v>
      </c>
      <c r="D7" s="4" t="s">
        <v>1291</v>
      </c>
      <c r="F7" s="4" t="s">
        <v>85</v>
      </c>
    </row>
    <row r="8" spans="1:9" hidden="1" x14ac:dyDescent="0.2">
      <c r="A8" s="4" t="s">
        <v>678</v>
      </c>
      <c r="B8" s="11"/>
      <c r="C8" s="12">
        <v>7</v>
      </c>
      <c r="D8" s="4" t="s">
        <v>1292</v>
      </c>
      <c r="F8" s="4" t="s">
        <v>85</v>
      </c>
    </row>
    <row r="9" spans="1:9" hidden="1" x14ac:dyDescent="0.2">
      <c r="A9" s="4" t="s">
        <v>3</v>
      </c>
      <c r="B9" s="11"/>
      <c r="C9" s="12">
        <v>1</v>
      </c>
      <c r="D9" s="4" t="s">
        <v>808</v>
      </c>
      <c r="F9" s="4" t="s">
        <v>86</v>
      </c>
    </row>
    <row r="10" spans="1:9" hidden="1" x14ac:dyDescent="0.2">
      <c r="A10" s="4" t="s">
        <v>3</v>
      </c>
      <c r="B10" s="11"/>
      <c r="C10" s="12">
        <v>2</v>
      </c>
      <c r="D10" s="4" t="s">
        <v>809</v>
      </c>
      <c r="F10" s="4" t="s">
        <v>90</v>
      </c>
    </row>
    <row r="11" spans="1:9" hidden="1" x14ac:dyDescent="0.2">
      <c r="A11" s="4" t="s">
        <v>3</v>
      </c>
      <c r="B11" s="11"/>
      <c r="C11" s="12">
        <v>3</v>
      </c>
      <c r="D11" s="4" t="s">
        <v>811</v>
      </c>
      <c r="F11" s="4" t="s">
        <v>86</v>
      </c>
    </row>
    <row r="12" spans="1:9" hidden="1" x14ac:dyDescent="0.2">
      <c r="A12" s="4" t="s">
        <v>3</v>
      </c>
      <c r="B12" s="11"/>
      <c r="C12" s="12">
        <v>4</v>
      </c>
      <c r="D12" s="4" t="s">
        <v>1388</v>
      </c>
      <c r="F12" s="4" t="s">
        <v>86</v>
      </c>
    </row>
    <row r="13" spans="1:9" hidden="1" x14ac:dyDescent="0.2">
      <c r="A13" s="4" t="s">
        <v>3</v>
      </c>
      <c r="B13" s="11"/>
      <c r="C13" s="12">
        <v>5</v>
      </c>
      <c r="D13" s="4" t="s">
        <v>1695</v>
      </c>
      <c r="F13" s="4" t="s">
        <v>86</v>
      </c>
    </row>
    <row r="14" spans="1:9" hidden="1" x14ac:dyDescent="0.2">
      <c r="A14" s="4" t="s">
        <v>3</v>
      </c>
      <c r="B14" s="11"/>
      <c r="C14" s="12">
        <v>6</v>
      </c>
      <c r="D14" s="4" t="s">
        <v>814</v>
      </c>
      <c r="F14" s="4" t="s">
        <v>86</v>
      </c>
    </row>
    <row r="15" spans="1:9" hidden="1" x14ac:dyDescent="0.2">
      <c r="A15" s="4" t="s">
        <v>3</v>
      </c>
      <c r="B15" s="11"/>
      <c r="C15" s="12">
        <v>7</v>
      </c>
      <c r="D15" s="4" t="s">
        <v>818</v>
      </c>
      <c r="F15" s="4" t="s">
        <v>86</v>
      </c>
    </row>
    <row r="16" spans="1:9" hidden="1" x14ac:dyDescent="0.2">
      <c r="A16" s="4" t="s">
        <v>3</v>
      </c>
      <c r="B16" s="11"/>
      <c r="C16" s="12">
        <v>8</v>
      </c>
      <c r="D16" s="4" t="s">
        <v>822</v>
      </c>
      <c r="F16" s="4" t="s">
        <v>87</v>
      </c>
    </row>
    <row r="17" spans="1:9" hidden="1" x14ac:dyDescent="0.2">
      <c r="A17" s="4" t="s">
        <v>3</v>
      </c>
      <c r="B17" s="11"/>
      <c r="C17" s="12">
        <v>9</v>
      </c>
      <c r="D17" s="4" t="s">
        <v>820</v>
      </c>
      <c r="F17" s="4" t="s">
        <v>86</v>
      </c>
    </row>
    <row r="18" spans="1:9" hidden="1" x14ac:dyDescent="0.2">
      <c r="A18" s="4" t="s">
        <v>3</v>
      </c>
      <c r="B18" s="11"/>
      <c r="C18" s="12">
        <v>10</v>
      </c>
      <c r="D18" s="4" t="s">
        <v>1728</v>
      </c>
      <c r="F18" s="4" t="s">
        <v>87</v>
      </c>
    </row>
    <row r="19" spans="1:9" hidden="1" x14ac:dyDescent="0.2">
      <c r="A19" s="4" t="s">
        <v>3</v>
      </c>
      <c r="B19" s="11"/>
      <c r="C19" s="12">
        <v>11</v>
      </c>
      <c r="D19" s="7" t="s">
        <v>1727</v>
      </c>
      <c r="F19" s="4" t="s">
        <v>86</v>
      </c>
    </row>
    <row r="20" spans="1:9" hidden="1" x14ac:dyDescent="0.2">
      <c r="A20" s="4" t="s">
        <v>2136</v>
      </c>
      <c r="B20" s="11"/>
      <c r="C20" s="12">
        <v>1</v>
      </c>
      <c r="D20" s="4" t="s">
        <v>884</v>
      </c>
      <c r="F20" s="4" t="s">
        <v>86</v>
      </c>
    </row>
    <row r="21" spans="1:9" hidden="1" x14ac:dyDescent="0.2">
      <c r="A21" s="4" t="s">
        <v>2136</v>
      </c>
      <c r="B21" s="11"/>
      <c r="C21" s="12">
        <v>2</v>
      </c>
      <c r="D21" s="4" t="s">
        <v>885</v>
      </c>
      <c r="F21" s="4" t="s">
        <v>86</v>
      </c>
    </row>
    <row r="22" spans="1:9" hidden="1" x14ac:dyDescent="0.2">
      <c r="A22" s="4" t="s">
        <v>2136</v>
      </c>
      <c r="B22" s="11"/>
      <c r="C22" s="12">
        <v>3</v>
      </c>
      <c r="D22" s="4" t="s">
        <v>887</v>
      </c>
      <c r="F22" s="4" t="s">
        <v>86</v>
      </c>
    </row>
    <row r="23" spans="1:9" hidden="1" x14ac:dyDescent="0.2">
      <c r="A23" s="4" t="s">
        <v>2136</v>
      </c>
      <c r="B23" s="11"/>
      <c r="C23" s="12">
        <v>4</v>
      </c>
      <c r="D23" s="4" t="s">
        <v>889</v>
      </c>
      <c r="F23" s="4" t="s">
        <v>86</v>
      </c>
    </row>
    <row r="24" spans="1:9" hidden="1" x14ac:dyDescent="0.2">
      <c r="A24" s="4" t="s">
        <v>2136</v>
      </c>
      <c r="B24" s="11"/>
      <c r="C24" s="12">
        <v>5</v>
      </c>
      <c r="D24" s="4" t="s">
        <v>2137</v>
      </c>
      <c r="F24" s="4" t="s">
        <v>86</v>
      </c>
    </row>
    <row r="25" spans="1:9" hidden="1" x14ac:dyDescent="0.2">
      <c r="A25" s="4" t="s">
        <v>2136</v>
      </c>
      <c r="B25" s="11"/>
      <c r="C25" s="12">
        <v>6</v>
      </c>
      <c r="D25" s="4" t="s">
        <v>893</v>
      </c>
      <c r="F25" s="4" t="s">
        <v>86</v>
      </c>
    </row>
    <row r="26" spans="1:9" hidden="1" x14ac:dyDescent="0.2">
      <c r="A26" s="4" t="s">
        <v>2136</v>
      </c>
      <c r="B26" s="11"/>
      <c r="C26" s="12">
        <v>7</v>
      </c>
      <c r="D26" s="4" t="s">
        <v>895</v>
      </c>
      <c r="F26" s="4" t="s">
        <v>86</v>
      </c>
    </row>
    <row r="27" spans="1:9" hidden="1" x14ac:dyDescent="0.2">
      <c r="A27" s="4" t="s">
        <v>502</v>
      </c>
      <c r="B27" s="11"/>
      <c r="C27" s="12">
        <v>0</v>
      </c>
      <c r="D27" s="4" t="s">
        <v>1211</v>
      </c>
      <c r="F27" s="4" t="s">
        <v>775</v>
      </c>
      <c r="I27" s="4" t="s">
        <v>777</v>
      </c>
    </row>
    <row r="28" spans="1:9" hidden="1" x14ac:dyDescent="0.2">
      <c r="A28" s="4" t="s">
        <v>502</v>
      </c>
      <c r="B28" s="11"/>
      <c r="C28" s="12">
        <v>0</v>
      </c>
      <c r="D28" s="4" t="s">
        <v>2015</v>
      </c>
      <c r="F28" s="4" t="s">
        <v>775</v>
      </c>
      <c r="I28" s="4" t="s">
        <v>777</v>
      </c>
    </row>
    <row r="29" spans="1:9" hidden="1" x14ac:dyDescent="0.2">
      <c r="A29" s="4" t="s">
        <v>502</v>
      </c>
      <c r="B29" s="11"/>
      <c r="C29" s="12">
        <v>0</v>
      </c>
      <c r="D29" s="4" t="s">
        <v>1210</v>
      </c>
      <c r="F29" s="4" t="s">
        <v>86</v>
      </c>
      <c r="I29" s="4" t="s">
        <v>780</v>
      </c>
    </row>
    <row r="30" spans="1:9" hidden="1" x14ac:dyDescent="0.2">
      <c r="A30" s="4" t="s">
        <v>502</v>
      </c>
      <c r="B30" s="11"/>
      <c r="C30" s="12">
        <v>1</v>
      </c>
      <c r="D30" s="4" t="s">
        <v>601</v>
      </c>
      <c r="F30" s="4" t="s">
        <v>599</v>
      </c>
      <c r="I30" s="4" t="s">
        <v>800</v>
      </c>
    </row>
    <row r="31" spans="1:9" hidden="1" x14ac:dyDescent="0.2">
      <c r="A31" s="4" t="s">
        <v>502</v>
      </c>
      <c r="B31" s="11"/>
      <c r="C31" s="12">
        <v>3</v>
      </c>
      <c r="D31" s="4" t="s">
        <v>863</v>
      </c>
      <c r="F31" s="4" t="s">
        <v>859</v>
      </c>
      <c r="I31" s="4" t="s">
        <v>860</v>
      </c>
    </row>
    <row r="32" spans="1:9" hidden="1" x14ac:dyDescent="0.2">
      <c r="A32" s="4" t="s">
        <v>502</v>
      </c>
      <c r="B32" s="11"/>
      <c r="C32" s="12">
        <v>4</v>
      </c>
      <c r="D32" s="4" t="s">
        <v>791</v>
      </c>
      <c r="F32" s="4" t="s">
        <v>421</v>
      </c>
      <c r="I32" s="36" t="s">
        <v>799</v>
      </c>
    </row>
    <row r="33" spans="1:9" hidden="1" x14ac:dyDescent="0.2">
      <c r="A33" s="4" t="s">
        <v>502</v>
      </c>
      <c r="B33" s="11"/>
      <c r="C33" s="12">
        <v>5</v>
      </c>
      <c r="D33" s="4" t="s">
        <v>269</v>
      </c>
      <c r="F33" s="4" t="s">
        <v>181</v>
      </c>
      <c r="I33" s="4" t="s">
        <v>801</v>
      </c>
    </row>
    <row r="34" spans="1:9" hidden="1" x14ac:dyDescent="0.2">
      <c r="A34" s="4" t="s">
        <v>502</v>
      </c>
      <c r="B34" s="11"/>
      <c r="C34" s="12">
        <v>6</v>
      </c>
      <c r="D34" s="4" t="s">
        <v>167</v>
      </c>
      <c r="F34" s="4" t="s">
        <v>166</v>
      </c>
      <c r="I34" s="36" t="s">
        <v>797</v>
      </c>
    </row>
    <row r="35" spans="1:9" hidden="1" x14ac:dyDescent="0.2">
      <c r="A35" s="4" t="s">
        <v>502</v>
      </c>
      <c r="B35" s="11"/>
      <c r="C35" s="12">
        <v>7</v>
      </c>
      <c r="D35" s="4" t="s">
        <v>1215</v>
      </c>
      <c r="F35" s="4" t="s">
        <v>260</v>
      </c>
      <c r="I35" s="4" t="s">
        <v>790</v>
      </c>
    </row>
    <row r="36" spans="1:9" hidden="1" x14ac:dyDescent="0.2">
      <c r="A36" s="4" t="s">
        <v>502</v>
      </c>
      <c r="B36" s="11"/>
      <c r="C36" s="12">
        <v>8</v>
      </c>
      <c r="D36" s="4" t="s">
        <v>1636</v>
      </c>
      <c r="F36" s="4" t="s">
        <v>549</v>
      </c>
      <c r="I36" s="4" t="s">
        <v>788</v>
      </c>
    </row>
    <row r="37" spans="1:9" hidden="1" x14ac:dyDescent="0.2">
      <c r="A37" s="4" t="s">
        <v>502</v>
      </c>
      <c r="B37" s="11"/>
      <c r="C37" s="12">
        <v>9</v>
      </c>
      <c r="D37" s="4" t="s">
        <v>580</v>
      </c>
      <c r="F37" s="4" t="s">
        <v>574</v>
      </c>
      <c r="I37" s="4" t="s">
        <v>788</v>
      </c>
    </row>
    <row r="38" spans="1:9" hidden="1" x14ac:dyDescent="0.2">
      <c r="A38" s="4" t="s">
        <v>309</v>
      </c>
      <c r="B38" s="11"/>
      <c r="C38" s="12">
        <v>1</v>
      </c>
      <c r="D38" s="4" t="s">
        <v>774</v>
      </c>
      <c r="E38" s="23"/>
      <c r="F38" s="4" t="s">
        <v>386</v>
      </c>
    </row>
    <row r="39" spans="1:9" hidden="1" x14ac:dyDescent="0.2">
      <c r="A39" s="4" t="s">
        <v>309</v>
      </c>
      <c r="B39" s="11"/>
      <c r="C39" s="12">
        <v>2</v>
      </c>
      <c r="D39" s="4" t="s">
        <v>1779</v>
      </c>
      <c r="E39" s="23"/>
      <c r="F39" s="4" t="s">
        <v>386</v>
      </c>
    </row>
    <row r="40" spans="1:9" hidden="1" x14ac:dyDescent="0.2">
      <c r="A40" s="4" t="s">
        <v>309</v>
      </c>
      <c r="B40" s="11"/>
      <c r="C40" s="12">
        <v>3</v>
      </c>
      <c r="D40" s="4" t="s">
        <v>765</v>
      </c>
      <c r="E40" s="23"/>
      <c r="F40" s="4" t="s">
        <v>386</v>
      </c>
      <c r="I40" s="4" t="s">
        <v>761</v>
      </c>
    </row>
    <row r="41" spans="1:9" hidden="1" x14ac:dyDescent="0.2">
      <c r="A41" s="4" t="s">
        <v>309</v>
      </c>
      <c r="B41" s="11"/>
      <c r="C41" s="12">
        <v>4</v>
      </c>
      <c r="D41" s="4" t="s">
        <v>763</v>
      </c>
      <c r="E41" s="23"/>
      <c r="F41" s="4" t="s">
        <v>86</v>
      </c>
    </row>
    <row r="42" spans="1:9" hidden="1" x14ac:dyDescent="0.2">
      <c r="A42" s="4" t="s">
        <v>309</v>
      </c>
      <c r="B42" s="11"/>
      <c r="C42" s="12">
        <v>5</v>
      </c>
      <c r="D42" s="4" t="s">
        <v>767</v>
      </c>
      <c r="E42" s="23"/>
      <c r="F42" s="4" t="s">
        <v>386</v>
      </c>
    </row>
    <row r="43" spans="1:9" hidden="1" x14ac:dyDescent="0.2">
      <c r="A43" s="4" t="s">
        <v>309</v>
      </c>
      <c r="B43" s="11"/>
      <c r="C43" s="12">
        <v>6</v>
      </c>
      <c r="D43" s="4" t="s">
        <v>769</v>
      </c>
      <c r="E43" s="23"/>
      <c r="F43" s="4" t="s">
        <v>386</v>
      </c>
    </row>
    <row r="44" spans="1:9" hidden="1" x14ac:dyDescent="0.2">
      <c r="A44" s="4" t="s">
        <v>309</v>
      </c>
      <c r="B44" s="11"/>
      <c r="C44" s="12">
        <v>7</v>
      </c>
      <c r="D44" s="4" t="s">
        <v>773</v>
      </c>
      <c r="E44" s="23"/>
      <c r="F44" s="4" t="s">
        <v>386</v>
      </c>
    </row>
    <row r="45" spans="1:9" hidden="1" x14ac:dyDescent="0.2">
      <c r="A45" s="4" t="s">
        <v>204</v>
      </c>
      <c r="B45" s="11"/>
      <c r="C45" s="12">
        <v>1</v>
      </c>
      <c r="D45" s="4" t="s">
        <v>692</v>
      </c>
      <c r="F45" s="4" t="s">
        <v>386</v>
      </c>
    </row>
    <row r="46" spans="1:9" hidden="1" x14ac:dyDescent="0.2">
      <c r="A46" s="4" t="s">
        <v>204</v>
      </c>
      <c r="B46" s="11"/>
      <c r="C46" s="12">
        <v>2</v>
      </c>
      <c r="D46" s="4" t="s">
        <v>691</v>
      </c>
      <c r="F46" s="4" t="s">
        <v>86</v>
      </c>
    </row>
    <row r="47" spans="1:9" hidden="1" x14ac:dyDescent="0.2">
      <c r="A47" s="4" t="s">
        <v>204</v>
      </c>
      <c r="B47" s="11"/>
      <c r="C47" s="12">
        <v>3</v>
      </c>
      <c r="D47" s="4" t="s">
        <v>1778</v>
      </c>
      <c r="F47" s="4" t="s">
        <v>386</v>
      </c>
    </row>
    <row r="48" spans="1:9" hidden="1" x14ac:dyDescent="0.2">
      <c r="A48" s="4" t="s">
        <v>204</v>
      </c>
      <c r="B48" s="11"/>
      <c r="C48" s="12">
        <v>4</v>
      </c>
      <c r="D48" s="4" t="s">
        <v>693</v>
      </c>
      <c r="F48" s="4" t="s">
        <v>386</v>
      </c>
    </row>
    <row r="49" spans="1:6" hidden="1" x14ac:dyDescent="0.2">
      <c r="A49" s="4" t="s">
        <v>204</v>
      </c>
      <c r="B49" s="11"/>
      <c r="C49" s="12">
        <v>5</v>
      </c>
      <c r="D49" s="4" t="s">
        <v>465</v>
      </c>
      <c r="F49" s="4" t="s">
        <v>464</v>
      </c>
    </row>
    <row r="50" spans="1:6" hidden="1" x14ac:dyDescent="0.2">
      <c r="A50" s="4" t="s">
        <v>204</v>
      </c>
      <c r="B50" s="11"/>
      <c r="C50" s="12">
        <v>6</v>
      </c>
      <c r="D50" s="4" t="s">
        <v>695</v>
      </c>
      <c r="F50" s="4" t="s">
        <v>386</v>
      </c>
    </row>
    <row r="51" spans="1:6" hidden="1" x14ac:dyDescent="0.2">
      <c r="A51" s="4" t="s">
        <v>204</v>
      </c>
      <c r="B51" s="11"/>
      <c r="C51" s="12">
        <v>7</v>
      </c>
      <c r="D51" s="4" t="s">
        <v>396</v>
      </c>
      <c r="F51" s="4" t="s">
        <v>386</v>
      </c>
    </row>
    <row r="52" spans="1:6" hidden="1" x14ac:dyDescent="0.2">
      <c r="A52" s="4" t="s">
        <v>204</v>
      </c>
      <c r="B52" s="11"/>
      <c r="C52" s="12">
        <v>8</v>
      </c>
      <c r="D52" s="4" t="s">
        <v>696</v>
      </c>
      <c r="F52" s="4" t="s">
        <v>386</v>
      </c>
    </row>
    <row r="53" spans="1:6" hidden="1" x14ac:dyDescent="0.2">
      <c r="A53" s="4" t="s">
        <v>204</v>
      </c>
      <c r="B53" s="11"/>
      <c r="C53" s="12">
        <v>9</v>
      </c>
      <c r="D53" s="4" t="s">
        <v>697</v>
      </c>
      <c r="F53" s="4" t="s">
        <v>386</v>
      </c>
    </row>
    <row r="54" spans="1:6" hidden="1" x14ac:dyDescent="0.2">
      <c r="A54" s="4" t="s">
        <v>204</v>
      </c>
      <c r="B54" s="11"/>
      <c r="C54" s="12">
        <v>10</v>
      </c>
      <c r="D54" s="4" t="s">
        <v>698</v>
      </c>
      <c r="F54" s="4" t="s">
        <v>386</v>
      </c>
    </row>
    <row r="55" spans="1:6" hidden="1" x14ac:dyDescent="0.2">
      <c r="A55" s="4" t="s">
        <v>204</v>
      </c>
      <c r="B55" s="11"/>
      <c r="C55" s="12">
        <v>11</v>
      </c>
      <c r="D55" s="4" t="s">
        <v>1669</v>
      </c>
      <c r="F55" s="4" t="s">
        <v>386</v>
      </c>
    </row>
    <row r="56" spans="1:6" hidden="1" x14ac:dyDescent="0.2">
      <c r="A56" s="4" t="s">
        <v>204</v>
      </c>
      <c r="B56" s="11"/>
      <c r="C56" s="12">
        <v>12</v>
      </c>
      <c r="D56" s="4" t="s">
        <v>1668</v>
      </c>
      <c r="F56" s="4" t="s">
        <v>438</v>
      </c>
    </row>
    <row r="57" spans="1:6" hidden="1" x14ac:dyDescent="0.2">
      <c r="A57" s="4" t="s">
        <v>182</v>
      </c>
      <c r="B57" s="11"/>
      <c r="C57" s="12">
        <v>1</v>
      </c>
      <c r="D57" s="4" t="s">
        <v>171</v>
      </c>
      <c r="F57" s="4" t="s">
        <v>85</v>
      </c>
    </row>
    <row r="58" spans="1:6" hidden="1" x14ac:dyDescent="0.2">
      <c r="A58" s="4" t="s">
        <v>183</v>
      </c>
      <c r="B58" s="11"/>
      <c r="C58" s="12">
        <v>2</v>
      </c>
      <c r="D58" s="4" t="s">
        <v>284</v>
      </c>
      <c r="F58" s="4" t="s">
        <v>85</v>
      </c>
    </row>
    <row r="59" spans="1:6" hidden="1" x14ac:dyDescent="0.2">
      <c r="A59" s="4" t="s">
        <v>182</v>
      </c>
      <c r="B59" s="11"/>
      <c r="C59" s="12">
        <v>3</v>
      </c>
      <c r="D59" s="4" t="s">
        <v>285</v>
      </c>
      <c r="F59" s="4" t="s">
        <v>85</v>
      </c>
    </row>
    <row r="60" spans="1:6" hidden="1" x14ac:dyDescent="0.2">
      <c r="A60" s="4" t="s">
        <v>183</v>
      </c>
      <c r="B60" s="11"/>
      <c r="C60" s="12">
        <v>4</v>
      </c>
      <c r="D60" s="4" t="s">
        <v>286</v>
      </c>
      <c r="F60" s="4" t="s">
        <v>85</v>
      </c>
    </row>
    <row r="61" spans="1:6" hidden="1" x14ac:dyDescent="0.2">
      <c r="A61" s="4" t="s">
        <v>184</v>
      </c>
      <c r="B61" s="11"/>
      <c r="C61" s="12">
        <v>5</v>
      </c>
      <c r="D61" s="4" t="s">
        <v>152</v>
      </c>
      <c r="F61" s="4" t="s">
        <v>85</v>
      </c>
    </row>
    <row r="62" spans="1:6" hidden="1" x14ac:dyDescent="0.2">
      <c r="A62" s="4" t="s">
        <v>182</v>
      </c>
      <c r="B62" s="11"/>
      <c r="C62" s="12">
        <v>6</v>
      </c>
      <c r="D62" s="4" t="s">
        <v>244</v>
      </c>
      <c r="F62" s="4" t="s">
        <v>86</v>
      </c>
    </row>
    <row r="63" spans="1:6" hidden="1" x14ac:dyDescent="0.2">
      <c r="A63" s="4" t="s">
        <v>184</v>
      </c>
      <c r="B63" s="11"/>
      <c r="C63" s="12">
        <v>7</v>
      </c>
      <c r="D63" s="4" t="s">
        <v>153</v>
      </c>
      <c r="F63" s="4" t="s">
        <v>85</v>
      </c>
    </row>
    <row r="64" spans="1:6" hidden="1" x14ac:dyDescent="0.2">
      <c r="A64" s="4" t="s">
        <v>182</v>
      </c>
      <c r="B64" s="11"/>
      <c r="C64" s="12">
        <v>8</v>
      </c>
      <c r="D64" s="4" t="s">
        <v>434</v>
      </c>
      <c r="F64" s="4" t="s">
        <v>85</v>
      </c>
    </row>
    <row r="65" spans="1:9" hidden="1" x14ac:dyDescent="0.2">
      <c r="A65" s="4" t="s">
        <v>182</v>
      </c>
      <c r="B65" s="11"/>
      <c r="C65" s="12">
        <v>9</v>
      </c>
      <c r="D65" s="4" t="s">
        <v>168</v>
      </c>
      <c r="F65" s="4" t="s">
        <v>85</v>
      </c>
      <c r="I65" s="4" t="s">
        <v>162</v>
      </c>
    </row>
    <row r="66" spans="1:9" hidden="1" x14ac:dyDescent="0.2">
      <c r="A66" s="4" t="s">
        <v>184</v>
      </c>
      <c r="B66" s="11"/>
      <c r="C66" s="12">
        <v>10</v>
      </c>
      <c r="D66" s="4" t="s">
        <v>169</v>
      </c>
      <c r="F66" s="4" t="s">
        <v>85</v>
      </c>
    </row>
    <row r="67" spans="1:9" hidden="1" x14ac:dyDescent="0.2">
      <c r="A67" s="4" t="s">
        <v>184</v>
      </c>
      <c r="B67" s="11"/>
      <c r="C67" s="12">
        <v>11</v>
      </c>
      <c r="D67" s="4" t="s">
        <v>225</v>
      </c>
      <c r="F67" s="4" t="s">
        <v>85</v>
      </c>
    </row>
    <row r="68" spans="1:9" hidden="1" x14ac:dyDescent="0.2">
      <c r="A68" s="4" t="s">
        <v>182</v>
      </c>
      <c r="B68" s="11"/>
      <c r="C68" s="12">
        <v>12</v>
      </c>
      <c r="D68" s="4" t="s">
        <v>172</v>
      </c>
      <c r="F68" s="4" t="s">
        <v>85</v>
      </c>
    </row>
    <row r="69" spans="1:9" hidden="1" x14ac:dyDescent="0.2">
      <c r="A69" s="4" t="s">
        <v>183</v>
      </c>
      <c r="B69" s="11"/>
      <c r="C69" s="12">
        <v>13</v>
      </c>
      <c r="D69" s="4" t="s">
        <v>173</v>
      </c>
      <c r="F69" s="4" t="s">
        <v>85</v>
      </c>
    </row>
    <row r="70" spans="1:9" hidden="1" x14ac:dyDescent="0.2">
      <c r="A70" s="4" t="s">
        <v>182</v>
      </c>
      <c r="B70" s="11"/>
      <c r="C70" s="12">
        <v>14</v>
      </c>
      <c r="D70" s="4" t="s">
        <v>174</v>
      </c>
      <c r="F70" s="4" t="s">
        <v>85</v>
      </c>
    </row>
    <row r="71" spans="1:9" hidden="1" x14ac:dyDescent="0.2">
      <c r="A71" s="4" t="s">
        <v>182</v>
      </c>
      <c r="B71" s="11"/>
      <c r="C71" s="12">
        <v>15</v>
      </c>
      <c r="D71" s="4" t="s">
        <v>175</v>
      </c>
      <c r="F71" s="4" t="s">
        <v>85</v>
      </c>
    </row>
    <row r="72" spans="1:9" hidden="1" x14ac:dyDescent="0.2">
      <c r="A72" s="4" t="s">
        <v>182</v>
      </c>
      <c r="B72" s="11"/>
      <c r="C72" s="12">
        <v>16</v>
      </c>
      <c r="D72" s="4" t="s">
        <v>176</v>
      </c>
      <c r="F72" s="4" t="s">
        <v>85</v>
      </c>
    </row>
    <row r="73" spans="1:9" hidden="1" x14ac:dyDescent="0.2">
      <c r="A73" s="4" t="s">
        <v>182</v>
      </c>
      <c r="B73" s="11"/>
      <c r="C73" s="12">
        <v>17</v>
      </c>
      <c r="D73" s="4" t="s">
        <v>177</v>
      </c>
      <c r="F73" s="4" t="s">
        <v>85</v>
      </c>
    </row>
    <row r="74" spans="1:9" hidden="1" x14ac:dyDescent="0.2">
      <c r="A74" s="4" t="s">
        <v>182</v>
      </c>
      <c r="B74" s="11"/>
      <c r="C74" s="12">
        <v>18</v>
      </c>
      <c r="D74" s="4" t="s">
        <v>178</v>
      </c>
      <c r="F74" s="4" t="s">
        <v>85</v>
      </c>
    </row>
    <row r="75" spans="1:9" hidden="1" x14ac:dyDescent="0.2">
      <c r="A75" s="4" t="s">
        <v>182</v>
      </c>
      <c r="B75" s="11"/>
      <c r="C75" s="12">
        <v>19</v>
      </c>
      <c r="D75" s="4" t="s">
        <v>148</v>
      </c>
      <c r="F75" s="4" t="s">
        <v>85</v>
      </c>
    </row>
    <row r="76" spans="1:9" hidden="1" x14ac:dyDescent="0.2">
      <c r="A76" s="4" t="s">
        <v>182</v>
      </c>
      <c r="B76" s="11"/>
      <c r="C76" s="12">
        <v>20</v>
      </c>
      <c r="D76" s="4" t="s">
        <v>154</v>
      </c>
      <c r="F76" s="4" t="s">
        <v>85</v>
      </c>
    </row>
    <row r="77" spans="1:9" hidden="1" x14ac:dyDescent="0.2">
      <c r="A77" s="4" t="s">
        <v>182</v>
      </c>
      <c r="B77" s="11"/>
      <c r="C77" s="12">
        <v>21</v>
      </c>
      <c r="D77" s="4" t="s">
        <v>170</v>
      </c>
      <c r="F77" s="4" t="s">
        <v>85</v>
      </c>
    </row>
    <row r="78" spans="1:9" hidden="1" x14ac:dyDescent="0.2">
      <c r="A78" s="4" t="s">
        <v>182</v>
      </c>
      <c r="B78" s="11"/>
      <c r="C78" s="12">
        <v>22</v>
      </c>
      <c r="D78" s="4" t="s">
        <v>45</v>
      </c>
      <c r="F78" s="4" t="s">
        <v>85</v>
      </c>
    </row>
    <row r="79" spans="1:9" hidden="1" x14ac:dyDescent="0.2">
      <c r="A79" s="4" t="s">
        <v>185</v>
      </c>
      <c r="B79" s="11"/>
      <c r="C79" s="12">
        <v>23</v>
      </c>
      <c r="D79" s="4" t="s">
        <v>124</v>
      </c>
      <c r="F79" s="4" t="s">
        <v>85</v>
      </c>
    </row>
    <row r="80" spans="1:9" hidden="1" x14ac:dyDescent="0.2">
      <c r="A80" s="4" t="s">
        <v>182</v>
      </c>
      <c r="B80" s="11"/>
      <c r="C80" s="12">
        <v>24</v>
      </c>
      <c r="D80" s="4" t="s">
        <v>126</v>
      </c>
      <c r="F80" s="4" t="s">
        <v>85</v>
      </c>
    </row>
    <row r="81" spans="1:9" hidden="1" x14ac:dyDescent="0.2">
      <c r="A81" s="4" t="s">
        <v>182</v>
      </c>
      <c r="B81" s="11"/>
      <c r="C81" s="12">
        <v>25</v>
      </c>
      <c r="D81" s="4" t="s">
        <v>128</v>
      </c>
      <c r="F81" s="4" t="s">
        <v>85</v>
      </c>
    </row>
    <row r="82" spans="1:9" hidden="1" x14ac:dyDescent="0.2">
      <c r="A82" s="4" t="s">
        <v>182</v>
      </c>
      <c r="B82" s="11"/>
      <c r="C82" s="12">
        <v>26</v>
      </c>
      <c r="D82" s="4" t="s">
        <v>287</v>
      </c>
      <c r="F82" s="4" t="s">
        <v>213</v>
      </c>
    </row>
    <row r="83" spans="1:9" hidden="1" x14ac:dyDescent="0.2">
      <c r="A83" s="4" t="s">
        <v>182</v>
      </c>
      <c r="B83" s="11"/>
      <c r="C83" s="12">
        <v>27</v>
      </c>
      <c r="D83" s="4" t="s">
        <v>288</v>
      </c>
      <c r="F83" s="4" t="s">
        <v>213</v>
      </c>
    </row>
    <row r="84" spans="1:9" hidden="1" x14ac:dyDescent="0.2">
      <c r="A84" s="4" t="s">
        <v>184</v>
      </c>
      <c r="B84" s="11"/>
      <c r="C84" s="12">
        <v>28</v>
      </c>
      <c r="D84" s="4" t="s">
        <v>179</v>
      </c>
      <c r="F84" s="4" t="s">
        <v>85</v>
      </c>
    </row>
    <row r="85" spans="1:9" hidden="1" x14ac:dyDescent="0.2">
      <c r="A85" s="4" t="s">
        <v>182</v>
      </c>
      <c r="B85" s="11"/>
      <c r="C85" s="12">
        <v>29</v>
      </c>
      <c r="D85" s="4" t="s">
        <v>180</v>
      </c>
      <c r="F85" s="4" t="s">
        <v>85</v>
      </c>
    </row>
    <row r="86" spans="1:9" hidden="1" x14ac:dyDescent="0.2">
      <c r="A86" s="4" t="s">
        <v>182</v>
      </c>
      <c r="B86" s="11"/>
      <c r="C86" s="12">
        <v>30</v>
      </c>
      <c r="D86" s="4" t="s">
        <v>307</v>
      </c>
      <c r="F86" s="4" t="s">
        <v>305</v>
      </c>
    </row>
    <row r="87" spans="1:9" hidden="1" x14ac:dyDescent="0.2">
      <c r="A87" s="4" t="s">
        <v>182</v>
      </c>
      <c r="B87" s="11"/>
      <c r="C87" s="12">
        <v>31</v>
      </c>
      <c r="D87" s="4" t="s">
        <v>308</v>
      </c>
      <c r="F87" s="4" t="s">
        <v>305</v>
      </c>
    </row>
    <row r="88" spans="1:9" hidden="1" x14ac:dyDescent="0.2">
      <c r="A88" s="4" t="s">
        <v>183</v>
      </c>
      <c r="B88" s="11"/>
      <c r="C88" s="12">
        <v>32</v>
      </c>
      <c r="D88" s="4" t="s">
        <v>143</v>
      </c>
      <c r="F88" s="4" t="s">
        <v>85</v>
      </c>
    </row>
    <row r="89" spans="1:9" hidden="1" x14ac:dyDescent="0.2">
      <c r="A89" s="4" t="s">
        <v>182</v>
      </c>
      <c r="B89" s="11"/>
      <c r="C89" s="12">
        <v>33</v>
      </c>
      <c r="D89" s="4" t="s">
        <v>226</v>
      </c>
      <c r="F89" s="4" t="s">
        <v>85</v>
      </c>
    </row>
    <row r="90" spans="1:9" hidden="1" x14ac:dyDescent="0.2">
      <c r="A90" s="4" t="s">
        <v>491</v>
      </c>
      <c r="B90" s="11"/>
      <c r="C90" s="12">
        <v>1</v>
      </c>
      <c r="D90" s="4" t="s">
        <v>495</v>
      </c>
      <c r="E90" s="4">
        <v>1</v>
      </c>
      <c r="F90" s="4" t="s">
        <v>86</v>
      </c>
    </row>
    <row r="91" spans="1:9" hidden="1" x14ac:dyDescent="0.2">
      <c r="A91" s="4" t="s">
        <v>491</v>
      </c>
      <c r="B91" s="11"/>
      <c r="C91" s="12">
        <v>2</v>
      </c>
      <c r="D91" s="4" t="s">
        <v>483</v>
      </c>
      <c r="E91" s="4">
        <v>1</v>
      </c>
      <c r="F91" s="4" t="s">
        <v>86</v>
      </c>
      <c r="I91" s="4" t="s">
        <v>326</v>
      </c>
    </row>
    <row r="92" spans="1:9" hidden="1" x14ac:dyDescent="0.2">
      <c r="A92" s="4" t="s">
        <v>491</v>
      </c>
      <c r="B92" s="11"/>
      <c r="C92" s="12">
        <v>3</v>
      </c>
      <c r="D92" s="4" t="s">
        <v>482</v>
      </c>
      <c r="E92" s="4">
        <v>1</v>
      </c>
      <c r="F92" s="4" t="s">
        <v>86</v>
      </c>
      <c r="I92" s="4" t="s">
        <v>327</v>
      </c>
    </row>
    <row r="93" spans="1:9" hidden="1" x14ac:dyDescent="0.2">
      <c r="A93" s="4" t="s">
        <v>491</v>
      </c>
      <c r="B93" s="11"/>
      <c r="C93" s="12">
        <v>4</v>
      </c>
      <c r="D93" s="18" t="s">
        <v>484</v>
      </c>
      <c r="E93" s="4">
        <v>1</v>
      </c>
      <c r="F93" s="4" t="s">
        <v>86</v>
      </c>
      <c r="I93" s="4" t="s">
        <v>499</v>
      </c>
    </row>
    <row r="94" spans="1:9" hidden="1" x14ac:dyDescent="0.2">
      <c r="A94" s="4" t="s">
        <v>491</v>
      </c>
      <c r="B94" s="11"/>
      <c r="C94" s="12">
        <v>5</v>
      </c>
      <c r="D94" s="18" t="s">
        <v>496</v>
      </c>
      <c r="E94" s="4">
        <v>1</v>
      </c>
      <c r="F94" s="4" t="s">
        <v>325</v>
      </c>
    </row>
    <row r="95" spans="1:9" hidden="1" x14ac:dyDescent="0.2">
      <c r="A95" s="4" t="s">
        <v>491</v>
      </c>
      <c r="B95" s="11"/>
      <c r="C95" s="12">
        <v>6</v>
      </c>
      <c r="D95" s="4" t="s">
        <v>328</v>
      </c>
      <c r="E95" s="4">
        <v>1</v>
      </c>
      <c r="F95" s="4" t="s">
        <v>325</v>
      </c>
    </row>
    <row r="96" spans="1:9" hidden="1" x14ac:dyDescent="0.2">
      <c r="A96" s="4" t="s">
        <v>491</v>
      </c>
      <c r="B96" s="11"/>
      <c r="C96" s="12">
        <v>7</v>
      </c>
      <c r="D96" s="4" t="s">
        <v>494</v>
      </c>
      <c r="E96" s="4">
        <v>1</v>
      </c>
      <c r="F96" s="4" t="s">
        <v>325</v>
      </c>
    </row>
    <row r="97" spans="1:9" hidden="1" x14ac:dyDescent="0.2">
      <c r="A97" s="4" t="s">
        <v>491</v>
      </c>
      <c r="B97" s="11"/>
      <c r="C97" s="12">
        <v>8</v>
      </c>
      <c r="D97" s="4" t="s">
        <v>475</v>
      </c>
      <c r="E97" s="4">
        <v>1</v>
      </c>
      <c r="F97" s="4" t="s">
        <v>325</v>
      </c>
    </row>
    <row r="98" spans="1:9" hidden="1" x14ac:dyDescent="0.2">
      <c r="A98" s="4" t="s">
        <v>491</v>
      </c>
      <c r="B98" s="11"/>
      <c r="C98" s="12">
        <v>9</v>
      </c>
      <c r="D98" s="4" t="s">
        <v>329</v>
      </c>
      <c r="E98" s="4">
        <v>1</v>
      </c>
      <c r="F98" s="4" t="s">
        <v>86</v>
      </c>
    </row>
    <row r="99" spans="1:9" hidden="1" x14ac:dyDescent="0.2">
      <c r="A99" s="4" t="s">
        <v>491</v>
      </c>
      <c r="B99" s="11"/>
      <c r="C99" s="12">
        <v>10</v>
      </c>
      <c r="D99" s="4" t="s">
        <v>448</v>
      </c>
      <c r="E99" s="4">
        <v>1</v>
      </c>
      <c r="F99" s="4" t="s">
        <v>85</v>
      </c>
    </row>
    <row r="100" spans="1:9" hidden="1" x14ac:dyDescent="0.2">
      <c r="A100" s="4" t="s">
        <v>491</v>
      </c>
      <c r="B100" s="11"/>
      <c r="C100" s="12">
        <v>11</v>
      </c>
      <c r="D100" s="4" t="s">
        <v>330</v>
      </c>
      <c r="E100" s="4">
        <v>2</v>
      </c>
      <c r="F100" s="4" t="s">
        <v>85</v>
      </c>
      <c r="I100" s="4" t="s">
        <v>164</v>
      </c>
    </row>
    <row r="101" spans="1:9" hidden="1" x14ac:dyDescent="0.2">
      <c r="A101" s="4" t="s">
        <v>491</v>
      </c>
      <c r="B101" s="11"/>
      <c r="C101" s="12">
        <v>12</v>
      </c>
      <c r="D101" s="4" t="s">
        <v>485</v>
      </c>
      <c r="E101" s="4">
        <v>2</v>
      </c>
      <c r="F101" s="4" t="s">
        <v>325</v>
      </c>
    </row>
    <row r="102" spans="1:9" hidden="1" x14ac:dyDescent="0.2">
      <c r="A102" s="4" t="s">
        <v>491</v>
      </c>
      <c r="B102" s="11"/>
      <c r="C102" s="12">
        <v>13</v>
      </c>
      <c r="D102" s="4" t="s">
        <v>497</v>
      </c>
      <c r="E102" s="4">
        <v>2</v>
      </c>
      <c r="F102" s="4" t="s">
        <v>85</v>
      </c>
      <c r="I102" s="4" t="s">
        <v>331</v>
      </c>
    </row>
    <row r="103" spans="1:9" hidden="1" x14ac:dyDescent="0.2">
      <c r="A103" s="4" t="s">
        <v>491</v>
      </c>
      <c r="B103" s="11"/>
      <c r="C103" s="12">
        <v>14</v>
      </c>
      <c r="D103" s="4" t="s">
        <v>486</v>
      </c>
      <c r="E103" s="4">
        <v>2</v>
      </c>
      <c r="F103" s="4" t="s">
        <v>85</v>
      </c>
    </row>
    <row r="104" spans="1:9" hidden="1" x14ac:dyDescent="0.2">
      <c r="A104" s="4" t="s">
        <v>491</v>
      </c>
      <c r="B104" s="11"/>
      <c r="C104" s="12">
        <v>15</v>
      </c>
      <c r="D104" s="4" t="s">
        <v>498</v>
      </c>
      <c r="E104" s="4">
        <v>2</v>
      </c>
      <c r="F104" s="4" t="s">
        <v>85</v>
      </c>
    </row>
    <row r="105" spans="1:9" hidden="1" x14ac:dyDescent="0.2">
      <c r="A105" s="4" t="s">
        <v>491</v>
      </c>
      <c r="B105" s="11"/>
      <c r="C105" s="12">
        <v>16</v>
      </c>
      <c r="D105" s="4" t="s">
        <v>487</v>
      </c>
      <c r="E105" s="4">
        <v>2</v>
      </c>
      <c r="F105" s="4" t="s">
        <v>85</v>
      </c>
    </row>
    <row r="106" spans="1:9" hidden="1" x14ac:dyDescent="0.2">
      <c r="A106" s="4" t="s">
        <v>491</v>
      </c>
      <c r="B106" s="11"/>
      <c r="C106" s="12">
        <v>17</v>
      </c>
      <c r="D106" s="4" t="s">
        <v>476</v>
      </c>
      <c r="E106" s="4">
        <v>2</v>
      </c>
      <c r="F106" s="4" t="s">
        <v>85</v>
      </c>
    </row>
    <row r="107" spans="1:9" hidden="1" x14ac:dyDescent="0.2">
      <c r="A107" s="4" t="s">
        <v>491</v>
      </c>
      <c r="B107" s="11"/>
      <c r="C107" s="12">
        <v>18</v>
      </c>
      <c r="D107" s="4" t="s">
        <v>477</v>
      </c>
      <c r="E107" s="4">
        <v>2</v>
      </c>
      <c r="F107" s="4" t="s">
        <v>85</v>
      </c>
    </row>
    <row r="108" spans="1:9" hidden="1" x14ac:dyDescent="0.2">
      <c r="A108" s="4" t="s">
        <v>491</v>
      </c>
      <c r="B108" s="11"/>
      <c r="C108" s="12">
        <v>19</v>
      </c>
      <c r="D108" s="4" t="s">
        <v>488</v>
      </c>
      <c r="E108" s="4">
        <v>2</v>
      </c>
      <c r="F108" s="4" t="s">
        <v>85</v>
      </c>
    </row>
    <row r="109" spans="1:9" hidden="1" x14ac:dyDescent="0.2">
      <c r="A109" s="4" t="s">
        <v>491</v>
      </c>
      <c r="B109" s="11"/>
      <c r="C109" s="12">
        <v>20</v>
      </c>
      <c r="D109" s="4" t="s">
        <v>489</v>
      </c>
      <c r="E109" s="4">
        <v>2</v>
      </c>
      <c r="F109" s="4" t="s">
        <v>85</v>
      </c>
    </row>
    <row r="110" spans="1:9" hidden="1" x14ac:dyDescent="0.2">
      <c r="A110" s="4" t="s">
        <v>491</v>
      </c>
      <c r="B110" s="11"/>
      <c r="C110" s="12">
        <v>21</v>
      </c>
      <c r="D110" s="4" t="s">
        <v>490</v>
      </c>
      <c r="E110" s="4">
        <v>2</v>
      </c>
      <c r="F110" s="4" t="s">
        <v>85</v>
      </c>
      <c r="I110" s="4" t="s">
        <v>499</v>
      </c>
    </row>
    <row r="111" spans="1:9" hidden="1" x14ac:dyDescent="0.2">
      <c r="A111" s="4" t="s">
        <v>491</v>
      </c>
      <c r="B111" s="11"/>
      <c r="C111" s="12">
        <v>22</v>
      </c>
      <c r="D111" s="4" t="s">
        <v>218</v>
      </c>
      <c r="E111" s="4">
        <v>3</v>
      </c>
      <c r="F111" s="4" t="s">
        <v>85</v>
      </c>
    </row>
    <row r="112" spans="1:9" hidden="1" x14ac:dyDescent="0.2">
      <c r="A112" s="4" t="s">
        <v>491</v>
      </c>
      <c r="B112" s="11"/>
      <c r="C112" s="12">
        <v>23</v>
      </c>
      <c r="D112" s="4" t="s">
        <v>492</v>
      </c>
      <c r="E112" s="4">
        <v>4</v>
      </c>
      <c r="F112" s="4" t="s">
        <v>493</v>
      </c>
    </row>
    <row r="113" spans="1:9" hidden="1" x14ac:dyDescent="0.2">
      <c r="A113" s="4" t="s">
        <v>491</v>
      </c>
      <c r="B113" s="11"/>
      <c r="C113" s="12">
        <v>24</v>
      </c>
      <c r="D113" s="4" t="s">
        <v>333</v>
      </c>
      <c r="E113" s="4">
        <v>4</v>
      </c>
      <c r="F113" s="4" t="s">
        <v>85</v>
      </c>
    </row>
    <row r="114" spans="1:9" hidden="1" x14ac:dyDescent="0.2">
      <c r="A114" s="4" t="s">
        <v>491</v>
      </c>
      <c r="B114" s="11"/>
      <c r="C114" s="12">
        <v>25</v>
      </c>
      <c r="D114" s="4" t="s">
        <v>332</v>
      </c>
      <c r="E114" s="4">
        <v>4</v>
      </c>
      <c r="F114" s="4" t="s">
        <v>325</v>
      </c>
      <c r="I114" s="4" t="s">
        <v>499</v>
      </c>
    </row>
    <row r="115" spans="1:9" hidden="1" x14ac:dyDescent="0.2">
      <c r="A115" s="4" t="s">
        <v>514</v>
      </c>
      <c r="B115" s="11"/>
      <c r="C115" s="12">
        <v>1</v>
      </c>
      <c r="D115" s="4" t="s">
        <v>261</v>
      </c>
      <c r="F115" s="4" t="s">
        <v>260</v>
      </c>
    </row>
    <row r="116" spans="1:9" hidden="1" x14ac:dyDescent="0.2">
      <c r="A116" s="4" t="s">
        <v>514</v>
      </c>
      <c r="B116" s="11"/>
      <c r="C116" s="12">
        <v>2</v>
      </c>
      <c r="D116" s="4" t="s">
        <v>320</v>
      </c>
      <c r="F116" s="4" t="s">
        <v>260</v>
      </c>
    </row>
    <row r="117" spans="1:9" hidden="1" x14ac:dyDescent="0.2">
      <c r="A117" s="4" t="s">
        <v>514</v>
      </c>
      <c r="B117" s="11"/>
      <c r="C117" s="12">
        <v>3</v>
      </c>
      <c r="D117" s="4" t="s">
        <v>265</v>
      </c>
      <c r="F117" s="4" t="s">
        <v>260</v>
      </c>
      <c r="I117" s="4" t="s">
        <v>262</v>
      </c>
    </row>
    <row r="118" spans="1:9" hidden="1" x14ac:dyDescent="0.2">
      <c r="A118" s="4" t="s">
        <v>514</v>
      </c>
      <c r="B118" s="11"/>
      <c r="C118" s="12">
        <v>4</v>
      </c>
      <c r="D118" s="4" t="s">
        <v>275</v>
      </c>
      <c r="F118" s="4" t="s">
        <v>260</v>
      </c>
    </row>
    <row r="119" spans="1:9" hidden="1" x14ac:dyDescent="0.2">
      <c r="A119" s="4" t="s">
        <v>514</v>
      </c>
      <c r="B119" s="11"/>
      <c r="C119" s="12">
        <v>5</v>
      </c>
      <c r="D119" s="4" t="s">
        <v>263</v>
      </c>
      <c r="F119" s="4" t="s">
        <v>260</v>
      </c>
    </row>
    <row r="120" spans="1:9" hidden="1" x14ac:dyDescent="0.2">
      <c r="A120" s="4" t="s">
        <v>514</v>
      </c>
      <c r="B120" s="11"/>
      <c r="C120" s="12">
        <v>6</v>
      </c>
      <c r="D120" s="19" t="s">
        <v>264</v>
      </c>
      <c r="F120" s="4" t="s">
        <v>260</v>
      </c>
    </row>
    <row r="121" spans="1:9" hidden="1" x14ac:dyDescent="0.2">
      <c r="A121" s="4" t="s">
        <v>514</v>
      </c>
      <c r="B121" s="11"/>
      <c r="C121" s="12">
        <v>7</v>
      </c>
      <c r="D121" s="4" t="s">
        <v>266</v>
      </c>
      <c r="F121" s="4" t="s">
        <v>260</v>
      </c>
    </row>
    <row r="122" spans="1:9" hidden="1" x14ac:dyDescent="0.2">
      <c r="A122" s="4" t="s">
        <v>514</v>
      </c>
      <c r="B122" s="11"/>
      <c r="C122" s="12">
        <v>8</v>
      </c>
      <c r="D122" s="19" t="s">
        <v>267</v>
      </c>
      <c r="F122" s="4" t="s">
        <v>260</v>
      </c>
    </row>
    <row r="123" spans="1:9" hidden="1" x14ac:dyDescent="0.2">
      <c r="A123" s="4" t="s">
        <v>514</v>
      </c>
      <c r="B123" s="11"/>
      <c r="C123" s="12">
        <v>9</v>
      </c>
      <c r="D123" s="4" t="s">
        <v>268</v>
      </c>
      <c r="F123" s="4" t="s">
        <v>260</v>
      </c>
    </row>
    <row r="124" spans="1:9" hidden="1" x14ac:dyDescent="0.2">
      <c r="A124" s="4" t="s">
        <v>514</v>
      </c>
      <c r="B124" s="11"/>
      <c r="C124" s="12">
        <v>10</v>
      </c>
      <c r="D124" s="19" t="s">
        <v>321</v>
      </c>
      <c r="F124" s="4" t="s">
        <v>260</v>
      </c>
    </row>
    <row r="125" spans="1:9" hidden="1" x14ac:dyDescent="0.2">
      <c r="A125" s="4" t="s">
        <v>514</v>
      </c>
      <c r="B125" s="11"/>
      <c r="C125" s="12">
        <v>11</v>
      </c>
      <c r="D125" s="4" t="s">
        <v>293</v>
      </c>
      <c r="F125" s="4" t="s">
        <v>291</v>
      </c>
    </row>
    <row r="126" spans="1:9" hidden="1" x14ac:dyDescent="0.2">
      <c r="A126" s="4" t="s">
        <v>514</v>
      </c>
      <c r="B126" s="11"/>
      <c r="C126" s="12">
        <v>12</v>
      </c>
      <c r="D126" s="4" t="s">
        <v>295</v>
      </c>
      <c r="F126" s="4" t="s">
        <v>291</v>
      </c>
    </row>
    <row r="127" spans="1:9" hidden="1" x14ac:dyDescent="0.2">
      <c r="A127" s="4" t="s">
        <v>514</v>
      </c>
      <c r="B127" s="11"/>
      <c r="C127" s="12">
        <v>13</v>
      </c>
      <c r="D127" s="4" t="s">
        <v>296</v>
      </c>
      <c r="F127" s="4" t="s">
        <v>291</v>
      </c>
    </row>
    <row r="128" spans="1:9" hidden="1" x14ac:dyDescent="0.2">
      <c r="A128" s="4" t="s">
        <v>514</v>
      </c>
      <c r="B128" s="11"/>
      <c r="C128" s="12">
        <v>14</v>
      </c>
      <c r="D128" s="4" t="s">
        <v>294</v>
      </c>
      <c r="F128" s="4" t="s">
        <v>291</v>
      </c>
    </row>
    <row r="129" spans="1:9" hidden="1" x14ac:dyDescent="0.2">
      <c r="A129" s="4" t="s">
        <v>514</v>
      </c>
      <c r="B129" s="11"/>
      <c r="C129" s="12">
        <v>15</v>
      </c>
      <c r="D129" s="19" t="s">
        <v>297</v>
      </c>
      <c r="F129" s="4" t="s">
        <v>291</v>
      </c>
    </row>
    <row r="130" spans="1:9" hidden="1" x14ac:dyDescent="0.2">
      <c r="A130" s="4" t="s">
        <v>514</v>
      </c>
      <c r="B130" s="11"/>
      <c r="C130" s="12">
        <v>16</v>
      </c>
      <c r="D130" s="4" t="s">
        <v>292</v>
      </c>
      <c r="F130" s="4" t="s">
        <v>291</v>
      </c>
    </row>
    <row r="131" spans="1:9" hidden="1" x14ac:dyDescent="0.2">
      <c r="A131" s="4" t="s">
        <v>514</v>
      </c>
      <c r="B131" s="11"/>
      <c r="C131" s="12">
        <v>17</v>
      </c>
      <c r="D131" s="4" t="s">
        <v>298</v>
      </c>
      <c r="F131" s="4" t="s">
        <v>291</v>
      </c>
    </row>
    <row r="132" spans="1:9" hidden="1" x14ac:dyDescent="0.2">
      <c r="A132" s="4" t="s">
        <v>514</v>
      </c>
      <c r="B132" s="11"/>
      <c r="C132" s="12">
        <v>18</v>
      </c>
      <c r="D132" s="4" t="s">
        <v>299</v>
      </c>
      <c r="F132" s="4" t="s">
        <v>291</v>
      </c>
    </row>
    <row r="133" spans="1:9" hidden="1" x14ac:dyDescent="0.2">
      <c r="A133" s="4" t="s">
        <v>514</v>
      </c>
      <c r="B133" s="11"/>
      <c r="C133" s="12">
        <v>19</v>
      </c>
      <c r="D133" s="4" t="s">
        <v>300</v>
      </c>
      <c r="F133" s="4" t="s">
        <v>291</v>
      </c>
    </row>
    <row r="134" spans="1:9" hidden="1" x14ac:dyDescent="0.2">
      <c r="A134" s="4" t="s">
        <v>514</v>
      </c>
      <c r="B134" s="11"/>
      <c r="C134" s="12">
        <v>20</v>
      </c>
      <c r="D134" s="4" t="s">
        <v>301</v>
      </c>
      <c r="F134" s="4" t="s">
        <v>291</v>
      </c>
    </row>
    <row r="135" spans="1:9" hidden="1" x14ac:dyDescent="0.2">
      <c r="A135" s="4" t="s">
        <v>514</v>
      </c>
      <c r="B135" s="11"/>
      <c r="C135" s="12">
        <v>21</v>
      </c>
      <c r="D135" s="4" t="s">
        <v>302</v>
      </c>
      <c r="F135" s="4" t="s">
        <v>291</v>
      </c>
    </row>
    <row r="136" spans="1:9" hidden="1" x14ac:dyDescent="0.2">
      <c r="A136" s="4" t="s">
        <v>514</v>
      </c>
      <c r="B136" s="11"/>
      <c r="C136" s="12">
        <v>22</v>
      </c>
      <c r="D136" s="4" t="s">
        <v>303</v>
      </c>
      <c r="F136" s="4" t="s">
        <v>291</v>
      </c>
    </row>
    <row r="137" spans="1:9" hidden="1" x14ac:dyDescent="0.2">
      <c r="A137" s="4" t="s">
        <v>514</v>
      </c>
      <c r="B137" s="11"/>
      <c r="C137" s="12">
        <v>23</v>
      </c>
      <c r="D137" s="4" t="s">
        <v>304</v>
      </c>
      <c r="F137" s="4" t="s">
        <v>291</v>
      </c>
    </row>
    <row r="138" spans="1:9" hidden="1" x14ac:dyDescent="0.2">
      <c r="A138" s="4" t="s">
        <v>514</v>
      </c>
      <c r="B138" s="11"/>
      <c r="C138" s="12">
        <v>24</v>
      </c>
      <c r="D138" s="4" t="s">
        <v>292</v>
      </c>
      <c r="F138" s="4" t="s">
        <v>291</v>
      </c>
    </row>
    <row r="139" spans="1:9" hidden="1" x14ac:dyDescent="0.2">
      <c r="A139" s="4" t="s">
        <v>501</v>
      </c>
      <c r="B139" s="11"/>
      <c r="C139" s="12">
        <v>0</v>
      </c>
      <c r="D139" s="4" t="s">
        <v>804</v>
      </c>
      <c r="F139" s="4" t="s">
        <v>238</v>
      </c>
      <c r="I139" s="4" t="s">
        <v>239</v>
      </c>
    </row>
    <row r="140" spans="1:9" hidden="1" x14ac:dyDescent="0.2">
      <c r="A140" s="4" t="s">
        <v>77</v>
      </c>
      <c r="B140" s="11"/>
      <c r="C140" s="12">
        <v>1</v>
      </c>
      <c r="D140" s="4" t="s">
        <v>1241</v>
      </c>
      <c r="F140" s="4" t="s">
        <v>86</v>
      </c>
    </row>
    <row r="141" spans="1:9" hidden="1" x14ac:dyDescent="0.2">
      <c r="A141" s="4" t="s">
        <v>77</v>
      </c>
      <c r="B141" s="11"/>
      <c r="C141" s="12">
        <v>2</v>
      </c>
      <c r="D141" s="4" t="s">
        <v>1242</v>
      </c>
      <c r="F141" s="4" t="s">
        <v>86</v>
      </c>
    </row>
    <row r="142" spans="1:9" hidden="1" x14ac:dyDescent="0.2">
      <c r="A142" s="4" t="s">
        <v>73</v>
      </c>
      <c r="B142" s="11"/>
      <c r="C142" s="12">
        <v>3</v>
      </c>
      <c r="D142" s="4" t="s">
        <v>1243</v>
      </c>
      <c r="F142" s="4" t="s">
        <v>104</v>
      </c>
    </row>
    <row r="143" spans="1:9" hidden="1" x14ac:dyDescent="0.2">
      <c r="A143" s="4" t="s">
        <v>73</v>
      </c>
      <c r="B143" s="11"/>
      <c r="C143" s="12">
        <v>4</v>
      </c>
      <c r="D143" s="4" t="s">
        <v>1244</v>
      </c>
      <c r="F143" s="4" t="s">
        <v>104</v>
      </c>
    </row>
    <row r="144" spans="1:9" hidden="1" x14ac:dyDescent="0.2">
      <c r="A144" s="4" t="s">
        <v>73</v>
      </c>
      <c r="B144" s="11"/>
      <c r="C144" s="12">
        <v>5</v>
      </c>
      <c r="D144" s="4" t="s">
        <v>142</v>
      </c>
      <c r="F144" s="4" t="s">
        <v>104</v>
      </c>
    </row>
    <row r="145" spans="1:9" hidden="1" x14ac:dyDescent="0.2">
      <c r="A145" s="4" t="s">
        <v>73</v>
      </c>
      <c r="B145" s="11"/>
      <c r="C145" s="12">
        <v>6</v>
      </c>
      <c r="D145" s="4" t="s">
        <v>1245</v>
      </c>
      <c r="F145" s="4" t="s">
        <v>104</v>
      </c>
    </row>
    <row r="146" spans="1:9" hidden="1" x14ac:dyDescent="0.2">
      <c r="A146" s="4" t="s">
        <v>73</v>
      </c>
      <c r="B146" s="11"/>
      <c r="C146" s="12">
        <v>7</v>
      </c>
      <c r="D146" s="4" t="s">
        <v>1247</v>
      </c>
      <c r="F146" s="4" t="s">
        <v>104</v>
      </c>
    </row>
    <row r="147" spans="1:9" hidden="1" x14ac:dyDescent="0.2">
      <c r="A147" s="4" t="s">
        <v>73</v>
      </c>
      <c r="B147" s="11"/>
      <c r="C147" s="12">
        <v>8</v>
      </c>
      <c r="D147" s="4" t="s">
        <v>1246</v>
      </c>
      <c r="F147" s="4" t="s">
        <v>104</v>
      </c>
    </row>
    <row r="148" spans="1:9" hidden="1" x14ac:dyDescent="0.2">
      <c r="A148" s="4" t="s">
        <v>548</v>
      </c>
      <c r="B148" s="11"/>
      <c r="C148" s="12">
        <v>0</v>
      </c>
      <c r="D148" s="4" t="s">
        <v>426</v>
      </c>
    </row>
    <row r="149" spans="1:9" hidden="1" x14ac:dyDescent="0.2">
      <c r="A149" s="4" t="s">
        <v>548</v>
      </c>
      <c r="B149" s="11"/>
      <c r="C149" s="12">
        <v>1</v>
      </c>
      <c r="D149" s="4" t="s">
        <v>425</v>
      </c>
    </row>
    <row r="150" spans="1:9" hidden="1" x14ac:dyDescent="0.2">
      <c r="A150" s="4" t="s">
        <v>361</v>
      </c>
      <c r="B150" s="11"/>
      <c r="C150" s="12">
        <v>1</v>
      </c>
      <c r="D150" s="4" t="s">
        <v>362</v>
      </c>
    </row>
    <row r="151" spans="1:9" hidden="1" x14ac:dyDescent="0.2">
      <c r="A151" s="4" t="s">
        <v>361</v>
      </c>
      <c r="B151" s="11"/>
      <c r="C151" s="12">
        <v>2</v>
      </c>
      <c r="D151" s="4" t="s">
        <v>363</v>
      </c>
    </row>
    <row r="152" spans="1:9" hidden="1" x14ac:dyDescent="0.2">
      <c r="A152" s="4" t="s">
        <v>361</v>
      </c>
      <c r="B152" s="11"/>
      <c r="C152" s="12">
        <v>3</v>
      </c>
      <c r="D152" s="4" t="s">
        <v>364</v>
      </c>
    </row>
    <row r="153" spans="1:9" hidden="1" x14ac:dyDescent="0.2">
      <c r="A153" s="4" t="s">
        <v>361</v>
      </c>
      <c r="B153" s="11"/>
      <c r="C153" s="12">
        <v>4</v>
      </c>
      <c r="D153" s="4" t="s">
        <v>365</v>
      </c>
    </row>
    <row r="154" spans="1:9" hidden="1" x14ac:dyDescent="0.2">
      <c r="A154" s="4" t="s">
        <v>361</v>
      </c>
      <c r="B154" s="11"/>
      <c r="C154" s="12">
        <v>5</v>
      </c>
      <c r="D154" s="4" t="s">
        <v>366</v>
      </c>
    </row>
    <row r="155" spans="1:9" hidden="1" x14ac:dyDescent="0.2">
      <c r="A155" s="25" t="s">
        <v>414</v>
      </c>
      <c r="B155" s="26"/>
      <c r="C155" s="27">
        <v>1</v>
      </c>
      <c r="D155" s="28" t="s">
        <v>473</v>
      </c>
      <c r="E155" s="25"/>
      <c r="F155" s="28"/>
      <c r="I155" s="25"/>
    </row>
    <row r="156" spans="1:9" hidden="1" x14ac:dyDescent="0.2">
      <c r="A156" s="4" t="s">
        <v>414</v>
      </c>
      <c r="B156" s="11"/>
      <c r="C156" s="12">
        <v>2</v>
      </c>
      <c r="D156" s="4" t="s">
        <v>474</v>
      </c>
    </row>
    <row r="157" spans="1:9" hidden="1" x14ac:dyDescent="0.2">
      <c r="A157" s="4" t="s">
        <v>383</v>
      </c>
      <c r="B157" s="11"/>
      <c r="C157" s="12">
        <v>1</v>
      </c>
      <c r="D157" s="4" t="s">
        <v>384</v>
      </c>
      <c r="F157" s="4" t="s">
        <v>382</v>
      </c>
    </row>
    <row r="158" spans="1:9" hidden="1" x14ac:dyDescent="0.2">
      <c r="A158" s="4" t="s">
        <v>383</v>
      </c>
      <c r="B158" s="11"/>
      <c r="C158" s="12">
        <v>2</v>
      </c>
      <c r="D158" s="4" t="s">
        <v>385</v>
      </c>
      <c r="F158" s="4" t="s">
        <v>382</v>
      </c>
    </row>
    <row r="159" spans="1:9" hidden="1" x14ac:dyDescent="0.2">
      <c r="A159" s="4" t="s">
        <v>538</v>
      </c>
      <c r="B159" s="11"/>
      <c r="C159" s="12">
        <v>1</v>
      </c>
      <c r="D159" s="4" t="s">
        <v>533</v>
      </c>
    </row>
    <row r="160" spans="1:9" hidden="1" x14ac:dyDescent="0.2">
      <c r="A160" s="4" t="s">
        <v>538</v>
      </c>
      <c r="B160" s="11"/>
      <c r="C160" s="12">
        <v>2</v>
      </c>
      <c r="D160" s="4" t="s">
        <v>534</v>
      </c>
    </row>
    <row r="161" spans="1:9" hidden="1" x14ac:dyDescent="0.2">
      <c r="A161" s="4" t="s">
        <v>538</v>
      </c>
      <c r="B161" s="11"/>
      <c r="C161" s="12">
        <v>3</v>
      </c>
      <c r="D161" s="4" t="s">
        <v>535</v>
      </c>
    </row>
    <row r="162" spans="1:9" hidden="1" x14ac:dyDescent="0.2">
      <c r="A162" s="4" t="s">
        <v>538</v>
      </c>
      <c r="B162" s="11"/>
      <c r="C162" s="12">
        <v>4</v>
      </c>
      <c r="D162" s="4" t="s">
        <v>536</v>
      </c>
    </row>
    <row r="163" spans="1:9" hidden="1" x14ac:dyDescent="0.2">
      <c r="A163" s="4" t="s">
        <v>538</v>
      </c>
      <c r="B163" s="11"/>
      <c r="C163" s="12">
        <v>5</v>
      </c>
      <c r="D163" s="4" t="s">
        <v>537</v>
      </c>
    </row>
    <row r="164" spans="1:9" hidden="1" x14ac:dyDescent="0.2">
      <c r="A164" s="4" t="s">
        <v>594</v>
      </c>
      <c r="B164" s="11"/>
      <c r="C164" s="12">
        <v>1</v>
      </c>
      <c r="D164" s="4" t="s">
        <v>595</v>
      </c>
      <c r="F164" s="4" t="s">
        <v>86</v>
      </c>
    </row>
    <row r="165" spans="1:9" hidden="1" x14ac:dyDescent="0.2">
      <c r="A165" s="4" t="s">
        <v>594</v>
      </c>
      <c r="B165" s="11"/>
      <c r="C165" s="12">
        <v>2</v>
      </c>
      <c r="D165" s="4" t="s">
        <v>597</v>
      </c>
      <c r="F165" s="4" t="s">
        <v>86</v>
      </c>
    </row>
    <row r="166" spans="1:9" hidden="1" x14ac:dyDescent="0.2">
      <c r="A166" s="4" t="s">
        <v>594</v>
      </c>
      <c r="B166" s="11"/>
      <c r="C166" s="12">
        <v>3</v>
      </c>
      <c r="D166" s="4" t="s">
        <v>596</v>
      </c>
      <c r="F166" s="4" t="s">
        <v>86</v>
      </c>
    </row>
    <row r="167" spans="1:9" hidden="1" x14ac:dyDescent="0.2">
      <c r="A167" s="4" t="s">
        <v>594</v>
      </c>
      <c r="B167" s="11"/>
      <c r="C167" s="12">
        <v>4</v>
      </c>
      <c r="D167" s="4" t="s">
        <v>598</v>
      </c>
      <c r="F167" s="4" t="s">
        <v>86</v>
      </c>
    </row>
    <row r="168" spans="1:9" hidden="1" x14ac:dyDescent="0.2">
      <c r="A168" s="4" t="s">
        <v>606</v>
      </c>
      <c r="B168" s="11"/>
      <c r="C168" s="12"/>
      <c r="D168" s="4" t="s">
        <v>607</v>
      </c>
      <c r="F168" s="4" t="s">
        <v>599</v>
      </c>
    </row>
    <row r="169" spans="1:9" hidden="1" x14ac:dyDescent="0.2">
      <c r="A169" s="4" t="s">
        <v>367</v>
      </c>
      <c r="B169" s="11"/>
      <c r="C169" s="12">
        <v>1</v>
      </c>
      <c r="D169" s="4" t="s">
        <v>368</v>
      </c>
    </row>
    <row r="170" spans="1:9" hidden="1" x14ac:dyDescent="0.2">
      <c r="A170" s="4" t="s">
        <v>367</v>
      </c>
      <c r="B170" s="11"/>
      <c r="C170" s="12">
        <v>2</v>
      </c>
      <c r="D170" s="4" t="s">
        <v>369</v>
      </c>
    </row>
    <row r="171" spans="1:9" hidden="1" x14ac:dyDescent="0.2">
      <c r="A171" s="4" t="s">
        <v>367</v>
      </c>
      <c r="B171" s="11"/>
      <c r="C171" s="12">
        <v>3</v>
      </c>
      <c r="D171" s="4" t="s">
        <v>370</v>
      </c>
    </row>
    <row r="172" spans="1:9" hidden="1" x14ac:dyDescent="0.2">
      <c r="A172" s="4" t="s">
        <v>783</v>
      </c>
      <c r="B172" s="11"/>
      <c r="C172" s="12">
        <v>1</v>
      </c>
      <c r="D172" s="4" t="s">
        <v>784</v>
      </c>
    </row>
    <row r="173" spans="1:9" hidden="1" x14ac:dyDescent="0.2">
      <c r="A173" s="4" t="s">
        <v>783</v>
      </c>
      <c r="B173" s="11"/>
      <c r="C173" s="12">
        <v>2</v>
      </c>
      <c r="D173" s="4" t="s">
        <v>785</v>
      </c>
    </row>
    <row r="174" spans="1:9" hidden="1" x14ac:dyDescent="0.2">
      <c r="A174" s="4" t="s">
        <v>783</v>
      </c>
      <c r="B174" s="11"/>
      <c r="C174" s="12">
        <v>3</v>
      </c>
      <c r="D174" s="4" t="s">
        <v>786</v>
      </c>
    </row>
    <row r="175" spans="1:9" hidden="1" x14ac:dyDescent="0.2">
      <c r="A175" s="4" t="s">
        <v>501</v>
      </c>
      <c r="B175" s="11"/>
      <c r="C175" s="12">
        <v>1</v>
      </c>
      <c r="D175" s="4" t="s">
        <v>862</v>
      </c>
      <c r="F175" s="4" t="s">
        <v>859</v>
      </c>
      <c r="I175" s="4" t="s">
        <v>861</v>
      </c>
    </row>
    <row r="176" spans="1:9" hidden="1" x14ac:dyDescent="0.2">
      <c r="A176" s="4" t="s">
        <v>501</v>
      </c>
      <c r="B176" s="11"/>
      <c r="C176" s="12">
        <v>2</v>
      </c>
      <c r="D176" s="4" t="s">
        <v>976</v>
      </c>
      <c r="F176" s="4" t="s">
        <v>974</v>
      </c>
      <c r="I176" s="4" t="s">
        <v>1480</v>
      </c>
    </row>
    <row r="177" spans="1:9" hidden="1" x14ac:dyDescent="0.2">
      <c r="A177" s="4" t="s">
        <v>502</v>
      </c>
      <c r="B177" s="11"/>
      <c r="C177" s="12">
        <v>10</v>
      </c>
      <c r="D177" s="4" t="s">
        <v>1093</v>
      </c>
      <c r="F177" s="4" t="s">
        <v>1066</v>
      </c>
      <c r="I177" s="4" t="s">
        <v>1094</v>
      </c>
    </row>
    <row r="178" spans="1:9" hidden="1" x14ac:dyDescent="0.2">
      <c r="A178" s="4" t="s">
        <v>501</v>
      </c>
      <c r="B178" s="11"/>
      <c r="C178" s="12">
        <v>3</v>
      </c>
      <c r="D178" s="4" t="s">
        <v>1478</v>
      </c>
      <c r="F178" s="4" t="s">
        <v>1479</v>
      </c>
      <c r="I178" s="4" t="s">
        <v>1480</v>
      </c>
    </row>
    <row r="179" spans="1:9" hidden="1" x14ac:dyDescent="0.2">
      <c r="A179" s="4" t="s">
        <v>502</v>
      </c>
      <c r="B179" s="11"/>
      <c r="C179" s="12">
        <v>11</v>
      </c>
      <c r="D179" s="4" t="s">
        <v>1546</v>
      </c>
      <c r="F179" s="4" t="s">
        <v>1547</v>
      </c>
      <c r="I179" s="4" t="s">
        <v>1548</v>
      </c>
    </row>
    <row r="180" spans="1:9" hidden="1" x14ac:dyDescent="0.2">
      <c r="A180" s="4" t="s">
        <v>73</v>
      </c>
      <c r="B180" s="11"/>
      <c r="C180" s="12">
        <v>9</v>
      </c>
      <c r="D180" s="4" t="s">
        <v>1612</v>
      </c>
      <c r="F180" s="4" t="s">
        <v>86</v>
      </c>
    </row>
    <row r="181" spans="1:9" hidden="1" x14ac:dyDescent="0.2">
      <c r="A181" s="4" t="s">
        <v>73</v>
      </c>
      <c r="B181" s="11"/>
      <c r="C181" s="12">
        <v>10</v>
      </c>
      <c r="D181" s="4" t="s">
        <v>1614</v>
      </c>
      <c r="F181" s="4" t="s">
        <v>86</v>
      </c>
    </row>
    <row r="182" spans="1:9" hidden="1" x14ac:dyDescent="0.2">
      <c r="A182" s="4" t="s">
        <v>502</v>
      </c>
      <c r="B182" s="11"/>
      <c r="C182" s="12">
        <v>12</v>
      </c>
      <c r="D182" s="4" t="s">
        <v>2014</v>
      </c>
      <c r="F182" s="4" t="s">
        <v>2013</v>
      </c>
      <c r="I182" s="4" t="s">
        <v>788</v>
      </c>
    </row>
    <row r="183" spans="1:9" x14ac:dyDescent="0.2">
      <c r="A183" s="4" t="s">
        <v>2130</v>
      </c>
      <c r="B183" s="11"/>
      <c r="C183" s="12">
        <v>1</v>
      </c>
      <c r="D183" s="4" t="s">
        <v>2129</v>
      </c>
      <c r="F183" s="4" t="s">
        <v>85</v>
      </c>
    </row>
    <row r="184" spans="1:9" x14ac:dyDescent="0.2">
      <c r="A184" s="4" t="s">
        <v>2130</v>
      </c>
      <c r="B184" s="11"/>
      <c r="C184" s="12">
        <v>2</v>
      </c>
      <c r="D184" s="4" t="s">
        <v>943</v>
      </c>
      <c r="F184" s="4" t="s">
        <v>85</v>
      </c>
    </row>
    <row r="185" spans="1:9" x14ac:dyDescent="0.2">
      <c r="A185" s="4" t="s">
        <v>2130</v>
      </c>
      <c r="B185" s="11"/>
      <c r="C185" s="12">
        <v>3</v>
      </c>
      <c r="D185" s="4" t="s">
        <v>2132</v>
      </c>
      <c r="F185" s="4" t="s">
        <v>85</v>
      </c>
    </row>
    <row r="186" spans="1:9" x14ac:dyDescent="0.2">
      <c r="A186" s="4" t="s">
        <v>2130</v>
      </c>
      <c r="B186" s="11"/>
      <c r="C186" s="12">
        <v>4</v>
      </c>
      <c r="D186" s="4" t="s">
        <v>888</v>
      </c>
      <c r="F186" s="4" t="s">
        <v>85</v>
      </c>
    </row>
    <row r="187" spans="1:9" x14ac:dyDescent="0.2">
      <c r="A187" s="4" t="s">
        <v>2130</v>
      </c>
      <c r="B187" s="11"/>
      <c r="C187" s="12">
        <v>5</v>
      </c>
      <c r="D187" s="4" t="s">
        <v>2134</v>
      </c>
      <c r="F187" s="4" t="s">
        <v>85</v>
      </c>
    </row>
    <row r="188" spans="1:9" x14ac:dyDescent="0.2">
      <c r="A188" s="4" t="s">
        <v>2130</v>
      </c>
      <c r="B188" s="11"/>
      <c r="C188" s="12">
        <v>6</v>
      </c>
      <c r="D188" s="4" t="s">
        <v>892</v>
      </c>
      <c r="F188" s="4" t="s">
        <v>85</v>
      </c>
    </row>
    <row r="189" spans="1:9" x14ac:dyDescent="0.2">
      <c r="A189" s="4" t="s">
        <v>2130</v>
      </c>
      <c r="B189" s="11"/>
      <c r="C189" s="12">
        <v>7</v>
      </c>
      <c r="D189" s="4" t="s">
        <v>894</v>
      </c>
      <c r="F189" s="4" t="s">
        <v>85</v>
      </c>
    </row>
    <row r="190" spans="1:9" hidden="1" x14ac:dyDescent="0.2">
      <c r="A190" s="4" t="s">
        <v>2141</v>
      </c>
      <c r="B190" s="11"/>
      <c r="C190" s="12">
        <v>1</v>
      </c>
      <c r="D190" s="4" t="s">
        <v>2145</v>
      </c>
      <c r="F190" s="4" t="s">
        <v>85</v>
      </c>
    </row>
    <row r="191" spans="1:9" hidden="1" x14ac:dyDescent="0.2">
      <c r="A191" s="4" t="s">
        <v>2141</v>
      </c>
      <c r="B191" s="11"/>
      <c r="C191" s="12">
        <v>2</v>
      </c>
      <c r="D191" s="4" t="s">
        <v>2146</v>
      </c>
      <c r="F191" s="4" t="s">
        <v>85</v>
      </c>
    </row>
    <row r="192" spans="1:9" hidden="1" x14ac:dyDescent="0.2">
      <c r="A192" s="4" t="s">
        <v>2148</v>
      </c>
      <c r="B192" s="11"/>
      <c r="C192" s="12">
        <v>1</v>
      </c>
      <c r="D192" s="4" t="s">
        <v>884</v>
      </c>
      <c r="F192" s="4" t="s">
        <v>86</v>
      </c>
    </row>
    <row r="193" spans="1:6" hidden="1" x14ac:dyDescent="0.2">
      <c r="A193" s="4" t="s">
        <v>2148</v>
      </c>
      <c r="B193" s="11"/>
      <c r="C193" s="12">
        <v>2</v>
      </c>
      <c r="D193" s="4" t="s">
        <v>885</v>
      </c>
      <c r="F193" s="4" t="s">
        <v>86</v>
      </c>
    </row>
    <row r="194" spans="1:6" hidden="1" x14ac:dyDescent="0.2">
      <c r="A194" s="4" t="s">
        <v>2148</v>
      </c>
      <c r="B194" s="11"/>
      <c r="C194" s="12">
        <v>3</v>
      </c>
      <c r="D194" s="4" t="s">
        <v>1205</v>
      </c>
      <c r="F194" s="4" t="s">
        <v>86</v>
      </c>
    </row>
    <row r="195" spans="1:6" hidden="1" x14ac:dyDescent="0.2">
      <c r="A195" s="4" t="s">
        <v>2148</v>
      </c>
      <c r="B195" s="11"/>
      <c r="C195" s="12">
        <v>4</v>
      </c>
      <c r="D195" s="4" t="s">
        <v>889</v>
      </c>
      <c r="F195" s="4" t="s">
        <v>86</v>
      </c>
    </row>
    <row r="196" spans="1:6" hidden="1" x14ac:dyDescent="0.2">
      <c r="A196" s="4" t="s">
        <v>2148</v>
      </c>
      <c r="B196" s="11"/>
      <c r="C196" s="12">
        <v>5</v>
      </c>
      <c r="D196" s="4" t="s">
        <v>2134</v>
      </c>
      <c r="F196" s="4" t="s">
        <v>86</v>
      </c>
    </row>
    <row r="197" spans="1:6" hidden="1" x14ac:dyDescent="0.2">
      <c r="A197" s="4" t="s">
        <v>2148</v>
      </c>
      <c r="B197" s="11"/>
      <c r="C197" s="12">
        <v>6</v>
      </c>
      <c r="D197" s="4" t="s">
        <v>893</v>
      </c>
      <c r="F197" s="4" t="s">
        <v>86</v>
      </c>
    </row>
    <row r="198" spans="1:6" hidden="1" x14ac:dyDescent="0.2">
      <c r="A198" s="4" t="s">
        <v>2148</v>
      </c>
      <c r="B198" s="11"/>
      <c r="C198" s="12">
        <v>7</v>
      </c>
      <c r="D198" s="4" t="s">
        <v>895</v>
      </c>
      <c r="F198" s="4" t="s">
        <v>86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515"/>
  <sheetViews>
    <sheetView showGridLines="0" zoomScaleNormal="100" workbookViewId="0">
      <pane ySplit="1" topLeftCell="A2" activePane="bottomLeft" state="frozen"/>
      <selection pane="bottomLeft" activeCell="H1528" sqref="H1528"/>
    </sheetView>
  </sheetViews>
  <sheetFormatPr defaultRowHeight="14.25" x14ac:dyDescent="0.2"/>
  <cols>
    <col min="1" max="1" width="13.62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53</v>
      </c>
      <c r="B1" s="20" t="s">
        <v>54</v>
      </c>
      <c r="C1" s="19" t="s">
        <v>135</v>
      </c>
      <c r="D1" s="19" t="s">
        <v>55</v>
      </c>
      <c r="E1" s="19" t="s">
        <v>0</v>
      </c>
      <c r="F1" s="19" t="s">
        <v>89</v>
      </c>
      <c r="G1" s="19" t="s">
        <v>282</v>
      </c>
      <c r="H1" s="19" t="s">
        <v>503</v>
      </c>
      <c r="I1" s="19" t="s">
        <v>56</v>
      </c>
    </row>
    <row r="2" spans="1:9" hidden="1" x14ac:dyDescent="0.2">
      <c r="A2" s="4" t="s">
        <v>2004</v>
      </c>
      <c r="B2" s="21">
        <v>43739</v>
      </c>
      <c r="C2" s="12">
        <v>1</v>
      </c>
      <c r="D2" s="22" t="s">
        <v>510</v>
      </c>
      <c r="E2" s="23">
        <v>43731</v>
      </c>
      <c r="F2" s="24" t="s">
        <v>511</v>
      </c>
      <c r="G2" s="12">
        <v>5</v>
      </c>
      <c r="H2" s="12"/>
    </row>
    <row r="3" spans="1:9" hidden="1" x14ac:dyDescent="0.2">
      <c r="A3" s="4" t="s">
        <v>2004</v>
      </c>
      <c r="B3" s="21">
        <v>43739</v>
      </c>
      <c r="C3" s="12">
        <v>2</v>
      </c>
      <c r="D3" s="22" t="s">
        <v>516</v>
      </c>
      <c r="E3" s="23">
        <v>43731</v>
      </c>
      <c r="F3" s="24" t="s">
        <v>515</v>
      </c>
      <c r="G3" s="12"/>
      <c r="H3" s="12"/>
    </row>
    <row r="4" spans="1:9" hidden="1" x14ac:dyDescent="0.2">
      <c r="A4" s="4" t="s">
        <v>2004</v>
      </c>
      <c r="B4" s="21">
        <v>43739</v>
      </c>
      <c r="C4" s="12">
        <v>3</v>
      </c>
      <c r="D4" s="22" t="s">
        <v>512</v>
      </c>
      <c r="E4" s="23">
        <v>43731</v>
      </c>
      <c r="F4" s="24" t="s">
        <v>511</v>
      </c>
      <c r="G4" s="12">
        <v>5</v>
      </c>
      <c r="H4" s="12"/>
    </row>
    <row r="5" spans="1:9" hidden="1" x14ac:dyDescent="0.2">
      <c r="A5" s="4" t="s">
        <v>2004</v>
      </c>
      <c r="B5" s="21">
        <v>43739</v>
      </c>
      <c r="C5" s="12">
        <v>4</v>
      </c>
      <c r="D5" s="22" t="s">
        <v>518</v>
      </c>
      <c r="E5" s="23">
        <v>43732</v>
      </c>
      <c r="F5" s="24" t="s">
        <v>103</v>
      </c>
      <c r="G5" s="12"/>
      <c r="H5" s="12"/>
    </row>
    <row r="6" spans="1:9" hidden="1" x14ac:dyDescent="0.2">
      <c r="A6" s="4" t="s">
        <v>2004</v>
      </c>
      <c r="B6" s="21">
        <v>43739</v>
      </c>
      <c r="C6" s="12">
        <v>5</v>
      </c>
      <c r="D6" s="22" t="s">
        <v>513</v>
      </c>
      <c r="E6" s="23">
        <v>43731</v>
      </c>
      <c r="F6" s="24" t="s">
        <v>103</v>
      </c>
      <c r="G6" s="12">
        <v>5</v>
      </c>
      <c r="H6" s="12"/>
    </row>
    <row r="7" spans="1:9" hidden="1" x14ac:dyDescent="0.2">
      <c r="A7" s="4" t="s">
        <v>2004</v>
      </c>
      <c r="B7" s="21">
        <v>43739</v>
      </c>
      <c r="C7" s="12">
        <v>6</v>
      </c>
      <c r="D7" s="22" t="s">
        <v>517</v>
      </c>
      <c r="E7" s="23">
        <v>43732</v>
      </c>
      <c r="F7" s="24" t="s">
        <v>103</v>
      </c>
      <c r="G7" s="12"/>
      <c r="H7" s="12"/>
    </row>
    <row r="8" spans="1:9" hidden="1" x14ac:dyDescent="0.2">
      <c r="A8" s="4" t="s">
        <v>2004</v>
      </c>
      <c r="B8" s="21">
        <v>43739</v>
      </c>
      <c r="C8" s="12">
        <v>7</v>
      </c>
      <c r="D8" s="22" t="s">
        <v>543</v>
      </c>
      <c r="E8" s="23">
        <v>43734</v>
      </c>
      <c r="F8" s="24" t="s">
        <v>103</v>
      </c>
      <c r="G8" s="12"/>
      <c r="H8" s="12"/>
    </row>
    <row r="9" spans="1:9" hidden="1" x14ac:dyDescent="0.2">
      <c r="A9" s="4" t="s">
        <v>2004</v>
      </c>
      <c r="B9" s="21">
        <v>43739</v>
      </c>
      <c r="C9" s="12">
        <v>8</v>
      </c>
      <c r="D9" s="22" t="s">
        <v>519</v>
      </c>
      <c r="E9" s="23">
        <v>43734</v>
      </c>
      <c r="F9" s="24" t="s">
        <v>103</v>
      </c>
      <c r="G9" s="12"/>
      <c r="H9" s="12"/>
      <c r="I9" s="4" t="s">
        <v>416</v>
      </c>
    </row>
    <row r="10" spans="1:9" hidden="1" x14ac:dyDescent="0.2">
      <c r="A10" s="4" t="s">
        <v>2004</v>
      </c>
      <c r="B10" s="21">
        <v>43739</v>
      </c>
      <c r="C10" s="12">
        <v>9</v>
      </c>
      <c r="D10" s="22" t="s">
        <v>520</v>
      </c>
      <c r="E10" s="23">
        <v>43736</v>
      </c>
      <c r="F10" s="24" t="s">
        <v>103</v>
      </c>
      <c r="G10" s="12"/>
      <c r="H10" s="12"/>
    </row>
    <row r="11" spans="1:9" hidden="1" x14ac:dyDescent="0.2">
      <c r="A11" s="4" t="s">
        <v>2004</v>
      </c>
      <c r="B11" s="21">
        <v>43739</v>
      </c>
      <c r="C11" s="12">
        <v>10</v>
      </c>
      <c r="D11" s="22" t="s">
        <v>603</v>
      </c>
      <c r="E11" s="23">
        <v>43737</v>
      </c>
      <c r="F11" s="24" t="s">
        <v>103</v>
      </c>
      <c r="G11" s="12">
        <v>3</v>
      </c>
      <c r="H11" s="12" t="s">
        <v>602</v>
      </c>
    </row>
    <row r="12" spans="1:9" hidden="1" x14ac:dyDescent="0.2">
      <c r="A12" s="4" t="s">
        <v>2004</v>
      </c>
      <c r="B12" s="21">
        <v>43739</v>
      </c>
      <c r="C12" s="12">
        <v>11</v>
      </c>
      <c r="D12" s="22" t="s">
        <v>657</v>
      </c>
      <c r="E12" s="23">
        <v>43746</v>
      </c>
      <c r="F12" s="24" t="s">
        <v>103</v>
      </c>
      <c r="G12" s="12"/>
      <c r="H12" s="12"/>
    </row>
    <row r="13" spans="1:9" hidden="1" x14ac:dyDescent="0.2">
      <c r="A13" s="4" t="s">
        <v>2004</v>
      </c>
      <c r="B13" s="21">
        <v>43739</v>
      </c>
      <c r="C13" s="12">
        <v>11</v>
      </c>
      <c r="D13" s="22" t="s">
        <v>604</v>
      </c>
      <c r="E13" s="23">
        <v>43737</v>
      </c>
      <c r="F13" s="24" t="s">
        <v>103</v>
      </c>
      <c r="G13" s="12">
        <v>1</v>
      </c>
      <c r="H13" s="12" t="s">
        <v>605</v>
      </c>
    </row>
    <row r="14" spans="1:9" hidden="1" x14ac:dyDescent="0.2">
      <c r="A14" s="4" t="s">
        <v>2004</v>
      </c>
      <c r="B14" s="21">
        <v>43739</v>
      </c>
      <c r="C14" s="12">
        <v>12</v>
      </c>
      <c r="D14" s="22" t="s">
        <v>656</v>
      </c>
      <c r="E14" s="23">
        <v>43739</v>
      </c>
      <c r="F14" s="24" t="s">
        <v>103</v>
      </c>
      <c r="G14" s="12"/>
      <c r="H14" s="12"/>
    </row>
    <row r="15" spans="1:9" hidden="1" x14ac:dyDescent="0.2">
      <c r="A15" s="4" t="s">
        <v>2004</v>
      </c>
      <c r="B15" s="21">
        <v>43739</v>
      </c>
      <c r="C15" s="12">
        <v>13</v>
      </c>
      <c r="D15" s="22" t="s">
        <v>939</v>
      </c>
      <c r="E15" s="23">
        <v>43755</v>
      </c>
      <c r="F15" s="24" t="s">
        <v>931</v>
      </c>
      <c r="G15" s="12"/>
      <c r="H15" s="12"/>
    </row>
    <row r="16" spans="1:9" hidden="1" x14ac:dyDescent="0.2">
      <c r="A16" s="4" t="s">
        <v>2004</v>
      </c>
      <c r="B16" s="21">
        <v>43739</v>
      </c>
      <c r="C16" s="12">
        <v>14</v>
      </c>
      <c r="D16" s="22" t="s">
        <v>521</v>
      </c>
      <c r="E16" s="23">
        <v>43733</v>
      </c>
      <c r="F16" s="24" t="s">
        <v>103</v>
      </c>
      <c r="G16" s="12"/>
      <c r="H16" s="12"/>
    </row>
    <row r="17" spans="1:9" hidden="1" x14ac:dyDescent="0.2">
      <c r="A17" s="4" t="s">
        <v>2004</v>
      </c>
      <c r="B17" s="21">
        <v>43739</v>
      </c>
      <c r="C17" s="12">
        <v>15</v>
      </c>
      <c r="D17" s="22" t="s">
        <v>683</v>
      </c>
      <c r="E17" s="23">
        <v>43746</v>
      </c>
      <c r="F17" s="24" t="s">
        <v>684</v>
      </c>
      <c r="G17" s="12"/>
      <c r="H17" s="12"/>
    </row>
    <row r="18" spans="1:9" hidden="1" x14ac:dyDescent="0.2">
      <c r="A18" s="4" t="s">
        <v>502</v>
      </c>
      <c r="B18" s="21">
        <v>43739</v>
      </c>
      <c r="C18" s="12">
        <v>1</v>
      </c>
      <c r="D18" s="22" t="s">
        <v>420</v>
      </c>
      <c r="E18" s="23">
        <v>43736</v>
      </c>
      <c r="F18" s="24" t="s">
        <v>103</v>
      </c>
      <c r="G18" s="12"/>
      <c r="H18" s="12"/>
      <c r="I18" s="4" t="s">
        <v>195</v>
      </c>
    </row>
    <row r="19" spans="1:9" hidden="1" x14ac:dyDescent="0.2">
      <c r="A19" s="4" t="s">
        <v>793</v>
      </c>
      <c r="B19" s="21">
        <v>43739</v>
      </c>
      <c r="C19" s="12">
        <v>2</v>
      </c>
      <c r="D19" s="22" t="s">
        <v>792</v>
      </c>
      <c r="E19" s="23">
        <v>43745</v>
      </c>
      <c r="F19" s="24" t="s">
        <v>103</v>
      </c>
      <c r="G19" s="12"/>
      <c r="H19" s="12"/>
      <c r="I19" s="4" t="s">
        <v>776</v>
      </c>
    </row>
    <row r="20" spans="1:9" hidden="1" x14ac:dyDescent="0.2">
      <c r="A20" s="4" t="s">
        <v>502</v>
      </c>
      <c r="B20" s="21">
        <v>43739</v>
      </c>
      <c r="C20" s="12">
        <v>3</v>
      </c>
      <c r="D20" s="22" t="s">
        <v>196</v>
      </c>
      <c r="E20" s="23">
        <v>43745</v>
      </c>
      <c r="F20" s="24" t="s">
        <v>103</v>
      </c>
      <c r="G20" s="12"/>
      <c r="H20" s="12"/>
      <c r="I20" s="4" t="s">
        <v>195</v>
      </c>
    </row>
    <row r="21" spans="1:9" hidden="1" x14ac:dyDescent="0.2">
      <c r="A21" s="4" t="s">
        <v>793</v>
      </c>
      <c r="B21" s="21">
        <v>43739</v>
      </c>
      <c r="C21" s="12">
        <v>4</v>
      </c>
      <c r="D21" s="22" t="s">
        <v>794</v>
      </c>
      <c r="E21" s="23">
        <v>43746</v>
      </c>
      <c r="F21" s="24" t="s">
        <v>796</v>
      </c>
      <c r="G21" s="12"/>
      <c r="H21" s="12"/>
      <c r="I21" s="4" t="s">
        <v>255</v>
      </c>
    </row>
    <row r="22" spans="1:9" hidden="1" x14ac:dyDescent="0.2">
      <c r="A22" s="4" t="s">
        <v>502</v>
      </c>
      <c r="B22" s="21">
        <v>43739</v>
      </c>
      <c r="C22" s="12">
        <v>5</v>
      </c>
      <c r="D22" s="22" t="s">
        <v>601</v>
      </c>
      <c r="E22" s="23">
        <v>43746</v>
      </c>
      <c r="F22" s="24" t="s">
        <v>259</v>
      </c>
      <c r="G22" s="12"/>
      <c r="H22" s="12"/>
      <c r="I22" s="4" t="s">
        <v>195</v>
      </c>
    </row>
    <row r="23" spans="1:9" hidden="1" x14ac:dyDescent="0.2">
      <c r="A23" s="4" t="s">
        <v>793</v>
      </c>
      <c r="B23" s="21">
        <v>43739</v>
      </c>
      <c r="C23" s="12">
        <v>6</v>
      </c>
      <c r="D23" s="22" t="s">
        <v>782</v>
      </c>
      <c r="E23" s="23">
        <v>43747</v>
      </c>
      <c r="F23" s="24" t="s">
        <v>796</v>
      </c>
      <c r="G23" s="12"/>
      <c r="H23" s="12"/>
      <c r="I23" s="4" t="s">
        <v>391</v>
      </c>
    </row>
    <row r="24" spans="1:9" hidden="1" x14ac:dyDescent="0.2">
      <c r="A24" s="4" t="s">
        <v>502</v>
      </c>
      <c r="B24" s="21">
        <v>43739</v>
      </c>
      <c r="C24" s="12">
        <v>7</v>
      </c>
      <c r="D24" s="22" t="s">
        <v>340</v>
      </c>
      <c r="E24" s="23">
        <v>43747</v>
      </c>
      <c r="F24" s="24" t="s">
        <v>103</v>
      </c>
      <c r="G24" s="12"/>
      <c r="H24" s="12"/>
      <c r="I24" s="4" t="s">
        <v>270</v>
      </c>
    </row>
    <row r="25" spans="1:9" hidden="1" x14ac:dyDescent="0.2">
      <c r="A25" s="4" t="s">
        <v>793</v>
      </c>
      <c r="B25" s="21">
        <v>43739</v>
      </c>
      <c r="C25" s="12">
        <v>8</v>
      </c>
      <c r="D25" s="22" t="s">
        <v>778</v>
      </c>
      <c r="E25" s="23">
        <v>43751</v>
      </c>
      <c r="F25" s="24" t="s">
        <v>103</v>
      </c>
      <c r="G25" s="12"/>
      <c r="H25" s="12"/>
      <c r="I25" s="4" t="s">
        <v>776</v>
      </c>
    </row>
    <row r="26" spans="1:9" hidden="1" x14ac:dyDescent="0.2">
      <c r="A26" s="4" t="s">
        <v>793</v>
      </c>
      <c r="B26" s="21">
        <v>43739</v>
      </c>
      <c r="C26" s="12">
        <v>9</v>
      </c>
      <c r="D26" s="22" t="s">
        <v>779</v>
      </c>
      <c r="E26" s="23">
        <v>43751</v>
      </c>
      <c r="F26" s="24" t="s">
        <v>103</v>
      </c>
      <c r="G26" s="12"/>
      <c r="H26" s="12"/>
      <c r="I26" s="4" t="s">
        <v>776</v>
      </c>
    </row>
    <row r="27" spans="1:9" hidden="1" x14ac:dyDescent="0.2">
      <c r="A27" s="4" t="s">
        <v>793</v>
      </c>
      <c r="B27" s="21">
        <v>43739</v>
      </c>
      <c r="C27" s="12">
        <v>10</v>
      </c>
      <c r="D27" s="22" t="s">
        <v>798</v>
      </c>
      <c r="E27" s="23">
        <v>43752</v>
      </c>
      <c r="F27" s="24" t="s">
        <v>103</v>
      </c>
      <c r="G27" s="12">
        <v>3</v>
      </c>
      <c r="H27" s="12"/>
    </row>
    <row r="28" spans="1:9" hidden="1" x14ac:dyDescent="0.2">
      <c r="A28" s="4" t="s">
        <v>502</v>
      </c>
      <c r="B28" s="21">
        <v>43739</v>
      </c>
      <c r="C28" s="12">
        <v>10</v>
      </c>
      <c r="D28" s="22" t="s">
        <v>1176</v>
      </c>
      <c r="E28" s="23">
        <v>43773</v>
      </c>
      <c r="F28" s="24" t="s">
        <v>1</v>
      </c>
      <c r="G28" s="12"/>
      <c r="H28" s="12"/>
      <c r="I28" s="4" t="s">
        <v>1094</v>
      </c>
    </row>
    <row r="29" spans="1:9" hidden="1" x14ac:dyDescent="0.2">
      <c r="A29" s="4" t="s">
        <v>793</v>
      </c>
      <c r="B29" s="21">
        <v>43739</v>
      </c>
      <c r="C29" s="12">
        <v>11</v>
      </c>
      <c r="D29" s="22" t="s">
        <v>802</v>
      </c>
      <c r="E29" s="23">
        <v>43752</v>
      </c>
      <c r="F29" s="24" t="s">
        <v>103</v>
      </c>
      <c r="G29" s="12">
        <v>3</v>
      </c>
      <c r="H29" s="12"/>
    </row>
    <row r="30" spans="1:9" hidden="1" x14ac:dyDescent="0.2">
      <c r="A30" s="4" t="s">
        <v>793</v>
      </c>
      <c r="B30" s="21">
        <v>43739</v>
      </c>
      <c r="C30" s="12">
        <v>12</v>
      </c>
      <c r="D30" s="22" t="s">
        <v>875</v>
      </c>
      <c r="E30" s="23">
        <v>43753</v>
      </c>
      <c r="F30" s="24" t="s">
        <v>1</v>
      </c>
      <c r="G30" s="12"/>
      <c r="H30" s="12"/>
    </row>
    <row r="31" spans="1:9" hidden="1" x14ac:dyDescent="0.2">
      <c r="A31" s="4" t="s">
        <v>502</v>
      </c>
      <c r="B31" s="21">
        <v>43739</v>
      </c>
      <c r="C31" s="12">
        <v>13</v>
      </c>
      <c r="D31" s="22" t="s">
        <v>418</v>
      </c>
      <c r="E31" s="23">
        <v>43752</v>
      </c>
      <c r="F31" s="24" t="s">
        <v>137</v>
      </c>
      <c r="G31" s="12"/>
      <c r="H31" s="12"/>
      <c r="I31" s="4" t="s">
        <v>419</v>
      </c>
    </row>
    <row r="32" spans="1:9" hidden="1" x14ac:dyDescent="0.2">
      <c r="A32" s="4" t="s">
        <v>502</v>
      </c>
      <c r="B32" s="21">
        <v>43739</v>
      </c>
      <c r="C32" s="12">
        <v>14</v>
      </c>
      <c r="D32" s="22" t="s">
        <v>338</v>
      </c>
      <c r="E32" s="23">
        <v>43752</v>
      </c>
      <c r="F32" s="24" t="s">
        <v>137</v>
      </c>
      <c r="G32" s="12"/>
      <c r="H32" s="12"/>
      <c r="I32" s="4" t="s">
        <v>419</v>
      </c>
    </row>
    <row r="33" spans="1:9" hidden="1" x14ac:dyDescent="0.2">
      <c r="A33" s="4" t="s">
        <v>502</v>
      </c>
      <c r="B33" s="21">
        <v>43739</v>
      </c>
      <c r="C33" s="12">
        <v>15</v>
      </c>
      <c r="D33" s="22" t="s">
        <v>339</v>
      </c>
      <c r="E33" s="23">
        <v>43754</v>
      </c>
      <c r="F33" s="24" t="s">
        <v>103</v>
      </c>
      <c r="G33" s="12"/>
      <c r="H33" s="12"/>
      <c r="I33" s="4" t="s">
        <v>419</v>
      </c>
    </row>
    <row r="34" spans="1:9" hidden="1" x14ac:dyDescent="0.2">
      <c r="A34" s="4" t="s">
        <v>502</v>
      </c>
      <c r="B34" s="21">
        <v>43739</v>
      </c>
      <c r="C34" s="12">
        <v>16</v>
      </c>
      <c r="D34" s="22" t="s">
        <v>921</v>
      </c>
      <c r="E34" s="23">
        <v>43756</v>
      </c>
      <c r="F34" s="24" t="s">
        <v>103</v>
      </c>
      <c r="G34" s="12">
        <v>3</v>
      </c>
      <c r="H34" s="12"/>
      <c r="I34" s="4" t="s">
        <v>419</v>
      </c>
    </row>
    <row r="35" spans="1:9" hidden="1" x14ac:dyDescent="0.2">
      <c r="A35" s="4" t="s">
        <v>793</v>
      </c>
      <c r="B35" s="21">
        <v>43739</v>
      </c>
      <c r="C35" s="12">
        <v>17</v>
      </c>
      <c r="D35" s="22" t="s">
        <v>798</v>
      </c>
      <c r="E35" s="23">
        <v>43754</v>
      </c>
      <c r="F35" s="24" t="s">
        <v>103</v>
      </c>
      <c r="G35" s="12">
        <v>3</v>
      </c>
      <c r="H35" s="12"/>
    </row>
    <row r="36" spans="1:9" hidden="1" x14ac:dyDescent="0.2">
      <c r="A36" s="4" t="s">
        <v>793</v>
      </c>
      <c r="B36" s="21">
        <v>43739</v>
      </c>
      <c r="C36" s="12">
        <v>18</v>
      </c>
      <c r="D36" s="22" t="s">
        <v>950</v>
      </c>
      <c r="E36" s="23">
        <v>43756</v>
      </c>
      <c r="F36" s="24" t="s">
        <v>103</v>
      </c>
      <c r="G36" s="12"/>
      <c r="H36" s="12"/>
    </row>
    <row r="37" spans="1:9" hidden="1" x14ac:dyDescent="0.2">
      <c r="A37" s="4" t="s">
        <v>793</v>
      </c>
      <c r="B37" s="21">
        <v>43739</v>
      </c>
      <c r="C37" s="12">
        <v>19</v>
      </c>
      <c r="D37" s="22" t="s">
        <v>798</v>
      </c>
      <c r="E37" s="23">
        <v>43756</v>
      </c>
      <c r="F37" s="24" t="s">
        <v>103</v>
      </c>
      <c r="G37" s="12">
        <v>3</v>
      </c>
      <c r="H37" s="12"/>
    </row>
    <row r="38" spans="1:9" hidden="1" x14ac:dyDescent="0.2">
      <c r="A38" s="4" t="s">
        <v>793</v>
      </c>
      <c r="B38" s="21">
        <v>43739</v>
      </c>
      <c r="C38" s="12">
        <v>20</v>
      </c>
      <c r="D38" s="22" t="s">
        <v>1031</v>
      </c>
      <c r="E38" s="23">
        <v>43760</v>
      </c>
      <c r="F38" s="24" t="s">
        <v>103</v>
      </c>
      <c r="G38" s="12"/>
      <c r="H38" s="12"/>
    </row>
    <row r="39" spans="1:9" hidden="1" x14ac:dyDescent="0.2">
      <c r="A39" s="4" t="s">
        <v>793</v>
      </c>
      <c r="B39" s="21">
        <v>43739</v>
      </c>
      <c r="C39" s="12">
        <v>21</v>
      </c>
      <c r="D39" s="22" t="s">
        <v>798</v>
      </c>
      <c r="E39" s="23">
        <v>43759</v>
      </c>
      <c r="F39" s="24" t="s">
        <v>103</v>
      </c>
      <c r="G39" s="12"/>
      <c r="H39" s="12"/>
    </row>
    <row r="40" spans="1:9" hidden="1" x14ac:dyDescent="0.2">
      <c r="A40" s="4" t="s">
        <v>793</v>
      </c>
      <c r="B40" s="21">
        <v>43739</v>
      </c>
      <c r="C40" s="12">
        <v>22</v>
      </c>
      <c r="D40" s="22" t="s">
        <v>802</v>
      </c>
      <c r="E40" s="23">
        <v>43759</v>
      </c>
      <c r="F40" s="24" t="s">
        <v>103</v>
      </c>
      <c r="G40" s="12"/>
      <c r="H40" s="12"/>
    </row>
    <row r="41" spans="1:9" hidden="1" x14ac:dyDescent="0.2">
      <c r="A41" s="4" t="s">
        <v>793</v>
      </c>
      <c r="B41" s="21">
        <v>43739</v>
      </c>
      <c r="C41" s="12">
        <v>23</v>
      </c>
      <c r="D41" s="22" t="s">
        <v>798</v>
      </c>
      <c r="E41" s="23">
        <v>43761</v>
      </c>
      <c r="F41" s="24" t="s">
        <v>103</v>
      </c>
      <c r="G41" s="12"/>
      <c r="H41" s="12"/>
    </row>
    <row r="42" spans="1:9" hidden="1" x14ac:dyDescent="0.2">
      <c r="A42" s="4" t="s">
        <v>793</v>
      </c>
      <c r="B42" s="21">
        <v>43739</v>
      </c>
      <c r="C42" s="12">
        <v>24</v>
      </c>
      <c r="D42" s="22" t="s">
        <v>1109</v>
      </c>
      <c r="E42" s="23">
        <v>43763</v>
      </c>
      <c r="F42" s="24" t="s">
        <v>103</v>
      </c>
      <c r="G42" s="12">
        <v>3</v>
      </c>
      <c r="H42" s="12"/>
    </row>
    <row r="43" spans="1:9" hidden="1" x14ac:dyDescent="0.2">
      <c r="A43" s="4" t="s">
        <v>793</v>
      </c>
      <c r="B43" s="21">
        <v>43739</v>
      </c>
      <c r="C43" s="12">
        <v>25</v>
      </c>
      <c r="D43" s="22" t="s">
        <v>798</v>
      </c>
      <c r="E43" s="23">
        <v>43763</v>
      </c>
      <c r="F43" s="24" t="s">
        <v>103</v>
      </c>
      <c r="G43" s="12"/>
      <c r="H43" s="12"/>
    </row>
    <row r="44" spans="1:9" hidden="1" x14ac:dyDescent="0.2">
      <c r="A44" s="4" t="s">
        <v>793</v>
      </c>
      <c r="B44" s="21">
        <v>43739</v>
      </c>
      <c r="C44" s="12">
        <v>26</v>
      </c>
      <c r="D44" s="22" t="s">
        <v>256</v>
      </c>
      <c r="E44" s="23">
        <v>43763</v>
      </c>
      <c r="F44" s="24" t="s">
        <v>103</v>
      </c>
      <c r="G44" s="12"/>
      <c r="H44" s="12"/>
      <c r="I44" s="4" t="s">
        <v>799</v>
      </c>
    </row>
    <row r="45" spans="1:9" hidden="1" x14ac:dyDescent="0.2">
      <c r="A45" s="4" t="s">
        <v>793</v>
      </c>
      <c r="B45" s="21">
        <v>43739</v>
      </c>
      <c r="C45" s="12">
        <v>27</v>
      </c>
      <c r="D45" s="22" t="s">
        <v>1216</v>
      </c>
      <c r="E45" s="23">
        <v>43771</v>
      </c>
      <c r="F45" s="24" t="s">
        <v>103</v>
      </c>
      <c r="G45" s="12"/>
      <c r="H45" s="12"/>
      <c r="I45" s="4" t="s">
        <v>789</v>
      </c>
    </row>
    <row r="46" spans="1:9" hidden="1" x14ac:dyDescent="0.2">
      <c r="A46" s="4" t="s">
        <v>793</v>
      </c>
      <c r="B46" s="21">
        <v>43739</v>
      </c>
      <c r="C46" s="12">
        <v>28</v>
      </c>
      <c r="D46" s="22" t="s">
        <v>1110</v>
      </c>
      <c r="E46" s="23">
        <v>43763</v>
      </c>
      <c r="F46" s="24" t="s">
        <v>259</v>
      </c>
      <c r="G46" s="12"/>
      <c r="H46" s="12"/>
      <c r="I46" s="4" t="s">
        <v>787</v>
      </c>
    </row>
    <row r="47" spans="1:9" hidden="1" x14ac:dyDescent="0.2">
      <c r="A47" s="4" t="s">
        <v>793</v>
      </c>
      <c r="B47" s="21">
        <v>43739</v>
      </c>
      <c r="C47" s="12">
        <v>29</v>
      </c>
      <c r="D47" s="22" t="s">
        <v>795</v>
      </c>
      <c r="E47" s="23">
        <v>43763</v>
      </c>
      <c r="F47" s="24" t="s">
        <v>259</v>
      </c>
      <c r="G47" s="12"/>
      <c r="H47" s="12"/>
      <c r="I47" s="4" t="s">
        <v>390</v>
      </c>
    </row>
    <row r="48" spans="1:9" hidden="1" x14ac:dyDescent="0.2">
      <c r="A48" s="4" t="s">
        <v>502</v>
      </c>
      <c r="B48" s="21">
        <v>43739</v>
      </c>
      <c r="C48" s="12">
        <v>30</v>
      </c>
      <c r="D48" s="22" t="s">
        <v>269</v>
      </c>
      <c r="E48" s="23">
        <v>43764</v>
      </c>
      <c r="F48" s="24" t="s">
        <v>137</v>
      </c>
      <c r="G48" s="12"/>
      <c r="H48" s="12"/>
      <c r="I48" s="4" t="s">
        <v>388</v>
      </c>
    </row>
    <row r="49" spans="1:9" hidden="1" x14ac:dyDescent="0.2">
      <c r="A49" s="4" t="s">
        <v>502</v>
      </c>
      <c r="B49" s="21">
        <v>43739</v>
      </c>
      <c r="C49" s="12">
        <v>31</v>
      </c>
      <c r="D49" s="22" t="s">
        <v>439</v>
      </c>
      <c r="E49" s="23">
        <v>43764</v>
      </c>
      <c r="F49" s="24" t="s">
        <v>137</v>
      </c>
      <c r="G49" s="12"/>
      <c r="H49" s="12"/>
      <c r="I49" s="4" t="s">
        <v>388</v>
      </c>
    </row>
    <row r="50" spans="1:9" hidden="1" x14ac:dyDescent="0.2">
      <c r="A50" s="4" t="s">
        <v>502</v>
      </c>
      <c r="B50" s="21">
        <v>43739</v>
      </c>
      <c r="C50" s="12">
        <v>32</v>
      </c>
      <c r="D50" s="22" t="s">
        <v>440</v>
      </c>
      <c r="E50" s="23">
        <v>43764</v>
      </c>
      <c r="F50" s="24" t="s">
        <v>137</v>
      </c>
      <c r="G50" s="12"/>
      <c r="H50" s="12"/>
      <c r="I50" s="4" t="s">
        <v>388</v>
      </c>
    </row>
    <row r="51" spans="1:9" hidden="1" x14ac:dyDescent="0.2">
      <c r="A51" s="4" t="s">
        <v>502</v>
      </c>
      <c r="B51" s="21">
        <v>43739</v>
      </c>
      <c r="C51" s="12">
        <v>33</v>
      </c>
      <c r="D51" s="22" t="s">
        <v>441</v>
      </c>
      <c r="E51" s="23">
        <v>43764</v>
      </c>
      <c r="F51" s="24" t="s">
        <v>137</v>
      </c>
      <c r="G51" s="12"/>
      <c r="H51" s="12"/>
      <c r="I51" s="4" t="s">
        <v>388</v>
      </c>
    </row>
    <row r="52" spans="1:9" hidden="1" x14ac:dyDescent="0.2">
      <c r="A52" s="4" t="s">
        <v>502</v>
      </c>
      <c r="B52" s="21">
        <v>43739</v>
      </c>
      <c r="C52" s="12">
        <v>34</v>
      </c>
      <c r="D52" s="22" t="s">
        <v>422</v>
      </c>
      <c r="E52" s="23">
        <v>43764</v>
      </c>
      <c r="F52" s="24" t="s">
        <v>137</v>
      </c>
      <c r="G52" s="12"/>
      <c r="H52" s="12"/>
      <c r="I52" s="4" t="s">
        <v>423</v>
      </c>
    </row>
    <row r="53" spans="1:9" hidden="1" x14ac:dyDescent="0.2">
      <c r="A53" s="4" t="s">
        <v>502</v>
      </c>
      <c r="B53" s="21">
        <v>43739</v>
      </c>
      <c r="C53" s="12">
        <v>35</v>
      </c>
      <c r="D53" s="22" t="s">
        <v>550</v>
      </c>
      <c r="E53" s="23">
        <v>43764</v>
      </c>
      <c r="F53" s="24" t="s">
        <v>137</v>
      </c>
      <c r="G53" s="12"/>
      <c r="H53" s="12"/>
      <c r="I53" s="4" t="s">
        <v>566</v>
      </c>
    </row>
    <row r="54" spans="1:9" hidden="1" x14ac:dyDescent="0.2">
      <c r="A54" s="4" t="s">
        <v>793</v>
      </c>
      <c r="B54" s="21">
        <v>43739</v>
      </c>
      <c r="C54" s="12">
        <v>36</v>
      </c>
      <c r="D54" s="22" t="s">
        <v>1192</v>
      </c>
      <c r="E54" s="23">
        <v>43768</v>
      </c>
      <c r="F54" s="24" t="s">
        <v>103</v>
      </c>
      <c r="G54" s="12"/>
      <c r="H54" s="12"/>
    </row>
    <row r="55" spans="1:9" hidden="1" x14ac:dyDescent="0.2">
      <c r="A55" s="4" t="s">
        <v>793</v>
      </c>
      <c r="B55" s="21">
        <v>43739</v>
      </c>
      <c r="C55" s="12">
        <v>37</v>
      </c>
      <c r="D55" s="22" t="s">
        <v>1177</v>
      </c>
      <c r="E55" s="23">
        <v>43767</v>
      </c>
      <c r="F55" s="24" t="s">
        <v>103</v>
      </c>
      <c r="G55" s="12">
        <v>1</v>
      </c>
      <c r="H55" s="12"/>
      <c r="I55" s="4" t="s">
        <v>781</v>
      </c>
    </row>
    <row r="56" spans="1:9" hidden="1" x14ac:dyDescent="0.2">
      <c r="A56" s="4" t="s">
        <v>793</v>
      </c>
      <c r="B56" s="21">
        <v>43739</v>
      </c>
      <c r="C56" s="12">
        <v>38</v>
      </c>
      <c r="D56" s="22" t="s">
        <v>798</v>
      </c>
      <c r="E56" s="23">
        <v>43766</v>
      </c>
      <c r="F56" s="24" t="s">
        <v>103</v>
      </c>
      <c r="G56" s="12"/>
      <c r="H56" s="12"/>
    </row>
    <row r="57" spans="1:9" hidden="1" x14ac:dyDescent="0.2">
      <c r="A57" s="4" t="s">
        <v>793</v>
      </c>
      <c r="B57" s="21">
        <v>43739</v>
      </c>
      <c r="C57" s="12">
        <v>39</v>
      </c>
      <c r="D57" s="22" t="s">
        <v>802</v>
      </c>
      <c r="E57" s="23">
        <v>43765</v>
      </c>
      <c r="F57" s="24" t="s">
        <v>103</v>
      </c>
      <c r="G57" s="12"/>
      <c r="H57" s="12"/>
    </row>
    <row r="58" spans="1:9" hidden="1" x14ac:dyDescent="0.2">
      <c r="A58" s="4" t="s">
        <v>793</v>
      </c>
      <c r="B58" s="21">
        <v>43739</v>
      </c>
      <c r="C58" s="12">
        <v>40</v>
      </c>
      <c r="D58" s="22" t="s">
        <v>392</v>
      </c>
      <c r="E58" s="23">
        <v>43765</v>
      </c>
      <c r="F58" s="24" t="s">
        <v>103</v>
      </c>
      <c r="G58" s="12"/>
      <c r="H58" s="12"/>
      <c r="I58" s="4" t="s">
        <v>387</v>
      </c>
    </row>
    <row r="59" spans="1:9" hidden="1" x14ac:dyDescent="0.2">
      <c r="A59" s="4" t="s">
        <v>793</v>
      </c>
      <c r="B59" s="21">
        <v>43739</v>
      </c>
      <c r="C59" s="12">
        <v>41</v>
      </c>
      <c r="D59" s="22" t="s">
        <v>798</v>
      </c>
      <c r="E59" s="23">
        <v>43768</v>
      </c>
      <c r="F59" s="24" t="s">
        <v>103</v>
      </c>
      <c r="G59" s="12"/>
      <c r="H59" s="12"/>
    </row>
    <row r="60" spans="1:9" hidden="1" x14ac:dyDescent="0.2">
      <c r="A60" s="4" t="s">
        <v>793</v>
      </c>
      <c r="B60" s="21">
        <v>43739</v>
      </c>
      <c r="C60" s="12">
        <v>42</v>
      </c>
      <c r="D60" s="22" t="s">
        <v>1222</v>
      </c>
      <c r="E60" s="23">
        <v>43770</v>
      </c>
      <c r="F60" s="24" t="s">
        <v>103</v>
      </c>
      <c r="G60" s="12"/>
      <c r="H60" s="12"/>
    </row>
    <row r="61" spans="1:9" hidden="1" x14ac:dyDescent="0.2">
      <c r="A61" s="4" t="s">
        <v>502</v>
      </c>
      <c r="B61" s="21">
        <v>43739</v>
      </c>
      <c r="C61" s="12">
        <v>43</v>
      </c>
      <c r="D61" s="22" t="s">
        <v>167</v>
      </c>
      <c r="E61" s="23">
        <v>43769</v>
      </c>
      <c r="F61" s="24" t="s">
        <v>137</v>
      </c>
      <c r="G61" s="12"/>
      <c r="H61" s="12"/>
      <c r="I61" s="4" t="s">
        <v>389</v>
      </c>
    </row>
    <row r="62" spans="1:9" hidden="1" x14ac:dyDescent="0.2">
      <c r="A62" s="4" t="s">
        <v>1096</v>
      </c>
      <c r="B62" s="21">
        <v>43739</v>
      </c>
      <c r="C62" s="12"/>
      <c r="D62" s="22" t="s">
        <v>1095</v>
      </c>
      <c r="E62" s="23">
        <v>43763</v>
      </c>
      <c r="F62" s="24" t="s">
        <v>103</v>
      </c>
      <c r="G62" s="12"/>
      <c r="H62" s="12"/>
    </row>
    <row r="63" spans="1:9" hidden="1" x14ac:dyDescent="0.2">
      <c r="A63" s="4" t="s">
        <v>501</v>
      </c>
      <c r="B63" s="21">
        <v>43739</v>
      </c>
      <c r="C63" s="12"/>
      <c r="D63" s="22" t="s">
        <v>1105</v>
      </c>
      <c r="E63" s="23">
        <v>43765</v>
      </c>
      <c r="F63" s="24" t="s">
        <v>103</v>
      </c>
      <c r="G63" s="12"/>
      <c r="H63" s="12"/>
    </row>
    <row r="64" spans="1:9" hidden="1" x14ac:dyDescent="0.2">
      <c r="A64" s="4" t="s">
        <v>501</v>
      </c>
      <c r="B64" s="21">
        <v>43739</v>
      </c>
      <c r="C64" s="12"/>
      <c r="D64" s="22" t="s">
        <v>1107</v>
      </c>
      <c r="E64" s="23">
        <v>43765</v>
      </c>
      <c r="F64" s="24" t="s">
        <v>103</v>
      </c>
      <c r="G64" s="12"/>
      <c r="H64" s="12"/>
    </row>
    <row r="65" spans="1:9" hidden="1" x14ac:dyDescent="0.2">
      <c r="A65" s="4" t="s">
        <v>2011</v>
      </c>
      <c r="B65" s="21">
        <v>43740</v>
      </c>
      <c r="C65" s="12">
        <v>1</v>
      </c>
      <c r="D65" s="22" t="s">
        <v>78</v>
      </c>
      <c r="E65" s="23">
        <v>43710</v>
      </c>
      <c r="F65" s="24" t="s">
        <v>1</v>
      </c>
      <c r="G65" s="12"/>
      <c r="H65" s="12"/>
    </row>
    <row r="66" spans="1:9" hidden="1" x14ac:dyDescent="0.2">
      <c r="A66" s="4" t="s">
        <v>2011</v>
      </c>
      <c r="B66" s="21">
        <v>43740</v>
      </c>
      <c r="C66" s="12">
        <v>2</v>
      </c>
      <c r="D66" s="22" t="s">
        <v>79</v>
      </c>
      <c r="E66" s="23">
        <v>43710</v>
      </c>
      <c r="F66" s="24" t="s">
        <v>1</v>
      </c>
      <c r="G66" s="12"/>
      <c r="H66" s="12"/>
    </row>
    <row r="67" spans="1:9" hidden="1" x14ac:dyDescent="0.2">
      <c r="A67" s="4" t="s">
        <v>2011</v>
      </c>
      <c r="B67" s="21">
        <v>43740</v>
      </c>
      <c r="C67" s="12">
        <v>3</v>
      </c>
      <c r="D67" s="22" t="s">
        <v>415</v>
      </c>
      <c r="E67" s="23">
        <v>43711</v>
      </c>
      <c r="F67" s="24" t="s">
        <v>103</v>
      </c>
      <c r="G67" s="12"/>
      <c r="H67" s="12"/>
      <c r="I67" s="4" t="s">
        <v>80</v>
      </c>
    </row>
    <row r="68" spans="1:9" hidden="1" x14ac:dyDescent="0.2">
      <c r="A68" s="4" t="s">
        <v>2011</v>
      </c>
      <c r="B68" s="21">
        <v>43740</v>
      </c>
      <c r="C68" s="12">
        <v>5</v>
      </c>
      <c r="D68" s="22" t="s">
        <v>237</v>
      </c>
      <c r="E68" s="23">
        <v>43711</v>
      </c>
      <c r="F68" s="24" t="s">
        <v>103</v>
      </c>
      <c r="G68" s="12"/>
      <c r="H68" s="12"/>
    </row>
    <row r="69" spans="1:9" hidden="1" x14ac:dyDescent="0.2">
      <c r="A69" s="4" t="s">
        <v>2011</v>
      </c>
      <c r="B69" s="21">
        <v>43740</v>
      </c>
      <c r="C69" s="12">
        <v>6</v>
      </c>
      <c r="D69" s="22" t="s">
        <v>290</v>
      </c>
      <c r="E69" s="23">
        <v>43711</v>
      </c>
      <c r="F69" s="24" t="s">
        <v>103</v>
      </c>
      <c r="G69" s="12"/>
      <c r="H69" s="12"/>
    </row>
    <row r="70" spans="1:9" hidden="1" x14ac:dyDescent="0.2">
      <c r="A70" s="4" t="s">
        <v>2011</v>
      </c>
      <c r="B70" s="21">
        <v>43740</v>
      </c>
      <c r="C70" s="12">
        <v>7</v>
      </c>
      <c r="D70" s="22" t="s">
        <v>279</v>
      </c>
      <c r="E70" s="23">
        <v>43731</v>
      </c>
      <c r="F70" s="24" t="s">
        <v>103</v>
      </c>
      <c r="G70" s="12"/>
      <c r="H70" s="12" t="s">
        <v>504</v>
      </c>
      <c r="I70" s="4" t="s">
        <v>236</v>
      </c>
    </row>
    <row r="71" spans="1:9" hidden="1" x14ac:dyDescent="0.2">
      <c r="A71" s="4" t="s">
        <v>2011</v>
      </c>
      <c r="B71" s="21">
        <v>43740</v>
      </c>
      <c r="C71" s="12">
        <v>8</v>
      </c>
      <c r="D71" s="22" t="s">
        <v>108</v>
      </c>
      <c r="E71" s="23">
        <v>43732</v>
      </c>
      <c r="F71" s="24" t="s">
        <v>103</v>
      </c>
      <c r="G71" s="12"/>
      <c r="H71" s="12"/>
      <c r="I71" s="4" t="s">
        <v>106</v>
      </c>
    </row>
    <row r="72" spans="1:9" hidden="1" x14ac:dyDescent="0.2">
      <c r="A72" s="4" t="s">
        <v>2011</v>
      </c>
      <c r="B72" s="21">
        <v>43740</v>
      </c>
      <c r="C72" s="12">
        <v>9</v>
      </c>
      <c r="D72" s="22" t="s">
        <v>435</v>
      </c>
      <c r="E72" s="23">
        <v>43733</v>
      </c>
      <c r="F72" s="24" t="s">
        <v>103</v>
      </c>
      <c r="G72" s="12"/>
      <c r="H72" s="12"/>
    </row>
    <row r="73" spans="1:9" hidden="1" x14ac:dyDescent="0.2">
      <c r="A73" s="4" t="s">
        <v>2011</v>
      </c>
      <c r="B73" s="21">
        <v>43740</v>
      </c>
      <c r="C73" s="12">
        <v>10</v>
      </c>
      <c r="D73" s="22" t="s">
        <v>44</v>
      </c>
      <c r="E73" s="23">
        <v>43732</v>
      </c>
      <c r="F73" s="24" t="s">
        <v>103</v>
      </c>
      <c r="G73" s="12"/>
      <c r="H73" s="12"/>
    </row>
    <row r="74" spans="1:9" hidden="1" x14ac:dyDescent="0.2">
      <c r="A74" s="4" t="s">
        <v>2011</v>
      </c>
      <c r="B74" s="21">
        <v>43740</v>
      </c>
      <c r="C74" s="12">
        <v>11</v>
      </c>
      <c r="D74" s="22" t="s">
        <v>280</v>
      </c>
      <c r="E74" s="23">
        <v>43732</v>
      </c>
      <c r="F74" s="24" t="s">
        <v>103</v>
      </c>
      <c r="G74" s="12"/>
      <c r="H74" s="12"/>
    </row>
    <row r="75" spans="1:9" hidden="1" x14ac:dyDescent="0.2">
      <c r="A75" s="4" t="s">
        <v>2011</v>
      </c>
      <c r="B75" s="21">
        <v>43740</v>
      </c>
      <c r="C75" s="12">
        <v>12</v>
      </c>
      <c r="D75" s="22" t="s">
        <v>110</v>
      </c>
      <c r="E75" s="23">
        <v>43733</v>
      </c>
      <c r="F75" s="24" t="s">
        <v>103</v>
      </c>
      <c r="G75" s="12"/>
      <c r="H75" s="12"/>
      <c r="I75" s="4" t="s">
        <v>21</v>
      </c>
    </row>
    <row r="76" spans="1:9" hidden="1" x14ac:dyDescent="0.2">
      <c r="A76" s="4" t="s">
        <v>2011</v>
      </c>
      <c r="B76" s="21">
        <v>43740</v>
      </c>
      <c r="C76" s="12">
        <v>13</v>
      </c>
      <c r="D76" s="22" t="s">
        <v>552</v>
      </c>
      <c r="E76" s="23">
        <v>43734</v>
      </c>
      <c r="F76" s="24" t="s">
        <v>103</v>
      </c>
      <c r="G76" s="12">
        <v>4</v>
      </c>
      <c r="H76" s="12"/>
      <c r="I76" s="4" t="s">
        <v>14</v>
      </c>
    </row>
    <row r="77" spans="1:9" hidden="1" x14ac:dyDescent="0.2">
      <c r="A77" s="4" t="s">
        <v>2011</v>
      </c>
      <c r="B77" s="21">
        <v>43740</v>
      </c>
      <c r="C77" s="12">
        <v>15</v>
      </c>
      <c r="D77" s="22" t="s">
        <v>553</v>
      </c>
      <c r="E77" s="23">
        <v>43734</v>
      </c>
      <c r="F77" s="24" t="s">
        <v>103</v>
      </c>
      <c r="G77" s="12">
        <v>4</v>
      </c>
      <c r="H77" s="12"/>
      <c r="I77" s="4" t="s">
        <v>112</v>
      </c>
    </row>
    <row r="78" spans="1:9" hidden="1" x14ac:dyDescent="0.2">
      <c r="A78" s="4" t="s">
        <v>2011</v>
      </c>
      <c r="B78" s="21">
        <v>43740</v>
      </c>
      <c r="C78" s="12">
        <v>16</v>
      </c>
      <c r="D78" s="22" t="s">
        <v>116</v>
      </c>
      <c r="E78" s="23">
        <v>43735</v>
      </c>
      <c r="F78" s="24" t="s">
        <v>103</v>
      </c>
      <c r="G78" s="12">
        <v>1</v>
      </c>
      <c r="H78" s="12" t="s">
        <v>573</v>
      </c>
      <c r="I78" s="4" t="s">
        <v>114</v>
      </c>
    </row>
    <row r="79" spans="1:9" hidden="1" x14ac:dyDescent="0.2">
      <c r="A79" s="4" t="s">
        <v>2011</v>
      </c>
      <c r="B79" s="21">
        <v>43740</v>
      </c>
      <c r="C79" s="12">
        <v>17</v>
      </c>
      <c r="D79" s="22" t="s">
        <v>118</v>
      </c>
      <c r="E79" s="23">
        <v>43735</v>
      </c>
      <c r="F79" s="24" t="s">
        <v>103</v>
      </c>
      <c r="G79" s="12">
        <v>1</v>
      </c>
      <c r="H79" s="12"/>
    </row>
    <row r="80" spans="1:9" hidden="1" x14ac:dyDescent="0.2">
      <c r="A80" s="4" t="s">
        <v>2011</v>
      </c>
      <c r="B80" s="21">
        <v>43740</v>
      </c>
      <c r="C80" s="12">
        <v>18</v>
      </c>
      <c r="D80" s="22" t="s">
        <v>575</v>
      </c>
      <c r="E80" s="23">
        <v>43735</v>
      </c>
      <c r="F80" s="24" t="s">
        <v>103</v>
      </c>
      <c r="G80" s="12">
        <v>2</v>
      </c>
      <c r="H80" s="12"/>
    </row>
    <row r="81" spans="1:9" hidden="1" x14ac:dyDescent="0.2">
      <c r="A81" s="4" t="s">
        <v>2011</v>
      </c>
      <c r="B81" s="21">
        <v>43740</v>
      </c>
      <c r="C81" s="12">
        <v>19</v>
      </c>
      <c r="D81" s="22" t="s">
        <v>588</v>
      </c>
      <c r="E81" s="23">
        <v>43737</v>
      </c>
      <c r="F81" s="24" t="s">
        <v>103</v>
      </c>
      <c r="G81" s="12">
        <v>3</v>
      </c>
      <c r="H81" s="12"/>
    </row>
    <row r="82" spans="1:9" hidden="1" x14ac:dyDescent="0.2">
      <c r="A82" s="4" t="s">
        <v>2011</v>
      </c>
      <c r="B82" s="21">
        <v>43740</v>
      </c>
      <c r="C82" s="12">
        <v>21</v>
      </c>
      <c r="D82" s="22" t="s">
        <v>587</v>
      </c>
      <c r="E82" s="23">
        <v>43737</v>
      </c>
      <c r="F82" s="24" t="s">
        <v>103</v>
      </c>
      <c r="G82" s="12">
        <v>3</v>
      </c>
      <c r="H82" s="12"/>
    </row>
    <row r="83" spans="1:9" hidden="1" x14ac:dyDescent="0.2">
      <c r="A83" s="4" t="s">
        <v>2011</v>
      </c>
      <c r="B83" s="21">
        <v>43740</v>
      </c>
      <c r="C83" s="12">
        <v>22</v>
      </c>
      <c r="D83" s="22" t="s">
        <v>121</v>
      </c>
      <c r="E83" s="23">
        <v>43735</v>
      </c>
      <c r="F83" s="24" t="s">
        <v>103</v>
      </c>
      <c r="G83" s="12">
        <v>4</v>
      </c>
      <c r="H83" s="12"/>
    </row>
    <row r="84" spans="1:9" hidden="1" x14ac:dyDescent="0.2">
      <c r="A84" s="4" t="s">
        <v>2011</v>
      </c>
      <c r="B84" s="21">
        <v>43740</v>
      </c>
      <c r="C84" s="12">
        <v>23</v>
      </c>
      <c r="D84" s="22" t="s">
        <v>123</v>
      </c>
      <c r="E84" s="23">
        <v>43736</v>
      </c>
      <c r="F84" s="24" t="s">
        <v>103</v>
      </c>
      <c r="G84" s="12"/>
      <c r="H84" s="12"/>
    </row>
    <row r="85" spans="1:9" hidden="1" x14ac:dyDescent="0.2">
      <c r="A85" s="4" t="s">
        <v>2011</v>
      </c>
      <c r="B85" s="21">
        <v>43740</v>
      </c>
      <c r="C85" s="12">
        <v>24</v>
      </c>
      <c r="D85" s="22" t="s">
        <v>125</v>
      </c>
      <c r="E85" s="23">
        <v>43736</v>
      </c>
      <c r="F85" s="24" t="s">
        <v>103</v>
      </c>
      <c r="G85" s="12"/>
      <c r="H85" s="12"/>
    </row>
    <row r="86" spans="1:9" hidden="1" x14ac:dyDescent="0.2">
      <c r="A86" s="4" t="s">
        <v>2011</v>
      </c>
      <c r="B86" s="21">
        <v>43740</v>
      </c>
      <c r="C86" s="12">
        <v>25</v>
      </c>
      <c r="D86" s="22" t="s">
        <v>127</v>
      </c>
      <c r="E86" s="23">
        <v>43741</v>
      </c>
      <c r="F86" s="24" t="s">
        <v>103</v>
      </c>
      <c r="G86" s="12"/>
      <c r="H86" s="12"/>
    </row>
    <row r="87" spans="1:9" hidden="1" x14ac:dyDescent="0.2">
      <c r="A87" s="4" t="s">
        <v>2011</v>
      </c>
      <c r="B87" s="21">
        <v>43740</v>
      </c>
      <c r="C87" s="12">
        <v>26</v>
      </c>
      <c r="D87" s="22" t="s">
        <v>129</v>
      </c>
      <c r="E87" s="23">
        <v>43741</v>
      </c>
      <c r="F87" s="24" t="s">
        <v>103</v>
      </c>
      <c r="G87" s="12"/>
      <c r="H87" s="12"/>
    </row>
    <row r="88" spans="1:9" hidden="1" x14ac:dyDescent="0.2">
      <c r="A88" s="4" t="s">
        <v>2011</v>
      </c>
      <c r="B88" s="21">
        <v>43740</v>
      </c>
      <c r="C88" s="12">
        <v>27</v>
      </c>
      <c r="D88" s="22" t="s">
        <v>131</v>
      </c>
      <c r="E88" s="23">
        <v>43742</v>
      </c>
      <c r="F88" s="24" t="s">
        <v>103</v>
      </c>
      <c r="G88" s="12"/>
      <c r="H88" s="12"/>
    </row>
    <row r="89" spans="1:9" hidden="1" x14ac:dyDescent="0.2">
      <c r="A89" s="4" t="s">
        <v>2011</v>
      </c>
      <c r="B89" s="21">
        <v>43740</v>
      </c>
      <c r="C89" s="12">
        <v>28</v>
      </c>
      <c r="D89" s="22" t="s">
        <v>668</v>
      </c>
      <c r="E89" s="23">
        <v>43747</v>
      </c>
      <c r="F89" s="24" t="s">
        <v>103</v>
      </c>
      <c r="G89" s="12"/>
      <c r="H89" s="12"/>
    </row>
    <row r="90" spans="1:9" hidden="1" x14ac:dyDescent="0.2">
      <c r="A90" s="4" t="s">
        <v>2011</v>
      </c>
      <c r="B90" s="21">
        <v>43740</v>
      </c>
      <c r="C90" s="12">
        <v>29</v>
      </c>
      <c r="D90" s="22" t="s">
        <v>161</v>
      </c>
      <c r="E90" s="23">
        <v>43747</v>
      </c>
      <c r="F90" s="24" t="s">
        <v>103</v>
      </c>
      <c r="G90" s="12"/>
      <c r="H90" s="12"/>
    </row>
    <row r="91" spans="1:9" hidden="1" x14ac:dyDescent="0.2">
      <c r="A91" s="4" t="s">
        <v>1768</v>
      </c>
      <c r="B91" s="21">
        <v>43740</v>
      </c>
      <c r="C91" s="12">
        <v>1</v>
      </c>
      <c r="D91" s="22" t="s">
        <v>157</v>
      </c>
      <c r="E91" s="23">
        <v>43727</v>
      </c>
      <c r="F91" s="24" t="s">
        <v>479</v>
      </c>
      <c r="G91" s="12"/>
      <c r="H91" s="12"/>
    </row>
    <row r="92" spans="1:9" hidden="1" x14ac:dyDescent="0.2">
      <c r="A92" s="4" t="s">
        <v>1768</v>
      </c>
      <c r="B92" s="21">
        <v>43740</v>
      </c>
      <c r="C92" s="12">
        <v>2</v>
      </c>
      <c r="D92" s="22" t="s">
        <v>555</v>
      </c>
      <c r="E92" s="23">
        <v>43735</v>
      </c>
      <c r="F92" s="24" t="s">
        <v>103</v>
      </c>
      <c r="G92" s="12">
        <v>1</v>
      </c>
      <c r="H92" s="12" t="s">
        <v>571</v>
      </c>
    </row>
    <row r="93" spans="1:9" hidden="1" x14ac:dyDescent="0.2">
      <c r="A93" s="4" t="s">
        <v>1768</v>
      </c>
      <c r="B93" s="21">
        <v>43740</v>
      </c>
      <c r="C93" s="12">
        <v>3</v>
      </c>
      <c r="D93" s="22" t="s">
        <v>9</v>
      </c>
      <c r="E93" s="23">
        <v>43732</v>
      </c>
      <c r="F93" s="24" t="s">
        <v>103</v>
      </c>
      <c r="G93" s="12"/>
      <c r="H93" s="12"/>
    </row>
    <row r="94" spans="1:9" hidden="1" x14ac:dyDescent="0.2">
      <c r="A94" s="4" t="s">
        <v>1768</v>
      </c>
      <c r="B94" s="21">
        <v>43740</v>
      </c>
      <c r="C94" s="12">
        <v>4</v>
      </c>
      <c r="D94" s="22" t="s">
        <v>579</v>
      </c>
      <c r="E94" s="23">
        <v>43735</v>
      </c>
      <c r="F94" s="24" t="s">
        <v>103</v>
      </c>
      <c r="G94" s="12">
        <v>1</v>
      </c>
      <c r="H94" s="12" t="s">
        <v>572</v>
      </c>
      <c r="I94" s="4" t="s">
        <v>60</v>
      </c>
    </row>
    <row r="95" spans="1:9" hidden="1" x14ac:dyDescent="0.2">
      <c r="A95" s="4" t="s">
        <v>1768</v>
      </c>
      <c r="B95" s="21">
        <v>43740</v>
      </c>
      <c r="C95" s="12">
        <v>7</v>
      </c>
      <c r="D95" s="22" t="s">
        <v>216</v>
      </c>
      <c r="E95" s="23">
        <v>43737</v>
      </c>
      <c r="F95" s="24" t="s">
        <v>103</v>
      </c>
      <c r="G95" s="12">
        <v>1</v>
      </c>
      <c r="H95" s="12"/>
      <c r="I95" s="4" t="s">
        <v>69</v>
      </c>
    </row>
    <row r="96" spans="1:9" hidden="1" x14ac:dyDescent="0.2">
      <c r="A96" s="4" t="s">
        <v>1768</v>
      </c>
      <c r="B96" s="21">
        <v>43740</v>
      </c>
      <c r="C96" s="12">
        <v>8</v>
      </c>
      <c r="D96" s="22" t="s">
        <v>144</v>
      </c>
      <c r="E96" s="23">
        <v>43737</v>
      </c>
      <c r="F96" s="24" t="s">
        <v>103</v>
      </c>
      <c r="G96" s="12"/>
      <c r="H96" s="12"/>
      <c r="I96" s="4" t="s">
        <v>64</v>
      </c>
    </row>
    <row r="97" spans="1:9" hidden="1" x14ac:dyDescent="0.2">
      <c r="A97" s="4" t="s">
        <v>1768</v>
      </c>
      <c r="B97" s="21">
        <v>43740</v>
      </c>
      <c r="C97" s="12">
        <v>9</v>
      </c>
      <c r="D97" s="22" t="s">
        <v>437</v>
      </c>
      <c r="E97" s="23">
        <v>43737</v>
      </c>
      <c r="F97" s="24" t="s">
        <v>103</v>
      </c>
      <c r="G97" s="12">
        <v>1</v>
      </c>
      <c r="H97" s="12"/>
    </row>
    <row r="98" spans="1:9" hidden="1" x14ac:dyDescent="0.2">
      <c r="A98" s="4" t="s">
        <v>1768</v>
      </c>
      <c r="B98" s="21">
        <v>43740</v>
      </c>
      <c r="C98" s="12">
        <v>10</v>
      </c>
      <c r="D98" s="22" t="s">
        <v>461</v>
      </c>
      <c r="E98" s="23">
        <v>43736</v>
      </c>
      <c r="F98" s="24" t="s">
        <v>103</v>
      </c>
      <c r="G98" s="12"/>
      <c r="H98" s="12"/>
    </row>
    <row r="99" spans="1:9" hidden="1" x14ac:dyDescent="0.2">
      <c r="A99" s="4" t="s">
        <v>1768</v>
      </c>
      <c r="B99" s="21">
        <v>43740</v>
      </c>
      <c r="C99" s="12">
        <v>11</v>
      </c>
      <c r="D99" s="22" t="s">
        <v>91</v>
      </c>
      <c r="E99" s="23">
        <v>43738</v>
      </c>
      <c r="F99" s="24" t="s">
        <v>103</v>
      </c>
      <c r="G99" s="12">
        <v>2</v>
      </c>
      <c r="H99" s="12"/>
    </row>
    <row r="100" spans="1:9" hidden="1" x14ac:dyDescent="0.2">
      <c r="A100" s="4" t="s">
        <v>1768</v>
      </c>
      <c r="B100" s="21">
        <v>43740</v>
      </c>
      <c r="C100" s="12">
        <v>12</v>
      </c>
      <c r="D100" s="22" t="s">
        <v>145</v>
      </c>
      <c r="E100" s="23">
        <v>43737</v>
      </c>
      <c r="F100" s="24" t="s">
        <v>103</v>
      </c>
      <c r="G100" s="12">
        <v>1</v>
      </c>
      <c r="H100" s="12"/>
      <c r="I100" s="4" t="s">
        <v>146</v>
      </c>
    </row>
    <row r="101" spans="1:9" hidden="1" x14ac:dyDescent="0.2">
      <c r="A101" s="4" t="s">
        <v>1768</v>
      </c>
      <c r="B101" s="21">
        <v>43740</v>
      </c>
      <c r="C101" s="12">
        <v>12</v>
      </c>
      <c r="D101" s="22" t="s">
        <v>451</v>
      </c>
      <c r="E101" s="23">
        <v>43737</v>
      </c>
      <c r="F101" s="24" t="s">
        <v>103</v>
      </c>
      <c r="G101" s="12">
        <v>1</v>
      </c>
      <c r="H101" s="12"/>
    </row>
    <row r="102" spans="1:9" hidden="1" x14ac:dyDescent="0.2">
      <c r="A102" s="4" t="s">
        <v>1768</v>
      </c>
      <c r="B102" s="21">
        <v>43740</v>
      </c>
      <c r="C102" s="12">
        <v>12</v>
      </c>
      <c r="D102" s="22" t="s">
        <v>147</v>
      </c>
      <c r="E102" s="23">
        <v>43738</v>
      </c>
      <c r="F102" s="24" t="s">
        <v>103</v>
      </c>
      <c r="G102" s="12"/>
      <c r="H102" s="12"/>
      <c r="I102" s="4" t="s">
        <v>146</v>
      </c>
    </row>
    <row r="103" spans="1:9" hidden="1" x14ac:dyDescent="0.2">
      <c r="A103" s="4" t="s">
        <v>1768</v>
      </c>
      <c r="B103" s="21">
        <v>43740</v>
      </c>
      <c r="C103" s="12">
        <v>12</v>
      </c>
      <c r="D103" s="22" t="s">
        <v>217</v>
      </c>
      <c r="E103" s="23">
        <v>43738</v>
      </c>
      <c r="F103" s="24" t="s">
        <v>103</v>
      </c>
      <c r="G103" s="12">
        <v>2</v>
      </c>
      <c r="H103" s="12"/>
      <c r="I103" s="4" t="s">
        <v>146</v>
      </c>
    </row>
    <row r="104" spans="1:9" hidden="1" x14ac:dyDescent="0.2">
      <c r="A104" s="4" t="s">
        <v>1768</v>
      </c>
      <c r="B104" s="21">
        <v>43740</v>
      </c>
      <c r="C104" s="12">
        <v>12</v>
      </c>
      <c r="D104" s="22" t="s">
        <v>148</v>
      </c>
      <c r="E104" s="23">
        <v>43738</v>
      </c>
      <c r="F104" s="24" t="s">
        <v>103</v>
      </c>
      <c r="G104" s="12">
        <v>3</v>
      </c>
      <c r="H104" s="12"/>
      <c r="I104" s="4" t="s">
        <v>146</v>
      </c>
    </row>
    <row r="105" spans="1:9" hidden="1" x14ac:dyDescent="0.2">
      <c r="A105" s="4" t="s">
        <v>1768</v>
      </c>
      <c r="B105" s="21">
        <v>43740</v>
      </c>
      <c r="C105" s="12">
        <v>17</v>
      </c>
      <c r="D105" s="22" t="s">
        <v>124</v>
      </c>
      <c r="E105" s="23">
        <v>43738</v>
      </c>
      <c r="F105" s="24" t="s">
        <v>103</v>
      </c>
      <c r="G105" s="12">
        <v>3</v>
      </c>
      <c r="H105" s="12"/>
    </row>
    <row r="106" spans="1:9" hidden="1" x14ac:dyDescent="0.2">
      <c r="A106" s="4" t="s">
        <v>1768</v>
      </c>
      <c r="B106" s="21">
        <v>43740</v>
      </c>
      <c r="C106" s="12">
        <v>18</v>
      </c>
      <c r="D106" s="22" t="s">
        <v>126</v>
      </c>
      <c r="E106" s="23">
        <v>43741</v>
      </c>
      <c r="F106" s="24" t="s">
        <v>103</v>
      </c>
      <c r="G106" s="12">
        <v>3</v>
      </c>
      <c r="H106" s="12"/>
    </row>
    <row r="107" spans="1:9" hidden="1" x14ac:dyDescent="0.2">
      <c r="A107" s="4" t="s">
        <v>1768</v>
      </c>
      <c r="B107" s="21">
        <v>43740</v>
      </c>
      <c r="C107" s="12">
        <v>19</v>
      </c>
      <c r="D107" s="22" t="s">
        <v>128</v>
      </c>
      <c r="E107" s="23">
        <v>43742</v>
      </c>
      <c r="F107" s="24" t="s">
        <v>103</v>
      </c>
      <c r="G107" s="12">
        <v>3</v>
      </c>
      <c r="H107" s="12"/>
    </row>
    <row r="108" spans="1:9" hidden="1" x14ac:dyDescent="0.2">
      <c r="A108" s="4" t="s">
        <v>1768</v>
      </c>
      <c r="B108" s="21">
        <v>43740</v>
      </c>
      <c r="C108" s="12">
        <v>20</v>
      </c>
      <c r="D108" s="22" t="s">
        <v>101</v>
      </c>
      <c r="E108" s="23">
        <v>43745</v>
      </c>
      <c r="F108" s="24" t="s">
        <v>103</v>
      </c>
      <c r="G108" s="12"/>
      <c r="H108" s="12"/>
    </row>
    <row r="109" spans="1:9" hidden="1" x14ac:dyDescent="0.2">
      <c r="A109" s="4" t="s">
        <v>1768</v>
      </c>
      <c r="B109" s="21">
        <v>43740</v>
      </c>
      <c r="C109" s="12">
        <v>21</v>
      </c>
      <c r="D109" s="22" t="s">
        <v>313</v>
      </c>
      <c r="E109" s="23">
        <v>43745</v>
      </c>
      <c r="F109" s="24" t="s">
        <v>103</v>
      </c>
      <c r="G109" s="12"/>
      <c r="H109" s="12"/>
    </row>
    <row r="110" spans="1:9" hidden="1" x14ac:dyDescent="0.2">
      <c r="A110" s="4" t="s">
        <v>1768</v>
      </c>
      <c r="B110" s="21">
        <v>43740</v>
      </c>
      <c r="C110" s="12">
        <v>22</v>
      </c>
      <c r="D110" s="22" t="s">
        <v>143</v>
      </c>
      <c r="E110" s="23">
        <v>43742</v>
      </c>
      <c r="F110" s="24" t="s">
        <v>103</v>
      </c>
      <c r="G110" s="12"/>
      <c r="H110" s="12"/>
    </row>
    <row r="111" spans="1:9" hidden="1" x14ac:dyDescent="0.2">
      <c r="A111" s="4" t="s">
        <v>1773</v>
      </c>
      <c r="B111" s="21">
        <v>43740</v>
      </c>
      <c r="C111" s="12">
        <v>1</v>
      </c>
      <c r="D111" s="22" t="s">
        <v>157</v>
      </c>
      <c r="E111" s="23">
        <v>43726</v>
      </c>
      <c r="F111" s="24" t="s">
        <v>470</v>
      </c>
      <c r="G111" s="12"/>
      <c r="H111" s="12"/>
    </row>
    <row r="112" spans="1:9" hidden="1" x14ac:dyDescent="0.2">
      <c r="A112" s="4" t="s">
        <v>1773</v>
      </c>
      <c r="B112" s="21">
        <v>43740</v>
      </c>
      <c r="C112" s="12">
        <v>2</v>
      </c>
      <c r="D112" s="22" t="s">
        <v>214</v>
      </c>
      <c r="E112" s="23">
        <v>43727</v>
      </c>
      <c r="F112" s="24" t="s">
        <v>103</v>
      </c>
      <c r="G112" s="12"/>
      <c r="H112" s="12"/>
    </row>
    <row r="113" spans="1:9" hidden="1" x14ac:dyDescent="0.2">
      <c r="A113" s="4" t="s">
        <v>1773</v>
      </c>
      <c r="B113" s="21">
        <v>43740</v>
      </c>
      <c r="C113" s="12">
        <v>3</v>
      </c>
      <c r="D113" s="22" t="s">
        <v>9</v>
      </c>
      <c r="E113" s="23">
        <v>43728</v>
      </c>
      <c r="F113" s="24" t="s">
        <v>103</v>
      </c>
      <c r="G113" s="12"/>
      <c r="H113" s="12"/>
    </row>
    <row r="114" spans="1:9" hidden="1" x14ac:dyDescent="0.2">
      <c r="A114" s="4" t="s">
        <v>1773</v>
      </c>
      <c r="B114" s="21">
        <v>43740</v>
      </c>
      <c r="C114" s="12">
        <v>4</v>
      </c>
      <c r="D114" s="22" t="s">
        <v>554</v>
      </c>
      <c r="E114" s="23">
        <v>43734</v>
      </c>
      <c r="F114" s="24" t="s">
        <v>103</v>
      </c>
      <c r="G114" s="12"/>
      <c r="H114" s="12"/>
      <c r="I114" s="4" t="s">
        <v>60</v>
      </c>
    </row>
    <row r="115" spans="1:9" hidden="1" x14ac:dyDescent="0.2">
      <c r="A115" s="4" t="s">
        <v>1773</v>
      </c>
      <c r="B115" s="21">
        <v>43740</v>
      </c>
      <c r="C115" s="12">
        <v>7</v>
      </c>
      <c r="D115" s="22" t="s">
        <v>578</v>
      </c>
      <c r="E115" s="23">
        <v>43735</v>
      </c>
      <c r="F115" s="24" t="s">
        <v>103</v>
      </c>
      <c r="G115" s="12">
        <v>1</v>
      </c>
      <c r="H115" s="12" t="s">
        <v>573</v>
      </c>
      <c r="I115" s="4" t="s">
        <v>69</v>
      </c>
    </row>
    <row r="116" spans="1:9" hidden="1" x14ac:dyDescent="0.2">
      <c r="A116" s="4" t="s">
        <v>1773</v>
      </c>
      <c r="B116" s="21">
        <v>43740</v>
      </c>
      <c r="C116" s="12">
        <v>8</v>
      </c>
      <c r="D116" s="22" t="s">
        <v>144</v>
      </c>
      <c r="E116" s="23">
        <v>43735</v>
      </c>
      <c r="F116" s="24" t="s">
        <v>103</v>
      </c>
      <c r="G116" s="12"/>
      <c r="H116" s="12"/>
      <c r="I116" s="4" t="s">
        <v>64</v>
      </c>
    </row>
    <row r="117" spans="1:9" hidden="1" x14ac:dyDescent="0.2">
      <c r="A117" s="4" t="s">
        <v>1773</v>
      </c>
      <c r="B117" s="21">
        <v>43740</v>
      </c>
      <c r="C117" s="12">
        <v>9</v>
      </c>
      <c r="D117" s="22" t="s">
        <v>577</v>
      </c>
      <c r="E117" s="23">
        <v>43735</v>
      </c>
      <c r="F117" s="24" t="s">
        <v>103</v>
      </c>
      <c r="G117" s="12">
        <v>1</v>
      </c>
      <c r="H117" s="12"/>
    </row>
    <row r="118" spans="1:9" hidden="1" x14ac:dyDescent="0.2">
      <c r="A118" s="4" t="s">
        <v>1773</v>
      </c>
      <c r="B118" s="21">
        <v>43740</v>
      </c>
      <c r="C118" s="12">
        <v>10</v>
      </c>
      <c r="D118" s="22" t="s">
        <v>461</v>
      </c>
      <c r="E118" s="23">
        <v>43735</v>
      </c>
      <c r="F118" s="24" t="s">
        <v>259</v>
      </c>
      <c r="G118" s="12"/>
      <c r="H118" s="12"/>
    </row>
    <row r="119" spans="1:9" hidden="1" x14ac:dyDescent="0.2">
      <c r="A119" s="4" t="s">
        <v>1773</v>
      </c>
      <c r="B119" s="21">
        <v>43740</v>
      </c>
      <c r="C119" s="12">
        <v>11</v>
      </c>
      <c r="D119" s="22" t="s">
        <v>576</v>
      </c>
      <c r="E119" s="23">
        <v>43735</v>
      </c>
      <c r="F119" s="24" t="s">
        <v>103</v>
      </c>
      <c r="G119" s="12">
        <v>2</v>
      </c>
      <c r="H119" s="12"/>
    </row>
    <row r="120" spans="1:9" hidden="1" x14ac:dyDescent="0.2">
      <c r="A120" s="4" t="s">
        <v>1773</v>
      </c>
      <c r="B120" s="21">
        <v>43740</v>
      </c>
      <c r="C120" s="12">
        <v>12</v>
      </c>
      <c r="D120" s="22" t="s">
        <v>451</v>
      </c>
      <c r="E120" s="23">
        <v>43735</v>
      </c>
      <c r="F120" s="24" t="s">
        <v>259</v>
      </c>
      <c r="G120" s="12"/>
      <c r="H120" s="12"/>
    </row>
    <row r="121" spans="1:9" hidden="1" x14ac:dyDescent="0.2">
      <c r="A121" s="4" t="s">
        <v>1773</v>
      </c>
      <c r="B121" s="21">
        <v>43740</v>
      </c>
      <c r="C121" s="12">
        <v>15</v>
      </c>
      <c r="D121" s="22" t="s">
        <v>145</v>
      </c>
      <c r="E121" s="23">
        <v>43735</v>
      </c>
      <c r="F121" s="24" t="s">
        <v>103</v>
      </c>
      <c r="G121" s="12">
        <v>4</v>
      </c>
      <c r="H121" s="12"/>
      <c r="I121" s="4" t="s">
        <v>146</v>
      </c>
    </row>
    <row r="122" spans="1:9" hidden="1" x14ac:dyDescent="0.2">
      <c r="A122" s="4" t="s">
        <v>1773</v>
      </c>
      <c r="B122" s="21">
        <v>43740</v>
      </c>
      <c r="C122" s="12">
        <v>16</v>
      </c>
      <c r="D122" s="22" t="s">
        <v>147</v>
      </c>
      <c r="E122" s="23">
        <v>43736</v>
      </c>
      <c r="F122" s="24" t="s">
        <v>103</v>
      </c>
      <c r="G122" s="12"/>
      <c r="H122" s="12"/>
      <c r="I122" s="4" t="s">
        <v>146</v>
      </c>
    </row>
    <row r="123" spans="1:9" hidden="1" x14ac:dyDescent="0.2">
      <c r="A123" s="4" t="s">
        <v>1773</v>
      </c>
      <c r="B123" s="21">
        <v>43740</v>
      </c>
      <c r="C123" s="12">
        <v>17</v>
      </c>
      <c r="D123" s="22" t="s">
        <v>124</v>
      </c>
      <c r="E123" s="23">
        <v>43736</v>
      </c>
      <c r="F123" s="24" t="s">
        <v>103</v>
      </c>
      <c r="G123" s="12"/>
      <c r="H123" s="12"/>
    </row>
    <row r="124" spans="1:9" hidden="1" x14ac:dyDescent="0.2">
      <c r="A124" s="4" t="s">
        <v>1773</v>
      </c>
      <c r="B124" s="21">
        <v>43740</v>
      </c>
      <c r="C124" s="12">
        <v>18</v>
      </c>
      <c r="D124" s="22" t="s">
        <v>126</v>
      </c>
      <c r="E124" s="23">
        <v>43741</v>
      </c>
      <c r="F124" s="24" t="s">
        <v>103</v>
      </c>
      <c r="G124" s="12"/>
      <c r="H124" s="12"/>
    </row>
    <row r="125" spans="1:9" hidden="1" x14ac:dyDescent="0.2">
      <c r="A125" s="4" t="s">
        <v>1773</v>
      </c>
      <c r="B125" s="21">
        <v>43740</v>
      </c>
      <c r="C125" s="12">
        <v>19</v>
      </c>
      <c r="D125" s="22" t="s">
        <v>128</v>
      </c>
      <c r="E125" s="23">
        <v>43741</v>
      </c>
      <c r="F125" s="24" t="s">
        <v>103</v>
      </c>
      <c r="G125" s="12"/>
      <c r="H125" s="12"/>
    </row>
    <row r="126" spans="1:9" hidden="1" x14ac:dyDescent="0.2">
      <c r="A126" s="4" t="s">
        <v>1773</v>
      </c>
      <c r="B126" s="21">
        <v>43740</v>
      </c>
      <c r="C126" s="12">
        <v>20</v>
      </c>
      <c r="D126" s="22" t="s">
        <v>101</v>
      </c>
      <c r="E126" s="23">
        <v>43745</v>
      </c>
      <c r="F126" s="24" t="s">
        <v>103</v>
      </c>
      <c r="G126" s="12"/>
      <c r="H126" s="12"/>
    </row>
    <row r="127" spans="1:9" hidden="1" x14ac:dyDescent="0.2">
      <c r="A127" s="4" t="s">
        <v>1773</v>
      </c>
      <c r="B127" s="21">
        <v>43740</v>
      </c>
      <c r="C127" s="12">
        <v>21</v>
      </c>
      <c r="D127" s="22" t="s">
        <v>313</v>
      </c>
      <c r="E127" s="23">
        <v>43745</v>
      </c>
      <c r="F127" s="24" t="s">
        <v>103</v>
      </c>
      <c r="G127" s="12"/>
      <c r="H127" s="12"/>
    </row>
    <row r="128" spans="1:9" hidden="1" x14ac:dyDescent="0.2">
      <c r="A128" s="4" t="s">
        <v>1773</v>
      </c>
      <c r="B128" s="21">
        <v>43740</v>
      </c>
      <c r="C128" s="12">
        <v>22</v>
      </c>
      <c r="D128" s="22" t="s">
        <v>143</v>
      </c>
      <c r="E128" s="23">
        <v>43742</v>
      </c>
      <c r="F128" s="24" t="s">
        <v>103</v>
      </c>
      <c r="G128" s="12"/>
      <c r="H128" s="12"/>
    </row>
    <row r="129" spans="1:9" hidden="1" x14ac:dyDescent="0.2">
      <c r="A129" s="4" t="s">
        <v>1761</v>
      </c>
      <c r="B129" s="21">
        <v>43741</v>
      </c>
      <c r="C129" s="12">
        <v>1</v>
      </c>
      <c r="D129" s="22" t="s">
        <v>523</v>
      </c>
      <c r="E129" s="23">
        <v>43731</v>
      </c>
      <c r="F129" s="24" t="s">
        <v>103</v>
      </c>
      <c r="G129" s="12"/>
      <c r="H129" s="12"/>
    </row>
    <row r="130" spans="1:9" hidden="1" x14ac:dyDescent="0.2">
      <c r="A130" s="4" t="s">
        <v>1761</v>
      </c>
      <c r="B130" s="21">
        <v>43741</v>
      </c>
      <c r="C130" s="12">
        <v>2</v>
      </c>
      <c r="D130" s="22" t="s">
        <v>524</v>
      </c>
      <c r="E130" s="23">
        <v>43732</v>
      </c>
      <c r="F130" s="24" t="s">
        <v>103</v>
      </c>
      <c r="G130" s="12"/>
      <c r="H130" s="12"/>
    </row>
    <row r="131" spans="1:9" hidden="1" x14ac:dyDescent="0.2">
      <c r="A131" s="4" t="s">
        <v>1761</v>
      </c>
      <c r="B131" s="21">
        <v>43741</v>
      </c>
      <c r="C131" s="12">
        <v>3</v>
      </c>
      <c r="D131" s="22" t="s">
        <v>527</v>
      </c>
      <c r="E131" s="23">
        <v>43734</v>
      </c>
      <c r="F131" s="24" t="s">
        <v>103</v>
      </c>
      <c r="G131" s="12"/>
      <c r="H131" s="12"/>
    </row>
    <row r="132" spans="1:9" hidden="1" x14ac:dyDescent="0.2">
      <c r="A132" s="4" t="s">
        <v>1761</v>
      </c>
      <c r="B132" s="21">
        <v>43741</v>
      </c>
      <c r="C132" s="12">
        <v>4</v>
      </c>
      <c r="D132" s="22" t="s">
        <v>585</v>
      </c>
      <c r="E132" s="23">
        <v>43737</v>
      </c>
      <c r="F132" s="24" t="s">
        <v>103</v>
      </c>
      <c r="G132" s="12">
        <v>1</v>
      </c>
      <c r="H132" s="12"/>
    </row>
    <row r="133" spans="1:9" hidden="1" x14ac:dyDescent="0.2">
      <c r="A133" s="4" t="s">
        <v>1761</v>
      </c>
      <c r="B133" s="21">
        <v>43741</v>
      </c>
      <c r="C133" s="12">
        <v>5</v>
      </c>
      <c r="D133" s="22" t="s">
        <v>561</v>
      </c>
      <c r="E133" s="23">
        <v>43737</v>
      </c>
      <c r="F133" s="24" t="s">
        <v>103</v>
      </c>
      <c r="G133" s="12">
        <v>1</v>
      </c>
      <c r="H133" s="12"/>
    </row>
    <row r="134" spans="1:9" hidden="1" x14ac:dyDescent="0.2">
      <c r="A134" s="4" t="s">
        <v>1761</v>
      </c>
      <c r="B134" s="21">
        <v>43741</v>
      </c>
      <c r="C134" s="12">
        <v>6</v>
      </c>
      <c r="D134" s="22" t="s">
        <v>586</v>
      </c>
      <c r="E134" s="23">
        <v>43737</v>
      </c>
      <c r="F134" s="24" t="s">
        <v>103</v>
      </c>
      <c r="G134" s="12"/>
      <c r="H134" s="12"/>
    </row>
    <row r="135" spans="1:9" hidden="1" x14ac:dyDescent="0.2">
      <c r="A135" s="4" t="s">
        <v>1761</v>
      </c>
      <c r="B135" s="21">
        <v>43741</v>
      </c>
      <c r="C135" s="12">
        <v>7</v>
      </c>
      <c r="D135" s="22" t="s">
        <v>562</v>
      </c>
      <c r="E135" s="23">
        <v>43738</v>
      </c>
      <c r="F135" s="24" t="s">
        <v>103</v>
      </c>
      <c r="G135" s="12">
        <v>3</v>
      </c>
      <c r="H135" s="12"/>
    </row>
    <row r="136" spans="1:9" hidden="1" x14ac:dyDescent="0.2">
      <c r="A136" s="4" t="s">
        <v>1761</v>
      </c>
      <c r="B136" s="21">
        <v>43741</v>
      </c>
      <c r="C136" s="12">
        <v>8</v>
      </c>
      <c r="D136" s="22" t="s">
        <v>563</v>
      </c>
      <c r="E136" s="23">
        <v>43739</v>
      </c>
      <c r="F136" s="24" t="s">
        <v>1</v>
      </c>
      <c r="G136" s="12"/>
      <c r="H136" s="12"/>
    </row>
    <row r="137" spans="1:9" hidden="1" x14ac:dyDescent="0.2">
      <c r="A137" s="4" t="s">
        <v>1761</v>
      </c>
      <c r="B137" s="21">
        <v>43741</v>
      </c>
      <c r="C137" s="12">
        <v>9</v>
      </c>
      <c r="D137" s="22" t="s">
        <v>525</v>
      </c>
      <c r="E137" s="23">
        <v>43742</v>
      </c>
      <c r="F137" s="24" t="s">
        <v>103</v>
      </c>
      <c r="G137" s="12"/>
      <c r="H137" s="12"/>
    </row>
    <row r="138" spans="1:9" hidden="1" x14ac:dyDescent="0.2">
      <c r="A138" s="4" t="s">
        <v>1761</v>
      </c>
      <c r="B138" s="21">
        <v>43741</v>
      </c>
      <c r="C138" s="12">
        <v>10</v>
      </c>
      <c r="D138" s="22" t="s">
        <v>526</v>
      </c>
      <c r="E138" s="23">
        <v>43743</v>
      </c>
      <c r="F138" s="24" t="s">
        <v>103</v>
      </c>
      <c r="G138" s="12"/>
      <c r="H138" s="12"/>
    </row>
    <row r="139" spans="1:9" hidden="1" x14ac:dyDescent="0.2">
      <c r="A139" s="4" t="s">
        <v>1761</v>
      </c>
      <c r="B139" s="21">
        <v>43741</v>
      </c>
      <c r="C139" s="12">
        <v>11</v>
      </c>
      <c r="D139" s="22" t="s">
        <v>528</v>
      </c>
      <c r="E139" s="23">
        <v>43745</v>
      </c>
      <c r="F139" s="24" t="s">
        <v>103</v>
      </c>
      <c r="G139" s="12"/>
      <c r="H139" s="12"/>
    </row>
    <row r="140" spans="1:9" hidden="1" x14ac:dyDescent="0.2">
      <c r="A140" s="4" t="s">
        <v>1761</v>
      </c>
      <c r="B140" s="21">
        <v>43741</v>
      </c>
      <c r="C140" s="12">
        <v>12</v>
      </c>
      <c r="D140" s="22" t="s">
        <v>756</v>
      </c>
      <c r="E140" s="23">
        <v>43750</v>
      </c>
      <c r="F140" s="24" t="s">
        <v>103</v>
      </c>
      <c r="G140" s="12">
        <v>2</v>
      </c>
      <c r="H140" s="12"/>
    </row>
    <row r="141" spans="1:9" hidden="1" x14ac:dyDescent="0.2">
      <c r="A141" s="4" t="s">
        <v>2009</v>
      </c>
      <c r="B141" s="21">
        <v>43742</v>
      </c>
      <c r="C141" s="12">
        <v>1</v>
      </c>
      <c r="D141" s="22" t="s">
        <v>219</v>
      </c>
      <c r="E141" s="23">
        <v>43736</v>
      </c>
      <c r="F141" s="24" t="s">
        <v>1</v>
      </c>
      <c r="G141" s="12"/>
      <c r="H141" s="12"/>
      <c r="I141" s="4" t="s">
        <v>12</v>
      </c>
    </row>
    <row r="142" spans="1:9" hidden="1" x14ac:dyDescent="0.2">
      <c r="A142" s="4" t="s">
        <v>2009</v>
      </c>
      <c r="B142" s="21">
        <v>43742</v>
      </c>
      <c r="C142" s="12">
        <v>6</v>
      </c>
      <c r="D142" s="7" t="s">
        <v>254</v>
      </c>
      <c r="E142" s="23">
        <v>43736</v>
      </c>
      <c r="F142" s="24" t="s">
        <v>103</v>
      </c>
      <c r="G142" s="12"/>
      <c r="H142" s="12"/>
    </row>
    <row r="143" spans="1:9" hidden="1" x14ac:dyDescent="0.2">
      <c r="A143" s="4" t="s">
        <v>2009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103</v>
      </c>
      <c r="G143" s="12"/>
      <c r="H143" s="12"/>
    </row>
    <row r="144" spans="1:9" hidden="1" x14ac:dyDescent="0.2">
      <c r="A144" s="4" t="s">
        <v>2009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103</v>
      </c>
      <c r="G144" s="12"/>
      <c r="H144" s="12"/>
    </row>
    <row r="145" spans="1:9" hidden="1" x14ac:dyDescent="0.2">
      <c r="A145" s="4" t="s">
        <v>2009</v>
      </c>
      <c r="B145" s="21">
        <v>43742</v>
      </c>
      <c r="C145" s="12">
        <v>9</v>
      </c>
      <c r="D145" s="22" t="s">
        <v>276</v>
      </c>
      <c r="E145" s="23">
        <v>43736</v>
      </c>
      <c r="F145" s="24" t="s">
        <v>103</v>
      </c>
      <c r="G145" s="12"/>
      <c r="H145" s="12"/>
    </row>
    <row r="146" spans="1:9" hidden="1" x14ac:dyDescent="0.2">
      <c r="A146" s="4" t="s">
        <v>2009</v>
      </c>
      <c r="B146" s="21">
        <v>43742</v>
      </c>
      <c r="C146" s="12">
        <v>10</v>
      </c>
      <c r="D146" s="22" t="s">
        <v>283</v>
      </c>
      <c r="E146" s="23">
        <v>43737</v>
      </c>
      <c r="F146" s="24" t="s">
        <v>103</v>
      </c>
      <c r="G146" s="12">
        <v>2</v>
      </c>
      <c r="H146" s="12"/>
      <c r="I146" s="4" t="s">
        <v>14</v>
      </c>
    </row>
    <row r="147" spans="1:9" hidden="1" x14ac:dyDescent="0.2">
      <c r="A147" s="4" t="s">
        <v>2009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103</v>
      </c>
      <c r="G147" s="12">
        <v>2</v>
      </c>
      <c r="H147" s="12"/>
    </row>
    <row r="148" spans="1:9" hidden="1" x14ac:dyDescent="0.2">
      <c r="A148" s="4" t="s">
        <v>2009</v>
      </c>
      <c r="B148" s="21">
        <v>43742</v>
      </c>
      <c r="C148" s="12">
        <v>12</v>
      </c>
      <c r="D148" s="22" t="s">
        <v>220</v>
      </c>
      <c r="E148" s="23">
        <v>43737</v>
      </c>
      <c r="F148" s="24" t="s">
        <v>103</v>
      </c>
      <c r="G148" s="12">
        <v>4</v>
      </c>
      <c r="H148" s="12"/>
      <c r="I148" s="4" t="s">
        <v>16</v>
      </c>
    </row>
    <row r="149" spans="1:9" hidden="1" x14ac:dyDescent="0.2">
      <c r="A149" s="4" t="s">
        <v>2009</v>
      </c>
      <c r="B149" s="21">
        <v>43742</v>
      </c>
      <c r="C149" s="12">
        <v>13</v>
      </c>
      <c r="D149" s="22" t="s">
        <v>348</v>
      </c>
      <c r="E149" s="23">
        <v>43737</v>
      </c>
      <c r="F149" s="24" t="s">
        <v>103</v>
      </c>
      <c r="G149" s="12">
        <v>4</v>
      </c>
      <c r="H149" s="12"/>
    </row>
    <row r="150" spans="1:9" hidden="1" x14ac:dyDescent="0.2">
      <c r="A150" s="4" t="s">
        <v>2009</v>
      </c>
      <c r="B150" s="21">
        <v>43742</v>
      </c>
      <c r="C150" s="12">
        <v>14</v>
      </c>
      <c r="D150" s="22" t="s">
        <v>289</v>
      </c>
      <c r="E150" s="23">
        <v>43737</v>
      </c>
      <c r="F150" s="24" t="s">
        <v>103</v>
      </c>
      <c r="G150" s="12">
        <v>4</v>
      </c>
      <c r="H150" s="12"/>
    </row>
    <row r="151" spans="1:9" hidden="1" x14ac:dyDescent="0.2">
      <c r="A151" s="4" t="s">
        <v>2009</v>
      </c>
      <c r="B151" s="21">
        <v>43742</v>
      </c>
      <c r="C151" s="12">
        <v>15</v>
      </c>
      <c r="D151" s="22" t="s">
        <v>350</v>
      </c>
      <c r="E151" s="23">
        <v>43737</v>
      </c>
      <c r="F151" s="24" t="s">
        <v>103</v>
      </c>
      <c r="G151" s="12">
        <v>4</v>
      </c>
      <c r="H151" s="12"/>
    </row>
    <row r="152" spans="1:9" hidden="1" x14ac:dyDescent="0.2">
      <c r="A152" s="4" t="s">
        <v>2009</v>
      </c>
      <c r="B152" s="21">
        <v>43742</v>
      </c>
      <c r="C152" s="12">
        <v>16</v>
      </c>
      <c r="D152" s="22" t="s">
        <v>352</v>
      </c>
      <c r="E152" s="23">
        <v>43737</v>
      </c>
      <c r="F152" s="24" t="s">
        <v>103</v>
      </c>
      <c r="G152" s="12">
        <v>4</v>
      </c>
      <c r="H152" s="12"/>
    </row>
    <row r="153" spans="1:9" hidden="1" x14ac:dyDescent="0.2">
      <c r="A153" s="4" t="s">
        <v>2009</v>
      </c>
      <c r="B153" s="21">
        <v>43742</v>
      </c>
      <c r="C153" s="12">
        <v>17</v>
      </c>
      <c r="D153" s="22" t="s">
        <v>354</v>
      </c>
      <c r="E153" s="23">
        <v>43737</v>
      </c>
      <c r="F153" s="24" t="s">
        <v>103</v>
      </c>
      <c r="G153" s="12">
        <v>4</v>
      </c>
      <c r="H153" s="12"/>
    </row>
    <row r="154" spans="1:9" hidden="1" x14ac:dyDescent="0.2">
      <c r="A154" s="4" t="s">
        <v>2009</v>
      </c>
      <c r="B154" s="21">
        <v>43742</v>
      </c>
      <c r="C154" s="12">
        <v>18</v>
      </c>
      <c r="D154" s="22" t="s">
        <v>356</v>
      </c>
      <c r="E154" s="23">
        <v>43738</v>
      </c>
      <c r="F154" s="24" t="s">
        <v>103</v>
      </c>
      <c r="G154" s="12"/>
      <c r="H154" s="12"/>
    </row>
    <row r="155" spans="1:9" hidden="1" x14ac:dyDescent="0.2">
      <c r="A155" s="4" t="s">
        <v>2009</v>
      </c>
      <c r="B155" s="21">
        <v>43742</v>
      </c>
      <c r="C155" s="12">
        <v>19</v>
      </c>
      <c r="D155" s="22" t="s">
        <v>358</v>
      </c>
      <c r="E155" s="23">
        <v>43738</v>
      </c>
      <c r="F155" s="24" t="s">
        <v>103</v>
      </c>
      <c r="G155" s="12"/>
      <c r="H155" s="12"/>
    </row>
    <row r="156" spans="1:9" hidden="1" x14ac:dyDescent="0.2">
      <c r="A156" s="4" t="s">
        <v>2009</v>
      </c>
      <c r="B156" s="21">
        <v>43742</v>
      </c>
      <c r="C156" s="12">
        <v>20</v>
      </c>
      <c r="D156" s="22" t="s">
        <v>221</v>
      </c>
      <c r="E156" s="23">
        <v>43738</v>
      </c>
      <c r="F156" s="24" t="s">
        <v>103</v>
      </c>
      <c r="G156" s="12"/>
      <c r="H156" s="12"/>
      <c r="I156" s="4" t="s">
        <v>18</v>
      </c>
    </row>
    <row r="157" spans="1:9" hidden="1" x14ac:dyDescent="0.2">
      <c r="A157" s="4" t="s">
        <v>2009</v>
      </c>
      <c r="B157" s="21">
        <v>43742</v>
      </c>
      <c r="C157" s="12">
        <v>21</v>
      </c>
      <c r="D157" s="22" t="s">
        <v>360</v>
      </c>
      <c r="E157" s="23">
        <v>43738</v>
      </c>
      <c r="F157" s="24" t="s">
        <v>259</v>
      </c>
      <c r="G157" s="12"/>
      <c r="H157" s="12"/>
    </row>
    <row r="158" spans="1:9" hidden="1" x14ac:dyDescent="0.2">
      <c r="A158" s="4" t="s">
        <v>2009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103</v>
      </c>
      <c r="G158" s="12"/>
      <c r="H158" s="12"/>
    </row>
    <row r="159" spans="1:9" hidden="1" x14ac:dyDescent="0.2">
      <c r="A159" s="4" t="s">
        <v>2009</v>
      </c>
      <c r="B159" s="21">
        <v>43742</v>
      </c>
      <c r="C159" s="12">
        <v>23</v>
      </c>
      <c r="D159" s="22" t="s">
        <v>222</v>
      </c>
      <c r="E159" s="23">
        <v>43738</v>
      </c>
      <c r="F159" s="24" t="s">
        <v>103</v>
      </c>
      <c r="G159" s="12"/>
      <c r="H159" s="12"/>
      <c r="I159" s="4" t="s">
        <v>21</v>
      </c>
    </row>
    <row r="160" spans="1:9" hidden="1" x14ac:dyDescent="0.2">
      <c r="A160" s="4" t="s">
        <v>2009</v>
      </c>
      <c r="B160" s="21">
        <v>43742</v>
      </c>
      <c r="C160" s="12">
        <v>24</v>
      </c>
      <c r="D160" s="22" t="s">
        <v>76</v>
      </c>
      <c r="E160" s="23">
        <v>43738</v>
      </c>
      <c r="F160" s="24" t="s">
        <v>103</v>
      </c>
      <c r="G160" s="12"/>
      <c r="H160" s="12"/>
      <c r="I160" s="4" t="s">
        <v>74</v>
      </c>
    </row>
    <row r="161" spans="1:9" hidden="1" x14ac:dyDescent="0.2">
      <c r="A161" s="4" t="s">
        <v>2009</v>
      </c>
      <c r="B161" s="21">
        <v>43742</v>
      </c>
      <c r="C161" s="12">
        <v>25</v>
      </c>
      <c r="D161" s="22" t="s">
        <v>224</v>
      </c>
      <c r="E161" s="23">
        <v>43738</v>
      </c>
      <c r="F161" s="24" t="s">
        <v>103</v>
      </c>
      <c r="G161" s="12"/>
      <c r="H161" s="12"/>
    </row>
    <row r="162" spans="1:9" hidden="1" x14ac:dyDescent="0.2">
      <c r="A162" s="4" t="s">
        <v>2009</v>
      </c>
      <c r="B162" s="21">
        <v>43742</v>
      </c>
      <c r="C162" s="12">
        <v>26</v>
      </c>
      <c r="D162" s="22" t="s">
        <v>430</v>
      </c>
      <c r="E162" s="23">
        <v>43738</v>
      </c>
      <c r="F162" s="24" t="s">
        <v>103</v>
      </c>
      <c r="G162" s="12"/>
      <c r="H162" s="12"/>
    </row>
    <row r="163" spans="1:9" hidden="1" x14ac:dyDescent="0.2">
      <c r="A163" s="4" t="s">
        <v>2009</v>
      </c>
      <c r="B163" s="21">
        <v>43742</v>
      </c>
      <c r="C163" s="12">
        <v>27</v>
      </c>
      <c r="D163" s="22" t="s">
        <v>380</v>
      </c>
      <c r="E163" s="23">
        <v>43738</v>
      </c>
      <c r="F163" s="24" t="s">
        <v>103</v>
      </c>
      <c r="G163" s="12"/>
      <c r="H163" s="12"/>
    </row>
    <row r="164" spans="1:9" hidden="1" x14ac:dyDescent="0.2">
      <c r="A164" s="4" t="s">
        <v>2009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103</v>
      </c>
      <c r="G164" s="12">
        <v>5</v>
      </c>
      <c r="H164" s="12"/>
    </row>
    <row r="165" spans="1:9" hidden="1" x14ac:dyDescent="0.2">
      <c r="A165" s="4" t="s">
        <v>2009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103</v>
      </c>
      <c r="G165" s="12">
        <v>5</v>
      </c>
      <c r="H165" s="12"/>
    </row>
    <row r="166" spans="1:9" hidden="1" x14ac:dyDescent="0.2">
      <c r="A166" s="4" t="s">
        <v>2009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103</v>
      </c>
      <c r="G166" s="12">
        <v>5</v>
      </c>
      <c r="H166" s="12"/>
      <c r="I166" s="4" t="s">
        <v>21</v>
      </c>
    </row>
    <row r="167" spans="1:9" hidden="1" x14ac:dyDescent="0.2">
      <c r="A167" s="4" t="s">
        <v>2009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103</v>
      </c>
      <c r="G167" s="12">
        <v>5</v>
      </c>
      <c r="H167" s="12"/>
    </row>
    <row r="168" spans="1:9" hidden="1" x14ac:dyDescent="0.2">
      <c r="A168" s="4" t="s">
        <v>2009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259</v>
      </c>
      <c r="G168" s="12"/>
      <c r="H168" s="12"/>
      <c r="I168" s="4" t="s">
        <v>32</v>
      </c>
    </row>
    <row r="169" spans="1:9" hidden="1" x14ac:dyDescent="0.2">
      <c r="A169" s="4" t="s">
        <v>2009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103</v>
      </c>
      <c r="G169" s="12">
        <v>3</v>
      </c>
      <c r="H169" s="12"/>
    </row>
    <row r="170" spans="1:9" hidden="1" x14ac:dyDescent="0.2">
      <c r="A170" s="4" t="s">
        <v>2009</v>
      </c>
      <c r="B170" s="21">
        <v>43742</v>
      </c>
      <c r="C170" s="12">
        <v>35</v>
      </c>
      <c r="D170" s="22" t="s">
        <v>431</v>
      </c>
      <c r="E170" s="23">
        <v>43738</v>
      </c>
      <c r="F170" s="24" t="s">
        <v>103</v>
      </c>
      <c r="G170" s="12">
        <v>4</v>
      </c>
      <c r="H170" s="12"/>
      <c r="I170" s="4" t="s">
        <v>14</v>
      </c>
    </row>
    <row r="171" spans="1:9" hidden="1" x14ac:dyDescent="0.2">
      <c r="A171" s="4" t="s">
        <v>2009</v>
      </c>
      <c r="B171" s="21">
        <v>43742</v>
      </c>
      <c r="C171" s="12">
        <v>36</v>
      </c>
      <c r="D171" s="22" t="s">
        <v>223</v>
      </c>
      <c r="E171" s="23">
        <v>43738</v>
      </c>
      <c r="F171" s="24" t="s">
        <v>103</v>
      </c>
      <c r="G171" s="12">
        <v>4</v>
      </c>
      <c r="H171" s="12"/>
      <c r="I171" s="4" t="s">
        <v>21</v>
      </c>
    </row>
    <row r="172" spans="1:9" hidden="1" x14ac:dyDescent="0.2">
      <c r="A172" s="4" t="s">
        <v>2009</v>
      </c>
      <c r="B172" s="21">
        <v>43742</v>
      </c>
      <c r="C172" s="12">
        <v>37</v>
      </c>
      <c r="D172" s="22" t="s">
        <v>432</v>
      </c>
      <c r="E172" s="23">
        <v>43738</v>
      </c>
      <c r="F172" s="24" t="s">
        <v>103</v>
      </c>
      <c r="G172" s="12">
        <v>4</v>
      </c>
      <c r="H172" s="12"/>
    </row>
    <row r="173" spans="1:9" hidden="1" x14ac:dyDescent="0.2">
      <c r="A173" s="4" t="s">
        <v>2009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103</v>
      </c>
      <c r="G173" s="12">
        <v>4</v>
      </c>
      <c r="H173" s="12"/>
      <c r="I173" s="4" t="s">
        <v>38</v>
      </c>
    </row>
    <row r="174" spans="1:9" hidden="1" x14ac:dyDescent="0.2">
      <c r="A174" s="4" t="s">
        <v>2009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103</v>
      </c>
      <c r="G174" s="12"/>
      <c r="H174" s="12"/>
    </row>
    <row r="175" spans="1:9" hidden="1" x14ac:dyDescent="0.2">
      <c r="A175" s="4" t="s">
        <v>2009</v>
      </c>
      <c r="B175" s="21">
        <v>43742</v>
      </c>
      <c r="C175" s="12">
        <v>37</v>
      </c>
      <c r="D175" s="22" t="s">
        <v>240</v>
      </c>
      <c r="E175" s="23">
        <v>43739</v>
      </c>
      <c r="F175" s="24" t="s">
        <v>1</v>
      </c>
      <c r="G175" s="12"/>
      <c r="H175" s="12"/>
    </row>
    <row r="176" spans="1:9" hidden="1" x14ac:dyDescent="0.2">
      <c r="A176" s="4" t="s">
        <v>2009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103</v>
      </c>
      <c r="G176" s="12"/>
      <c r="H176" s="12"/>
    </row>
    <row r="177" spans="1:9" hidden="1" x14ac:dyDescent="0.2">
      <c r="A177" s="4" t="s">
        <v>2009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103</v>
      </c>
      <c r="G177" s="12"/>
      <c r="H177" s="12"/>
    </row>
    <row r="178" spans="1:9" hidden="1" x14ac:dyDescent="0.2">
      <c r="A178" s="4" t="s">
        <v>2009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103</v>
      </c>
      <c r="G178" s="12"/>
      <c r="H178" s="12"/>
    </row>
    <row r="179" spans="1:9" hidden="1" x14ac:dyDescent="0.2">
      <c r="A179" s="4" t="s">
        <v>2009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</row>
    <row r="180" spans="1:9" hidden="1" x14ac:dyDescent="0.2">
      <c r="A180" s="4" t="s">
        <v>2009</v>
      </c>
      <c r="B180" s="21">
        <v>43742</v>
      </c>
      <c r="C180" s="12">
        <v>45</v>
      </c>
      <c r="D180" s="22" t="s">
        <v>371</v>
      </c>
      <c r="E180" s="23">
        <v>43746</v>
      </c>
      <c r="F180" s="24" t="s">
        <v>103</v>
      </c>
      <c r="G180" s="12"/>
      <c r="H180" s="12"/>
    </row>
    <row r="181" spans="1:9" hidden="1" x14ac:dyDescent="0.2">
      <c r="A181" s="4" t="s">
        <v>2009</v>
      </c>
      <c r="B181" s="21">
        <v>43742</v>
      </c>
      <c r="C181" s="12">
        <v>46</v>
      </c>
      <c r="D181" s="22" t="s">
        <v>82</v>
      </c>
      <c r="E181" s="23">
        <v>43744</v>
      </c>
      <c r="F181" s="24" t="s">
        <v>103</v>
      </c>
      <c r="G181" s="12"/>
      <c r="H181" s="12"/>
    </row>
    <row r="182" spans="1:9" hidden="1" x14ac:dyDescent="0.2">
      <c r="A182" s="4" t="s">
        <v>2009</v>
      </c>
      <c r="B182" s="21">
        <v>43742</v>
      </c>
      <c r="C182" s="12">
        <v>47</v>
      </c>
      <c r="D182" s="7" t="s">
        <v>436</v>
      </c>
      <c r="E182" s="23">
        <v>43746</v>
      </c>
      <c r="F182" s="24" t="s">
        <v>103</v>
      </c>
      <c r="G182" s="12"/>
      <c r="H182" s="12"/>
      <c r="I182" s="4" t="s">
        <v>59</v>
      </c>
    </row>
    <row r="183" spans="1:9" hidden="1" x14ac:dyDescent="0.2">
      <c r="A183" s="4" t="s">
        <v>2005</v>
      </c>
      <c r="B183" s="21">
        <v>43744</v>
      </c>
      <c r="C183" s="12">
        <v>1</v>
      </c>
      <c r="D183" s="22" t="s">
        <v>373</v>
      </c>
      <c r="E183" s="23">
        <v>43713</v>
      </c>
      <c r="F183" s="24" t="s">
        <v>1</v>
      </c>
      <c r="G183" s="12"/>
      <c r="H183" s="12"/>
    </row>
    <row r="184" spans="1:9" hidden="1" x14ac:dyDescent="0.2">
      <c r="A184" s="4" t="s">
        <v>2005</v>
      </c>
      <c r="B184" s="21">
        <v>43744</v>
      </c>
      <c r="C184" s="12">
        <v>2</v>
      </c>
      <c r="D184" s="22" t="s">
        <v>374</v>
      </c>
      <c r="E184" s="23">
        <v>43714</v>
      </c>
      <c r="F184" s="24" t="s">
        <v>1</v>
      </c>
      <c r="G184" s="12"/>
      <c r="H184" s="12"/>
    </row>
    <row r="185" spans="1:9" hidden="1" x14ac:dyDescent="0.2">
      <c r="A185" s="4" t="s">
        <v>2005</v>
      </c>
      <c r="B185" s="21">
        <v>43744</v>
      </c>
      <c r="C185" s="12">
        <v>3</v>
      </c>
      <c r="D185" s="22" t="s">
        <v>375</v>
      </c>
      <c r="E185" s="23">
        <v>43714</v>
      </c>
      <c r="F185" s="24" t="s">
        <v>1</v>
      </c>
      <c r="G185" s="12"/>
      <c r="H185" s="12"/>
    </row>
    <row r="186" spans="1:9" hidden="1" x14ac:dyDescent="0.2">
      <c r="A186" s="4" t="s">
        <v>2005</v>
      </c>
      <c r="B186" s="21">
        <v>43744</v>
      </c>
      <c r="C186" s="12">
        <v>4</v>
      </c>
      <c r="D186" s="22" t="s">
        <v>376</v>
      </c>
      <c r="E186" s="23">
        <v>43714</v>
      </c>
      <c r="F186" s="24" t="s">
        <v>1</v>
      </c>
      <c r="G186" s="12"/>
      <c r="H186" s="12"/>
    </row>
    <row r="187" spans="1:9" hidden="1" x14ac:dyDescent="0.2">
      <c r="A187" s="4" t="s">
        <v>2005</v>
      </c>
      <c r="B187" s="21">
        <v>43744</v>
      </c>
      <c r="C187" s="12">
        <v>5</v>
      </c>
      <c r="D187" s="22" t="s">
        <v>410</v>
      </c>
      <c r="E187" s="23">
        <v>43726</v>
      </c>
      <c r="F187" s="24" t="s">
        <v>259</v>
      </c>
      <c r="G187" s="12"/>
      <c r="H187" s="12"/>
    </row>
    <row r="188" spans="1:9" hidden="1" x14ac:dyDescent="0.2">
      <c r="A188" s="4" t="s">
        <v>2005</v>
      </c>
      <c r="B188" s="21">
        <v>43744</v>
      </c>
      <c r="C188" s="12">
        <v>5</v>
      </c>
      <c r="D188" s="22" t="s">
        <v>407</v>
      </c>
      <c r="E188" s="23">
        <v>43738</v>
      </c>
      <c r="F188" s="24" t="s">
        <v>103</v>
      </c>
      <c r="G188" s="12"/>
      <c r="H188" s="12"/>
    </row>
    <row r="189" spans="1:9" hidden="1" x14ac:dyDescent="0.2">
      <c r="A189" s="4" t="s">
        <v>2005</v>
      </c>
      <c r="B189" s="21">
        <v>43744</v>
      </c>
      <c r="C189" s="12">
        <v>7</v>
      </c>
      <c r="D189" s="22" t="s">
        <v>522</v>
      </c>
      <c r="E189" s="23">
        <v>43737</v>
      </c>
      <c r="F189" s="24" t="s">
        <v>103</v>
      </c>
      <c r="G189" s="12">
        <v>4</v>
      </c>
      <c r="H189" s="12"/>
    </row>
    <row r="190" spans="1:9" hidden="1" x14ac:dyDescent="0.2">
      <c r="A190" s="4" t="s">
        <v>2005</v>
      </c>
      <c r="B190" s="21">
        <v>43744</v>
      </c>
      <c r="C190" s="12">
        <v>8</v>
      </c>
      <c r="D190" s="22" t="s">
        <v>411</v>
      </c>
      <c r="E190" s="23">
        <v>43746</v>
      </c>
      <c r="F190" s="24" t="s">
        <v>103</v>
      </c>
      <c r="G190" s="12"/>
      <c r="H190" s="12"/>
    </row>
    <row r="191" spans="1:9" hidden="1" x14ac:dyDescent="0.2">
      <c r="A191" s="4" t="s">
        <v>2005</v>
      </c>
      <c r="B191" s="21">
        <v>43744</v>
      </c>
      <c r="C191" s="12">
        <v>9</v>
      </c>
      <c r="D191" s="22" t="s">
        <v>345</v>
      </c>
      <c r="E191" s="23">
        <v>43738</v>
      </c>
      <c r="F191" s="24" t="s">
        <v>103</v>
      </c>
      <c r="G191" s="12"/>
      <c r="H191" s="12"/>
    </row>
    <row r="192" spans="1:9" hidden="1" x14ac:dyDescent="0.2">
      <c r="A192" s="4" t="s">
        <v>2005</v>
      </c>
      <c r="B192" s="21">
        <v>43744</v>
      </c>
      <c r="C192" s="12">
        <v>10</v>
      </c>
      <c r="D192" s="22" t="s">
        <v>413</v>
      </c>
      <c r="E192" s="23">
        <v>43738</v>
      </c>
      <c r="F192" s="24" t="s">
        <v>103</v>
      </c>
      <c r="G192" s="12"/>
      <c r="H192" s="12"/>
    </row>
    <row r="193" spans="1:9" hidden="1" x14ac:dyDescent="0.2">
      <c r="A193" s="4" t="s">
        <v>2005</v>
      </c>
      <c r="B193" s="21">
        <v>43744</v>
      </c>
      <c r="C193" s="12">
        <v>11</v>
      </c>
      <c r="D193" s="22" t="s">
        <v>412</v>
      </c>
      <c r="E193" s="23">
        <v>43738</v>
      </c>
      <c r="F193" s="24" t="s">
        <v>103</v>
      </c>
      <c r="G193" s="12"/>
      <c r="H193" s="12"/>
      <c r="I193" s="4" t="s">
        <v>651</v>
      </c>
    </row>
    <row r="194" spans="1:9" hidden="1" x14ac:dyDescent="0.2">
      <c r="A194" s="4" t="s">
        <v>2005</v>
      </c>
      <c r="B194" s="21">
        <v>43744</v>
      </c>
      <c r="C194" s="12">
        <v>12</v>
      </c>
      <c r="D194" s="22" t="s">
        <v>653</v>
      </c>
      <c r="E194" s="23">
        <v>43738</v>
      </c>
      <c r="F194" s="24" t="s">
        <v>103</v>
      </c>
      <c r="G194" s="12">
        <v>3</v>
      </c>
      <c r="H194" s="12"/>
    </row>
    <row r="195" spans="1:9" hidden="1" x14ac:dyDescent="0.2">
      <c r="A195" s="4" t="s">
        <v>2005</v>
      </c>
      <c r="B195" s="21">
        <v>43744</v>
      </c>
      <c r="C195" s="12">
        <v>12</v>
      </c>
      <c r="D195" s="22" t="s">
        <v>688</v>
      </c>
      <c r="E195" s="23">
        <v>43747</v>
      </c>
      <c r="F195" s="24" t="s">
        <v>103</v>
      </c>
      <c r="G195" s="12"/>
      <c r="H195" s="12"/>
    </row>
    <row r="196" spans="1:9" hidden="1" x14ac:dyDescent="0.2">
      <c r="A196" s="4" t="s">
        <v>2005</v>
      </c>
      <c r="B196" s="21">
        <v>43744</v>
      </c>
      <c r="C196" s="12">
        <v>13</v>
      </c>
      <c r="D196" s="22" t="s">
        <v>398</v>
      </c>
      <c r="E196" s="23">
        <v>43738</v>
      </c>
      <c r="F196" s="24" t="s">
        <v>103</v>
      </c>
      <c r="G196" s="12"/>
      <c r="H196" s="12"/>
    </row>
    <row r="197" spans="1:9" hidden="1" x14ac:dyDescent="0.2">
      <c r="A197" s="4" t="s">
        <v>2005</v>
      </c>
      <c r="B197" s="21">
        <v>43744</v>
      </c>
      <c r="C197" s="12">
        <v>14</v>
      </c>
      <c r="D197" s="22" t="s">
        <v>399</v>
      </c>
      <c r="E197" s="23">
        <v>43738</v>
      </c>
      <c r="F197" s="24" t="s">
        <v>103</v>
      </c>
      <c r="G197" s="12"/>
      <c r="H197" s="12"/>
    </row>
    <row r="198" spans="1:9" hidden="1" x14ac:dyDescent="0.2">
      <c r="A198" s="4" t="s">
        <v>2005</v>
      </c>
      <c r="B198" s="21">
        <v>43744</v>
      </c>
      <c r="C198" s="12">
        <v>15</v>
      </c>
      <c r="D198" s="22" t="s">
        <v>400</v>
      </c>
      <c r="E198" s="23">
        <v>43738</v>
      </c>
      <c r="F198" s="24" t="s">
        <v>103</v>
      </c>
      <c r="G198" s="12">
        <v>5</v>
      </c>
      <c r="H198" s="12"/>
    </row>
    <row r="199" spans="1:9" hidden="1" x14ac:dyDescent="0.2">
      <c r="A199" s="4" t="s">
        <v>2005</v>
      </c>
      <c r="B199" s="21">
        <v>43744</v>
      </c>
      <c r="C199" s="12">
        <v>16</v>
      </c>
      <c r="D199" s="22" t="s">
        <v>654</v>
      </c>
      <c r="E199" s="23">
        <v>43738</v>
      </c>
      <c r="F199" s="24" t="s">
        <v>103</v>
      </c>
      <c r="G199" s="12">
        <v>5</v>
      </c>
      <c r="H199" s="12"/>
    </row>
    <row r="200" spans="1:9" hidden="1" x14ac:dyDescent="0.2">
      <c r="A200" s="4" t="s">
        <v>2005</v>
      </c>
      <c r="B200" s="21">
        <v>43744</v>
      </c>
      <c r="C200" s="12">
        <v>16</v>
      </c>
      <c r="D200" s="22" t="s">
        <v>655</v>
      </c>
      <c r="E200" s="23">
        <v>43746</v>
      </c>
      <c r="F200" s="24" t="s">
        <v>1</v>
      </c>
      <c r="G200" s="12"/>
      <c r="H200" s="12"/>
    </row>
    <row r="201" spans="1:9" hidden="1" x14ac:dyDescent="0.2">
      <c r="A201" s="4" t="s">
        <v>2005</v>
      </c>
      <c r="B201" s="21">
        <v>43744</v>
      </c>
      <c r="C201" s="12">
        <v>17</v>
      </c>
      <c r="D201" s="22" t="s">
        <v>402</v>
      </c>
      <c r="E201" s="23">
        <v>43738</v>
      </c>
      <c r="F201" s="24" t="s">
        <v>103</v>
      </c>
      <c r="G201" s="12">
        <v>3</v>
      </c>
      <c r="H201" s="12"/>
    </row>
    <row r="202" spans="1:9" hidden="1" x14ac:dyDescent="0.2">
      <c r="A202" s="4" t="s">
        <v>2005</v>
      </c>
      <c r="B202" s="21">
        <v>43744</v>
      </c>
      <c r="C202" s="12">
        <v>18</v>
      </c>
      <c r="D202" s="22" t="s">
        <v>123</v>
      </c>
      <c r="E202" s="23">
        <v>43742</v>
      </c>
      <c r="F202" s="24" t="s">
        <v>103</v>
      </c>
      <c r="G202" s="12"/>
      <c r="H202" s="12"/>
    </row>
    <row r="203" spans="1:9" hidden="1" x14ac:dyDescent="0.2">
      <c r="A203" s="4" t="s">
        <v>2005</v>
      </c>
      <c r="B203" s="21">
        <v>43744</v>
      </c>
      <c r="C203" s="12">
        <v>19</v>
      </c>
      <c r="D203" s="22" t="s">
        <v>125</v>
      </c>
      <c r="E203" s="23">
        <v>43742</v>
      </c>
      <c r="F203" s="24" t="s">
        <v>103</v>
      </c>
      <c r="G203" s="12"/>
      <c r="H203" s="12"/>
    </row>
    <row r="204" spans="1:9" hidden="1" x14ac:dyDescent="0.2">
      <c r="A204" s="4" t="s">
        <v>2005</v>
      </c>
      <c r="B204" s="21">
        <v>43744</v>
      </c>
      <c r="C204" s="12">
        <v>20</v>
      </c>
      <c r="D204" s="22" t="s">
        <v>127</v>
      </c>
      <c r="E204" s="23">
        <v>43743</v>
      </c>
      <c r="F204" s="24" t="s">
        <v>103</v>
      </c>
      <c r="G204" s="12"/>
      <c r="H204" s="12"/>
    </row>
    <row r="205" spans="1:9" hidden="1" x14ac:dyDescent="0.2">
      <c r="A205" s="4" t="s">
        <v>2005</v>
      </c>
      <c r="B205" s="21">
        <v>43744</v>
      </c>
      <c r="C205" s="12">
        <v>21</v>
      </c>
      <c r="D205" s="22" t="s">
        <v>129</v>
      </c>
      <c r="E205" s="23">
        <v>43743</v>
      </c>
      <c r="F205" s="24" t="s">
        <v>103</v>
      </c>
      <c r="G205" s="12"/>
      <c r="H205" s="12"/>
    </row>
    <row r="206" spans="1:9" hidden="1" x14ac:dyDescent="0.2">
      <c r="A206" s="4" t="s">
        <v>2005</v>
      </c>
      <c r="B206" s="21">
        <v>43744</v>
      </c>
      <c r="C206" s="12">
        <v>22</v>
      </c>
      <c r="D206" s="22" t="s">
        <v>143</v>
      </c>
      <c r="E206" s="23">
        <v>43746</v>
      </c>
      <c r="F206" s="24" t="s">
        <v>103</v>
      </c>
      <c r="G206" s="12"/>
      <c r="H206" s="12"/>
    </row>
    <row r="207" spans="1:9" hidden="1" x14ac:dyDescent="0.2">
      <c r="A207" s="4" t="s">
        <v>2005</v>
      </c>
      <c r="B207" s="21">
        <v>43744</v>
      </c>
      <c r="C207" s="12">
        <v>23</v>
      </c>
      <c r="D207" s="22" t="s">
        <v>403</v>
      </c>
      <c r="E207" s="23">
        <v>43746</v>
      </c>
      <c r="F207" s="24" t="s">
        <v>103</v>
      </c>
      <c r="G207" s="12"/>
      <c r="H207" s="12"/>
    </row>
    <row r="208" spans="1:9" hidden="1" x14ac:dyDescent="0.2">
      <c r="A208" s="4" t="s">
        <v>2005</v>
      </c>
      <c r="B208" s="21">
        <v>43744</v>
      </c>
      <c r="C208" s="12">
        <v>24</v>
      </c>
      <c r="D208" s="22" t="s">
        <v>770</v>
      </c>
      <c r="E208" s="23">
        <v>43754</v>
      </c>
      <c r="F208" s="24" t="s">
        <v>103</v>
      </c>
      <c r="G208" s="12"/>
      <c r="H208" s="12"/>
    </row>
    <row r="209" spans="1:9" hidden="1" x14ac:dyDescent="0.2">
      <c r="A209" s="4" t="s">
        <v>500</v>
      </c>
      <c r="B209" s="21">
        <v>43745</v>
      </c>
      <c r="C209" s="12">
        <v>1</v>
      </c>
      <c r="D209" s="22" t="s">
        <v>210</v>
      </c>
      <c r="E209" s="23">
        <v>43748</v>
      </c>
      <c r="F209" s="24" t="s">
        <v>719</v>
      </c>
      <c r="G209" s="12"/>
      <c r="H209" s="12"/>
      <c r="I209" s="4" t="s">
        <v>98</v>
      </c>
    </row>
    <row r="210" spans="1:9" hidden="1" x14ac:dyDescent="0.2">
      <c r="A210" s="4" t="s">
        <v>500</v>
      </c>
      <c r="B210" s="21">
        <v>43745</v>
      </c>
      <c r="C210" s="12">
        <v>2</v>
      </c>
      <c r="D210" s="22" t="s">
        <v>478</v>
      </c>
      <c r="E210" s="23">
        <v>43746</v>
      </c>
      <c r="F210" s="24" t="s">
        <v>259</v>
      </c>
      <c r="G210" s="12"/>
      <c r="H210" s="12"/>
      <c r="I210" s="4" t="s">
        <v>98</v>
      </c>
    </row>
    <row r="211" spans="1:9" hidden="1" x14ac:dyDescent="0.2">
      <c r="A211" s="4" t="s">
        <v>500</v>
      </c>
      <c r="B211" s="21">
        <v>43745</v>
      </c>
      <c r="C211" s="12">
        <v>3</v>
      </c>
      <c r="D211" s="22" t="s">
        <v>322</v>
      </c>
      <c r="E211" s="23">
        <v>43746</v>
      </c>
      <c r="F211" s="24" t="s">
        <v>259</v>
      </c>
      <c r="G211" s="12"/>
      <c r="H211" s="12"/>
      <c r="I211" s="4" t="s">
        <v>98</v>
      </c>
    </row>
    <row r="212" spans="1:9" hidden="1" x14ac:dyDescent="0.2">
      <c r="A212" s="4" t="s">
        <v>500</v>
      </c>
      <c r="B212" s="21">
        <v>43745</v>
      </c>
      <c r="C212" s="12">
        <v>4</v>
      </c>
      <c r="D212" s="22" t="s">
        <v>689</v>
      </c>
      <c r="E212" s="23">
        <v>43747</v>
      </c>
      <c r="F212" s="24" t="s">
        <v>103</v>
      </c>
      <c r="G212" s="12"/>
      <c r="H212" s="12"/>
      <c r="I212" s="4" t="s">
        <v>98</v>
      </c>
    </row>
    <row r="213" spans="1:9" hidden="1" x14ac:dyDescent="0.2">
      <c r="A213" s="4" t="s">
        <v>500</v>
      </c>
      <c r="B213" s="21">
        <v>43745</v>
      </c>
      <c r="C213" s="12">
        <v>5</v>
      </c>
      <c r="D213" s="22" t="s">
        <v>613</v>
      </c>
      <c r="E213" s="23">
        <v>43748</v>
      </c>
      <c r="F213" s="24" t="s">
        <v>719</v>
      </c>
      <c r="G213" s="12"/>
      <c r="H213" s="12"/>
      <c r="I213" s="4" t="s">
        <v>98</v>
      </c>
    </row>
    <row r="214" spans="1:9" hidden="1" x14ac:dyDescent="0.2">
      <c r="A214" s="4" t="s">
        <v>500</v>
      </c>
      <c r="B214" s="21">
        <v>43745</v>
      </c>
      <c r="C214" s="12">
        <v>6</v>
      </c>
      <c r="D214" s="22" t="s">
        <v>614</v>
      </c>
      <c r="E214" s="23">
        <v>43746</v>
      </c>
      <c r="F214" s="24" t="s">
        <v>103</v>
      </c>
      <c r="G214" s="12"/>
      <c r="H214" s="12"/>
      <c r="I214" s="4" t="s">
        <v>98</v>
      </c>
    </row>
    <row r="215" spans="1:9" hidden="1" x14ac:dyDescent="0.2">
      <c r="A215" s="4" t="s">
        <v>500</v>
      </c>
      <c r="B215" s="21">
        <v>43745</v>
      </c>
      <c r="C215" s="12">
        <v>7</v>
      </c>
      <c r="D215" s="22" t="s">
        <v>208</v>
      </c>
      <c r="E215" s="23">
        <v>43746</v>
      </c>
      <c r="F215" s="24" t="s">
        <v>259</v>
      </c>
      <c r="G215" s="12"/>
      <c r="H215" s="12"/>
      <c r="I215" s="4" t="s">
        <v>98</v>
      </c>
    </row>
    <row r="216" spans="1:9" hidden="1" x14ac:dyDescent="0.2">
      <c r="A216" s="4" t="s">
        <v>500</v>
      </c>
      <c r="B216" s="21">
        <v>43745</v>
      </c>
      <c r="C216" s="12">
        <v>8</v>
      </c>
      <c r="D216" s="22" t="s">
        <v>208</v>
      </c>
      <c r="E216" s="23">
        <v>43747</v>
      </c>
      <c r="F216" s="24" t="s">
        <v>103</v>
      </c>
      <c r="G216" s="12"/>
      <c r="H216" s="12"/>
      <c r="I216" s="4" t="s">
        <v>99</v>
      </c>
    </row>
    <row r="217" spans="1:9" hidden="1" x14ac:dyDescent="0.2">
      <c r="A217" s="4" t="s">
        <v>500</v>
      </c>
      <c r="B217" s="21">
        <v>43745</v>
      </c>
      <c r="C217" s="12">
        <v>9</v>
      </c>
      <c r="D217" s="22" t="s">
        <v>241</v>
      </c>
      <c r="E217" s="23">
        <v>43750</v>
      </c>
      <c r="F217" s="24" t="s">
        <v>103</v>
      </c>
      <c r="G217" s="12"/>
      <c r="H217" s="12"/>
      <c r="I217" s="4" t="s">
        <v>209</v>
      </c>
    </row>
    <row r="218" spans="1:9" hidden="1" x14ac:dyDescent="0.2">
      <c r="A218" s="4" t="s">
        <v>500</v>
      </c>
      <c r="B218" s="21">
        <v>43745</v>
      </c>
      <c r="C218" s="12">
        <v>10</v>
      </c>
      <c r="D218" s="22" t="s">
        <v>615</v>
      </c>
      <c r="E218" s="23">
        <v>43750</v>
      </c>
      <c r="F218" s="24" t="s">
        <v>103</v>
      </c>
      <c r="G218" s="12">
        <v>4</v>
      </c>
      <c r="H218" s="12"/>
      <c r="I218" s="4" t="s">
        <v>209</v>
      </c>
    </row>
    <row r="219" spans="1:9" hidden="1" x14ac:dyDescent="0.2">
      <c r="A219" s="4" t="s">
        <v>500</v>
      </c>
      <c r="B219" s="21">
        <v>43745</v>
      </c>
      <c r="C219" s="12">
        <v>13</v>
      </c>
      <c r="D219" s="22" t="s">
        <v>208</v>
      </c>
      <c r="E219" s="23">
        <v>43749</v>
      </c>
      <c r="F219" s="24" t="s">
        <v>103</v>
      </c>
      <c r="G219" s="12">
        <v>3</v>
      </c>
      <c r="H219" s="12"/>
      <c r="I219" s="4" t="s">
        <v>97</v>
      </c>
    </row>
    <row r="220" spans="1:9" hidden="1" x14ac:dyDescent="0.2">
      <c r="A220" s="4" t="s">
        <v>500</v>
      </c>
      <c r="B220" s="21">
        <v>43745</v>
      </c>
      <c r="C220" s="12">
        <v>14</v>
      </c>
      <c r="D220" s="22" t="s">
        <v>616</v>
      </c>
      <c r="E220" s="23">
        <v>43750</v>
      </c>
      <c r="F220" s="24" t="s">
        <v>103</v>
      </c>
      <c r="G220" s="12">
        <v>3</v>
      </c>
      <c r="H220" s="12"/>
      <c r="I220" s="4" t="s">
        <v>97</v>
      </c>
    </row>
    <row r="221" spans="1:9" hidden="1" x14ac:dyDescent="0.2">
      <c r="A221" s="4" t="s">
        <v>500</v>
      </c>
      <c r="B221" s="21">
        <v>43745</v>
      </c>
      <c r="C221" s="12">
        <v>15</v>
      </c>
      <c r="D221" s="22" t="s">
        <v>617</v>
      </c>
      <c r="E221" s="23">
        <v>43751</v>
      </c>
      <c r="F221" s="24" t="s">
        <v>103</v>
      </c>
      <c r="G221" s="12"/>
      <c r="H221" s="12"/>
      <c r="I221" s="4" t="s">
        <v>97</v>
      </c>
    </row>
    <row r="222" spans="1:9" hidden="1" x14ac:dyDescent="0.2">
      <c r="A222" s="4" t="s">
        <v>589</v>
      </c>
      <c r="B222" s="21">
        <v>43745</v>
      </c>
      <c r="C222" s="12"/>
      <c r="D222" s="22" t="s">
        <v>593</v>
      </c>
      <c r="E222" s="23">
        <v>43746</v>
      </c>
      <c r="F222" s="24" t="s">
        <v>103</v>
      </c>
      <c r="G222" s="12"/>
      <c r="H222" s="12"/>
    </row>
    <row r="223" spans="1:9" hidden="1" x14ac:dyDescent="0.2">
      <c r="A223" s="4" t="s">
        <v>501</v>
      </c>
      <c r="B223" s="21">
        <v>43745</v>
      </c>
      <c r="C223" s="12"/>
      <c r="D223" s="22" t="s">
        <v>600</v>
      </c>
      <c r="E223" s="23">
        <v>43746</v>
      </c>
      <c r="F223" s="24" t="s">
        <v>259</v>
      </c>
      <c r="G223" s="12"/>
      <c r="H223" s="12"/>
    </row>
    <row r="224" spans="1:9" hidden="1" x14ac:dyDescent="0.2">
      <c r="A224" s="4" t="s">
        <v>501</v>
      </c>
      <c r="B224" s="21">
        <v>43745</v>
      </c>
      <c r="C224" s="12"/>
      <c r="D224" s="22" t="s">
        <v>620</v>
      </c>
      <c r="E224" s="23">
        <v>43746</v>
      </c>
      <c r="F224" s="24" t="s">
        <v>103</v>
      </c>
      <c r="G224" s="12"/>
      <c r="H224" s="12"/>
    </row>
    <row r="225" spans="1:9" hidden="1" x14ac:dyDescent="0.2">
      <c r="A225" s="4" t="s">
        <v>501</v>
      </c>
      <c r="B225" s="21">
        <v>43745</v>
      </c>
      <c r="C225" s="12"/>
      <c r="D225" s="22" t="s">
        <v>662</v>
      </c>
      <c r="E225" s="23">
        <v>43746</v>
      </c>
      <c r="F225" s="24" t="s">
        <v>103</v>
      </c>
      <c r="G225" s="12"/>
      <c r="H225" s="12"/>
    </row>
    <row r="226" spans="1:9" hidden="1" x14ac:dyDescent="0.2">
      <c r="A226" s="4" t="s">
        <v>501</v>
      </c>
      <c r="B226" s="21">
        <v>43745</v>
      </c>
      <c r="C226" s="12"/>
      <c r="D226" s="22" t="s">
        <v>663</v>
      </c>
      <c r="E226" s="23">
        <v>43746</v>
      </c>
      <c r="F226" s="24" t="s">
        <v>259</v>
      </c>
      <c r="G226" s="12"/>
      <c r="H226" s="12"/>
    </row>
    <row r="227" spans="1:9" hidden="1" x14ac:dyDescent="0.2">
      <c r="A227" s="31" t="s">
        <v>501</v>
      </c>
      <c r="B227" s="32">
        <v>43745</v>
      </c>
      <c r="C227" s="33"/>
      <c r="D227" s="29" t="s">
        <v>726</v>
      </c>
      <c r="E227" s="34">
        <v>43749</v>
      </c>
      <c r="F227" s="30" t="s">
        <v>103</v>
      </c>
      <c r="G227" s="12"/>
      <c r="H227" s="12"/>
      <c r="I227" s="31"/>
    </row>
    <row r="228" spans="1:9" hidden="1" x14ac:dyDescent="0.2">
      <c r="A228" s="4" t="s">
        <v>500</v>
      </c>
      <c r="B228" s="21">
        <v>43745</v>
      </c>
      <c r="C228" s="12"/>
      <c r="D228" s="22" t="s">
        <v>702</v>
      </c>
      <c r="E228" s="23">
        <v>43749</v>
      </c>
      <c r="F228" s="24" t="s">
        <v>259</v>
      </c>
      <c r="G228" s="12"/>
      <c r="H228" s="12"/>
    </row>
    <row r="229" spans="1:9" hidden="1" x14ac:dyDescent="0.2">
      <c r="A229" s="4" t="s">
        <v>500</v>
      </c>
      <c r="B229" s="21">
        <v>43745</v>
      </c>
      <c r="C229" s="12"/>
      <c r="D229" s="22" t="s">
        <v>703</v>
      </c>
      <c r="E229" s="23">
        <v>43752</v>
      </c>
      <c r="F229" s="24" t="s">
        <v>103</v>
      </c>
      <c r="G229" s="12">
        <v>3</v>
      </c>
      <c r="H229" s="12"/>
    </row>
    <row r="230" spans="1:9" hidden="1" x14ac:dyDescent="0.2">
      <c r="A230" s="4" t="s">
        <v>500</v>
      </c>
      <c r="B230" s="21">
        <v>43745</v>
      </c>
      <c r="C230" s="12"/>
      <c r="D230" s="22" t="s">
        <v>852</v>
      </c>
      <c r="E230" s="23">
        <v>43765</v>
      </c>
      <c r="F230" s="24" t="s">
        <v>259</v>
      </c>
      <c r="G230" s="12"/>
      <c r="H230" s="12"/>
    </row>
    <row r="231" spans="1:9" hidden="1" x14ac:dyDescent="0.2">
      <c r="A231" s="4" t="s">
        <v>727</v>
      </c>
      <c r="B231" s="21">
        <v>43745</v>
      </c>
      <c r="C231" s="12"/>
      <c r="D231" s="22" t="s">
        <v>728</v>
      </c>
      <c r="E231" s="23">
        <v>43770</v>
      </c>
      <c r="F231" s="24" t="s">
        <v>103</v>
      </c>
      <c r="G231" s="12"/>
      <c r="H231" s="12"/>
    </row>
    <row r="232" spans="1:9" hidden="1" x14ac:dyDescent="0.2">
      <c r="A232" s="4" t="s">
        <v>727</v>
      </c>
      <c r="B232" s="21">
        <v>43745</v>
      </c>
      <c r="C232" s="12"/>
      <c r="D232" s="22" t="s">
        <v>830</v>
      </c>
      <c r="E232" s="23">
        <v>43752</v>
      </c>
      <c r="F232" s="24" t="s">
        <v>259</v>
      </c>
      <c r="G232" s="12"/>
      <c r="H232" s="12"/>
    </row>
    <row r="233" spans="1:9" hidden="1" x14ac:dyDescent="0.2">
      <c r="A233" s="4" t="s">
        <v>1773</v>
      </c>
      <c r="B233" s="21">
        <v>43747</v>
      </c>
      <c r="C233" s="12">
        <v>1</v>
      </c>
      <c r="D233" s="22" t="s">
        <v>157</v>
      </c>
      <c r="E233" s="23">
        <v>43728</v>
      </c>
      <c r="F233" s="24" t="s">
        <v>479</v>
      </c>
      <c r="G233" s="12"/>
      <c r="H233" s="12"/>
    </row>
    <row r="234" spans="1:9" hidden="1" x14ac:dyDescent="0.2">
      <c r="A234" s="4" t="s">
        <v>1773</v>
      </c>
      <c r="B234" s="21">
        <v>43747</v>
      </c>
      <c r="C234" s="12">
        <v>2</v>
      </c>
      <c r="D234" s="22" t="s">
        <v>556</v>
      </c>
      <c r="E234" s="23">
        <v>43734</v>
      </c>
      <c r="F234" s="24" t="s">
        <v>103</v>
      </c>
      <c r="G234" s="12"/>
      <c r="H234" s="12"/>
    </row>
    <row r="235" spans="1:9" hidden="1" x14ac:dyDescent="0.2">
      <c r="A235" s="4" t="s">
        <v>1773</v>
      </c>
      <c r="B235" s="21">
        <v>43747</v>
      </c>
      <c r="C235" s="12">
        <v>4</v>
      </c>
      <c r="D235" s="22" t="s">
        <v>557</v>
      </c>
      <c r="E235" s="23">
        <v>43735</v>
      </c>
      <c r="F235" s="24" t="s">
        <v>103</v>
      </c>
      <c r="G235" s="12"/>
      <c r="H235" s="12"/>
      <c r="I235" s="4" t="s">
        <v>60</v>
      </c>
    </row>
    <row r="236" spans="1:9" hidden="1" x14ac:dyDescent="0.2">
      <c r="A236" s="4" t="s">
        <v>1773</v>
      </c>
      <c r="B236" s="21">
        <v>43747</v>
      </c>
      <c r="C236" s="12">
        <v>7</v>
      </c>
      <c r="D236" s="22" t="s">
        <v>558</v>
      </c>
      <c r="E236" s="23">
        <v>43738</v>
      </c>
      <c r="F236" s="24" t="s">
        <v>103</v>
      </c>
      <c r="G236" s="12"/>
      <c r="H236" s="12"/>
      <c r="I236" s="4" t="s">
        <v>69</v>
      </c>
    </row>
    <row r="237" spans="1:9" hidden="1" x14ac:dyDescent="0.2">
      <c r="A237" s="4" t="s">
        <v>1773</v>
      </c>
      <c r="B237" s="21">
        <v>43747</v>
      </c>
      <c r="C237" s="12">
        <v>8</v>
      </c>
      <c r="D237" s="22" t="s">
        <v>583</v>
      </c>
      <c r="E237" s="23">
        <v>43737</v>
      </c>
      <c r="F237" s="24" t="s">
        <v>103</v>
      </c>
      <c r="G237" s="12">
        <v>1</v>
      </c>
      <c r="H237" s="12"/>
      <c r="I237" s="4" t="s">
        <v>64</v>
      </c>
    </row>
    <row r="238" spans="1:9" hidden="1" x14ac:dyDescent="0.2">
      <c r="A238" s="4" t="s">
        <v>1773</v>
      </c>
      <c r="B238" s="21">
        <v>43747</v>
      </c>
      <c r="C238" s="12">
        <v>11</v>
      </c>
      <c r="D238" s="22" t="s">
        <v>584</v>
      </c>
      <c r="E238" s="23">
        <v>43738</v>
      </c>
      <c r="F238" s="24" t="s">
        <v>103</v>
      </c>
      <c r="G238" s="12">
        <v>3</v>
      </c>
      <c r="H238" s="12"/>
    </row>
    <row r="239" spans="1:9" hidden="1" x14ac:dyDescent="0.2">
      <c r="A239" s="4" t="s">
        <v>1773</v>
      </c>
      <c r="B239" s="21">
        <v>43747</v>
      </c>
      <c r="C239" s="12">
        <v>11.1</v>
      </c>
      <c r="D239" s="22" t="s">
        <v>582</v>
      </c>
      <c r="E239" s="23">
        <v>43742</v>
      </c>
      <c r="F239" s="24" t="s">
        <v>103</v>
      </c>
      <c r="G239" s="12"/>
      <c r="H239" s="12"/>
    </row>
    <row r="240" spans="1:9" hidden="1" x14ac:dyDescent="0.2">
      <c r="A240" s="4" t="s">
        <v>1773</v>
      </c>
      <c r="B240" s="21">
        <v>43747</v>
      </c>
      <c r="C240" s="12">
        <v>12</v>
      </c>
      <c r="D240" s="22" t="s">
        <v>559</v>
      </c>
      <c r="E240" s="23">
        <v>43742</v>
      </c>
      <c r="F240" s="24" t="s">
        <v>103</v>
      </c>
      <c r="G240" s="12"/>
      <c r="H240" s="12"/>
      <c r="I240" s="4" t="s">
        <v>146</v>
      </c>
    </row>
    <row r="241" spans="1:9" hidden="1" x14ac:dyDescent="0.2">
      <c r="A241" s="4" t="s">
        <v>1773</v>
      </c>
      <c r="B241" s="21">
        <v>43747</v>
      </c>
      <c r="C241" s="12">
        <v>17</v>
      </c>
      <c r="D241" s="22" t="s">
        <v>687</v>
      </c>
      <c r="E241" s="23">
        <v>43747</v>
      </c>
      <c r="F241" s="24" t="s">
        <v>103</v>
      </c>
      <c r="G241" s="12"/>
      <c r="H241" s="12"/>
    </row>
    <row r="242" spans="1:9" hidden="1" x14ac:dyDescent="0.2">
      <c r="A242" s="4" t="s">
        <v>1773</v>
      </c>
      <c r="B242" s="21">
        <v>43747</v>
      </c>
      <c r="C242" s="12">
        <v>20</v>
      </c>
      <c r="D242" s="22" t="s">
        <v>560</v>
      </c>
      <c r="E242" s="23">
        <v>43745</v>
      </c>
      <c r="F242" s="24" t="s">
        <v>103</v>
      </c>
      <c r="G242" s="12"/>
      <c r="H242" s="12"/>
    </row>
    <row r="243" spans="1:9" hidden="1" x14ac:dyDescent="0.2">
      <c r="A243" s="4" t="s">
        <v>1999</v>
      </c>
      <c r="B243" s="21">
        <v>43749</v>
      </c>
      <c r="C243" s="12">
        <v>1</v>
      </c>
      <c r="D243" s="22" t="s">
        <v>643</v>
      </c>
      <c r="E243" s="23">
        <v>43734</v>
      </c>
      <c r="F243" s="24" t="s">
        <v>635</v>
      </c>
      <c r="G243" s="12"/>
      <c r="H243" s="12"/>
    </row>
    <row r="244" spans="1:9" hidden="1" x14ac:dyDescent="0.2">
      <c r="A244" s="4" t="s">
        <v>1999</v>
      </c>
      <c r="B244" s="21">
        <v>43749</v>
      </c>
      <c r="C244" s="12">
        <v>2</v>
      </c>
      <c r="D244" s="22" t="s">
        <v>645</v>
      </c>
      <c r="E244" s="23">
        <v>43734</v>
      </c>
      <c r="F244" s="24" t="s">
        <v>635</v>
      </c>
      <c r="G244" s="12"/>
      <c r="H244" s="12"/>
    </row>
    <row r="245" spans="1:9" hidden="1" x14ac:dyDescent="0.2">
      <c r="A245" s="4" t="s">
        <v>1999</v>
      </c>
      <c r="B245" s="21">
        <v>43749</v>
      </c>
      <c r="C245" s="12">
        <v>3</v>
      </c>
      <c r="D245" s="22" t="s">
        <v>644</v>
      </c>
      <c r="E245" s="23">
        <v>43738</v>
      </c>
      <c r="F245" s="24" t="s">
        <v>103</v>
      </c>
      <c r="G245" s="12"/>
      <c r="H245" s="12"/>
    </row>
    <row r="246" spans="1:9" hidden="1" x14ac:dyDescent="0.2">
      <c r="A246" s="4" t="s">
        <v>1999</v>
      </c>
      <c r="B246" s="21">
        <v>43749</v>
      </c>
      <c r="C246" s="12">
        <v>4</v>
      </c>
      <c r="D246" s="22" t="s">
        <v>685</v>
      </c>
      <c r="E246" s="23">
        <v>43746</v>
      </c>
      <c r="F246" s="24" t="s">
        <v>684</v>
      </c>
      <c r="G246" s="12"/>
      <c r="H246" s="12"/>
    </row>
    <row r="247" spans="1:9" hidden="1" x14ac:dyDescent="0.2">
      <c r="A247" s="4" t="s">
        <v>1999</v>
      </c>
      <c r="B247" s="21">
        <v>43749</v>
      </c>
      <c r="C247" s="12">
        <v>5</v>
      </c>
      <c r="D247" s="22" t="s">
        <v>730</v>
      </c>
      <c r="E247" s="23">
        <v>43746</v>
      </c>
      <c r="F247" s="24" t="s">
        <v>729</v>
      </c>
      <c r="G247" s="12"/>
      <c r="H247" s="12"/>
    </row>
    <row r="248" spans="1:9" hidden="1" x14ac:dyDescent="0.2">
      <c r="A248" s="4" t="s">
        <v>1999</v>
      </c>
      <c r="B248" s="21">
        <v>43749</v>
      </c>
      <c r="C248" s="12">
        <v>6</v>
      </c>
      <c r="D248" s="22" t="s">
        <v>82</v>
      </c>
      <c r="E248" s="23">
        <v>43749</v>
      </c>
      <c r="F248" s="24" t="s">
        <v>103</v>
      </c>
      <c r="G248" s="12"/>
      <c r="H248" s="12"/>
    </row>
    <row r="249" spans="1:9" hidden="1" x14ac:dyDescent="0.2">
      <c r="A249" s="4" t="s">
        <v>1999</v>
      </c>
      <c r="B249" s="21">
        <v>43749</v>
      </c>
      <c r="C249" s="12">
        <v>7</v>
      </c>
      <c r="D249" s="22" t="s">
        <v>732</v>
      </c>
      <c r="E249" s="23">
        <v>43749</v>
      </c>
      <c r="F249" s="24" t="s">
        <v>103</v>
      </c>
      <c r="G249" s="12"/>
      <c r="H249" s="12"/>
    </row>
    <row r="250" spans="1:9" hidden="1" x14ac:dyDescent="0.2">
      <c r="A250" s="4" t="s">
        <v>1999</v>
      </c>
      <c r="B250" s="21">
        <v>43749</v>
      </c>
      <c r="C250" s="12">
        <v>8</v>
      </c>
      <c r="D250" s="22" t="s">
        <v>1074</v>
      </c>
      <c r="E250" s="23">
        <v>43770</v>
      </c>
      <c r="F250" s="24" t="s">
        <v>259</v>
      </c>
      <c r="G250" s="12"/>
      <c r="H250" s="12"/>
    </row>
    <row r="251" spans="1:9" hidden="1" x14ac:dyDescent="0.2">
      <c r="A251" s="4" t="s">
        <v>1999</v>
      </c>
      <c r="B251" s="21">
        <v>43749</v>
      </c>
      <c r="C251" s="12">
        <v>9</v>
      </c>
      <c r="D251" s="22" t="s">
        <v>735</v>
      </c>
      <c r="E251" s="23">
        <v>43749</v>
      </c>
      <c r="F251" s="24" t="s">
        <v>1</v>
      </c>
      <c r="G251" s="12"/>
      <c r="H251" s="12"/>
    </row>
    <row r="252" spans="1:9" hidden="1" x14ac:dyDescent="0.2">
      <c r="A252" s="4" t="s">
        <v>2009</v>
      </c>
      <c r="B252" s="21">
        <v>43749</v>
      </c>
      <c r="C252" s="12">
        <v>1</v>
      </c>
      <c r="D252" s="22" t="s">
        <v>227</v>
      </c>
      <c r="E252" s="23">
        <v>43736</v>
      </c>
      <c r="F252" s="24" t="s">
        <v>635</v>
      </c>
      <c r="G252" s="12"/>
      <c r="H252" s="12"/>
      <c r="I252" s="4" t="s">
        <v>11</v>
      </c>
    </row>
    <row r="253" spans="1:9" hidden="1" x14ac:dyDescent="0.2">
      <c r="A253" s="4" t="s">
        <v>2009</v>
      </c>
      <c r="B253" s="21">
        <v>43749</v>
      </c>
      <c r="C253" s="12">
        <v>6</v>
      </c>
      <c r="D253" s="22" t="s">
        <v>271</v>
      </c>
      <c r="E253" s="23">
        <v>43737</v>
      </c>
      <c r="F253" s="24" t="s">
        <v>103</v>
      </c>
      <c r="G253" s="12"/>
      <c r="H253" s="12"/>
    </row>
    <row r="254" spans="1:9" hidden="1" x14ac:dyDescent="0.2">
      <c r="A254" s="4" t="s">
        <v>2009</v>
      </c>
      <c r="B254" s="21">
        <v>43749</v>
      </c>
      <c r="C254" s="12">
        <v>7</v>
      </c>
      <c r="D254" s="22" t="s">
        <v>9</v>
      </c>
      <c r="E254" s="23">
        <v>43737</v>
      </c>
      <c r="F254" s="24" t="s">
        <v>103</v>
      </c>
      <c r="G254" s="12"/>
      <c r="H254" s="12"/>
    </row>
    <row r="255" spans="1:9" hidden="1" x14ac:dyDescent="0.2">
      <c r="A255" s="4" t="s">
        <v>2009</v>
      </c>
      <c r="B255" s="21">
        <v>43749</v>
      </c>
      <c r="C255" s="12">
        <v>8</v>
      </c>
      <c r="D255" s="22" t="s">
        <v>7</v>
      </c>
      <c r="E255" s="23">
        <v>43737</v>
      </c>
      <c r="F255" s="24" t="s">
        <v>103</v>
      </c>
      <c r="G255" s="12"/>
      <c r="H255" s="12"/>
    </row>
    <row r="256" spans="1:9" hidden="1" x14ac:dyDescent="0.2">
      <c r="A256" s="4" t="s">
        <v>2009</v>
      </c>
      <c r="B256" s="21">
        <v>43749</v>
      </c>
      <c r="C256" s="12">
        <v>9</v>
      </c>
      <c r="D256" s="22" t="s">
        <v>334</v>
      </c>
      <c r="E256" s="23">
        <v>43737</v>
      </c>
      <c r="F256" s="24" t="s">
        <v>103</v>
      </c>
      <c r="G256" s="12"/>
      <c r="H256" s="12"/>
    </row>
    <row r="257" spans="1:9" hidden="1" x14ac:dyDescent="0.2">
      <c r="A257" s="4" t="s">
        <v>2009</v>
      </c>
      <c r="B257" s="21">
        <v>43749</v>
      </c>
      <c r="C257" s="12">
        <v>10</v>
      </c>
      <c r="D257" s="22" t="s">
        <v>335</v>
      </c>
      <c r="E257" s="23">
        <v>43738</v>
      </c>
      <c r="F257" s="24" t="s">
        <v>646</v>
      </c>
      <c r="G257" s="12"/>
      <c r="H257" s="12"/>
      <c r="I257" s="4" t="s">
        <v>13</v>
      </c>
    </row>
    <row r="258" spans="1:9" hidden="1" x14ac:dyDescent="0.2">
      <c r="A258" s="4" t="s">
        <v>2009</v>
      </c>
      <c r="B258" s="21">
        <v>43749</v>
      </c>
      <c r="C258" s="12">
        <v>11</v>
      </c>
      <c r="D258" s="22" t="s">
        <v>27</v>
      </c>
      <c r="E258" s="23">
        <v>43738</v>
      </c>
      <c r="F258" s="24" t="s">
        <v>646</v>
      </c>
      <c r="G258" s="12"/>
      <c r="H258" s="12"/>
    </row>
    <row r="259" spans="1:9" hidden="1" x14ac:dyDescent="0.2">
      <c r="A259" s="4" t="s">
        <v>2009</v>
      </c>
      <c r="B259" s="21">
        <v>43749</v>
      </c>
      <c r="C259" s="12">
        <v>12</v>
      </c>
      <c r="D259" s="22" t="s">
        <v>228</v>
      </c>
      <c r="E259" s="23">
        <v>43738</v>
      </c>
      <c r="F259" s="24" t="s">
        <v>646</v>
      </c>
      <c r="G259" s="12"/>
      <c r="H259" s="12"/>
      <c r="I259" s="4" t="s">
        <v>15</v>
      </c>
    </row>
    <row r="260" spans="1:9" hidden="1" x14ac:dyDescent="0.2">
      <c r="A260" s="4" t="s">
        <v>2009</v>
      </c>
      <c r="B260" s="21">
        <v>43749</v>
      </c>
      <c r="C260" s="12">
        <v>13</v>
      </c>
      <c r="D260" s="22" t="s">
        <v>347</v>
      </c>
      <c r="E260" s="23">
        <v>43738</v>
      </c>
      <c r="F260" s="24" t="s">
        <v>646</v>
      </c>
      <c r="G260" s="12"/>
      <c r="H260" s="12"/>
    </row>
    <row r="261" spans="1:9" hidden="1" x14ac:dyDescent="0.2">
      <c r="A261" s="4" t="s">
        <v>2009</v>
      </c>
      <c r="B261" s="21">
        <v>43749</v>
      </c>
      <c r="C261" s="12">
        <v>14</v>
      </c>
      <c r="D261" s="22" t="s">
        <v>336</v>
      </c>
      <c r="E261" s="23">
        <v>43738</v>
      </c>
      <c r="F261" s="24" t="s">
        <v>646</v>
      </c>
      <c r="G261" s="12"/>
      <c r="H261" s="12"/>
    </row>
    <row r="262" spans="1:9" hidden="1" x14ac:dyDescent="0.2">
      <c r="A262" s="4" t="s">
        <v>2009</v>
      </c>
      <c r="B262" s="21">
        <v>43749</v>
      </c>
      <c r="C262" s="12">
        <v>15</v>
      </c>
      <c r="D262" s="22" t="s">
        <v>349</v>
      </c>
      <c r="E262" s="23">
        <v>43738</v>
      </c>
      <c r="F262" s="24" t="s">
        <v>646</v>
      </c>
      <c r="G262" s="12"/>
      <c r="H262" s="12"/>
    </row>
    <row r="263" spans="1:9" hidden="1" x14ac:dyDescent="0.2">
      <c r="A263" s="4" t="s">
        <v>2009</v>
      </c>
      <c r="B263" s="21">
        <v>43749</v>
      </c>
      <c r="C263" s="12">
        <v>16</v>
      </c>
      <c r="D263" s="22" t="s">
        <v>351</v>
      </c>
      <c r="E263" s="23">
        <v>43738</v>
      </c>
      <c r="F263" s="24" t="s">
        <v>646</v>
      </c>
      <c r="G263" s="12"/>
      <c r="H263" s="12"/>
    </row>
    <row r="264" spans="1:9" hidden="1" x14ac:dyDescent="0.2">
      <c r="A264" s="4" t="s">
        <v>2009</v>
      </c>
      <c r="B264" s="21">
        <v>43749</v>
      </c>
      <c r="C264" s="12">
        <v>17</v>
      </c>
      <c r="D264" s="22" t="s">
        <v>353</v>
      </c>
      <c r="E264" s="23">
        <v>43738</v>
      </c>
      <c r="F264" s="24" t="s">
        <v>646</v>
      </c>
      <c r="G264" s="12"/>
      <c r="H264" s="12"/>
    </row>
    <row r="265" spans="1:9" hidden="1" x14ac:dyDescent="0.2">
      <c r="A265" s="4" t="s">
        <v>2009</v>
      </c>
      <c r="B265" s="21">
        <v>43749</v>
      </c>
      <c r="C265" s="12">
        <v>18</v>
      </c>
      <c r="D265" s="22" t="s">
        <v>355</v>
      </c>
      <c r="E265" s="23">
        <v>43738</v>
      </c>
      <c r="F265" s="24" t="s">
        <v>646</v>
      </c>
      <c r="G265" s="12"/>
      <c r="H265" s="12"/>
    </row>
    <row r="266" spans="1:9" hidden="1" x14ac:dyDescent="0.2">
      <c r="A266" s="4" t="s">
        <v>2009</v>
      </c>
      <c r="B266" s="21">
        <v>43749</v>
      </c>
      <c r="C266" s="12">
        <v>19</v>
      </c>
      <c r="D266" s="22" t="s">
        <v>357</v>
      </c>
      <c r="E266" s="23">
        <v>43738</v>
      </c>
      <c r="F266" s="24" t="s">
        <v>646</v>
      </c>
      <c r="G266" s="12"/>
      <c r="H266" s="12"/>
    </row>
    <row r="267" spans="1:9" hidden="1" x14ac:dyDescent="0.2">
      <c r="A267" s="4" t="s">
        <v>2009</v>
      </c>
      <c r="B267" s="21">
        <v>43749</v>
      </c>
      <c r="C267" s="12">
        <v>20</v>
      </c>
      <c r="D267" s="22" t="s">
        <v>229</v>
      </c>
      <c r="E267" s="23">
        <v>43739</v>
      </c>
      <c r="F267" s="24" t="s">
        <v>646</v>
      </c>
      <c r="G267" s="12"/>
      <c r="H267" s="12"/>
      <c r="I267" s="4" t="s">
        <v>17</v>
      </c>
    </row>
    <row r="268" spans="1:9" hidden="1" x14ac:dyDescent="0.2">
      <c r="A268" s="4" t="s">
        <v>2009</v>
      </c>
      <c r="B268" s="21">
        <v>43749</v>
      </c>
      <c r="C268" s="12">
        <v>21</v>
      </c>
      <c r="D268" s="22" t="s">
        <v>359</v>
      </c>
      <c r="E268" s="23">
        <v>43739</v>
      </c>
      <c r="F268" s="24" t="s">
        <v>646</v>
      </c>
      <c r="G268" s="12"/>
      <c r="H268" s="12"/>
    </row>
    <row r="269" spans="1:9" hidden="1" x14ac:dyDescent="0.2">
      <c r="A269" s="4" t="s">
        <v>2009</v>
      </c>
      <c r="B269" s="21">
        <v>43749</v>
      </c>
      <c r="C269" s="12">
        <v>22</v>
      </c>
      <c r="D269" s="22" t="s">
        <v>19</v>
      </c>
      <c r="E269" s="23">
        <v>43739</v>
      </c>
      <c r="F269" s="24" t="s">
        <v>646</v>
      </c>
      <c r="G269" s="12"/>
      <c r="H269" s="12"/>
    </row>
    <row r="270" spans="1:9" hidden="1" x14ac:dyDescent="0.2">
      <c r="A270" s="4" t="s">
        <v>2009</v>
      </c>
      <c r="B270" s="21">
        <v>43749</v>
      </c>
      <c r="C270" s="12">
        <v>23</v>
      </c>
      <c r="D270" s="22" t="s">
        <v>230</v>
      </c>
      <c r="E270" s="23">
        <v>43739</v>
      </c>
      <c r="F270" s="24" t="s">
        <v>646</v>
      </c>
      <c r="G270" s="12"/>
      <c r="H270" s="12"/>
      <c r="I270" s="4" t="s">
        <v>20</v>
      </c>
    </row>
    <row r="271" spans="1:9" hidden="1" x14ac:dyDescent="0.2">
      <c r="A271" s="4" t="s">
        <v>2009</v>
      </c>
      <c r="B271" s="21">
        <v>43749</v>
      </c>
      <c r="C271" s="12">
        <v>24</v>
      </c>
      <c r="D271" s="22" t="s">
        <v>95</v>
      </c>
      <c r="E271" s="23">
        <v>43739</v>
      </c>
      <c r="F271" s="24" t="s">
        <v>646</v>
      </c>
      <c r="G271" s="12"/>
      <c r="H271" s="12"/>
      <c r="I271" s="4" t="s">
        <v>83</v>
      </c>
    </row>
    <row r="272" spans="1:9" hidden="1" x14ac:dyDescent="0.2">
      <c r="A272" s="4" t="s">
        <v>2009</v>
      </c>
      <c r="B272" s="21">
        <v>43749</v>
      </c>
      <c r="C272" s="12">
        <v>25</v>
      </c>
      <c r="D272" s="22" t="s">
        <v>231</v>
      </c>
      <c r="E272" s="23">
        <v>43739</v>
      </c>
      <c r="F272" s="24" t="s">
        <v>646</v>
      </c>
      <c r="G272" s="12"/>
      <c r="H272" s="12"/>
    </row>
    <row r="273" spans="1:9" hidden="1" x14ac:dyDescent="0.2">
      <c r="A273" s="4" t="s">
        <v>2009</v>
      </c>
      <c r="B273" s="21">
        <v>43749</v>
      </c>
      <c r="C273" s="12">
        <v>26</v>
      </c>
      <c r="D273" s="22" t="s">
        <v>442</v>
      </c>
      <c r="E273" s="23">
        <v>43739</v>
      </c>
      <c r="F273" s="24" t="s">
        <v>646</v>
      </c>
      <c r="G273" s="12"/>
      <c r="H273" s="12"/>
    </row>
    <row r="274" spans="1:9" hidden="1" x14ac:dyDescent="0.2">
      <c r="A274" s="4" t="s">
        <v>2009</v>
      </c>
      <c r="B274" s="21">
        <v>43749</v>
      </c>
      <c r="C274" s="12">
        <v>27</v>
      </c>
      <c r="D274" s="22" t="s">
        <v>381</v>
      </c>
      <c r="E274" s="23">
        <v>43739</v>
      </c>
      <c r="F274" s="24" t="s">
        <v>646</v>
      </c>
      <c r="G274" s="12"/>
      <c r="H274" s="12"/>
    </row>
    <row r="275" spans="1:9" hidden="1" x14ac:dyDescent="0.2">
      <c r="A275" s="4" t="s">
        <v>2009</v>
      </c>
      <c r="B275" s="21">
        <v>43749</v>
      </c>
      <c r="C275" s="12">
        <v>28</v>
      </c>
      <c r="D275" s="22" t="s">
        <v>41</v>
      </c>
      <c r="E275" s="23">
        <v>43739</v>
      </c>
      <c r="F275" s="24" t="s">
        <v>646</v>
      </c>
      <c r="G275" s="12"/>
      <c r="H275" s="12"/>
    </row>
    <row r="276" spans="1:9" hidden="1" x14ac:dyDescent="0.2">
      <c r="A276" s="4" t="s">
        <v>2009</v>
      </c>
      <c r="B276" s="21">
        <v>43749</v>
      </c>
      <c r="C276" s="12">
        <v>29</v>
      </c>
      <c r="D276" s="22" t="s">
        <v>43</v>
      </c>
      <c r="E276" s="23">
        <v>43739</v>
      </c>
      <c r="F276" s="24" t="s">
        <v>646</v>
      </c>
      <c r="G276" s="12"/>
      <c r="H276" s="12"/>
    </row>
    <row r="277" spans="1:9" hidden="1" x14ac:dyDescent="0.2">
      <c r="A277" s="4" t="s">
        <v>2009</v>
      </c>
      <c r="B277" s="21">
        <v>43749</v>
      </c>
      <c r="C277" s="12">
        <v>31</v>
      </c>
      <c r="D277" s="22" t="s">
        <v>22</v>
      </c>
      <c r="E277" s="23">
        <v>43739</v>
      </c>
      <c r="F277" s="24" t="s">
        <v>646</v>
      </c>
      <c r="G277" s="12"/>
      <c r="H277" s="12"/>
      <c r="I277" s="4" t="s">
        <v>20</v>
      </c>
    </row>
    <row r="278" spans="1:9" hidden="1" x14ac:dyDescent="0.2">
      <c r="A278" s="4" t="s">
        <v>2009</v>
      </c>
      <c r="B278" s="21">
        <v>43749</v>
      </c>
      <c r="C278" s="12">
        <v>32</v>
      </c>
      <c r="D278" s="22" t="s">
        <v>25</v>
      </c>
      <c r="E278" s="23">
        <v>43739</v>
      </c>
      <c r="F278" s="24" t="s">
        <v>646</v>
      </c>
      <c r="G278" s="12"/>
      <c r="H278" s="12"/>
    </row>
    <row r="279" spans="1:9" hidden="1" x14ac:dyDescent="0.2">
      <c r="A279" s="4" t="s">
        <v>2009</v>
      </c>
      <c r="B279" s="21">
        <v>43749</v>
      </c>
      <c r="C279" s="12">
        <v>33</v>
      </c>
      <c r="D279" s="22" t="s">
        <v>33</v>
      </c>
      <c r="E279" s="23">
        <v>43739</v>
      </c>
      <c r="F279" s="24" t="s">
        <v>646</v>
      </c>
      <c r="G279" s="12"/>
      <c r="H279" s="12"/>
      <c r="I279" s="4" t="s">
        <v>31</v>
      </c>
    </row>
    <row r="280" spans="1:9" hidden="1" x14ac:dyDescent="0.2">
      <c r="A280" s="4" t="s">
        <v>2009</v>
      </c>
      <c r="B280" s="21">
        <v>43749</v>
      </c>
      <c r="C280" s="12">
        <v>34</v>
      </c>
      <c r="D280" s="22" t="s">
        <v>29</v>
      </c>
      <c r="E280" s="23">
        <v>43739</v>
      </c>
      <c r="F280" s="24" t="s">
        <v>646</v>
      </c>
      <c r="G280" s="12"/>
      <c r="H280" s="12"/>
    </row>
    <row r="281" spans="1:9" hidden="1" x14ac:dyDescent="0.2">
      <c r="A281" s="4" t="s">
        <v>2009</v>
      </c>
      <c r="B281" s="21">
        <v>43749</v>
      </c>
      <c r="C281" s="12">
        <v>35</v>
      </c>
      <c r="D281" s="22" t="s">
        <v>443</v>
      </c>
      <c r="E281" s="23">
        <v>43739</v>
      </c>
      <c r="F281" s="24" t="s">
        <v>646</v>
      </c>
      <c r="G281" s="12"/>
      <c r="H281" s="12"/>
      <c r="I281" s="4" t="s">
        <v>13</v>
      </c>
    </row>
    <row r="282" spans="1:9" hidden="1" x14ac:dyDescent="0.2">
      <c r="A282" s="4" t="s">
        <v>2009</v>
      </c>
      <c r="B282" s="21">
        <v>43749</v>
      </c>
      <c r="C282" s="12">
        <v>36</v>
      </c>
      <c r="D282" s="22" t="s">
        <v>232</v>
      </c>
      <c r="E282" s="23">
        <v>43739</v>
      </c>
      <c r="F282" s="24" t="s">
        <v>646</v>
      </c>
      <c r="G282" s="12"/>
      <c r="H282" s="12"/>
      <c r="I282" s="4" t="s">
        <v>20</v>
      </c>
    </row>
    <row r="283" spans="1:9" hidden="1" x14ac:dyDescent="0.2">
      <c r="A283" s="4" t="s">
        <v>2009</v>
      </c>
      <c r="B283" s="21">
        <v>43749</v>
      </c>
      <c r="C283" s="12">
        <v>37</v>
      </c>
      <c r="D283" s="22" t="s">
        <v>444</v>
      </c>
      <c r="E283" s="23">
        <v>43739</v>
      </c>
      <c r="F283" s="24" t="s">
        <v>646</v>
      </c>
      <c r="G283" s="12"/>
      <c r="H283" s="12"/>
    </row>
    <row r="284" spans="1:9" hidden="1" x14ac:dyDescent="0.2">
      <c r="A284" s="4" t="s">
        <v>2009</v>
      </c>
      <c r="B284" s="21">
        <v>43749</v>
      </c>
      <c r="C284" s="12">
        <v>37</v>
      </c>
      <c r="D284" s="22" t="s">
        <v>35</v>
      </c>
      <c r="E284" s="23">
        <v>43739</v>
      </c>
      <c r="F284" s="24" t="s">
        <v>646</v>
      </c>
      <c r="G284" s="12"/>
      <c r="H284" s="12"/>
      <c r="I284" s="4" t="s">
        <v>37</v>
      </c>
    </row>
    <row r="285" spans="1:9" hidden="1" x14ac:dyDescent="0.2">
      <c r="A285" s="4" t="s">
        <v>2009</v>
      </c>
      <c r="B285" s="21">
        <v>43749</v>
      </c>
      <c r="C285" s="12">
        <v>37</v>
      </c>
      <c r="D285" s="22" t="s">
        <v>39</v>
      </c>
      <c r="E285" s="23">
        <v>43739</v>
      </c>
      <c r="F285" s="24" t="s">
        <v>646</v>
      </c>
      <c r="G285" s="12"/>
      <c r="H285" s="12"/>
    </row>
    <row r="286" spans="1:9" hidden="1" x14ac:dyDescent="0.2">
      <c r="A286" s="4" t="s">
        <v>2009</v>
      </c>
      <c r="B286" s="21">
        <v>43749</v>
      </c>
      <c r="C286" s="12">
        <v>37</v>
      </c>
      <c r="D286" s="22" t="s">
        <v>243</v>
      </c>
      <c r="E286" s="23">
        <v>43739</v>
      </c>
      <c r="F286" s="24" t="s">
        <v>646</v>
      </c>
      <c r="G286" s="12"/>
      <c r="H286" s="12"/>
    </row>
    <row r="287" spans="1:9" hidden="1" x14ac:dyDescent="0.2">
      <c r="A287" s="4" t="s">
        <v>2009</v>
      </c>
      <c r="B287" s="21">
        <v>43749</v>
      </c>
      <c r="C287" s="12">
        <v>37</v>
      </c>
      <c r="D287" s="22" t="s">
        <v>45</v>
      </c>
      <c r="E287" s="23">
        <v>43739</v>
      </c>
      <c r="F287" s="24" t="s">
        <v>646</v>
      </c>
      <c r="G287" s="12"/>
      <c r="H287" s="12"/>
    </row>
    <row r="288" spans="1:9" hidden="1" x14ac:dyDescent="0.2">
      <c r="A288" s="4" t="s">
        <v>2009</v>
      </c>
      <c r="B288" s="21">
        <v>43749</v>
      </c>
      <c r="C288" s="12">
        <v>42</v>
      </c>
      <c r="D288" s="22" t="s">
        <v>47</v>
      </c>
      <c r="E288" s="23">
        <v>43739</v>
      </c>
      <c r="F288" s="24" t="s">
        <v>646</v>
      </c>
      <c r="G288" s="12"/>
      <c r="H288" s="12"/>
    </row>
    <row r="289" spans="1:9" hidden="1" x14ac:dyDescent="0.2">
      <c r="A289" s="4" t="s">
        <v>2009</v>
      </c>
      <c r="B289" s="21">
        <v>43749</v>
      </c>
      <c r="C289" s="12">
        <v>43</v>
      </c>
      <c r="D289" s="22" t="s">
        <v>49</v>
      </c>
      <c r="E289" s="23">
        <v>43739</v>
      </c>
      <c r="F289" s="24" t="s">
        <v>646</v>
      </c>
      <c r="G289" s="12"/>
      <c r="H289" s="12"/>
    </row>
    <row r="290" spans="1:9" hidden="1" x14ac:dyDescent="0.2">
      <c r="A290" s="4" t="s">
        <v>2009</v>
      </c>
      <c r="B290" s="21">
        <v>43749</v>
      </c>
      <c r="C290" s="12">
        <v>44</v>
      </c>
      <c r="D290" s="22" t="s">
        <v>51</v>
      </c>
      <c r="E290" s="23">
        <v>43739</v>
      </c>
      <c r="F290" s="24" t="s">
        <v>646</v>
      </c>
      <c r="G290" s="12"/>
      <c r="H290" s="12"/>
    </row>
    <row r="291" spans="1:9" hidden="1" x14ac:dyDescent="0.2">
      <c r="A291" s="4" t="s">
        <v>2009</v>
      </c>
      <c r="B291" s="21">
        <v>43749</v>
      </c>
      <c r="C291" s="12">
        <v>45</v>
      </c>
      <c r="D291" s="22" t="s">
        <v>428</v>
      </c>
      <c r="E291" s="23">
        <v>43739</v>
      </c>
      <c r="F291" s="24" t="s">
        <v>646</v>
      </c>
      <c r="G291" s="12"/>
      <c r="H291" s="12"/>
    </row>
    <row r="292" spans="1:9" hidden="1" x14ac:dyDescent="0.2">
      <c r="A292" s="4" t="s">
        <v>2009</v>
      </c>
      <c r="B292" s="21">
        <v>43749</v>
      </c>
      <c r="C292" s="12">
        <v>46</v>
      </c>
      <c r="D292" s="22" t="s">
        <v>143</v>
      </c>
      <c r="E292" s="23">
        <v>43739</v>
      </c>
      <c r="F292" s="24" t="s">
        <v>646</v>
      </c>
      <c r="G292" s="12"/>
      <c r="H292" s="12"/>
    </row>
    <row r="293" spans="1:9" hidden="1" x14ac:dyDescent="0.2">
      <c r="A293" s="4" t="s">
        <v>2009</v>
      </c>
      <c r="B293" s="21">
        <v>43749</v>
      </c>
      <c r="C293" s="12">
        <v>47</v>
      </c>
      <c r="D293" s="22" t="s">
        <v>445</v>
      </c>
      <c r="E293" s="23">
        <v>43739</v>
      </c>
      <c r="F293" s="24" t="s">
        <v>646</v>
      </c>
      <c r="G293" s="12"/>
      <c r="H293" s="12"/>
      <c r="I293" s="4" t="s">
        <v>58</v>
      </c>
    </row>
    <row r="294" spans="1:9" hidden="1" x14ac:dyDescent="0.2">
      <c r="A294" s="4" t="s">
        <v>500</v>
      </c>
      <c r="B294" s="21">
        <v>43752</v>
      </c>
      <c r="C294" s="12">
        <v>0</v>
      </c>
      <c r="D294" s="22" t="s">
        <v>803</v>
      </c>
      <c r="E294" s="23">
        <v>43753</v>
      </c>
      <c r="F294" s="24" t="s">
        <v>103</v>
      </c>
      <c r="G294" s="12"/>
      <c r="H294" s="12"/>
      <c r="I294" s="4" t="s">
        <v>98</v>
      </c>
    </row>
    <row r="295" spans="1:9" hidden="1" x14ac:dyDescent="0.2">
      <c r="A295" s="4" t="s">
        <v>500</v>
      </c>
      <c r="B295" s="21">
        <v>43752</v>
      </c>
      <c r="C295" s="12"/>
      <c r="D295" s="22" t="s">
        <v>806</v>
      </c>
      <c r="E295" s="23">
        <v>43753</v>
      </c>
      <c r="F295" s="24" t="s">
        <v>259</v>
      </c>
      <c r="G295" s="12"/>
      <c r="H295" s="12"/>
    </row>
    <row r="296" spans="1:9" hidden="1" x14ac:dyDescent="0.2">
      <c r="A296" s="4" t="s">
        <v>836</v>
      </c>
      <c r="B296" s="21">
        <v>43752</v>
      </c>
      <c r="C296" s="12"/>
      <c r="D296" s="22" t="s">
        <v>843</v>
      </c>
      <c r="E296" s="23">
        <v>43752</v>
      </c>
      <c r="F296" s="24" t="s">
        <v>103</v>
      </c>
      <c r="G296" s="12">
        <v>3</v>
      </c>
      <c r="H296" s="12"/>
    </row>
    <row r="297" spans="1:9" hidden="1" x14ac:dyDescent="0.2">
      <c r="A297" s="4" t="s">
        <v>501</v>
      </c>
      <c r="B297" s="21">
        <v>43752</v>
      </c>
      <c r="C297" s="12"/>
      <c r="D297" s="22" t="s">
        <v>862</v>
      </c>
      <c r="E297" s="23">
        <v>43756</v>
      </c>
      <c r="F297" s="24" t="s">
        <v>103</v>
      </c>
      <c r="G297" s="12"/>
      <c r="H297" s="12"/>
      <c r="I297" s="4" t="s">
        <v>861</v>
      </c>
    </row>
    <row r="298" spans="1:9" hidden="1" x14ac:dyDescent="0.2">
      <c r="A298" s="4" t="s">
        <v>501</v>
      </c>
      <c r="B298" s="21">
        <v>43752</v>
      </c>
      <c r="C298" s="12"/>
      <c r="D298" s="22" t="s">
        <v>922</v>
      </c>
      <c r="E298" s="23">
        <v>43754</v>
      </c>
      <c r="F298" s="24" t="s">
        <v>103</v>
      </c>
      <c r="G298" s="12"/>
      <c r="H298" s="12"/>
    </row>
    <row r="299" spans="1:9" hidden="1" x14ac:dyDescent="0.2">
      <c r="A299" s="4" t="s">
        <v>501</v>
      </c>
      <c r="B299" s="21">
        <v>43752</v>
      </c>
      <c r="C299" s="12"/>
      <c r="D299" s="22" t="s">
        <v>926</v>
      </c>
      <c r="E299" s="23">
        <v>43759</v>
      </c>
      <c r="F299" s="24" t="s">
        <v>103</v>
      </c>
      <c r="G299" s="12"/>
      <c r="H299" s="12"/>
    </row>
    <row r="300" spans="1:9" hidden="1" x14ac:dyDescent="0.2">
      <c r="A300" s="4" t="s">
        <v>501</v>
      </c>
      <c r="B300" s="21">
        <v>43752</v>
      </c>
      <c r="C300" s="12"/>
      <c r="D300" s="22" t="s">
        <v>940</v>
      </c>
      <c r="E300" s="23">
        <v>43756</v>
      </c>
      <c r="F300" s="24" t="s">
        <v>103</v>
      </c>
      <c r="G300" s="12"/>
      <c r="H300" s="12"/>
    </row>
    <row r="301" spans="1:9" hidden="1" x14ac:dyDescent="0.2">
      <c r="A301" s="4" t="s">
        <v>501</v>
      </c>
      <c r="B301" s="21">
        <v>43752</v>
      </c>
      <c r="C301" s="12"/>
      <c r="D301" s="22" t="s">
        <v>946</v>
      </c>
      <c r="E301" s="23">
        <v>43765</v>
      </c>
      <c r="F301" s="24" t="s">
        <v>103</v>
      </c>
      <c r="G301" s="12"/>
      <c r="H301" s="12"/>
    </row>
    <row r="302" spans="1:9" hidden="1" x14ac:dyDescent="0.2">
      <c r="A302" s="4" t="s">
        <v>967</v>
      </c>
      <c r="B302" s="21">
        <v>43752</v>
      </c>
      <c r="C302" s="12"/>
      <c r="D302" s="22" t="s">
        <v>968</v>
      </c>
      <c r="E302" s="23">
        <v>43758</v>
      </c>
      <c r="F302" s="24" t="s">
        <v>1</v>
      </c>
      <c r="G302" s="12"/>
      <c r="H302" s="12"/>
    </row>
    <row r="303" spans="1:9" hidden="1" x14ac:dyDescent="0.2">
      <c r="A303" s="4" t="s">
        <v>967</v>
      </c>
      <c r="B303" s="21">
        <v>43752</v>
      </c>
      <c r="C303" s="12"/>
      <c r="D303" s="22" t="s">
        <v>969</v>
      </c>
      <c r="E303" s="23">
        <v>43759</v>
      </c>
      <c r="F303" s="24" t="s">
        <v>103</v>
      </c>
      <c r="G303" s="12"/>
      <c r="H303" s="12"/>
    </row>
    <row r="304" spans="1:9" hidden="1" x14ac:dyDescent="0.2">
      <c r="A304" s="4" t="s">
        <v>973</v>
      </c>
      <c r="B304" s="21">
        <v>43752</v>
      </c>
      <c r="C304" s="12"/>
      <c r="D304" s="22" t="s">
        <v>983</v>
      </c>
      <c r="E304" s="23">
        <v>43759</v>
      </c>
      <c r="F304" s="24" t="s">
        <v>103</v>
      </c>
      <c r="G304" s="12"/>
      <c r="H304" s="12"/>
    </row>
    <row r="305" spans="1:9" hidden="1" x14ac:dyDescent="0.2">
      <c r="A305" s="4" t="s">
        <v>2009</v>
      </c>
      <c r="B305" s="21">
        <v>43754</v>
      </c>
      <c r="C305" s="12">
        <v>1</v>
      </c>
      <c r="D305" s="22" t="s">
        <v>227</v>
      </c>
      <c r="E305" s="23">
        <v>43747</v>
      </c>
      <c r="F305" s="24" t="s">
        <v>715</v>
      </c>
      <c r="G305" s="12"/>
      <c r="H305" s="12"/>
      <c r="I305" s="4" t="s">
        <v>11</v>
      </c>
    </row>
    <row r="306" spans="1:9" hidden="1" x14ac:dyDescent="0.2">
      <c r="A306" s="4" t="s">
        <v>2009</v>
      </c>
      <c r="B306" s="21">
        <v>43754</v>
      </c>
      <c r="C306" s="12">
        <v>6</v>
      </c>
      <c r="D306" s="22" t="s">
        <v>271</v>
      </c>
      <c r="E306" s="23">
        <v>43748</v>
      </c>
      <c r="F306" s="24" t="s">
        <v>715</v>
      </c>
      <c r="G306" s="12"/>
      <c r="H306" s="12"/>
    </row>
    <row r="307" spans="1:9" hidden="1" x14ac:dyDescent="0.2">
      <c r="A307" s="4" t="s">
        <v>2009</v>
      </c>
      <c r="B307" s="21">
        <v>43754</v>
      </c>
      <c r="C307" s="12">
        <v>7</v>
      </c>
      <c r="D307" s="22" t="s">
        <v>9</v>
      </c>
      <c r="E307" s="23">
        <v>43748</v>
      </c>
      <c r="F307" s="24" t="s">
        <v>715</v>
      </c>
      <c r="G307" s="12"/>
      <c r="H307" s="12"/>
    </row>
    <row r="308" spans="1:9" hidden="1" x14ac:dyDescent="0.2">
      <c r="A308" s="4" t="s">
        <v>2009</v>
      </c>
      <c r="B308" s="21">
        <v>43754</v>
      </c>
      <c r="C308" s="12">
        <v>8</v>
      </c>
      <c r="D308" s="22" t="s">
        <v>7</v>
      </c>
      <c r="E308" s="23">
        <v>43748</v>
      </c>
      <c r="F308" s="24" t="s">
        <v>715</v>
      </c>
      <c r="G308" s="12"/>
      <c r="H308" s="12"/>
    </row>
    <row r="309" spans="1:9" hidden="1" x14ac:dyDescent="0.2">
      <c r="A309" s="4" t="s">
        <v>2009</v>
      </c>
      <c r="B309" s="21">
        <v>43754</v>
      </c>
      <c r="C309" s="12">
        <v>9</v>
      </c>
      <c r="D309" s="22" t="s">
        <v>334</v>
      </c>
      <c r="E309" s="23">
        <v>43748</v>
      </c>
      <c r="F309" s="24" t="s">
        <v>715</v>
      </c>
      <c r="G309" s="12"/>
      <c r="H309" s="12"/>
    </row>
    <row r="310" spans="1:9" hidden="1" x14ac:dyDescent="0.2">
      <c r="A310" s="4" t="s">
        <v>2009</v>
      </c>
      <c r="B310" s="21">
        <v>43754</v>
      </c>
      <c r="C310" s="12">
        <v>10</v>
      </c>
      <c r="D310" s="22" t="s">
        <v>335</v>
      </c>
      <c r="E310" s="23">
        <v>43748</v>
      </c>
      <c r="F310" s="24" t="s">
        <v>103</v>
      </c>
      <c r="G310" s="12"/>
      <c r="H310" s="12"/>
      <c r="I310" s="4" t="s">
        <v>13</v>
      </c>
    </row>
    <row r="311" spans="1:9" hidden="1" x14ac:dyDescent="0.2">
      <c r="A311" s="4" t="s">
        <v>2009</v>
      </c>
      <c r="B311" s="21">
        <v>43754</v>
      </c>
      <c r="C311" s="12">
        <v>11</v>
      </c>
      <c r="D311" s="22" t="s">
        <v>27</v>
      </c>
      <c r="E311" s="23">
        <v>43748</v>
      </c>
      <c r="F311" s="24" t="s">
        <v>103</v>
      </c>
      <c r="G311" s="12"/>
      <c r="H311" s="12"/>
    </row>
    <row r="312" spans="1:9" hidden="1" x14ac:dyDescent="0.2">
      <c r="A312" s="4" t="s">
        <v>2009</v>
      </c>
      <c r="B312" s="21">
        <v>43754</v>
      </c>
      <c r="C312" s="12">
        <v>12</v>
      </c>
      <c r="D312" s="22" t="s">
        <v>228</v>
      </c>
      <c r="E312" s="23">
        <v>43749</v>
      </c>
      <c r="F312" s="24" t="s">
        <v>103</v>
      </c>
      <c r="G312" s="12"/>
      <c r="H312" s="12"/>
      <c r="I312" s="4" t="s">
        <v>15</v>
      </c>
    </row>
    <row r="313" spans="1:9" hidden="1" x14ac:dyDescent="0.2">
      <c r="A313" s="4" t="s">
        <v>2009</v>
      </c>
      <c r="B313" s="21">
        <v>43754</v>
      </c>
      <c r="C313" s="12">
        <v>13</v>
      </c>
      <c r="D313" s="22" t="s">
        <v>347</v>
      </c>
      <c r="E313" s="23">
        <v>43749</v>
      </c>
      <c r="F313" s="24" t="s">
        <v>103</v>
      </c>
      <c r="G313" s="12"/>
      <c r="H313" s="12"/>
    </row>
    <row r="314" spans="1:9" hidden="1" x14ac:dyDescent="0.2">
      <c r="A314" s="4" t="s">
        <v>2009</v>
      </c>
      <c r="B314" s="21">
        <v>43754</v>
      </c>
      <c r="C314" s="12">
        <v>14</v>
      </c>
      <c r="D314" s="22" t="s">
        <v>336</v>
      </c>
      <c r="E314" s="23">
        <v>43749</v>
      </c>
      <c r="F314" s="24" t="s">
        <v>103</v>
      </c>
      <c r="G314" s="12"/>
      <c r="H314" s="12"/>
    </row>
    <row r="315" spans="1:9" hidden="1" x14ac:dyDescent="0.2">
      <c r="A315" s="4" t="s">
        <v>2009</v>
      </c>
      <c r="B315" s="21">
        <v>43754</v>
      </c>
      <c r="C315" s="12">
        <v>15</v>
      </c>
      <c r="D315" s="22" t="s">
        <v>349</v>
      </c>
      <c r="E315" s="23">
        <v>43749</v>
      </c>
      <c r="F315" s="24" t="s">
        <v>103</v>
      </c>
      <c r="G315" s="12"/>
      <c r="H315" s="12"/>
    </row>
    <row r="316" spans="1:9" hidden="1" x14ac:dyDescent="0.2">
      <c r="A316" s="4" t="s">
        <v>2009</v>
      </c>
      <c r="B316" s="21">
        <v>43754</v>
      </c>
      <c r="C316" s="12">
        <v>16</v>
      </c>
      <c r="D316" s="22" t="s">
        <v>351</v>
      </c>
      <c r="E316" s="23">
        <v>43749</v>
      </c>
      <c r="F316" s="24" t="s">
        <v>103</v>
      </c>
      <c r="G316" s="12"/>
      <c r="H316" s="12"/>
    </row>
    <row r="317" spans="1:9" hidden="1" x14ac:dyDescent="0.2">
      <c r="A317" s="4" t="s">
        <v>2009</v>
      </c>
      <c r="B317" s="21">
        <v>43754</v>
      </c>
      <c r="C317" s="12">
        <v>17</v>
      </c>
      <c r="D317" s="22" t="s">
        <v>353</v>
      </c>
      <c r="E317" s="23">
        <v>43749</v>
      </c>
      <c r="F317" s="24" t="s">
        <v>103</v>
      </c>
      <c r="G317" s="12"/>
      <c r="H317" s="12"/>
    </row>
    <row r="318" spans="1:9" hidden="1" x14ac:dyDescent="0.2">
      <c r="A318" s="4" t="s">
        <v>2009</v>
      </c>
      <c r="B318" s="21">
        <v>43754</v>
      </c>
      <c r="C318" s="12">
        <v>18</v>
      </c>
      <c r="D318" s="22" t="s">
        <v>355</v>
      </c>
      <c r="E318" s="23">
        <v>43749</v>
      </c>
      <c r="F318" s="24" t="s">
        <v>103</v>
      </c>
      <c r="G318" s="12"/>
      <c r="H318" s="12"/>
    </row>
    <row r="319" spans="1:9" hidden="1" x14ac:dyDescent="0.2">
      <c r="A319" s="4" t="s">
        <v>2009</v>
      </c>
      <c r="B319" s="21">
        <v>43754</v>
      </c>
      <c r="C319" s="12">
        <v>19</v>
      </c>
      <c r="D319" s="22" t="s">
        <v>357</v>
      </c>
      <c r="E319" s="23">
        <v>43749</v>
      </c>
      <c r="F319" s="24" t="s">
        <v>103</v>
      </c>
      <c r="G319" s="12"/>
      <c r="H319" s="12"/>
    </row>
    <row r="320" spans="1:9" hidden="1" x14ac:dyDescent="0.2">
      <c r="A320" s="4" t="s">
        <v>2009</v>
      </c>
      <c r="B320" s="21">
        <v>43754</v>
      </c>
      <c r="C320" s="12">
        <v>20</v>
      </c>
      <c r="D320" s="22" t="s">
        <v>229</v>
      </c>
      <c r="E320" s="23">
        <v>43750</v>
      </c>
      <c r="F320" s="24" t="s">
        <v>103</v>
      </c>
      <c r="G320" s="12"/>
      <c r="H320" s="12"/>
      <c r="I320" s="4" t="s">
        <v>17</v>
      </c>
    </row>
    <row r="321" spans="1:9" hidden="1" x14ac:dyDescent="0.2">
      <c r="A321" s="4" t="s">
        <v>2009</v>
      </c>
      <c r="B321" s="21">
        <v>43754</v>
      </c>
      <c r="C321" s="12">
        <v>21</v>
      </c>
      <c r="D321" s="22" t="s">
        <v>359</v>
      </c>
      <c r="E321" s="23">
        <v>43750</v>
      </c>
      <c r="F321" s="24" t="s">
        <v>259</v>
      </c>
      <c r="G321" s="12"/>
      <c r="H321" s="12"/>
    </row>
    <row r="322" spans="1:9" hidden="1" x14ac:dyDescent="0.2">
      <c r="A322" s="4" t="s">
        <v>2009</v>
      </c>
      <c r="B322" s="21">
        <v>43754</v>
      </c>
      <c r="C322" s="12">
        <v>22</v>
      </c>
      <c r="D322" s="22" t="s">
        <v>19</v>
      </c>
      <c r="E322" s="23">
        <v>43750</v>
      </c>
      <c r="F322" s="24" t="s">
        <v>103</v>
      </c>
      <c r="G322" s="12"/>
      <c r="H322" s="12"/>
    </row>
    <row r="323" spans="1:9" hidden="1" x14ac:dyDescent="0.2">
      <c r="A323" s="4" t="s">
        <v>2009</v>
      </c>
      <c r="B323" s="21">
        <v>43754</v>
      </c>
      <c r="C323" s="12">
        <v>23</v>
      </c>
      <c r="D323" s="22" t="s">
        <v>230</v>
      </c>
      <c r="E323" s="23">
        <v>43750</v>
      </c>
      <c r="F323" s="24" t="s">
        <v>103</v>
      </c>
      <c r="G323" s="12"/>
      <c r="H323" s="12"/>
      <c r="I323" s="4" t="s">
        <v>20</v>
      </c>
    </row>
    <row r="324" spans="1:9" hidden="1" x14ac:dyDescent="0.2">
      <c r="A324" s="4" t="s">
        <v>2009</v>
      </c>
      <c r="B324" s="21">
        <v>43754</v>
      </c>
      <c r="C324" s="12">
        <v>24</v>
      </c>
      <c r="D324" s="22" t="s">
        <v>95</v>
      </c>
      <c r="E324" s="23">
        <v>43750</v>
      </c>
      <c r="F324" s="24" t="s">
        <v>103</v>
      </c>
      <c r="G324" s="12"/>
      <c r="H324" s="12"/>
      <c r="I324" s="4" t="s">
        <v>83</v>
      </c>
    </row>
    <row r="325" spans="1:9" hidden="1" x14ac:dyDescent="0.2">
      <c r="A325" s="4" t="s">
        <v>2009</v>
      </c>
      <c r="B325" s="21">
        <v>43754</v>
      </c>
      <c r="C325" s="12">
        <v>25</v>
      </c>
      <c r="D325" s="22" t="s">
        <v>231</v>
      </c>
      <c r="E325" s="23">
        <v>43750</v>
      </c>
      <c r="F325" s="24" t="s">
        <v>103</v>
      </c>
      <c r="G325" s="12"/>
      <c r="H325" s="12"/>
    </row>
    <row r="326" spans="1:9" hidden="1" x14ac:dyDescent="0.2">
      <c r="A326" s="4" t="s">
        <v>2009</v>
      </c>
      <c r="B326" s="21">
        <v>43754</v>
      </c>
      <c r="C326" s="12">
        <v>26</v>
      </c>
      <c r="D326" s="22" t="s">
        <v>442</v>
      </c>
      <c r="E326" s="23">
        <v>43750</v>
      </c>
      <c r="F326" s="24" t="s">
        <v>103</v>
      </c>
      <c r="G326" s="12"/>
      <c r="H326" s="12"/>
    </row>
    <row r="327" spans="1:9" hidden="1" x14ac:dyDescent="0.2">
      <c r="A327" s="4" t="s">
        <v>2009</v>
      </c>
      <c r="B327" s="21">
        <v>43754</v>
      </c>
      <c r="C327" s="12">
        <v>27</v>
      </c>
      <c r="D327" s="22" t="s">
        <v>381</v>
      </c>
      <c r="E327" s="23">
        <v>43752</v>
      </c>
      <c r="F327" s="24" t="s">
        <v>103</v>
      </c>
      <c r="G327" s="12"/>
      <c r="H327" s="12"/>
    </row>
    <row r="328" spans="1:9" hidden="1" x14ac:dyDescent="0.2">
      <c r="A328" s="4" t="s">
        <v>2009</v>
      </c>
      <c r="B328" s="21">
        <v>43754</v>
      </c>
      <c r="C328" s="12">
        <v>28</v>
      </c>
      <c r="D328" s="22" t="s">
        <v>41</v>
      </c>
      <c r="E328" s="23">
        <v>43750</v>
      </c>
      <c r="F328" s="24" t="s">
        <v>103</v>
      </c>
      <c r="G328" s="12"/>
      <c r="H328" s="12"/>
    </row>
    <row r="329" spans="1:9" hidden="1" x14ac:dyDescent="0.2">
      <c r="A329" s="4" t="s">
        <v>2009</v>
      </c>
      <c r="B329" s="21">
        <v>43754</v>
      </c>
      <c r="C329" s="12">
        <v>29</v>
      </c>
      <c r="D329" s="22" t="s">
        <v>43</v>
      </c>
      <c r="E329" s="23">
        <v>43750</v>
      </c>
      <c r="F329" s="24" t="s">
        <v>103</v>
      </c>
      <c r="G329" s="12"/>
      <c r="H329" s="12"/>
    </row>
    <row r="330" spans="1:9" hidden="1" x14ac:dyDescent="0.2">
      <c r="A330" s="4" t="s">
        <v>2009</v>
      </c>
      <c r="B330" s="21">
        <v>43754</v>
      </c>
      <c r="C330" s="12">
        <v>31</v>
      </c>
      <c r="D330" s="22" t="s">
        <v>22</v>
      </c>
      <c r="E330" s="23">
        <v>43750</v>
      </c>
      <c r="F330" s="24" t="s">
        <v>103</v>
      </c>
      <c r="G330" s="12"/>
      <c r="H330" s="12"/>
      <c r="I330" s="4" t="s">
        <v>20</v>
      </c>
    </row>
    <row r="331" spans="1:9" hidden="1" x14ac:dyDescent="0.2">
      <c r="A331" s="4" t="s">
        <v>2009</v>
      </c>
      <c r="B331" s="21">
        <v>43754</v>
      </c>
      <c r="C331" s="12">
        <v>32</v>
      </c>
      <c r="D331" s="22" t="s">
        <v>25</v>
      </c>
      <c r="E331" s="23">
        <v>43750</v>
      </c>
      <c r="F331" s="24" t="s">
        <v>103</v>
      </c>
      <c r="G331" s="12"/>
      <c r="H331" s="12"/>
    </row>
    <row r="332" spans="1:9" hidden="1" x14ac:dyDescent="0.2">
      <c r="A332" s="4" t="s">
        <v>2009</v>
      </c>
      <c r="B332" s="21">
        <v>43754</v>
      </c>
      <c r="C332" s="12">
        <v>33</v>
      </c>
      <c r="D332" s="22" t="s">
        <v>33</v>
      </c>
      <c r="E332" s="23">
        <v>43750</v>
      </c>
      <c r="F332" s="24" t="s">
        <v>103</v>
      </c>
      <c r="G332" s="12"/>
      <c r="H332" s="12"/>
      <c r="I332" s="4" t="s">
        <v>31</v>
      </c>
    </row>
    <row r="333" spans="1:9" hidden="1" x14ac:dyDescent="0.2">
      <c r="A333" s="4" t="s">
        <v>2009</v>
      </c>
      <c r="B333" s="21">
        <v>43754</v>
      </c>
      <c r="C333" s="12">
        <v>34</v>
      </c>
      <c r="D333" s="22" t="s">
        <v>29</v>
      </c>
      <c r="E333" s="23">
        <v>43750</v>
      </c>
      <c r="F333" s="24" t="s">
        <v>103</v>
      </c>
      <c r="G333" s="12"/>
      <c r="H333" s="12"/>
    </row>
    <row r="334" spans="1:9" hidden="1" x14ac:dyDescent="0.2">
      <c r="A334" s="4" t="s">
        <v>2009</v>
      </c>
      <c r="B334" s="21">
        <v>43754</v>
      </c>
      <c r="C334" s="12">
        <v>35</v>
      </c>
      <c r="D334" s="22" t="s">
        <v>443</v>
      </c>
      <c r="E334" s="23">
        <v>43751</v>
      </c>
      <c r="F334" s="24" t="s">
        <v>807</v>
      </c>
      <c r="G334" s="12"/>
      <c r="H334" s="12"/>
      <c r="I334" s="4" t="s">
        <v>13</v>
      </c>
    </row>
    <row r="335" spans="1:9" hidden="1" x14ac:dyDescent="0.2">
      <c r="A335" s="4" t="s">
        <v>2009</v>
      </c>
      <c r="B335" s="21">
        <v>43754</v>
      </c>
      <c r="C335" s="12">
        <v>36</v>
      </c>
      <c r="D335" s="22" t="s">
        <v>232</v>
      </c>
      <c r="E335" s="23">
        <v>43752</v>
      </c>
      <c r="F335" s="24" t="s">
        <v>103</v>
      </c>
      <c r="G335" s="12"/>
      <c r="H335" s="12"/>
      <c r="I335" s="4" t="s">
        <v>20</v>
      </c>
    </row>
    <row r="336" spans="1:9" hidden="1" x14ac:dyDescent="0.2">
      <c r="A336" s="4" t="s">
        <v>2009</v>
      </c>
      <c r="B336" s="21">
        <v>43754</v>
      </c>
      <c r="C336" s="12">
        <v>37</v>
      </c>
      <c r="D336" s="22" t="s">
        <v>39</v>
      </c>
      <c r="E336" s="23">
        <v>43750</v>
      </c>
      <c r="F336" s="24" t="s">
        <v>259</v>
      </c>
      <c r="G336" s="12"/>
      <c r="H336" s="12"/>
    </row>
    <row r="337" spans="1:9" hidden="1" x14ac:dyDescent="0.2">
      <c r="A337" s="4" t="s">
        <v>2009</v>
      </c>
      <c r="B337" s="21">
        <v>43754</v>
      </c>
      <c r="C337" s="12">
        <v>38</v>
      </c>
      <c r="D337" s="22" t="s">
        <v>243</v>
      </c>
      <c r="E337" s="23">
        <v>43751</v>
      </c>
      <c r="F337" s="24" t="s">
        <v>103</v>
      </c>
      <c r="G337" s="12"/>
      <c r="H337" s="12"/>
    </row>
    <row r="338" spans="1:9" hidden="1" x14ac:dyDescent="0.2">
      <c r="A338" s="4" t="s">
        <v>2009</v>
      </c>
      <c r="B338" s="21">
        <v>43754</v>
      </c>
      <c r="C338" s="12">
        <v>39</v>
      </c>
      <c r="D338" s="22" t="s">
        <v>45</v>
      </c>
      <c r="E338" s="23">
        <v>43751</v>
      </c>
      <c r="F338" s="24" t="s">
        <v>103</v>
      </c>
      <c r="G338" s="12"/>
      <c r="H338" s="12"/>
    </row>
    <row r="339" spans="1:9" hidden="1" x14ac:dyDescent="0.2">
      <c r="A339" s="4" t="s">
        <v>2009</v>
      </c>
      <c r="B339" s="21">
        <v>43754</v>
      </c>
      <c r="C339" s="12">
        <v>40</v>
      </c>
      <c r="D339" s="22" t="s">
        <v>444</v>
      </c>
      <c r="E339" s="23">
        <v>43752</v>
      </c>
      <c r="F339" s="24" t="s">
        <v>103</v>
      </c>
      <c r="G339" s="12"/>
      <c r="H339" s="12"/>
    </row>
    <row r="340" spans="1:9" hidden="1" x14ac:dyDescent="0.2">
      <c r="A340" s="4" t="s">
        <v>2009</v>
      </c>
      <c r="B340" s="21">
        <v>43754</v>
      </c>
      <c r="C340" s="12">
        <v>41</v>
      </c>
      <c r="D340" s="22" t="s">
        <v>35</v>
      </c>
      <c r="E340" s="23">
        <v>43752</v>
      </c>
      <c r="F340" s="24" t="s">
        <v>103</v>
      </c>
      <c r="G340" s="12"/>
      <c r="H340" s="12"/>
      <c r="I340" s="4" t="s">
        <v>37</v>
      </c>
    </row>
    <row r="341" spans="1:9" hidden="1" x14ac:dyDescent="0.2">
      <c r="A341" s="4" t="s">
        <v>2009</v>
      </c>
      <c r="B341" s="21">
        <v>43754</v>
      </c>
      <c r="C341" s="12">
        <v>42</v>
      </c>
      <c r="D341" s="22" t="s">
        <v>47</v>
      </c>
      <c r="E341" s="23">
        <v>43752</v>
      </c>
      <c r="F341" s="24" t="s">
        <v>103</v>
      </c>
      <c r="G341" s="12"/>
      <c r="H341" s="12"/>
    </row>
    <row r="342" spans="1:9" hidden="1" x14ac:dyDescent="0.2">
      <c r="A342" s="4" t="s">
        <v>2009</v>
      </c>
      <c r="B342" s="21">
        <v>43754</v>
      </c>
      <c r="C342" s="12">
        <v>43</v>
      </c>
      <c r="D342" s="22" t="s">
        <v>49</v>
      </c>
      <c r="E342" s="23">
        <v>43753</v>
      </c>
      <c r="F342" s="24" t="s">
        <v>103</v>
      </c>
      <c r="G342" s="12"/>
      <c r="H342" s="12"/>
    </row>
    <row r="343" spans="1:9" hidden="1" x14ac:dyDescent="0.2">
      <c r="A343" s="4" t="s">
        <v>2009</v>
      </c>
      <c r="B343" s="21">
        <v>43754</v>
      </c>
      <c r="C343" s="12">
        <v>44</v>
      </c>
      <c r="D343" s="22" t="s">
        <v>51</v>
      </c>
      <c r="E343" s="23">
        <v>43753</v>
      </c>
      <c r="F343" s="24" t="s">
        <v>103</v>
      </c>
      <c r="G343" s="12"/>
      <c r="H343" s="12"/>
    </row>
    <row r="344" spans="1:9" hidden="1" x14ac:dyDescent="0.2">
      <c r="A344" s="4" t="s">
        <v>2009</v>
      </c>
      <c r="B344" s="21">
        <v>43754</v>
      </c>
      <c r="C344" s="12">
        <v>45</v>
      </c>
      <c r="D344" s="22" t="s">
        <v>428</v>
      </c>
      <c r="E344" s="23">
        <v>43754</v>
      </c>
      <c r="F344" s="24" t="s">
        <v>103</v>
      </c>
      <c r="G344" s="12"/>
      <c r="H344" s="12"/>
    </row>
    <row r="345" spans="1:9" hidden="1" x14ac:dyDescent="0.2">
      <c r="A345" s="4" t="s">
        <v>2009</v>
      </c>
      <c r="B345" s="21">
        <v>43754</v>
      </c>
      <c r="C345" s="12">
        <v>46</v>
      </c>
      <c r="D345" s="22" t="s">
        <v>143</v>
      </c>
      <c r="E345" s="23">
        <v>43755</v>
      </c>
      <c r="F345" s="24" t="s">
        <v>103</v>
      </c>
      <c r="G345" s="12"/>
      <c r="H345" s="12"/>
    </row>
    <row r="346" spans="1:9" hidden="1" x14ac:dyDescent="0.2">
      <c r="A346" s="4" t="s">
        <v>2009</v>
      </c>
      <c r="B346" s="21">
        <v>43754</v>
      </c>
      <c r="C346" s="12">
        <v>47</v>
      </c>
      <c r="D346" s="22" t="s">
        <v>445</v>
      </c>
      <c r="E346" s="23">
        <v>43755</v>
      </c>
      <c r="F346" s="24" t="s">
        <v>103</v>
      </c>
      <c r="G346" s="12"/>
      <c r="H346" s="12"/>
      <c r="I346" s="4" t="s">
        <v>58</v>
      </c>
    </row>
    <row r="347" spans="1:9" hidden="1" x14ac:dyDescent="0.2">
      <c r="A347" s="4" t="s">
        <v>1768</v>
      </c>
      <c r="B347" s="21">
        <v>43754</v>
      </c>
      <c r="C347" s="12">
        <v>1</v>
      </c>
      <c r="D347" s="22" t="s">
        <v>157</v>
      </c>
      <c r="E347" s="23">
        <v>43738</v>
      </c>
      <c r="F347" s="24" t="s">
        <v>708</v>
      </c>
      <c r="G347" s="12"/>
      <c r="H347" s="12"/>
    </row>
    <row r="348" spans="1:9" hidden="1" x14ac:dyDescent="0.2">
      <c r="A348" s="4" t="s">
        <v>1768</v>
      </c>
      <c r="B348" s="21">
        <v>43754</v>
      </c>
      <c r="C348" s="12">
        <v>2</v>
      </c>
      <c r="D348" s="22" t="s">
        <v>214</v>
      </c>
      <c r="E348" s="23">
        <v>43748</v>
      </c>
      <c r="F348" s="24" t="s">
        <v>103</v>
      </c>
      <c r="G348" s="12"/>
      <c r="H348" s="12"/>
    </row>
    <row r="349" spans="1:9" hidden="1" x14ac:dyDescent="0.2">
      <c r="A349" s="4" t="s">
        <v>1768</v>
      </c>
      <c r="B349" s="21">
        <v>43754</v>
      </c>
      <c r="C349" s="12">
        <v>3</v>
      </c>
      <c r="D349" s="22" t="s">
        <v>9</v>
      </c>
      <c r="E349" s="23">
        <v>43748</v>
      </c>
      <c r="F349" s="24" t="s">
        <v>103</v>
      </c>
      <c r="G349" s="12"/>
      <c r="H349" s="12"/>
    </row>
    <row r="350" spans="1:9" hidden="1" x14ac:dyDescent="0.2">
      <c r="A350" s="4" t="s">
        <v>1768</v>
      </c>
      <c r="B350" s="21">
        <v>43754</v>
      </c>
      <c r="C350" s="12">
        <v>4</v>
      </c>
      <c r="D350" s="22" t="s">
        <v>66</v>
      </c>
      <c r="E350" s="23">
        <v>43750</v>
      </c>
      <c r="F350" s="24" t="s">
        <v>103</v>
      </c>
      <c r="G350" s="12"/>
      <c r="H350" s="12"/>
      <c r="I350" s="4" t="s">
        <v>60</v>
      </c>
    </row>
    <row r="351" spans="1:9" hidden="1" x14ac:dyDescent="0.2">
      <c r="A351" s="4" t="s">
        <v>1768</v>
      </c>
      <c r="B351" s="21">
        <v>43754</v>
      </c>
      <c r="C351" s="12">
        <v>5</v>
      </c>
      <c r="D351" s="22" t="s">
        <v>62</v>
      </c>
      <c r="E351" s="23">
        <v>43750</v>
      </c>
      <c r="F351" s="24" t="s">
        <v>103</v>
      </c>
      <c r="G351" s="12"/>
      <c r="H351" s="12"/>
    </row>
    <row r="352" spans="1:9" hidden="1" x14ac:dyDescent="0.2">
      <c r="A352" s="4" t="s">
        <v>1768</v>
      </c>
      <c r="B352" s="21">
        <v>43754</v>
      </c>
      <c r="C352" s="12">
        <v>6</v>
      </c>
      <c r="D352" s="22" t="s">
        <v>215</v>
      </c>
      <c r="E352" s="23">
        <v>43750</v>
      </c>
      <c r="F352" s="24" t="s">
        <v>103</v>
      </c>
      <c r="G352" s="12"/>
      <c r="H352" s="12"/>
    </row>
    <row r="353" spans="1:9" hidden="1" x14ac:dyDescent="0.2">
      <c r="A353" s="4" t="s">
        <v>1768</v>
      </c>
      <c r="B353" s="21">
        <v>43754</v>
      </c>
      <c r="C353" s="12">
        <v>7</v>
      </c>
      <c r="D353" s="22" t="s">
        <v>144</v>
      </c>
      <c r="E353" s="23">
        <v>43752</v>
      </c>
      <c r="F353" s="24" t="s">
        <v>103</v>
      </c>
      <c r="G353" s="12"/>
      <c r="H353" s="12"/>
      <c r="I353" s="4" t="s">
        <v>64</v>
      </c>
    </row>
    <row r="354" spans="1:9" hidden="1" x14ac:dyDescent="0.2">
      <c r="A354" s="4" t="s">
        <v>1768</v>
      </c>
      <c r="B354" s="21">
        <v>43754</v>
      </c>
      <c r="C354" s="12">
        <v>8</v>
      </c>
      <c r="D354" s="22" t="s">
        <v>718</v>
      </c>
      <c r="E354" s="23">
        <v>43752</v>
      </c>
      <c r="F354" s="24" t="s">
        <v>103</v>
      </c>
      <c r="G354" s="12"/>
      <c r="H354" s="12"/>
    </row>
    <row r="355" spans="1:9" hidden="1" x14ac:dyDescent="0.2">
      <c r="A355" s="4" t="s">
        <v>1768</v>
      </c>
      <c r="B355" s="21">
        <v>43754</v>
      </c>
      <c r="C355" s="12">
        <v>9</v>
      </c>
      <c r="D355" s="22" t="s">
        <v>461</v>
      </c>
      <c r="E355" s="23">
        <v>43752</v>
      </c>
      <c r="F355" s="24" t="s">
        <v>103</v>
      </c>
      <c r="G355" s="12"/>
      <c r="H355" s="12"/>
    </row>
    <row r="356" spans="1:9" hidden="1" x14ac:dyDescent="0.2">
      <c r="A356" s="4" t="s">
        <v>1768</v>
      </c>
      <c r="B356" s="21">
        <v>43754</v>
      </c>
      <c r="C356" s="12">
        <v>10</v>
      </c>
      <c r="D356" s="22" t="s">
        <v>707</v>
      </c>
      <c r="E356" s="23">
        <v>43752</v>
      </c>
      <c r="F356" s="24" t="s">
        <v>103</v>
      </c>
      <c r="G356" s="12"/>
      <c r="H356" s="12"/>
      <c r="I356" s="4" t="s">
        <v>69</v>
      </c>
    </row>
    <row r="357" spans="1:9" hidden="1" x14ac:dyDescent="0.2">
      <c r="A357" s="4" t="s">
        <v>1768</v>
      </c>
      <c r="B357" s="21">
        <v>43754</v>
      </c>
      <c r="C357" s="12">
        <v>11</v>
      </c>
      <c r="D357" s="22" t="s">
        <v>91</v>
      </c>
      <c r="E357" s="23">
        <v>43752</v>
      </c>
      <c r="F357" s="24" t="s">
        <v>103</v>
      </c>
      <c r="G357" s="12"/>
      <c r="H357" s="12"/>
    </row>
    <row r="358" spans="1:9" hidden="1" x14ac:dyDescent="0.2">
      <c r="A358" s="4" t="s">
        <v>1768</v>
      </c>
      <c r="B358" s="21">
        <v>43754</v>
      </c>
      <c r="C358" s="12">
        <v>12</v>
      </c>
      <c r="D358" s="22" t="s">
        <v>145</v>
      </c>
      <c r="E358" s="23">
        <v>43752</v>
      </c>
      <c r="F358" s="24" t="s">
        <v>259</v>
      </c>
      <c r="G358" s="12"/>
      <c r="H358" s="12"/>
      <c r="I358" s="4" t="s">
        <v>146</v>
      </c>
    </row>
    <row r="359" spans="1:9" hidden="1" x14ac:dyDescent="0.2">
      <c r="A359" s="4" t="s">
        <v>1768</v>
      </c>
      <c r="B359" s="21">
        <v>43754</v>
      </c>
      <c r="C359" s="12">
        <v>12</v>
      </c>
      <c r="D359" s="22" t="s">
        <v>451</v>
      </c>
      <c r="E359" s="23">
        <v>43752</v>
      </c>
      <c r="F359" s="24" t="s">
        <v>103</v>
      </c>
      <c r="G359" s="12"/>
      <c r="H359" s="12"/>
    </row>
    <row r="360" spans="1:9" hidden="1" x14ac:dyDescent="0.2">
      <c r="A360" s="4" t="s">
        <v>1768</v>
      </c>
      <c r="B360" s="21">
        <v>43754</v>
      </c>
      <c r="C360" s="12">
        <v>12</v>
      </c>
      <c r="D360" s="22" t="s">
        <v>147</v>
      </c>
      <c r="E360" s="23">
        <v>43753</v>
      </c>
      <c r="F360" s="24" t="s">
        <v>103</v>
      </c>
      <c r="G360" s="12"/>
      <c r="H360" s="12"/>
      <c r="I360" s="4" t="s">
        <v>146</v>
      </c>
    </row>
    <row r="361" spans="1:9" hidden="1" x14ac:dyDescent="0.2">
      <c r="A361" s="4" t="s">
        <v>1768</v>
      </c>
      <c r="B361" s="21">
        <v>43754</v>
      </c>
      <c r="C361" s="12">
        <v>12</v>
      </c>
      <c r="D361" s="22" t="s">
        <v>831</v>
      </c>
      <c r="E361" s="23">
        <v>43753</v>
      </c>
      <c r="F361" s="24" t="s">
        <v>103</v>
      </c>
      <c r="G361" s="12"/>
      <c r="H361" s="12"/>
      <c r="I361" s="4" t="s">
        <v>146</v>
      </c>
    </row>
    <row r="362" spans="1:9" hidden="1" x14ac:dyDescent="0.2">
      <c r="A362" s="4" t="s">
        <v>1768</v>
      </c>
      <c r="B362" s="21">
        <v>43754</v>
      </c>
      <c r="C362" s="12">
        <v>12</v>
      </c>
      <c r="D362" s="22" t="s">
        <v>148</v>
      </c>
      <c r="E362" s="23">
        <v>43753</v>
      </c>
      <c r="F362" s="24" t="s">
        <v>103</v>
      </c>
      <c r="G362" s="12"/>
      <c r="H362" s="12"/>
      <c r="I362" s="4" t="s">
        <v>146</v>
      </c>
    </row>
    <row r="363" spans="1:9" hidden="1" x14ac:dyDescent="0.2">
      <c r="A363" s="4" t="s">
        <v>1768</v>
      </c>
      <c r="B363" s="21">
        <v>43754</v>
      </c>
      <c r="C363" s="12">
        <v>17</v>
      </c>
      <c r="D363" s="22" t="s">
        <v>124</v>
      </c>
      <c r="E363" s="23">
        <v>43753</v>
      </c>
      <c r="F363" s="24" t="s">
        <v>103</v>
      </c>
      <c r="G363" s="12"/>
      <c r="H363" s="12"/>
    </row>
    <row r="364" spans="1:9" hidden="1" x14ac:dyDescent="0.2">
      <c r="A364" s="4" t="s">
        <v>1768</v>
      </c>
      <c r="B364" s="21">
        <v>43754</v>
      </c>
      <c r="C364" s="12">
        <v>18</v>
      </c>
      <c r="D364" s="22" t="s">
        <v>126</v>
      </c>
      <c r="E364" s="23">
        <v>43753</v>
      </c>
      <c r="F364" s="24" t="s">
        <v>103</v>
      </c>
      <c r="G364" s="12"/>
      <c r="H364" s="12"/>
    </row>
    <row r="365" spans="1:9" hidden="1" x14ac:dyDescent="0.2">
      <c r="A365" s="4" t="s">
        <v>1768</v>
      </c>
      <c r="B365" s="21">
        <v>43754</v>
      </c>
      <c r="C365" s="12">
        <v>19</v>
      </c>
      <c r="D365" s="22" t="s">
        <v>128</v>
      </c>
      <c r="E365" s="23">
        <v>43754</v>
      </c>
      <c r="F365" s="24" t="s">
        <v>103</v>
      </c>
      <c r="G365" s="12">
        <v>3</v>
      </c>
      <c r="H365" s="12"/>
    </row>
    <row r="366" spans="1:9" hidden="1" x14ac:dyDescent="0.2">
      <c r="A366" s="4" t="s">
        <v>1768</v>
      </c>
      <c r="B366" s="21">
        <v>43754</v>
      </c>
      <c r="C366" s="12">
        <v>20</v>
      </c>
      <c r="D366" s="22" t="s">
        <v>101</v>
      </c>
      <c r="E366" s="23">
        <v>43754</v>
      </c>
      <c r="F366" s="24" t="s">
        <v>103</v>
      </c>
      <c r="G366" s="12"/>
      <c r="H366" s="12"/>
    </row>
    <row r="367" spans="1:9" hidden="1" x14ac:dyDescent="0.2">
      <c r="A367" s="4" t="s">
        <v>1768</v>
      </c>
      <c r="B367" s="21">
        <v>43754</v>
      </c>
      <c r="C367" s="12">
        <v>21</v>
      </c>
      <c r="D367" s="22" t="s">
        <v>313</v>
      </c>
      <c r="E367" s="23">
        <v>43754</v>
      </c>
      <c r="F367" s="24" t="s">
        <v>259</v>
      </c>
      <c r="G367" s="12"/>
      <c r="H367" s="12"/>
    </row>
    <row r="368" spans="1:9" hidden="1" x14ac:dyDescent="0.2">
      <c r="A368" s="4" t="s">
        <v>1768</v>
      </c>
      <c r="B368" s="21">
        <v>43754</v>
      </c>
      <c r="C368" s="12">
        <v>22</v>
      </c>
      <c r="D368" s="22" t="s">
        <v>143</v>
      </c>
      <c r="E368" s="23">
        <v>43755</v>
      </c>
      <c r="F368" s="24" t="s">
        <v>103</v>
      </c>
      <c r="G368" s="12"/>
      <c r="H368" s="12"/>
    </row>
    <row r="369" spans="1:9" hidden="1" x14ac:dyDescent="0.2">
      <c r="A369" s="4" t="s">
        <v>1773</v>
      </c>
      <c r="B369" s="21">
        <v>43754</v>
      </c>
      <c r="C369" s="12">
        <v>1</v>
      </c>
      <c r="D369" s="22" t="s">
        <v>149</v>
      </c>
      <c r="E369" s="23">
        <v>43737</v>
      </c>
      <c r="F369" s="24" t="s">
        <v>1</v>
      </c>
      <c r="G369" s="12"/>
      <c r="H369" s="12"/>
    </row>
    <row r="370" spans="1:9" hidden="1" x14ac:dyDescent="0.2">
      <c r="A370" s="4" t="s">
        <v>1773</v>
      </c>
      <c r="B370" s="21">
        <v>43754</v>
      </c>
      <c r="C370" s="12">
        <v>2</v>
      </c>
      <c r="D370" s="22" t="s">
        <v>187</v>
      </c>
      <c r="E370" s="23">
        <v>43748</v>
      </c>
      <c r="F370" s="24" t="s">
        <v>103</v>
      </c>
      <c r="G370" s="12"/>
      <c r="H370" s="12"/>
    </row>
    <row r="371" spans="1:9" hidden="1" x14ac:dyDescent="0.2">
      <c r="A371" s="4" t="s">
        <v>1773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103</v>
      </c>
      <c r="G371" s="12"/>
      <c r="H371" s="12"/>
    </row>
    <row r="372" spans="1:9" hidden="1" x14ac:dyDescent="0.2">
      <c r="A372" s="4" t="s">
        <v>1773</v>
      </c>
      <c r="B372" s="21">
        <v>43754</v>
      </c>
      <c r="C372" s="12">
        <v>4</v>
      </c>
      <c r="D372" s="22" t="s">
        <v>67</v>
      </c>
      <c r="E372" s="23">
        <v>43749</v>
      </c>
      <c r="F372" s="24" t="s">
        <v>103</v>
      </c>
      <c r="G372" s="12"/>
      <c r="H372" s="12"/>
      <c r="I372" s="4" t="s">
        <v>61</v>
      </c>
    </row>
    <row r="373" spans="1:9" hidden="1" x14ac:dyDescent="0.2">
      <c r="A373" s="4" t="s">
        <v>1773</v>
      </c>
      <c r="B373" s="21">
        <v>43754</v>
      </c>
      <c r="C373" s="12">
        <v>5</v>
      </c>
      <c r="D373" s="22" t="s">
        <v>63</v>
      </c>
      <c r="E373" s="23">
        <v>43749</v>
      </c>
      <c r="F373" s="24" t="s">
        <v>103</v>
      </c>
      <c r="G373" s="12"/>
      <c r="H373" s="12"/>
    </row>
    <row r="374" spans="1:9" hidden="1" x14ac:dyDescent="0.2">
      <c r="A374" s="4" t="s">
        <v>1773</v>
      </c>
      <c r="B374" s="21">
        <v>43754</v>
      </c>
      <c r="C374" s="12">
        <v>6</v>
      </c>
      <c r="D374" s="22" t="s">
        <v>197</v>
      </c>
      <c r="E374" s="23">
        <v>43749</v>
      </c>
      <c r="F374" s="24" t="s">
        <v>103</v>
      </c>
      <c r="G374" s="12"/>
      <c r="H374" s="12"/>
    </row>
    <row r="375" spans="1:9" hidden="1" x14ac:dyDescent="0.2">
      <c r="A375" s="4" t="s">
        <v>1773</v>
      </c>
      <c r="B375" s="21">
        <v>43754</v>
      </c>
      <c r="C375" s="12">
        <v>7</v>
      </c>
      <c r="D375" s="22" t="s">
        <v>100</v>
      </c>
      <c r="E375" s="23">
        <v>43749</v>
      </c>
      <c r="F375" s="24" t="s">
        <v>103</v>
      </c>
      <c r="G375" s="12"/>
      <c r="H375" s="12"/>
      <c r="I375" s="4" t="s">
        <v>65</v>
      </c>
    </row>
    <row r="376" spans="1:9" hidden="1" x14ac:dyDescent="0.2">
      <c r="A376" s="4" t="s">
        <v>1773</v>
      </c>
      <c r="B376" s="21">
        <v>43754</v>
      </c>
      <c r="C376" s="12">
        <v>8</v>
      </c>
      <c r="D376" s="22" t="s">
        <v>433</v>
      </c>
      <c r="E376" s="23">
        <v>43749</v>
      </c>
      <c r="F376" s="24" t="s">
        <v>103</v>
      </c>
      <c r="G376" s="12"/>
      <c r="H376" s="12"/>
    </row>
    <row r="377" spans="1:9" hidden="1" x14ac:dyDescent="0.2">
      <c r="A377" s="4" t="s">
        <v>1773</v>
      </c>
      <c r="B377" s="21">
        <v>43754</v>
      </c>
      <c r="C377" s="12">
        <v>9</v>
      </c>
      <c r="D377" s="22" t="s">
        <v>207</v>
      </c>
      <c r="E377" s="23">
        <v>43750</v>
      </c>
      <c r="F377" s="24" t="s">
        <v>103</v>
      </c>
      <c r="G377" s="12"/>
      <c r="H377" s="12"/>
      <c r="I377" s="4" t="s">
        <v>70</v>
      </c>
    </row>
    <row r="378" spans="1:9" hidden="1" x14ac:dyDescent="0.2">
      <c r="A378" s="4" t="s">
        <v>1773</v>
      </c>
      <c r="B378" s="21">
        <v>43754</v>
      </c>
      <c r="C378" s="12">
        <v>10</v>
      </c>
      <c r="D378" s="22" t="s">
        <v>462</v>
      </c>
      <c r="E378" s="23">
        <v>43739</v>
      </c>
      <c r="F378" s="24" t="s">
        <v>259</v>
      </c>
      <c r="G378" s="12"/>
      <c r="H378" s="12"/>
    </row>
    <row r="379" spans="1:9" hidden="1" x14ac:dyDescent="0.2">
      <c r="A379" s="4" t="s">
        <v>1773</v>
      </c>
      <c r="B379" s="21">
        <v>43754</v>
      </c>
      <c r="C379" s="12">
        <v>11</v>
      </c>
      <c r="D379" s="22" t="s">
        <v>705</v>
      </c>
      <c r="E379" s="23">
        <v>43750</v>
      </c>
      <c r="F379" s="24" t="s">
        <v>103</v>
      </c>
      <c r="G379" s="12"/>
      <c r="H379" s="12"/>
    </row>
    <row r="380" spans="1:9" hidden="1" x14ac:dyDescent="0.2">
      <c r="A380" s="4" t="s">
        <v>1773</v>
      </c>
      <c r="B380" s="21">
        <v>43754</v>
      </c>
      <c r="C380" s="12">
        <v>12</v>
      </c>
      <c r="D380" s="22" t="s">
        <v>706</v>
      </c>
      <c r="E380" s="23">
        <v>43750</v>
      </c>
      <c r="F380" s="24" t="s">
        <v>103</v>
      </c>
      <c r="G380" s="12"/>
      <c r="H380" s="12"/>
      <c r="I380" s="4" t="s">
        <v>141</v>
      </c>
    </row>
    <row r="381" spans="1:9" hidden="1" x14ac:dyDescent="0.2">
      <c r="A381" s="4" t="s">
        <v>1773</v>
      </c>
      <c r="B381" s="21">
        <v>43754</v>
      </c>
      <c r="C381" s="12">
        <v>13</v>
      </c>
      <c r="D381" s="22" t="s">
        <v>140</v>
      </c>
      <c r="E381" s="23">
        <v>43750</v>
      </c>
      <c r="F381" s="24" t="s">
        <v>103</v>
      </c>
      <c r="G381" s="12"/>
      <c r="H381" s="12"/>
      <c r="I381" s="4" t="s">
        <v>141</v>
      </c>
    </row>
    <row r="382" spans="1:9" hidden="1" x14ac:dyDescent="0.2">
      <c r="A382" s="4" t="s">
        <v>1773</v>
      </c>
      <c r="B382" s="21">
        <v>43754</v>
      </c>
      <c r="C382" s="12">
        <v>14</v>
      </c>
      <c r="D382" s="22" t="s">
        <v>138</v>
      </c>
      <c r="E382" s="23">
        <v>43750</v>
      </c>
      <c r="F382" s="24" t="s">
        <v>103</v>
      </c>
      <c r="G382" s="12"/>
      <c r="H382" s="12"/>
      <c r="I382" s="4" t="s">
        <v>141</v>
      </c>
    </row>
    <row r="383" spans="1:9" hidden="1" x14ac:dyDescent="0.2">
      <c r="A383" s="4" t="s">
        <v>1773</v>
      </c>
      <c r="B383" s="21">
        <v>43754</v>
      </c>
      <c r="C383" s="12">
        <v>15</v>
      </c>
      <c r="D383" s="22" t="s">
        <v>449</v>
      </c>
      <c r="E383" s="23">
        <v>43739</v>
      </c>
      <c r="F383" s="24" t="s">
        <v>259</v>
      </c>
      <c r="G383" s="12"/>
      <c r="H383" s="12"/>
    </row>
    <row r="384" spans="1:9" hidden="1" x14ac:dyDescent="0.2">
      <c r="A384" s="4" t="s">
        <v>1773</v>
      </c>
      <c r="B384" s="21">
        <v>43754</v>
      </c>
      <c r="C384" s="12">
        <v>16</v>
      </c>
      <c r="D384" s="22" t="s">
        <v>139</v>
      </c>
      <c r="E384" s="23">
        <v>43751</v>
      </c>
      <c r="F384" s="24" t="s">
        <v>103</v>
      </c>
      <c r="G384" s="12"/>
      <c r="H384" s="12"/>
      <c r="I384" s="4" t="s">
        <v>141</v>
      </c>
    </row>
    <row r="385" spans="1:8" hidden="1" x14ac:dyDescent="0.2">
      <c r="A385" s="4" t="s">
        <v>1773</v>
      </c>
      <c r="B385" s="21">
        <v>43754</v>
      </c>
      <c r="C385" s="12">
        <v>17</v>
      </c>
      <c r="D385" s="22" t="s">
        <v>125</v>
      </c>
      <c r="E385" s="23">
        <v>43751</v>
      </c>
      <c r="F385" s="24" t="s">
        <v>103</v>
      </c>
      <c r="G385" s="12"/>
      <c r="H385" s="12"/>
    </row>
    <row r="386" spans="1:8" hidden="1" x14ac:dyDescent="0.2">
      <c r="A386" s="4" t="s">
        <v>1773</v>
      </c>
      <c r="B386" s="21">
        <v>43754</v>
      </c>
      <c r="C386" s="12">
        <v>18</v>
      </c>
      <c r="D386" s="22" t="s">
        <v>127</v>
      </c>
      <c r="E386" s="23">
        <v>43752</v>
      </c>
      <c r="F386" s="24" t="s">
        <v>1</v>
      </c>
      <c r="G386" s="12"/>
      <c r="H386" s="12"/>
    </row>
    <row r="387" spans="1:8" hidden="1" x14ac:dyDescent="0.2">
      <c r="A387" s="4" t="s">
        <v>1773</v>
      </c>
      <c r="B387" s="21">
        <v>43754</v>
      </c>
      <c r="C387" s="12">
        <v>19</v>
      </c>
      <c r="D387" s="22" t="s">
        <v>129</v>
      </c>
      <c r="E387" s="23">
        <v>43753</v>
      </c>
      <c r="F387" s="24" t="s">
        <v>103</v>
      </c>
      <c r="G387" s="12"/>
      <c r="H387" s="12"/>
    </row>
    <row r="388" spans="1:8" hidden="1" x14ac:dyDescent="0.2">
      <c r="A388" s="4" t="s">
        <v>1773</v>
      </c>
      <c r="B388" s="21">
        <v>43754</v>
      </c>
      <c r="C388" s="12">
        <v>20</v>
      </c>
      <c r="D388" s="22" t="s">
        <v>102</v>
      </c>
      <c r="E388" s="23">
        <v>43751</v>
      </c>
      <c r="F388" s="24" t="s">
        <v>103</v>
      </c>
      <c r="G388" s="12"/>
      <c r="H388" s="12"/>
    </row>
    <row r="389" spans="1:8" hidden="1" x14ac:dyDescent="0.2">
      <c r="A389" s="4" t="s">
        <v>1773</v>
      </c>
      <c r="B389" s="21">
        <v>43754</v>
      </c>
      <c r="C389" s="12">
        <v>21</v>
      </c>
      <c r="D389" s="22" t="s">
        <v>272</v>
      </c>
      <c r="E389" s="23">
        <v>43751</v>
      </c>
      <c r="F389" s="24" t="s">
        <v>103</v>
      </c>
      <c r="G389" s="12"/>
      <c r="H389" s="12"/>
    </row>
    <row r="390" spans="1:8" hidden="1" x14ac:dyDescent="0.2">
      <c r="A390" s="4" t="s">
        <v>1773</v>
      </c>
      <c r="B390" s="21">
        <v>43754</v>
      </c>
      <c r="C390" s="12">
        <v>22</v>
      </c>
      <c r="D390" s="22" t="s">
        <v>82</v>
      </c>
      <c r="E390" s="23">
        <v>43754</v>
      </c>
      <c r="F390" s="24" t="s">
        <v>103</v>
      </c>
      <c r="G390" s="12"/>
      <c r="H390" s="12"/>
    </row>
    <row r="391" spans="1:8" hidden="1" x14ac:dyDescent="0.2">
      <c r="A391" s="4" t="s">
        <v>2005</v>
      </c>
      <c r="B391" s="21">
        <v>43755</v>
      </c>
      <c r="C391" s="12">
        <v>1</v>
      </c>
      <c r="D391" s="22" t="s">
        <v>373</v>
      </c>
      <c r="E391" s="23">
        <v>43713</v>
      </c>
      <c r="F391" s="24" t="s">
        <v>1</v>
      </c>
      <c r="G391" s="12"/>
      <c r="H391" s="12"/>
    </row>
    <row r="392" spans="1:8" hidden="1" x14ac:dyDescent="0.2">
      <c r="A392" s="4" t="s">
        <v>2005</v>
      </c>
      <c r="B392" s="21">
        <v>43755</v>
      </c>
      <c r="C392" s="12">
        <v>2</v>
      </c>
      <c r="D392" s="22" t="s">
        <v>374</v>
      </c>
      <c r="E392" s="23">
        <v>43714</v>
      </c>
      <c r="F392" s="24" t="s">
        <v>1</v>
      </c>
      <c r="G392" s="12"/>
      <c r="H392" s="12"/>
    </row>
    <row r="393" spans="1:8" hidden="1" x14ac:dyDescent="0.2">
      <c r="A393" s="4" t="s">
        <v>2005</v>
      </c>
      <c r="B393" s="21">
        <v>43755</v>
      </c>
      <c r="C393" s="12">
        <v>3</v>
      </c>
      <c r="D393" s="22" t="s">
        <v>375</v>
      </c>
      <c r="E393" s="23">
        <v>43714</v>
      </c>
      <c r="F393" s="24" t="s">
        <v>1</v>
      </c>
      <c r="G393" s="12"/>
      <c r="H393" s="12"/>
    </row>
    <row r="394" spans="1:8" hidden="1" x14ac:dyDescent="0.2">
      <c r="A394" s="4" t="s">
        <v>2005</v>
      </c>
      <c r="B394" s="21">
        <v>43755</v>
      </c>
      <c r="C394" s="12">
        <v>4</v>
      </c>
      <c r="D394" s="22" t="s">
        <v>376</v>
      </c>
      <c r="E394" s="23">
        <v>43714</v>
      </c>
      <c r="F394" s="24" t="s">
        <v>1</v>
      </c>
      <c r="G394" s="12"/>
      <c r="H394" s="12"/>
    </row>
    <row r="395" spans="1:8" hidden="1" x14ac:dyDescent="0.2">
      <c r="A395" s="4" t="s">
        <v>2005</v>
      </c>
      <c r="B395" s="21">
        <v>43755</v>
      </c>
      <c r="C395" s="12">
        <v>5</v>
      </c>
      <c r="D395" s="22" t="s">
        <v>410</v>
      </c>
      <c r="E395" s="23">
        <v>43726</v>
      </c>
      <c r="F395" s="24" t="s">
        <v>259</v>
      </c>
      <c r="G395" s="12"/>
      <c r="H395" s="12"/>
    </row>
    <row r="396" spans="1:8" hidden="1" x14ac:dyDescent="0.2">
      <c r="A396" s="4" t="s">
        <v>2005</v>
      </c>
      <c r="B396" s="21">
        <v>43755</v>
      </c>
      <c r="C396" s="12">
        <v>5</v>
      </c>
      <c r="D396" s="22" t="s">
        <v>407</v>
      </c>
      <c r="E396" s="23">
        <v>43750</v>
      </c>
      <c r="F396" s="24" t="s">
        <v>103</v>
      </c>
      <c r="G396" s="12"/>
      <c r="H396" s="12"/>
    </row>
    <row r="397" spans="1:8" hidden="1" x14ac:dyDescent="0.2">
      <c r="A397" s="4" t="s">
        <v>2005</v>
      </c>
      <c r="B397" s="21">
        <v>43755</v>
      </c>
      <c r="C397" s="12">
        <v>7</v>
      </c>
      <c r="D397" s="22" t="s">
        <v>344</v>
      </c>
      <c r="E397" s="23">
        <v>43750</v>
      </c>
      <c r="F397" s="24" t="s">
        <v>103</v>
      </c>
      <c r="G397" s="12"/>
      <c r="H397" s="12"/>
    </row>
    <row r="398" spans="1:8" hidden="1" x14ac:dyDescent="0.2">
      <c r="A398" s="4" t="s">
        <v>2005</v>
      </c>
      <c r="B398" s="21">
        <v>43755</v>
      </c>
      <c r="C398" s="12">
        <v>8</v>
      </c>
      <c r="D398" s="22" t="s">
        <v>411</v>
      </c>
      <c r="E398" s="23">
        <v>43756</v>
      </c>
      <c r="F398" s="24" t="s">
        <v>103</v>
      </c>
      <c r="G398" s="12"/>
      <c r="H398" s="12"/>
    </row>
    <row r="399" spans="1:8" hidden="1" x14ac:dyDescent="0.2">
      <c r="A399" s="4" t="s">
        <v>2005</v>
      </c>
      <c r="B399" s="21">
        <v>43755</v>
      </c>
      <c r="C399" s="12">
        <v>9</v>
      </c>
      <c r="D399" s="22" t="s">
        <v>345</v>
      </c>
      <c r="E399" s="23">
        <v>43750</v>
      </c>
      <c r="F399" s="24" t="s">
        <v>103</v>
      </c>
      <c r="G399" s="12"/>
      <c r="H399" s="12"/>
    </row>
    <row r="400" spans="1:8" hidden="1" x14ac:dyDescent="0.2">
      <c r="A400" s="4" t="s">
        <v>2005</v>
      </c>
      <c r="B400" s="21">
        <v>43755</v>
      </c>
      <c r="C400" s="12">
        <v>10</v>
      </c>
      <c r="D400" s="22" t="s">
        <v>413</v>
      </c>
      <c r="E400" s="23">
        <v>43750</v>
      </c>
      <c r="F400" s="24" t="s">
        <v>103</v>
      </c>
      <c r="G400" s="12"/>
      <c r="H400" s="12"/>
    </row>
    <row r="401" spans="1:8" hidden="1" x14ac:dyDescent="0.2">
      <c r="A401" s="4" t="s">
        <v>2005</v>
      </c>
      <c r="B401" s="21">
        <v>43755</v>
      </c>
      <c r="C401" s="12">
        <v>11</v>
      </c>
      <c r="D401" s="22" t="s">
        <v>412</v>
      </c>
      <c r="E401" s="23">
        <v>43750</v>
      </c>
      <c r="F401" s="24" t="s">
        <v>103</v>
      </c>
      <c r="G401" s="12"/>
      <c r="H401" s="12"/>
    </row>
    <row r="402" spans="1:8" hidden="1" x14ac:dyDescent="0.2">
      <c r="A402" s="4" t="s">
        <v>2005</v>
      </c>
      <c r="B402" s="21">
        <v>43755</v>
      </c>
      <c r="C402" s="12">
        <v>12</v>
      </c>
      <c r="D402" s="22" t="s">
        <v>397</v>
      </c>
      <c r="E402" s="23">
        <v>43750</v>
      </c>
      <c r="F402" s="24" t="s">
        <v>103</v>
      </c>
      <c r="G402" s="12"/>
      <c r="H402" s="12"/>
    </row>
    <row r="403" spans="1:8" hidden="1" x14ac:dyDescent="0.2">
      <c r="A403" s="4" t="s">
        <v>2005</v>
      </c>
      <c r="B403" s="21">
        <v>43755</v>
      </c>
      <c r="C403" s="12">
        <v>13</v>
      </c>
      <c r="D403" s="22" t="s">
        <v>398</v>
      </c>
      <c r="E403" s="23">
        <v>43750</v>
      </c>
      <c r="F403" s="24" t="s">
        <v>103</v>
      </c>
      <c r="G403" s="12"/>
      <c r="H403" s="12"/>
    </row>
    <row r="404" spans="1:8" hidden="1" x14ac:dyDescent="0.2">
      <c r="A404" s="4" t="s">
        <v>2005</v>
      </c>
      <c r="B404" s="21">
        <v>43755</v>
      </c>
      <c r="C404" s="12">
        <v>14</v>
      </c>
      <c r="D404" s="22" t="s">
        <v>399</v>
      </c>
      <c r="E404" s="23">
        <v>43750</v>
      </c>
      <c r="F404" s="24" t="s">
        <v>103</v>
      </c>
      <c r="G404" s="12"/>
      <c r="H404" s="12"/>
    </row>
    <row r="405" spans="1:8" hidden="1" x14ac:dyDescent="0.2">
      <c r="A405" s="4" t="s">
        <v>2005</v>
      </c>
      <c r="B405" s="21">
        <v>43755</v>
      </c>
      <c r="C405" s="12">
        <v>15</v>
      </c>
      <c r="D405" s="22" t="s">
        <v>400</v>
      </c>
      <c r="E405" s="23">
        <v>43750</v>
      </c>
      <c r="F405" s="24" t="s">
        <v>103</v>
      </c>
      <c r="G405" s="12"/>
      <c r="H405" s="12"/>
    </row>
    <row r="406" spans="1:8" hidden="1" x14ac:dyDescent="0.2">
      <c r="A406" s="4" t="s">
        <v>2005</v>
      </c>
      <c r="B406" s="21">
        <v>43755</v>
      </c>
      <c r="C406" s="12">
        <v>16</v>
      </c>
      <c r="D406" s="22" t="s">
        <v>401</v>
      </c>
      <c r="E406" s="23">
        <v>43750</v>
      </c>
      <c r="F406" s="24" t="s">
        <v>103</v>
      </c>
      <c r="G406" s="12"/>
      <c r="H406" s="12"/>
    </row>
    <row r="407" spans="1:8" hidden="1" x14ac:dyDescent="0.2">
      <c r="A407" s="4" t="s">
        <v>2005</v>
      </c>
      <c r="B407" s="21">
        <v>43755</v>
      </c>
      <c r="C407" s="12">
        <v>17</v>
      </c>
      <c r="D407" s="22" t="s">
        <v>402</v>
      </c>
      <c r="E407" s="23">
        <v>43750</v>
      </c>
      <c r="F407" s="24" t="s">
        <v>103</v>
      </c>
      <c r="G407" s="12"/>
      <c r="H407" s="12"/>
    </row>
    <row r="408" spans="1:8" hidden="1" x14ac:dyDescent="0.2">
      <c r="A408" s="4" t="s">
        <v>2005</v>
      </c>
      <c r="B408" s="21">
        <v>43755</v>
      </c>
      <c r="C408" s="12">
        <v>18</v>
      </c>
      <c r="D408" s="22" t="s">
        <v>123</v>
      </c>
      <c r="E408" s="23">
        <v>43751</v>
      </c>
      <c r="F408" s="24" t="s">
        <v>103</v>
      </c>
      <c r="G408" s="12"/>
      <c r="H408" s="12"/>
    </row>
    <row r="409" spans="1:8" hidden="1" x14ac:dyDescent="0.2">
      <c r="A409" s="4" t="s">
        <v>2005</v>
      </c>
      <c r="B409" s="21">
        <v>43755</v>
      </c>
      <c r="C409" s="12">
        <v>19</v>
      </c>
      <c r="D409" s="22" t="s">
        <v>948</v>
      </c>
      <c r="E409" s="23">
        <v>43756</v>
      </c>
      <c r="F409" s="24" t="s">
        <v>103</v>
      </c>
      <c r="G409" s="12"/>
      <c r="H409" s="12"/>
    </row>
    <row r="410" spans="1:8" hidden="1" x14ac:dyDescent="0.2">
      <c r="A410" s="4" t="s">
        <v>2005</v>
      </c>
      <c r="B410" s="21">
        <v>43755</v>
      </c>
      <c r="C410" s="12">
        <v>24</v>
      </c>
      <c r="D410" s="22" t="s">
        <v>771</v>
      </c>
      <c r="E410" s="23">
        <v>43761</v>
      </c>
      <c r="F410" s="24" t="s">
        <v>103</v>
      </c>
      <c r="G410" s="12"/>
      <c r="H410" s="12"/>
    </row>
    <row r="411" spans="1:8" hidden="1" x14ac:dyDescent="0.2">
      <c r="A411" s="4" t="s">
        <v>1761</v>
      </c>
      <c r="B411" s="21">
        <v>43755</v>
      </c>
      <c r="C411" s="12">
        <v>1</v>
      </c>
      <c r="D411" s="22" t="s">
        <v>235</v>
      </c>
      <c r="E411" s="23">
        <v>43746</v>
      </c>
      <c r="F411" s="24" t="s">
        <v>708</v>
      </c>
      <c r="G411" s="12"/>
      <c r="H411" s="12"/>
    </row>
    <row r="412" spans="1:8" hidden="1" x14ac:dyDescent="0.2">
      <c r="A412" s="4" t="s">
        <v>1761</v>
      </c>
      <c r="B412" s="21">
        <v>43755</v>
      </c>
      <c r="C412" s="12">
        <v>2</v>
      </c>
      <c r="D412" s="22" t="s">
        <v>524</v>
      </c>
      <c r="E412" s="23">
        <v>43748</v>
      </c>
      <c r="F412" s="24" t="s">
        <v>103</v>
      </c>
      <c r="G412" s="12"/>
      <c r="H412" s="12"/>
    </row>
    <row r="413" spans="1:8" hidden="1" x14ac:dyDescent="0.2">
      <c r="A413" s="4" t="s">
        <v>1761</v>
      </c>
      <c r="B413" s="21">
        <v>43755</v>
      </c>
      <c r="C413" s="12">
        <v>3</v>
      </c>
      <c r="D413" s="22" t="s">
        <v>743</v>
      </c>
      <c r="E413" s="23">
        <v>43750</v>
      </c>
      <c r="F413" s="24" t="s">
        <v>103</v>
      </c>
      <c r="G413" s="12"/>
      <c r="H413" s="12"/>
    </row>
    <row r="414" spans="1:8" hidden="1" x14ac:dyDescent="0.2">
      <c r="A414" s="4" t="s">
        <v>1761</v>
      </c>
      <c r="B414" s="21">
        <v>43755</v>
      </c>
      <c r="C414" s="12">
        <v>4</v>
      </c>
      <c r="D414" s="22" t="s">
        <v>853</v>
      </c>
      <c r="E414" s="23">
        <v>43752</v>
      </c>
      <c r="F414" s="24" t="s">
        <v>1</v>
      </c>
      <c r="G414" s="12"/>
      <c r="H414" s="12"/>
    </row>
    <row r="415" spans="1:8" hidden="1" x14ac:dyDescent="0.2">
      <c r="A415" s="4" t="s">
        <v>1761</v>
      </c>
      <c r="B415" s="21">
        <v>43755</v>
      </c>
      <c r="C415" s="12">
        <v>5</v>
      </c>
      <c r="D415" s="22" t="s">
        <v>856</v>
      </c>
      <c r="E415" s="23">
        <v>43752</v>
      </c>
      <c r="F415" s="24" t="s">
        <v>103</v>
      </c>
      <c r="G415" s="12"/>
      <c r="H415" s="12"/>
    </row>
    <row r="416" spans="1:8" hidden="1" x14ac:dyDescent="0.2">
      <c r="A416" s="4" t="s">
        <v>1761</v>
      </c>
      <c r="B416" s="21">
        <v>43755</v>
      </c>
      <c r="C416" s="12">
        <v>6</v>
      </c>
      <c r="D416" s="22" t="s">
        <v>586</v>
      </c>
      <c r="E416" s="23">
        <v>43750</v>
      </c>
      <c r="F416" s="24" t="s">
        <v>103</v>
      </c>
      <c r="G416" s="12"/>
      <c r="H416" s="12"/>
    </row>
    <row r="417" spans="1:9" hidden="1" x14ac:dyDescent="0.2">
      <c r="A417" s="4" t="s">
        <v>1761</v>
      </c>
      <c r="B417" s="21">
        <v>43755</v>
      </c>
      <c r="C417" s="12">
        <v>7</v>
      </c>
      <c r="D417" s="22" t="s">
        <v>906</v>
      </c>
      <c r="E417" s="23">
        <v>43754</v>
      </c>
      <c r="F417" s="24" t="s">
        <v>1</v>
      </c>
      <c r="G417" s="12"/>
      <c r="H417" s="12"/>
    </row>
    <row r="418" spans="1:9" hidden="1" x14ac:dyDescent="0.2">
      <c r="A418" s="4" t="s">
        <v>1761</v>
      </c>
      <c r="B418" s="21">
        <v>43755</v>
      </c>
      <c r="C418" s="12">
        <v>8</v>
      </c>
      <c r="D418" s="22" t="s">
        <v>902</v>
      </c>
      <c r="E418" s="23">
        <v>43754</v>
      </c>
      <c r="F418" s="24" t="s">
        <v>103</v>
      </c>
      <c r="G418" s="12"/>
      <c r="H418" s="12"/>
    </row>
    <row r="419" spans="1:9" hidden="1" x14ac:dyDescent="0.2">
      <c r="A419" s="4" t="s">
        <v>1761</v>
      </c>
      <c r="B419" s="21">
        <v>43755</v>
      </c>
      <c r="C419" s="12">
        <v>9</v>
      </c>
      <c r="D419" s="22" t="s">
        <v>924</v>
      </c>
      <c r="E419" s="23">
        <v>43755</v>
      </c>
      <c r="F419" s="24" t="s">
        <v>103</v>
      </c>
      <c r="G419" s="12"/>
      <c r="H419" s="12"/>
    </row>
    <row r="420" spans="1:9" hidden="1" x14ac:dyDescent="0.2">
      <c r="A420" s="4" t="s">
        <v>1761</v>
      </c>
      <c r="B420" s="21">
        <v>43755</v>
      </c>
      <c r="C420" s="12">
        <v>10</v>
      </c>
      <c r="D420" s="22" t="s">
        <v>131</v>
      </c>
      <c r="E420" s="23">
        <v>43755</v>
      </c>
      <c r="F420" s="24" t="s">
        <v>103</v>
      </c>
      <c r="G420" s="12"/>
      <c r="H420" s="12"/>
    </row>
    <row r="421" spans="1:9" hidden="1" x14ac:dyDescent="0.2">
      <c r="A421" s="4" t="s">
        <v>1761</v>
      </c>
      <c r="B421" s="21">
        <v>43755</v>
      </c>
      <c r="C421" s="12">
        <v>11</v>
      </c>
      <c r="D421" s="22" t="s">
        <v>1028</v>
      </c>
      <c r="E421" s="23">
        <v>43759</v>
      </c>
      <c r="F421" s="24" t="s">
        <v>103</v>
      </c>
      <c r="G421" s="12"/>
      <c r="H421" s="12"/>
    </row>
    <row r="422" spans="1:9" hidden="1" x14ac:dyDescent="0.2">
      <c r="A422" s="4" t="s">
        <v>1761</v>
      </c>
      <c r="B422" s="21">
        <v>43755</v>
      </c>
      <c r="C422" s="12">
        <v>12</v>
      </c>
      <c r="D422" s="22" t="s">
        <v>1069</v>
      </c>
      <c r="E422" s="23">
        <v>43762</v>
      </c>
      <c r="F422" s="24" t="s">
        <v>103</v>
      </c>
      <c r="G422" s="12"/>
      <c r="H422" s="12"/>
    </row>
    <row r="423" spans="1:9" hidden="1" x14ac:dyDescent="0.2">
      <c r="A423" s="4" t="s">
        <v>1998</v>
      </c>
      <c r="B423" s="21">
        <v>43756</v>
      </c>
      <c r="C423" s="12">
        <v>1</v>
      </c>
      <c r="D423" s="22" t="s">
        <v>920</v>
      </c>
      <c r="E423" s="23">
        <v>43754</v>
      </c>
      <c r="F423" s="24" t="s">
        <v>103</v>
      </c>
      <c r="G423" s="12"/>
      <c r="H423" s="12"/>
    </row>
    <row r="424" spans="1:9" hidden="1" x14ac:dyDescent="0.2">
      <c r="A424" s="4" t="s">
        <v>1998</v>
      </c>
      <c r="B424" s="21">
        <v>43756</v>
      </c>
      <c r="C424" s="12">
        <v>2</v>
      </c>
      <c r="D424" s="22" t="s">
        <v>882</v>
      </c>
      <c r="E424" s="23">
        <v>43755</v>
      </c>
      <c r="F424" s="24" t="s">
        <v>103</v>
      </c>
      <c r="G424" s="12"/>
      <c r="H424" s="12"/>
    </row>
    <row r="425" spans="1:9" hidden="1" x14ac:dyDescent="0.2">
      <c r="A425" s="4" t="s">
        <v>1998</v>
      </c>
      <c r="B425" s="21">
        <v>43756</v>
      </c>
      <c r="C425" s="12">
        <v>3</v>
      </c>
      <c r="D425" s="22" t="s">
        <v>917</v>
      </c>
      <c r="E425" s="23">
        <v>43759</v>
      </c>
      <c r="F425" s="24" t="s">
        <v>103</v>
      </c>
      <c r="G425" s="12"/>
      <c r="H425" s="12"/>
    </row>
    <row r="426" spans="1:9" hidden="1" x14ac:dyDescent="0.2">
      <c r="A426" s="4" t="s">
        <v>1998</v>
      </c>
      <c r="B426" s="21">
        <v>43756</v>
      </c>
      <c r="C426" s="12">
        <v>4</v>
      </c>
      <c r="D426" s="22" t="s">
        <v>985</v>
      </c>
      <c r="E426" s="23">
        <v>43759</v>
      </c>
      <c r="F426" s="24" t="s">
        <v>259</v>
      </c>
      <c r="G426" s="12"/>
      <c r="H426" s="12"/>
    </row>
    <row r="427" spans="1:9" hidden="1" x14ac:dyDescent="0.2">
      <c r="A427" s="4" t="s">
        <v>1998</v>
      </c>
      <c r="B427" s="21">
        <v>43756</v>
      </c>
      <c r="C427" s="12">
        <v>5</v>
      </c>
      <c r="D427" s="22" t="s">
        <v>879</v>
      </c>
      <c r="E427" s="23">
        <v>43759</v>
      </c>
      <c r="F427" s="24" t="s">
        <v>103</v>
      </c>
      <c r="G427" s="12"/>
      <c r="H427" s="12"/>
    </row>
    <row r="428" spans="1:9" hidden="1" x14ac:dyDescent="0.2">
      <c r="A428" s="4" t="s">
        <v>2009</v>
      </c>
      <c r="B428" s="21">
        <v>43756</v>
      </c>
      <c r="C428" s="12">
        <v>1</v>
      </c>
      <c r="D428" s="22" t="s">
        <v>227</v>
      </c>
      <c r="E428" s="23">
        <v>43747</v>
      </c>
      <c r="F428" s="24" t="s">
        <v>715</v>
      </c>
      <c r="G428" s="12"/>
      <c r="H428" s="12"/>
      <c r="I428" s="4" t="s">
        <v>11</v>
      </c>
    </row>
    <row r="429" spans="1:9" hidden="1" x14ac:dyDescent="0.2">
      <c r="A429" s="4" t="s">
        <v>2009</v>
      </c>
      <c r="B429" s="21">
        <v>43756</v>
      </c>
      <c r="C429" s="12">
        <v>6</v>
      </c>
      <c r="D429" s="22" t="s">
        <v>271</v>
      </c>
      <c r="E429" s="23">
        <v>43748</v>
      </c>
      <c r="F429" s="24" t="s">
        <v>715</v>
      </c>
      <c r="G429" s="12"/>
      <c r="H429" s="12"/>
    </row>
    <row r="430" spans="1:9" hidden="1" x14ac:dyDescent="0.2">
      <c r="A430" s="4" t="s">
        <v>2009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715</v>
      </c>
      <c r="G430" s="12"/>
      <c r="H430" s="12"/>
    </row>
    <row r="431" spans="1:9" hidden="1" x14ac:dyDescent="0.2">
      <c r="A431" s="4" t="s">
        <v>2009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715</v>
      </c>
      <c r="G431" s="12"/>
      <c r="H431" s="12"/>
    </row>
    <row r="432" spans="1:9" hidden="1" x14ac:dyDescent="0.2">
      <c r="A432" s="4" t="s">
        <v>2009</v>
      </c>
      <c r="B432" s="21">
        <v>43756</v>
      </c>
      <c r="C432" s="12">
        <v>9</v>
      </c>
      <c r="D432" s="22" t="s">
        <v>334</v>
      </c>
      <c r="E432" s="23">
        <v>43748</v>
      </c>
      <c r="F432" s="24" t="s">
        <v>715</v>
      </c>
      <c r="G432" s="12"/>
      <c r="H432" s="12"/>
    </row>
    <row r="433" spans="1:9" hidden="1" x14ac:dyDescent="0.2">
      <c r="A433" s="4" t="s">
        <v>2009</v>
      </c>
      <c r="B433" s="21">
        <v>43756</v>
      </c>
      <c r="C433" s="12">
        <v>10</v>
      </c>
      <c r="D433" s="22" t="s">
        <v>335</v>
      </c>
      <c r="E433" s="23">
        <v>43748</v>
      </c>
      <c r="F433" s="24" t="s">
        <v>103</v>
      </c>
      <c r="G433" s="12"/>
      <c r="H433" s="12"/>
      <c r="I433" s="4" t="s">
        <v>13</v>
      </c>
    </row>
    <row r="434" spans="1:9" hidden="1" x14ac:dyDescent="0.2">
      <c r="A434" s="4" t="s">
        <v>2009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103</v>
      </c>
      <c r="G434" s="12"/>
      <c r="H434" s="12"/>
    </row>
    <row r="435" spans="1:9" hidden="1" x14ac:dyDescent="0.2">
      <c r="A435" s="4" t="s">
        <v>2009</v>
      </c>
      <c r="B435" s="21">
        <v>43756</v>
      </c>
      <c r="C435" s="12">
        <v>12</v>
      </c>
      <c r="D435" s="22" t="s">
        <v>228</v>
      </c>
      <c r="E435" s="23">
        <v>43752</v>
      </c>
      <c r="F435" s="24" t="s">
        <v>103</v>
      </c>
      <c r="G435" s="12"/>
      <c r="H435" s="12"/>
      <c r="I435" s="4" t="s">
        <v>15</v>
      </c>
    </row>
    <row r="436" spans="1:9" hidden="1" x14ac:dyDescent="0.2">
      <c r="A436" s="4" t="s">
        <v>2009</v>
      </c>
      <c r="B436" s="21">
        <v>43756</v>
      </c>
      <c r="C436" s="12">
        <v>13</v>
      </c>
      <c r="D436" s="22" t="s">
        <v>347</v>
      </c>
      <c r="E436" s="23">
        <v>43752</v>
      </c>
      <c r="F436" s="24" t="s">
        <v>103</v>
      </c>
      <c r="G436" s="12"/>
      <c r="H436" s="12"/>
    </row>
    <row r="437" spans="1:9" hidden="1" x14ac:dyDescent="0.2">
      <c r="A437" s="4" t="s">
        <v>2009</v>
      </c>
      <c r="B437" s="21">
        <v>43756</v>
      </c>
      <c r="C437" s="12">
        <v>14</v>
      </c>
      <c r="D437" s="22" t="s">
        <v>336</v>
      </c>
      <c r="E437" s="23">
        <v>43752</v>
      </c>
      <c r="F437" s="24" t="s">
        <v>103</v>
      </c>
      <c r="G437" s="12"/>
      <c r="H437" s="12"/>
    </row>
    <row r="438" spans="1:9" hidden="1" x14ac:dyDescent="0.2">
      <c r="A438" s="4" t="s">
        <v>2009</v>
      </c>
      <c r="B438" s="21">
        <v>43756</v>
      </c>
      <c r="C438" s="12">
        <v>15</v>
      </c>
      <c r="D438" s="22" t="s">
        <v>349</v>
      </c>
      <c r="E438" s="23">
        <v>43752</v>
      </c>
      <c r="F438" s="24" t="s">
        <v>103</v>
      </c>
      <c r="G438" s="12"/>
      <c r="H438" s="12"/>
    </row>
    <row r="439" spans="1:9" hidden="1" x14ac:dyDescent="0.2">
      <c r="A439" s="4" t="s">
        <v>2009</v>
      </c>
      <c r="B439" s="21">
        <v>43756</v>
      </c>
      <c r="C439" s="12">
        <v>16</v>
      </c>
      <c r="D439" s="22" t="s">
        <v>351</v>
      </c>
      <c r="E439" s="23">
        <v>43752</v>
      </c>
      <c r="F439" s="24" t="s">
        <v>103</v>
      </c>
      <c r="G439" s="12"/>
      <c r="H439" s="12"/>
    </row>
    <row r="440" spans="1:9" hidden="1" x14ac:dyDescent="0.2">
      <c r="A440" s="4" t="s">
        <v>2009</v>
      </c>
      <c r="B440" s="21">
        <v>43756</v>
      </c>
      <c r="C440" s="12">
        <v>17</v>
      </c>
      <c r="D440" s="22" t="s">
        <v>353</v>
      </c>
      <c r="E440" s="23">
        <v>43752</v>
      </c>
      <c r="F440" s="24" t="s">
        <v>103</v>
      </c>
      <c r="G440" s="12"/>
      <c r="H440" s="12"/>
    </row>
    <row r="441" spans="1:9" hidden="1" x14ac:dyDescent="0.2">
      <c r="A441" s="4" t="s">
        <v>2009</v>
      </c>
      <c r="B441" s="21">
        <v>43756</v>
      </c>
      <c r="C441" s="12">
        <v>18</v>
      </c>
      <c r="D441" s="22" t="s">
        <v>355</v>
      </c>
      <c r="E441" s="23">
        <v>43752</v>
      </c>
      <c r="F441" s="24" t="s">
        <v>103</v>
      </c>
      <c r="G441" s="12"/>
      <c r="H441" s="12"/>
    </row>
    <row r="442" spans="1:9" hidden="1" x14ac:dyDescent="0.2">
      <c r="A442" s="4" t="s">
        <v>2009</v>
      </c>
      <c r="B442" s="21">
        <v>43756</v>
      </c>
      <c r="C442" s="12">
        <v>19</v>
      </c>
      <c r="D442" s="22" t="s">
        <v>357</v>
      </c>
      <c r="E442" s="23">
        <v>43752</v>
      </c>
      <c r="F442" s="24" t="s">
        <v>103</v>
      </c>
      <c r="G442" s="12"/>
      <c r="H442" s="12"/>
    </row>
    <row r="443" spans="1:9" hidden="1" x14ac:dyDescent="0.2">
      <c r="A443" s="4" t="s">
        <v>2009</v>
      </c>
      <c r="B443" s="21">
        <v>43756</v>
      </c>
      <c r="C443" s="12">
        <v>20</v>
      </c>
      <c r="D443" s="22" t="s">
        <v>229</v>
      </c>
      <c r="E443" s="23">
        <v>43753</v>
      </c>
      <c r="F443" s="24" t="s">
        <v>103</v>
      </c>
      <c r="G443" s="12"/>
      <c r="H443" s="12"/>
      <c r="I443" s="4" t="s">
        <v>17</v>
      </c>
    </row>
    <row r="444" spans="1:9" hidden="1" x14ac:dyDescent="0.2">
      <c r="A444" s="4" t="s">
        <v>2009</v>
      </c>
      <c r="B444" s="21">
        <v>43756</v>
      </c>
      <c r="C444" s="12">
        <v>21</v>
      </c>
      <c r="D444" s="22" t="s">
        <v>359</v>
      </c>
      <c r="E444" s="23">
        <v>43753</v>
      </c>
      <c r="F444" s="24" t="s">
        <v>259</v>
      </c>
      <c r="G444" s="12"/>
      <c r="H444" s="12"/>
    </row>
    <row r="445" spans="1:9" hidden="1" x14ac:dyDescent="0.2">
      <c r="A445" s="4" t="s">
        <v>2009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103</v>
      </c>
      <c r="G445" s="12"/>
      <c r="H445" s="12"/>
    </row>
    <row r="446" spans="1:9" hidden="1" x14ac:dyDescent="0.2">
      <c r="A446" s="4" t="s">
        <v>2009</v>
      </c>
      <c r="B446" s="21">
        <v>43756</v>
      </c>
      <c r="C446" s="12">
        <v>23</v>
      </c>
      <c r="D446" s="22" t="s">
        <v>230</v>
      </c>
      <c r="E446" s="23">
        <v>43753</v>
      </c>
      <c r="F446" s="24" t="s">
        <v>103</v>
      </c>
      <c r="G446" s="12"/>
      <c r="H446" s="12"/>
      <c r="I446" s="4" t="s">
        <v>20</v>
      </c>
    </row>
    <row r="447" spans="1:9" hidden="1" x14ac:dyDescent="0.2">
      <c r="A447" s="4" t="s">
        <v>2009</v>
      </c>
      <c r="B447" s="21">
        <v>43756</v>
      </c>
      <c r="C447" s="12">
        <v>24</v>
      </c>
      <c r="D447" s="22" t="s">
        <v>95</v>
      </c>
      <c r="E447" s="23">
        <v>43753</v>
      </c>
      <c r="F447" s="24" t="s">
        <v>103</v>
      </c>
      <c r="G447" s="12"/>
      <c r="H447" s="12"/>
      <c r="I447" s="4" t="s">
        <v>83</v>
      </c>
    </row>
    <row r="448" spans="1:9" hidden="1" x14ac:dyDescent="0.2">
      <c r="A448" s="4" t="s">
        <v>2009</v>
      </c>
      <c r="B448" s="21">
        <v>43756</v>
      </c>
      <c r="C448" s="12">
        <v>25</v>
      </c>
      <c r="D448" s="22" t="s">
        <v>231</v>
      </c>
      <c r="E448" s="23">
        <v>43753</v>
      </c>
      <c r="F448" s="24" t="s">
        <v>103</v>
      </c>
      <c r="G448" s="12"/>
      <c r="H448" s="12"/>
    </row>
    <row r="449" spans="1:9" hidden="1" x14ac:dyDescent="0.2">
      <c r="A449" s="4" t="s">
        <v>2009</v>
      </c>
      <c r="B449" s="21">
        <v>43756</v>
      </c>
      <c r="C449" s="12">
        <v>26</v>
      </c>
      <c r="D449" s="22" t="s">
        <v>442</v>
      </c>
      <c r="E449" s="23">
        <v>43753</v>
      </c>
      <c r="F449" s="24" t="s">
        <v>103</v>
      </c>
      <c r="G449" s="12"/>
      <c r="H449" s="12"/>
    </row>
    <row r="450" spans="1:9" hidden="1" x14ac:dyDescent="0.2">
      <c r="A450" s="4" t="s">
        <v>2009</v>
      </c>
      <c r="B450" s="21">
        <v>43756</v>
      </c>
      <c r="C450" s="12">
        <v>27</v>
      </c>
      <c r="D450" s="22" t="s">
        <v>381</v>
      </c>
      <c r="E450" s="23">
        <v>43753</v>
      </c>
      <c r="F450" s="24" t="s">
        <v>103</v>
      </c>
      <c r="G450" s="12"/>
      <c r="H450" s="12"/>
    </row>
    <row r="451" spans="1:9" hidden="1" x14ac:dyDescent="0.2">
      <c r="A451" s="4" t="s">
        <v>2009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103</v>
      </c>
      <c r="G451" s="12"/>
      <c r="H451" s="12"/>
    </row>
    <row r="452" spans="1:9" hidden="1" x14ac:dyDescent="0.2">
      <c r="A452" s="4" t="s">
        <v>2009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103</v>
      </c>
      <c r="G452" s="12"/>
      <c r="H452" s="12"/>
    </row>
    <row r="453" spans="1:9" hidden="1" x14ac:dyDescent="0.2">
      <c r="A453" s="4" t="s">
        <v>2009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864</v>
      </c>
      <c r="G453" s="12"/>
      <c r="H453" s="12"/>
      <c r="I453" s="4" t="s">
        <v>20</v>
      </c>
    </row>
    <row r="454" spans="1:9" hidden="1" x14ac:dyDescent="0.2">
      <c r="A454" s="4" t="s">
        <v>2009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864</v>
      </c>
      <c r="G454" s="12"/>
      <c r="H454" s="12"/>
    </row>
    <row r="455" spans="1:9" hidden="1" x14ac:dyDescent="0.2">
      <c r="A455" s="4" t="s">
        <v>2009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864</v>
      </c>
      <c r="G455" s="12"/>
      <c r="H455" s="12"/>
      <c r="I455" s="4" t="s">
        <v>31</v>
      </c>
    </row>
    <row r="456" spans="1:9" hidden="1" x14ac:dyDescent="0.2">
      <c r="A456" s="4" t="s">
        <v>2009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864</v>
      </c>
      <c r="G456" s="12"/>
      <c r="H456" s="12"/>
    </row>
    <row r="457" spans="1:9" hidden="1" x14ac:dyDescent="0.2">
      <c r="A457" s="4" t="s">
        <v>2009</v>
      </c>
      <c r="B457" s="21">
        <v>43756</v>
      </c>
      <c r="C457" s="12">
        <v>35</v>
      </c>
      <c r="D457" s="22" t="s">
        <v>443</v>
      </c>
      <c r="E457" s="23">
        <v>43753</v>
      </c>
      <c r="F457" s="24" t="s">
        <v>103</v>
      </c>
      <c r="G457" s="12"/>
      <c r="H457" s="12"/>
      <c r="I457" s="4" t="s">
        <v>13</v>
      </c>
    </row>
    <row r="458" spans="1:9" hidden="1" x14ac:dyDescent="0.2">
      <c r="A458" s="4" t="s">
        <v>2009</v>
      </c>
      <c r="B458" s="21">
        <v>43756</v>
      </c>
      <c r="C458" s="12">
        <v>36</v>
      </c>
      <c r="D458" s="22" t="s">
        <v>232</v>
      </c>
      <c r="E458" s="23">
        <v>43753</v>
      </c>
      <c r="F458" s="24" t="s">
        <v>103</v>
      </c>
      <c r="G458" s="12"/>
      <c r="H458" s="12"/>
      <c r="I458" s="4" t="s">
        <v>20</v>
      </c>
    </row>
    <row r="459" spans="1:9" hidden="1" x14ac:dyDescent="0.2">
      <c r="A459" s="4" t="s">
        <v>2009</v>
      </c>
      <c r="B459" s="21">
        <v>43756</v>
      </c>
      <c r="C459" s="12">
        <v>37</v>
      </c>
      <c r="D459" s="22" t="s">
        <v>444</v>
      </c>
      <c r="E459" s="23">
        <v>43753</v>
      </c>
      <c r="F459" s="24" t="s">
        <v>103</v>
      </c>
      <c r="G459" s="12"/>
      <c r="H459" s="12"/>
    </row>
    <row r="460" spans="1:9" hidden="1" x14ac:dyDescent="0.2">
      <c r="A460" s="4" t="s">
        <v>2009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103</v>
      </c>
      <c r="G460" s="12"/>
      <c r="H460" s="12"/>
      <c r="I460" s="4" t="s">
        <v>37</v>
      </c>
    </row>
    <row r="461" spans="1:9" hidden="1" x14ac:dyDescent="0.2">
      <c r="A461" s="4" t="s">
        <v>2009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103</v>
      </c>
      <c r="G461" s="12"/>
      <c r="H461" s="12"/>
    </row>
    <row r="462" spans="1:9" hidden="1" x14ac:dyDescent="0.2">
      <c r="A462" s="4" t="s">
        <v>2009</v>
      </c>
      <c r="B462" s="21">
        <v>43756</v>
      </c>
      <c r="C462" s="12">
        <v>40</v>
      </c>
      <c r="D462" s="22" t="s">
        <v>903</v>
      </c>
      <c r="E462" s="23">
        <v>43754</v>
      </c>
      <c r="F462" s="24" t="s">
        <v>103</v>
      </c>
      <c r="G462" s="12"/>
      <c r="H462" s="12"/>
    </row>
    <row r="463" spans="1:9" hidden="1" x14ac:dyDescent="0.2">
      <c r="A463" s="4" t="s">
        <v>2009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103</v>
      </c>
      <c r="G463" s="12"/>
      <c r="H463" s="12"/>
    </row>
    <row r="464" spans="1:9" hidden="1" x14ac:dyDescent="0.2">
      <c r="A464" s="4" t="s">
        <v>2009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103</v>
      </c>
      <c r="G464" s="12"/>
      <c r="H464" s="12"/>
    </row>
    <row r="465" spans="1:9" hidden="1" x14ac:dyDescent="0.2">
      <c r="A465" s="4" t="s">
        <v>2009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103</v>
      </c>
      <c r="G465" s="12"/>
      <c r="H465" s="12"/>
    </row>
    <row r="466" spans="1:9" hidden="1" x14ac:dyDescent="0.2">
      <c r="A466" s="4" t="s">
        <v>2009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103</v>
      </c>
      <c r="G466" s="12"/>
      <c r="H466" s="12"/>
    </row>
    <row r="467" spans="1:9" hidden="1" x14ac:dyDescent="0.2">
      <c r="A467" s="4" t="s">
        <v>2009</v>
      </c>
      <c r="B467" s="21">
        <v>43756</v>
      </c>
      <c r="C467" s="12">
        <v>45</v>
      </c>
      <c r="D467" s="22" t="s">
        <v>428</v>
      </c>
      <c r="E467" s="23">
        <v>43759</v>
      </c>
      <c r="F467" s="24" t="s">
        <v>103</v>
      </c>
      <c r="G467" s="12"/>
      <c r="H467" s="12"/>
    </row>
    <row r="468" spans="1:9" hidden="1" x14ac:dyDescent="0.2">
      <c r="A468" s="4" t="s">
        <v>2009</v>
      </c>
      <c r="B468" s="21">
        <v>43756</v>
      </c>
      <c r="C468" s="12">
        <v>46</v>
      </c>
      <c r="D468" s="22" t="s">
        <v>143</v>
      </c>
      <c r="E468" s="23">
        <v>43757</v>
      </c>
      <c r="F468" s="24" t="s">
        <v>103</v>
      </c>
      <c r="G468" s="12"/>
      <c r="H468" s="12"/>
    </row>
    <row r="469" spans="1:9" hidden="1" x14ac:dyDescent="0.2">
      <c r="A469" s="4" t="s">
        <v>2009</v>
      </c>
      <c r="B469" s="21">
        <v>43756</v>
      </c>
      <c r="C469" s="12">
        <v>47</v>
      </c>
      <c r="D469" s="22" t="s">
        <v>445</v>
      </c>
      <c r="E469" s="23">
        <v>43759</v>
      </c>
      <c r="F469" s="24" t="s">
        <v>103</v>
      </c>
      <c r="G469" s="12"/>
      <c r="H469" s="12"/>
      <c r="I469" s="4" t="s">
        <v>58</v>
      </c>
    </row>
    <row r="470" spans="1:9" hidden="1" x14ac:dyDescent="0.2">
      <c r="A470" s="4" t="s">
        <v>1995</v>
      </c>
      <c r="B470" s="21">
        <v>43758</v>
      </c>
      <c r="C470" s="12"/>
      <c r="D470" s="22" t="s">
        <v>999</v>
      </c>
      <c r="E470" s="23">
        <v>43759</v>
      </c>
      <c r="F470" s="24" t="s">
        <v>1001</v>
      </c>
      <c r="G470" s="12"/>
      <c r="H470" s="12"/>
    </row>
    <row r="471" spans="1:9" hidden="1" x14ac:dyDescent="0.2">
      <c r="A471" s="4" t="s">
        <v>1995</v>
      </c>
      <c r="B471" s="21">
        <v>43758</v>
      </c>
      <c r="C471" s="12"/>
      <c r="D471" s="22" t="s">
        <v>1000</v>
      </c>
      <c r="E471" s="23">
        <v>43759</v>
      </c>
      <c r="F471" s="24" t="s">
        <v>1001</v>
      </c>
      <c r="G471" s="12"/>
      <c r="H471" s="12"/>
    </row>
    <row r="472" spans="1:9" hidden="1" x14ac:dyDescent="0.2">
      <c r="A472" s="4" t="s">
        <v>1995</v>
      </c>
      <c r="B472" s="21">
        <v>43758</v>
      </c>
      <c r="C472" s="12"/>
      <c r="D472" s="22" t="s">
        <v>1008</v>
      </c>
      <c r="E472" s="23">
        <v>43764</v>
      </c>
      <c r="F472" s="24" t="s">
        <v>103</v>
      </c>
      <c r="G472" s="12"/>
      <c r="H472" s="12"/>
    </row>
    <row r="473" spans="1:9" hidden="1" x14ac:dyDescent="0.2">
      <c r="A473" s="4" t="s">
        <v>1995</v>
      </c>
      <c r="B473" s="21">
        <v>43758</v>
      </c>
      <c r="C473" s="12"/>
      <c r="D473" s="22" t="s">
        <v>1127</v>
      </c>
      <c r="E473" s="23">
        <v>43764</v>
      </c>
      <c r="F473" s="24" t="s">
        <v>259</v>
      </c>
      <c r="G473" s="12"/>
      <c r="H473" s="12"/>
    </row>
    <row r="474" spans="1:9" hidden="1" x14ac:dyDescent="0.2">
      <c r="A474" s="4" t="s">
        <v>2000</v>
      </c>
      <c r="B474" s="21">
        <v>43758</v>
      </c>
      <c r="C474" s="12">
        <v>1</v>
      </c>
      <c r="D474" s="22" t="s">
        <v>904</v>
      </c>
      <c r="E474" s="23">
        <v>43754</v>
      </c>
      <c r="F474" s="24" t="s">
        <v>103</v>
      </c>
      <c r="G474" s="12"/>
      <c r="H474" s="12"/>
    </row>
    <row r="475" spans="1:9" hidden="1" x14ac:dyDescent="0.2">
      <c r="A475" s="4" t="s">
        <v>2000</v>
      </c>
      <c r="B475" s="21">
        <v>43758</v>
      </c>
      <c r="C475" s="12">
        <v>2</v>
      </c>
      <c r="D475" s="22" t="s">
        <v>880</v>
      </c>
      <c r="E475" s="23">
        <v>43754</v>
      </c>
      <c r="F475" s="24" t="s">
        <v>909</v>
      </c>
      <c r="G475" s="12"/>
      <c r="H475" s="12"/>
    </row>
    <row r="476" spans="1:9" hidden="1" x14ac:dyDescent="0.2">
      <c r="A476" s="4" t="s">
        <v>2000</v>
      </c>
      <c r="B476" s="21">
        <v>43758</v>
      </c>
      <c r="C476" s="12">
        <v>3</v>
      </c>
      <c r="D476" s="22" t="s">
        <v>877</v>
      </c>
      <c r="E476" s="23">
        <v>43756</v>
      </c>
      <c r="F476" s="24" t="s">
        <v>909</v>
      </c>
      <c r="G476" s="12"/>
      <c r="H476" s="12"/>
    </row>
    <row r="477" spans="1:9" hidden="1" x14ac:dyDescent="0.2">
      <c r="A477" s="4" t="s">
        <v>2000</v>
      </c>
      <c r="B477" s="21">
        <v>43758</v>
      </c>
      <c r="C477" s="12">
        <v>4</v>
      </c>
      <c r="D477" s="22" t="s">
        <v>878</v>
      </c>
      <c r="E477" s="23">
        <v>43756</v>
      </c>
      <c r="F477" s="24" t="s">
        <v>909</v>
      </c>
      <c r="G477" s="12"/>
      <c r="H477" s="12"/>
    </row>
    <row r="478" spans="1:9" hidden="1" x14ac:dyDescent="0.2">
      <c r="A478" s="4" t="s">
        <v>2000</v>
      </c>
      <c r="B478" s="21">
        <v>43758</v>
      </c>
      <c r="C478" s="12">
        <v>5</v>
      </c>
      <c r="D478" s="22" t="s">
        <v>879</v>
      </c>
      <c r="E478" s="23">
        <v>43759</v>
      </c>
      <c r="F478" s="24" t="s">
        <v>909</v>
      </c>
      <c r="G478" s="12"/>
      <c r="H478" s="12"/>
    </row>
    <row r="479" spans="1:9" hidden="1" x14ac:dyDescent="0.2">
      <c r="A479" s="4" t="s">
        <v>2004</v>
      </c>
      <c r="B479" s="21">
        <v>43758</v>
      </c>
      <c r="C479" s="12">
        <v>1</v>
      </c>
      <c r="D479" s="22" t="s">
        <v>911</v>
      </c>
      <c r="E479" s="23">
        <v>43754</v>
      </c>
      <c r="F479" s="24" t="s">
        <v>910</v>
      </c>
      <c r="G479" s="12"/>
      <c r="H479" s="12"/>
    </row>
    <row r="480" spans="1:9" hidden="1" x14ac:dyDescent="0.2">
      <c r="A480" s="4" t="s">
        <v>2004</v>
      </c>
      <c r="B480" s="21">
        <v>43758</v>
      </c>
      <c r="C480" s="12">
        <v>2</v>
      </c>
      <c r="D480" s="22" t="s">
        <v>915</v>
      </c>
      <c r="E480" s="23">
        <v>43754</v>
      </c>
      <c r="F480" s="24" t="s">
        <v>103</v>
      </c>
      <c r="G480" s="12"/>
      <c r="H480" s="12"/>
    </row>
    <row r="481" spans="1:9" hidden="1" x14ac:dyDescent="0.2">
      <c r="A481" s="4" t="s">
        <v>2004</v>
      </c>
      <c r="B481" s="21">
        <v>43758</v>
      </c>
      <c r="C481" s="12">
        <v>3</v>
      </c>
      <c r="D481" s="22" t="s">
        <v>916</v>
      </c>
      <c r="E481" s="23">
        <v>43756</v>
      </c>
      <c r="F481" s="24" t="s">
        <v>259</v>
      </c>
      <c r="G481" s="12"/>
      <c r="H481" s="12"/>
    </row>
    <row r="482" spans="1:9" hidden="1" x14ac:dyDescent="0.2">
      <c r="A482" s="4" t="s">
        <v>2004</v>
      </c>
      <c r="B482" s="21">
        <v>43758</v>
      </c>
      <c r="C482" s="12">
        <v>4</v>
      </c>
      <c r="D482" s="22" t="s">
        <v>839</v>
      </c>
      <c r="E482" s="23">
        <v>43756</v>
      </c>
      <c r="F482" s="24" t="s">
        <v>259</v>
      </c>
      <c r="G482" s="12"/>
      <c r="H482" s="12"/>
    </row>
    <row r="483" spans="1:9" hidden="1" x14ac:dyDescent="0.2">
      <c r="A483" s="4" t="s">
        <v>2004</v>
      </c>
      <c r="B483" s="21">
        <v>43758</v>
      </c>
      <c r="C483" s="12">
        <v>5</v>
      </c>
      <c r="D483" s="22" t="s">
        <v>840</v>
      </c>
      <c r="E483" s="23">
        <v>43759</v>
      </c>
      <c r="F483" s="24" t="s">
        <v>259</v>
      </c>
      <c r="G483" s="12"/>
      <c r="H483" s="12"/>
    </row>
    <row r="484" spans="1:9" hidden="1" x14ac:dyDescent="0.2">
      <c r="A484" s="4" t="s">
        <v>2004</v>
      </c>
      <c r="B484" s="21">
        <v>43758</v>
      </c>
      <c r="C484" s="12"/>
      <c r="D484" s="22" t="s">
        <v>1050</v>
      </c>
      <c r="E484" s="23">
        <v>43763</v>
      </c>
      <c r="F484" s="24" t="s">
        <v>103</v>
      </c>
      <c r="G484" s="12">
        <v>3</v>
      </c>
      <c r="H484" s="12"/>
    </row>
    <row r="485" spans="1:9" hidden="1" x14ac:dyDescent="0.2">
      <c r="A485" s="4" t="s">
        <v>2004</v>
      </c>
      <c r="B485" s="21">
        <v>43758</v>
      </c>
      <c r="C485" s="12"/>
      <c r="D485" s="22" t="s">
        <v>1744</v>
      </c>
      <c r="E485" s="23">
        <v>43822</v>
      </c>
      <c r="F485" s="24" t="s">
        <v>103</v>
      </c>
      <c r="G485" s="12"/>
      <c r="H485" s="12"/>
    </row>
    <row r="486" spans="1:9" hidden="1" x14ac:dyDescent="0.2">
      <c r="A486" s="4" t="s">
        <v>500</v>
      </c>
      <c r="B486" s="21">
        <v>43759</v>
      </c>
      <c r="C486" s="12">
        <v>0</v>
      </c>
      <c r="D486" s="22" t="s">
        <v>803</v>
      </c>
      <c r="E486" s="23">
        <v>43759</v>
      </c>
      <c r="F486" s="24" t="s">
        <v>103</v>
      </c>
      <c r="G486" s="12"/>
      <c r="H486" s="12"/>
      <c r="I486" s="4" t="s">
        <v>98</v>
      </c>
    </row>
    <row r="487" spans="1:9" hidden="1" x14ac:dyDescent="0.2">
      <c r="A487" s="4" t="s">
        <v>500</v>
      </c>
      <c r="B487" s="21">
        <v>43759</v>
      </c>
      <c r="C487" s="12">
        <v>1</v>
      </c>
      <c r="D487" s="22" t="s">
        <v>977</v>
      </c>
      <c r="E487" s="23">
        <v>43763</v>
      </c>
      <c r="F487" s="24" t="s">
        <v>103</v>
      </c>
      <c r="G487" s="12"/>
      <c r="H487" s="12"/>
      <c r="I487" s="4" t="s">
        <v>97</v>
      </c>
    </row>
    <row r="488" spans="1:9" hidden="1" x14ac:dyDescent="0.2">
      <c r="A488" s="4" t="s">
        <v>500</v>
      </c>
      <c r="B488" s="21">
        <v>43759</v>
      </c>
      <c r="C488" s="12">
        <v>2</v>
      </c>
      <c r="D488" s="22" t="s">
        <v>975</v>
      </c>
      <c r="E488" s="23">
        <v>43764</v>
      </c>
      <c r="F488" s="24" t="s">
        <v>103</v>
      </c>
      <c r="G488" s="12"/>
      <c r="H488" s="12"/>
    </row>
    <row r="489" spans="1:9" hidden="1" x14ac:dyDescent="0.2">
      <c r="A489" s="4" t="s">
        <v>973</v>
      </c>
      <c r="B489" s="21">
        <v>43759</v>
      </c>
      <c r="C489" s="12"/>
      <c r="D489" s="22" t="s">
        <v>1048</v>
      </c>
      <c r="E489" s="23">
        <v>43761</v>
      </c>
      <c r="F489" s="24" t="s">
        <v>103</v>
      </c>
      <c r="G489" s="12"/>
      <c r="H489" s="12"/>
    </row>
    <row r="490" spans="1:9" hidden="1" x14ac:dyDescent="0.2">
      <c r="A490" s="4" t="s">
        <v>973</v>
      </c>
      <c r="B490" s="21">
        <v>43759</v>
      </c>
      <c r="C490" s="12"/>
      <c r="D490" s="22" t="s">
        <v>978</v>
      </c>
      <c r="E490" s="23">
        <v>43759</v>
      </c>
      <c r="F490" s="24" t="s">
        <v>103</v>
      </c>
      <c r="G490" s="12"/>
      <c r="H490" s="12"/>
    </row>
    <row r="491" spans="1:9" hidden="1" x14ac:dyDescent="0.2">
      <c r="A491" s="4" t="s">
        <v>973</v>
      </c>
      <c r="B491" s="21">
        <v>43759</v>
      </c>
      <c r="C491" s="12"/>
      <c r="D491" s="22" t="s">
        <v>984</v>
      </c>
      <c r="E491" s="23">
        <v>43759</v>
      </c>
      <c r="F491" s="24" t="s">
        <v>103</v>
      </c>
      <c r="G491" s="12"/>
      <c r="H491" s="12"/>
    </row>
    <row r="492" spans="1:9" hidden="1" x14ac:dyDescent="0.2">
      <c r="A492" s="4" t="s">
        <v>991</v>
      </c>
      <c r="B492" s="21">
        <v>43759</v>
      </c>
      <c r="C492" s="12"/>
      <c r="D492" s="22" t="s">
        <v>992</v>
      </c>
      <c r="E492" s="23">
        <v>43761</v>
      </c>
      <c r="F492" s="24" t="s">
        <v>103</v>
      </c>
      <c r="G492" s="12"/>
      <c r="H492" s="12"/>
    </row>
    <row r="493" spans="1:9" hidden="1" x14ac:dyDescent="0.2">
      <c r="A493" s="4" t="s">
        <v>991</v>
      </c>
      <c r="B493" s="21">
        <v>43759</v>
      </c>
      <c r="C493" s="12"/>
      <c r="D493" s="22" t="s">
        <v>997</v>
      </c>
      <c r="E493" s="23">
        <v>43760</v>
      </c>
      <c r="F493" s="24" t="s">
        <v>103</v>
      </c>
      <c r="G493" s="12"/>
      <c r="H493" s="12"/>
    </row>
    <row r="494" spans="1:9" hidden="1" x14ac:dyDescent="0.2">
      <c r="A494" s="4" t="s">
        <v>1026</v>
      </c>
      <c r="B494" s="21">
        <v>43759</v>
      </c>
      <c r="C494" s="12"/>
      <c r="D494" s="22" t="s">
        <v>1104</v>
      </c>
      <c r="E494" s="23">
        <v>43763</v>
      </c>
      <c r="F494" s="24" t="s">
        <v>103</v>
      </c>
      <c r="G494" s="12"/>
      <c r="H494" s="12"/>
    </row>
    <row r="495" spans="1:9" hidden="1" x14ac:dyDescent="0.2">
      <c r="A495" s="37" t="s">
        <v>501</v>
      </c>
      <c r="B495" s="38">
        <v>43759</v>
      </c>
      <c r="C495" s="39"/>
      <c r="D495" s="29" t="s">
        <v>1045</v>
      </c>
      <c r="E495" s="40">
        <v>43761</v>
      </c>
      <c r="F495" s="30" t="s">
        <v>103</v>
      </c>
      <c r="G495" s="12"/>
      <c r="H495" s="12"/>
      <c r="I495" s="37"/>
    </row>
    <row r="496" spans="1:9" hidden="1" x14ac:dyDescent="0.2">
      <c r="A496" s="4" t="s">
        <v>501</v>
      </c>
      <c r="B496" s="21">
        <v>43759</v>
      </c>
      <c r="C496" s="12"/>
      <c r="D496" s="22" t="s">
        <v>1047</v>
      </c>
      <c r="E496" s="23">
        <v>43764</v>
      </c>
      <c r="F496" s="24" t="s">
        <v>103</v>
      </c>
      <c r="G496" s="12"/>
      <c r="H496" s="12"/>
    </row>
    <row r="497" spans="1:9" hidden="1" x14ac:dyDescent="0.2">
      <c r="A497" s="4" t="s">
        <v>501</v>
      </c>
      <c r="B497" s="21">
        <v>43759</v>
      </c>
      <c r="C497" s="12"/>
      <c r="D497" s="22" t="s">
        <v>1061</v>
      </c>
      <c r="E497" s="23">
        <v>43761</v>
      </c>
      <c r="F497" s="24" t="s">
        <v>103</v>
      </c>
      <c r="G497" s="12"/>
      <c r="H497" s="12"/>
    </row>
    <row r="498" spans="1:9" hidden="1" x14ac:dyDescent="0.2">
      <c r="A498" s="4" t="s">
        <v>501</v>
      </c>
      <c r="B498" s="21">
        <v>43759</v>
      </c>
      <c r="C498" s="12"/>
      <c r="D498" s="22" t="s">
        <v>1064</v>
      </c>
      <c r="E498" s="23">
        <v>43762</v>
      </c>
      <c r="F498" s="24" t="s">
        <v>103</v>
      </c>
      <c r="G498" s="12"/>
      <c r="H498" s="12"/>
    </row>
    <row r="499" spans="1:9" hidden="1" x14ac:dyDescent="0.2">
      <c r="A499" s="4" t="s">
        <v>501</v>
      </c>
      <c r="B499" s="21">
        <v>43759</v>
      </c>
      <c r="C499" s="12"/>
      <c r="D499" s="22" t="s">
        <v>1067</v>
      </c>
      <c r="E499" s="23">
        <v>43762</v>
      </c>
      <c r="F499" s="24" t="s">
        <v>103</v>
      </c>
      <c r="G499" s="12">
        <v>1</v>
      </c>
      <c r="H499" s="12"/>
    </row>
    <row r="500" spans="1:9" hidden="1" x14ac:dyDescent="0.2">
      <c r="A500" s="4" t="s">
        <v>501</v>
      </c>
      <c r="B500" s="21">
        <v>43759</v>
      </c>
      <c r="C500" s="12"/>
      <c r="D500" s="41" t="s">
        <v>1068</v>
      </c>
      <c r="E500" s="23">
        <v>43794</v>
      </c>
      <c r="F500" s="24" t="s">
        <v>259</v>
      </c>
      <c r="G500" s="12"/>
      <c r="H500" s="12"/>
    </row>
    <row r="501" spans="1:9" hidden="1" x14ac:dyDescent="0.2">
      <c r="A501" s="4" t="s">
        <v>501</v>
      </c>
      <c r="B501" s="21">
        <v>43759</v>
      </c>
      <c r="C501" s="12"/>
      <c r="D501" s="22" t="s">
        <v>1073</v>
      </c>
      <c r="E501" s="23">
        <v>43762</v>
      </c>
      <c r="F501" s="24" t="s">
        <v>103</v>
      </c>
      <c r="G501" s="12">
        <v>1</v>
      </c>
      <c r="H501" s="12"/>
    </row>
    <row r="502" spans="1:9" hidden="1" x14ac:dyDescent="0.2">
      <c r="A502" s="4" t="s">
        <v>2011</v>
      </c>
      <c r="B502" s="21">
        <v>43760</v>
      </c>
      <c r="C502" s="12">
        <v>1</v>
      </c>
      <c r="D502" s="22" t="s">
        <v>92</v>
      </c>
      <c r="E502" s="23">
        <v>43720</v>
      </c>
      <c r="F502" s="24" t="s">
        <v>463</v>
      </c>
      <c r="G502" s="12"/>
      <c r="H502" s="12"/>
    </row>
    <row r="503" spans="1:9" hidden="1" x14ac:dyDescent="0.2">
      <c r="A503" s="4" t="s">
        <v>2011</v>
      </c>
      <c r="B503" s="21">
        <v>43760</v>
      </c>
      <c r="C503" s="12">
        <v>2</v>
      </c>
      <c r="D503" s="22" t="s">
        <v>93</v>
      </c>
      <c r="E503" s="23">
        <v>43720</v>
      </c>
      <c r="F503" s="24" t="s">
        <v>463</v>
      </c>
      <c r="G503" s="12"/>
      <c r="H503" s="12"/>
    </row>
    <row r="504" spans="1:9" hidden="1" x14ac:dyDescent="0.2">
      <c r="A504" s="4" t="s">
        <v>2011</v>
      </c>
      <c r="B504" s="21">
        <v>43760</v>
      </c>
      <c r="C504" s="12">
        <v>3</v>
      </c>
      <c r="D504" s="22" t="s">
        <v>466</v>
      </c>
      <c r="E504" s="23">
        <v>43721</v>
      </c>
      <c r="F504" s="24" t="s">
        <v>103</v>
      </c>
      <c r="G504" s="12"/>
      <c r="H504" s="12"/>
      <c r="I504" s="4" t="s">
        <v>94</v>
      </c>
    </row>
    <row r="505" spans="1:9" hidden="1" x14ac:dyDescent="0.2">
      <c r="A505" s="4" t="s">
        <v>2011</v>
      </c>
      <c r="B505" s="21">
        <v>43760</v>
      </c>
      <c r="C505" s="12">
        <v>5</v>
      </c>
      <c r="D505" s="22" t="s">
        <v>277</v>
      </c>
      <c r="E505" s="23">
        <v>43721</v>
      </c>
      <c r="F505" s="24" t="s">
        <v>103</v>
      </c>
      <c r="G505" s="12"/>
      <c r="H505" s="12"/>
    </row>
    <row r="506" spans="1:9" hidden="1" x14ac:dyDescent="0.2">
      <c r="A506" s="4" t="s">
        <v>2011</v>
      </c>
      <c r="B506" s="21">
        <v>43760</v>
      </c>
      <c r="C506" s="12">
        <v>6</v>
      </c>
      <c r="D506" s="22" t="s">
        <v>377</v>
      </c>
      <c r="E506" s="23">
        <v>43721</v>
      </c>
      <c r="F506" s="24" t="s">
        <v>103</v>
      </c>
      <c r="G506" s="12"/>
      <c r="H506" s="12"/>
    </row>
    <row r="507" spans="1:9" hidden="1" x14ac:dyDescent="0.2">
      <c r="A507" s="4" t="s">
        <v>2011</v>
      </c>
      <c r="B507" s="21">
        <v>43760</v>
      </c>
      <c r="C507" s="12">
        <v>7</v>
      </c>
      <c r="D507" s="22" t="s">
        <v>930</v>
      </c>
      <c r="E507" s="23">
        <v>43755</v>
      </c>
      <c r="F507" s="24" t="s">
        <v>931</v>
      </c>
      <c r="G507" s="12"/>
      <c r="H507" s="12"/>
      <c r="I507" s="4" t="s">
        <v>278</v>
      </c>
    </row>
    <row r="508" spans="1:9" hidden="1" x14ac:dyDescent="0.2">
      <c r="A508" s="4" t="s">
        <v>2011</v>
      </c>
      <c r="B508" s="21">
        <v>43760</v>
      </c>
      <c r="C508" s="12">
        <v>8</v>
      </c>
      <c r="D508" s="22" t="s">
        <v>233</v>
      </c>
      <c r="E508" s="23">
        <v>43748</v>
      </c>
      <c r="F508" s="24" t="s">
        <v>103</v>
      </c>
      <c r="G508" s="12"/>
      <c r="H508" s="12"/>
      <c r="I508" s="4" t="s">
        <v>105</v>
      </c>
    </row>
    <row r="509" spans="1:9" hidden="1" x14ac:dyDescent="0.2">
      <c r="A509" s="4" t="s">
        <v>2011</v>
      </c>
      <c r="B509" s="21">
        <v>43760</v>
      </c>
      <c r="C509" s="12">
        <v>9</v>
      </c>
      <c r="D509" s="22" t="s">
        <v>467</v>
      </c>
      <c r="E509" s="23">
        <v>43748</v>
      </c>
      <c r="F509" s="24" t="s">
        <v>103</v>
      </c>
      <c r="G509" s="12">
        <v>5</v>
      </c>
      <c r="H509" s="12"/>
    </row>
    <row r="510" spans="1:9" hidden="1" x14ac:dyDescent="0.2">
      <c r="A510" s="4" t="s">
        <v>2011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103</v>
      </c>
      <c r="G510" s="12"/>
      <c r="H510" s="12"/>
    </row>
    <row r="511" spans="1:9" hidden="1" x14ac:dyDescent="0.2">
      <c r="A511" s="4" t="s">
        <v>2011</v>
      </c>
      <c r="B511" s="21">
        <v>43760</v>
      </c>
      <c r="C511" s="12">
        <v>11</v>
      </c>
      <c r="D511" s="22" t="s">
        <v>379</v>
      </c>
      <c r="E511" s="23">
        <v>43748</v>
      </c>
      <c r="F511" s="24" t="s">
        <v>103</v>
      </c>
      <c r="G511" s="12"/>
      <c r="H511" s="12"/>
    </row>
    <row r="512" spans="1:9" hidden="1" x14ac:dyDescent="0.2">
      <c r="A512" s="4" t="s">
        <v>2011</v>
      </c>
      <c r="B512" s="21">
        <v>43760</v>
      </c>
      <c r="C512" s="12">
        <v>12</v>
      </c>
      <c r="D512" s="22" t="s">
        <v>109</v>
      </c>
      <c r="E512" s="23">
        <v>43749</v>
      </c>
      <c r="F512" s="24" t="s">
        <v>729</v>
      </c>
      <c r="G512" s="12">
        <v>5</v>
      </c>
      <c r="H512" s="12"/>
      <c r="I512" s="4" t="s">
        <v>20</v>
      </c>
    </row>
    <row r="513" spans="1:9" hidden="1" x14ac:dyDescent="0.2">
      <c r="A513" s="4" t="s">
        <v>2011</v>
      </c>
      <c r="B513" s="21">
        <v>43760</v>
      </c>
      <c r="C513" s="12">
        <v>13</v>
      </c>
      <c r="D513" s="22" t="s">
        <v>468</v>
      </c>
      <c r="E513" s="23">
        <v>43750</v>
      </c>
      <c r="F513" s="24" t="s">
        <v>103</v>
      </c>
      <c r="G513" s="12"/>
      <c r="H513" s="12"/>
      <c r="I513" s="4" t="s">
        <v>13</v>
      </c>
    </row>
    <row r="514" spans="1:9" hidden="1" x14ac:dyDescent="0.2">
      <c r="A514" s="4" t="s">
        <v>2011</v>
      </c>
      <c r="B514" s="21">
        <v>43760</v>
      </c>
      <c r="C514" s="12">
        <v>14</v>
      </c>
      <c r="D514" s="22" t="s">
        <v>107</v>
      </c>
      <c r="E514" s="23">
        <v>43750</v>
      </c>
      <c r="F514" s="24" t="s">
        <v>103</v>
      </c>
      <c r="G514" s="12"/>
      <c r="H514" s="12"/>
      <c r="I514" s="4" t="s">
        <v>20</v>
      </c>
    </row>
    <row r="515" spans="1:9" hidden="1" x14ac:dyDescent="0.2">
      <c r="A515" s="4" t="s">
        <v>2011</v>
      </c>
      <c r="B515" s="21">
        <v>43760</v>
      </c>
      <c r="C515" s="12">
        <v>15</v>
      </c>
      <c r="D515" s="22" t="s">
        <v>234</v>
      </c>
      <c r="E515" s="23">
        <v>43755</v>
      </c>
      <c r="F515" s="24" t="s">
        <v>103</v>
      </c>
      <c r="G515" s="12"/>
      <c r="H515" s="12"/>
      <c r="I515" s="4" t="s">
        <v>111</v>
      </c>
    </row>
    <row r="516" spans="1:9" hidden="1" x14ac:dyDescent="0.2">
      <c r="A516" s="4" t="s">
        <v>2011</v>
      </c>
      <c r="B516" s="21">
        <v>43760</v>
      </c>
      <c r="C516" s="12">
        <v>16</v>
      </c>
      <c r="D516" s="22" t="s">
        <v>115</v>
      </c>
      <c r="E516" s="23">
        <v>43756</v>
      </c>
      <c r="F516" s="24" t="s">
        <v>103</v>
      </c>
      <c r="G516" s="12"/>
      <c r="H516" s="12"/>
      <c r="I516" s="4" t="s">
        <v>113</v>
      </c>
    </row>
    <row r="517" spans="1:9" hidden="1" x14ac:dyDescent="0.2">
      <c r="A517" s="4" t="s">
        <v>2011</v>
      </c>
      <c r="B517" s="21">
        <v>43760</v>
      </c>
      <c r="C517" s="12">
        <v>17</v>
      </c>
      <c r="D517" s="22" t="s">
        <v>117</v>
      </c>
      <c r="E517" s="23">
        <v>43756</v>
      </c>
      <c r="F517" s="24" t="s">
        <v>103</v>
      </c>
      <c r="G517" s="12"/>
      <c r="H517" s="12"/>
    </row>
    <row r="518" spans="1:9" hidden="1" x14ac:dyDescent="0.2">
      <c r="A518" s="4" t="s">
        <v>2011</v>
      </c>
      <c r="B518" s="21">
        <v>43760</v>
      </c>
      <c r="C518" s="12">
        <v>18</v>
      </c>
      <c r="D518" s="22" t="s">
        <v>119</v>
      </c>
      <c r="E518" s="23">
        <v>43756</v>
      </c>
      <c r="F518" s="24" t="s">
        <v>103</v>
      </c>
      <c r="G518" s="12"/>
      <c r="H518" s="12"/>
    </row>
    <row r="519" spans="1:9" hidden="1" x14ac:dyDescent="0.2">
      <c r="A519" s="4" t="s">
        <v>2011</v>
      </c>
      <c r="B519" s="21">
        <v>43760</v>
      </c>
      <c r="C519" s="12">
        <v>19</v>
      </c>
      <c r="D519" s="22" t="s">
        <v>132</v>
      </c>
      <c r="E519" s="23">
        <v>43756</v>
      </c>
      <c r="F519" s="24" t="s">
        <v>103</v>
      </c>
      <c r="G519" s="12"/>
      <c r="H519" s="12"/>
    </row>
    <row r="520" spans="1:9" hidden="1" x14ac:dyDescent="0.2">
      <c r="A520" s="4" t="s">
        <v>2011</v>
      </c>
      <c r="B520" s="21">
        <v>43760</v>
      </c>
      <c r="C520" s="12">
        <v>20</v>
      </c>
      <c r="D520" s="22" t="s">
        <v>133</v>
      </c>
      <c r="E520" s="23">
        <v>43756</v>
      </c>
      <c r="F520" s="24" t="s">
        <v>103</v>
      </c>
      <c r="G520" s="12"/>
      <c r="H520" s="12"/>
    </row>
    <row r="521" spans="1:9" hidden="1" x14ac:dyDescent="0.2">
      <c r="A521" s="4" t="s">
        <v>2011</v>
      </c>
      <c r="B521" s="21">
        <v>43760</v>
      </c>
      <c r="C521" s="12">
        <v>21</v>
      </c>
      <c r="D521" s="22" t="s">
        <v>134</v>
      </c>
      <c r="E521" s="23">
        <v>43756</v>
      </c>
      <c r="F521" s="24" t="s">
        <v>103</v>
      </c>
      <c r="G521" s="12"/>
      <c r="H521" s="12"/>
    </row>
    <row r="522" spans="1:9" hidden="1" x14ac:dyDescent="0.2">
      <c r="A522" s="4" t="s">
        <v>2011</v>
      </c>
      <c r="B522" s="21">
        <v>43760</v>
      </c>
      <c r="C522" s="12">
        <v>22</v>
      </c>
      <c r="D522" s="22" t="s">
        <v>120</v>
      </c>
      <c r="E522" s="23">
        <v>43756</v>
      </c>
      <c r="F522" s="24" t="s">
        <v>103</v>
      </c>
      <c r="G522" s="12"/>
      <c r="H522" s="12"/>
    </row>
    <row r="523" spans="1:9" hidden="1" x14ac:dyDescent="0.2">
      <c r="A523" s="4" t="s">
        <v>2011</v>
      </c>
      <c r="B523" s="21">
        <v>43760</v>
      </c>
      <c r="C523" s="12">
        <v>23</v>
      </c>
      <c r="D523" s="22" t="s">
        <v>1051</v>
      </c>
      <c r="E523" s="23">
        <v>43762</v>
      </c>
      <c r="F523" s="24" t="s">
        <v>103</v>
      </c>
      <c r="G523" s="12"/>
      <c r="H523" s="12"/>
    </row>
    <row r="524" spans="1:9" hidden="1" x14ac:dyDescent="0.2">
      <c r="A524" s="4" t="s">
        <v>2011</v>
      </c>
      <c r="B524" s="21">
        <v>43760</v>
      </c>
      <c r="C524" s="12">
        <v>27</v>
      </c>
      <c r="D524" s="22" t="s">
        <v>130</v>
      </c>
      <c r="E524" s="23">
        <v>43763</v>
      </c>
      <c r="F524" s="24" t="s">
        <v>103</v>
      </c>
      <c r="G524" s="12"/>
      <c r="H524" s="12"/>
    </row>
    <row r="525" spans="1:9" hidden="1" x14ac:dyDescent="0.2">
      <c r="A525" s="4" t="s">
        <v>2011</v>
      </c>
      <c r="B525" s="21">
        <v>43760</v>
      </c>
      <c r="C525" s="12">
        <v>28</v>
      </c>
      <c r="D525" s="22" t="s">
        <v>469</v>
      </c>
      <c r="E525" s="23">
        <v>43763</v>
      </c>
      <c r="F525" s="24" t="s">
        <v>103</v>
      </c>
      <c r="G525" s="12"/>
      <c r="H525" s="12"/>
    </row>
    <row r="526" spans="1:9" hidden="1" x14ac:dyDescent="0.2">
      <c r="A526" s="4" t="s">
        <v>2011</v>
      </c>
      <c r="B526" s="21">
        <v>43760</v>
      </c>
      <c r="C526" s="12">
        <v>29</v>
      </c>
      <c r="D526" s="22" t="s">
        <v>1164</v>
      </c>
      <c r="E526" s="23">
        <v>43763</v>
      </c>
      <c r="F526" s="24" t="s">
        <v>103</v>
      </c>
      <c r="G526" s="12"/>
      <c r="H526" s="12"/>
    </row>
    <row r="527" spans="1:9" hidden="1" x14ac:dyDescent="0.2">
      <c r="A527" s="4" t="s">
        <v>2009</v>
      </c>
      <c r="B527" s="21">
        <v>43761</v>
      </c>
      <c r="C527" s="12">
        <v>0</v>
      </c>
      <c r="D527" s="22" t="s">
        <v>741</v>
      </c>
      <c r="E527" s="23">
        <v>43751</v>
      </c>
      <c r="F527" s="24" t="s">
        <v>1</v>
      </c>
      <c r="G527" s="12"/>
      <c r="H527" s="12"/>
    </row>
    <row r="528" spans="1:9" hidden="1" x14ac:dyDescent="0.2">
      <c r="A528" s="4" t="s">
        <v>2009</v>
      </c>
      <c r="B528" s="21">
        <v>43761</v>
      </c>
      <c r="C528" s="12">
        <v>1</v>
      </c>
      <c r="D528" s="22" t="s">
        <v>925</v>
      </c>
      <c r="E528" s="23">
        <v>43755</v>
      </c>
      <c r="F528" s="24" t="s">
        <v>103</v>
      </c>
      <c r="G528" s="12"/>
      <c r="H528" s="12"/>
    </row>
    <row r="529" spans="1:9" hidden="1" x14ac:dyDescent="0.2">
      <c r="A529" s="4" t="s">
        <v>2009</v>
      </c>
      <c r="B529" s="21">
        <v>43761</v>
      </c>
      <c r="C529" s="12">
        <v>2</v>
      </c>
      <c r="D529" s="22" t="s">
        <v>942</v>
      </c>
      <c r="E529" s="23">
        <v>43755</v>
      </c>
      <c r="F529" s="24" t="s">
        <v>103</v>
      </c>
      <c r="G529" s="12"/>
      <c r="H529" s="12"/>
    </row>
    <row r="530" spans="1:9" hidden="1" x14ac:dyDescent="0.2">
      <c r="A530" s="4" t="s">
        <v>2009</v>
      </c>
      <c r="B530" s="21">
        <v>43761</v>
      </c>
      <c r="C530" s="12">
        <v>3</v>
      </c>
      <c r="D530" s="22" t="s">
        <v>951</v>
      </c>
      <c r="E530" s="23">
        <v>43756</v>
      </c>
      <c r="F530" s="24" t="s">
        <v>103</v>
      </c>
      <c r="G530" s="12"/>
      <c r="H530" s="12"/>
    </row>
    <row r="531" spans="1:9" hidden="1" x14ac:dyDescent="0.2">
      <c r="A531" s="4" t="s">
        <v>2009</v>
      </c>
      <c r="B531" s="21">
        <v>43761</v>
      </c>
      <c r="C531" s="12">
        <v>4</v>
      </c>
      <c r="D531" s="22" t="s">
        <v>952</v>
      </c>
      <c r="E531" s="23">
        <v>43757</v>
      </c>
      <c r="F531" s="24" t="s">
        <v>103</v>
      </c>
      <c r="G531" s="12"/>
      <c r="H531" s="12"/>
    </row>
    <row r="532" spans="1:9" hidden="1" x14ac:dyDescent="0.2">
      <c r="A532" s="4" t="s">
        <v>2009</v>
      </c>
      <c r="B532" s="21">
        <v>43761</v>
      </c>
      <c r="C532" s="12">
        <v>5</v>
      </c>
      <c r="D532" s="22" t="s">
        <v>993</v>
      </c>
      <c r="E532" s="23">
        <v>43759</v>
      </c>
      <c r="F532" s="24" t="s">
        <v>103</v>
      </c>
      <c r="G532" s="12"/>
      <c r="H532" s="12"/>
    </row>
    <row r="533" spans="1:9" hidden="1" x14ac:dyDescent="0.2">
      <c r="A533" s="4" t="s">
        <v>2009</v>
      </c>
      <c r="B533" s="21">
        <v>43761</v>
      </c>
      <c r="C533" s="12">
        <v>6</v>
      </c>
      <c r="D533" s="22" t="s">
        <v>994</v>
      </c>
      <c r="E533" s="23">
        <v>43757</v>
      </c>
      <c r="F533" s="24" t="s">
        <v>103</v>
      </c>
      <c r="G533" s="12"/>
      <c r="H533" s="12"/>
    </row>
    <row r="534" spans="1:9" hidden="1" x14ac:dyDescent="0.2">
      <c r="A534" s="4" t="s">
        <v>2009</v>
      </c>
      <c r="B534" s="21">
        <v>43761</v>
      </c>
      <c r="C534" s="12">
        <v>7</v>
      </c>
      <c r="D534" s="22" t="s">
        <v>995</v>
      </c>
      <c r="E534" s="23">
        <v>43756</v>
      </c>
      <c r="F534" s="24" t="s">
        <v>103</v>
      </c>
      <c r="G534" s="12"/>
      <c r="H534" s="12"/>
    </row>
    <row r="535" spans="1:9" hidden="1" x14ac:dyDescent="0.2">
      <c r="A535" s="4" t="s">
        <v>2009</v>
      </c>
      <c r="B535" s="21">
        <v>43761</v>
      </c>
      <c r="C535" s="12">
        <v>8</v>
      </c>
      <c r="D535" s="22" t="s">
        <v>821</v>
      </c>
      <c r="E535" s="23">
        <v>43756</v>
      </c>
      <c r="F535" s="24" t="s">
        <v>259</v>
      </c>
      <c r="G535" s="12"/>
      <c r="H535" s="12"/>
    </row>
    <row r="536" spans="1:9" hidden="1" x14ac:dyDescent="0.2">
      <c r="A536" s="4" t="s">
        <v>2009</v>
      </c>
      <c r="B536" s="21">
        <v>43761</v>
      </c>
      <c r="C536" s="12">
        <v>9</v>
      </c>
      <c r="D536" s="22" t="s">
        <v>996</v>
      </c>
      <c r="E536" s="23">
        <v>43759</v>
      </c>
      <c r="F536" s="24" t="s">
        <v>103</v>
      </c>
      <c r="G536" s="12"/>
      <c r="H536" s="12"/>
    </row>
    <row r="537" spans="1:9" hidden="1" x14ac:dyDescent="0.2">
      <c r="A537" s="4" t="s">
        <v>2009</v>
      </c>
      <c r="B537" s="21">
        <v>43761</v>
      </c>
      <c r="C537" s="12">
        <v>10</v>
      </c>
      <c r="D537" s="22" t="s">
        <v>1079</v>
      </c>
      <c r="E537" s="23">
        <v>43763</v>
      </c>
      <c r="F537" s="24" t="s">
        <v>103</v>
      </c>
      <c r="G537" s="12"/>
      <c r="H537" s="12"/>
    </row>
    <row r="538" spans="1:9" hidden="1" x14ac:dyDescent="0.2">
      <c r="A538" s="4" t="s">
        <v>2009</v>
      </c>
      <c r="B538" s="21">
        <v>43761</v>
      </c>
      <c r="C538" s="12">
        <v>11</v>
      </c>
      <c r="D538" s="22" t="s">
        <v>825</v>
      </c>
      <c r="E538" s="23">
        <v>43763</v>
      </c>
      <c r="F538" s="24" t="s">
        <v>103</v>
      </c>
      <c r="G538" s="12">
        <v>3</v>
      </c>
      <c r="H538" s="12"/>
    </row>
    <row r="539" spans="1:9" hidden="1" x14ac:dyDescent="0.2">
      <c r="A539" s="4" t="s">
        <v>1773</v>
      </c>
      <c r="B539" s="21">
        <v>43761</v>
      </c>
      <c r="C539" s="12">
        <v>1</v>
      </c>
      <c r="D539" s="22" t="s">
        <v>157</v>
      </c>
      <c r="E539" s="23">
        <v>43748</v>
      </c>
      <c r="F539" s="24" t="s">
        <v>103</v>
      </c>
      <c r="G539" s="12"/>
      <c r="H539" s="12"/>
    </row>
    <row r="540" spans="1:9" hidden="1" x14ac:dyDescent="0.2">
      <c r="A540" s="4" t="s">
        <v>1773</v>
      </c>
      <c r="B540" s="21">
        <v>43761</v>
      </c>
      <c r="C540" s="12">
        <v>1</v>
      </c>
      <c r="D540" s="22" t="s">
        <v>897</v>
      </c>
      <c r="E540" s="23">
        <v>43753</v>
      </c>
      <c r="F540" s="24" t="s">
        <v>898</v>
      </c>
      <c r="G540" s="12"/>
      <c r="H540" s="12"/>
    </row>
    <row r="541" spans="1:9" hidden="1" x14ac:dyDescent="0.2">
      <c r="A541" s="4" t="s">
        <v>1773</v>
      </c>
      <c r="B541" s="21">
        <v>43761</v>
      </c>
      <c r="C541" s="12">
        <v>2</v>
      </c>
      <c r="D541" s="22" t="s">
        <v>214</v>
      </c>
      <c r="E541" s="23">
        <v>43754</v>
      </c>
      <c r="F541" s="24" t="s">
        <v>896</v>
      </c>
      <c r="G541" s="12"/>
      <c r="H541" s="12"/>
    </row>
    <row r="542" spans="1:9" hidden="1" x14ac:dyDescent="0.2">
      <c r="A542" s="4" t="s">
        <v>1773</v>
      </c>
      <c r="B542" s="21">
        <v>43761</v>
      </c>
      <c r="C542" s="12">
        <v>2</v>
      </c>
      <c r="D542" s="22" t="s">
        <v>933</v>
      </c>
      <c r="E542" s="23">
        <v>43755</v>
      </c>
      <c r="F542" s="24" t="s">
        <v>103</v>
      </c>
      <c r="G542" s="12"/>
      <c r="H542" s="12"/>
      <c r="I542" s="4" t="s">
        <v>60</v>
      </c>
    </row>
    <row r="543" spans="1:9" hidden="1" x14ac:dyDescent="0.2">
      <c r="A543" s="4" t="s">
        <v>1773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896</v>
      </c>
      <c r="G543" s="12"/>
      <c r="H543" s="12"/>
    </row>
    <row r="544" spans="1:9" hidden="1" x14ac:dyDescent="0.2">
      <c r="A544" s="4" t="s">
        <v>1773</v>
      </c>
      <c r="B544" s="21">
        <v>43761</v>
      </c>
      <c r="C544" s="12">
        <v>3</v>
      </c>
      <c r="D544" s="22" t="s">
        <v>945</v>
      </c>
      <c r="E544" s="23">
        <v>43755</v>
      </c>
      <c r="F544" s="24" t="s">
        <v>103</v>
      </c>
      <c r="G544" s="12"/>
      <c r="H544" s="12"/>
      <c r="I544" s="4" t="s">
        <v>64</v>
      </c>
    </row>
    <row r="545" spans="1:9" hidden="1" x14ac:dyDescent="0.2">
      <c r="A545" s="4" t="s">
        <v>1773</v>
      </c>
      <c r="B545" s="21">
        <v>43761</v>
      </c>
      <c r="C545" s="12">
        <v>4</v>
      </c>
      <c r="D545" s="22" t="s">
        <v>66</v>
      </c>
      <c r="E545" s="23">
        <v>43755</v>
      </c>
      <c r="F545" s="24" t="s">
        <v>896</v>
      </c>
      <c r="G545" s="12"/>
      <c r="H545" s="12"/>
      <c r="I545" s="4" t="s">
        <v>60</v>
      </c>
    </row>
    <row r="546" spans="1:9" hidden="1" x14ac:dyDescent="0.2">
      <c r="A546" s="4" t="s">
        <v>1773</v>
      </c>
      <c r="B546" s="21">
        <v>43761</v>
      </c>
      <c r="C546" s="12">
        <v>4</v>
      </c>
      <c r="D546" s="22" t="s">
        <v>957</v>
      </c>
      <c r="E546" s="23">
        <v>43756</v>
      </c>
      <c r="F546" s="24" t="s">
        <v>103</v>
      </c>
      <c r="G546" s="12"/>
      <c r="H546" s="12"/>
      <c r="I546" s="4" t="s">
        <v>69</v>
      </c>
    </row>
    <row r="547" spans="1:9" hidden="1" x14ac:dyDescent="0.2">
      <c r="A547" s="4" t="s">
        <v>1773</v>
      </c>
      <c r="B547" s="21">
        <v>43761</v>
      </c>
      <c r="C547" s="12">
        <v>5</v>
      </c>
      <c r="D547" s="22" t="s">
        <v>62</v>
      </c>
      <c r="E547" s="23">
        <v>43755</v>
      </c>
      <c r="F547" s="24" t="s">
        <v>896</v>
      </c>
      <c r="G547" s="12"/>
      <c r="H547" s="12"/>
    </row>
    <row r="548" spans="1:9" hidden="1" x14ac:dyDescent="0.2">
      <c r="A548" s="4" t="s">
        <v>1773</v>
      </c>
      <c r="B548" s="21">
        <v>43761</v>
      </c>
      <c r="C548" s="12">
        <v>5</v>
      </c>
      <c r="D548" s="22" t="s">
        <v>890</v>
      </c>
      <c r="E548" s="23">
        <v>43756</v>
      </c>
      <c r="F548" s="24" t="s">
        <v>259</v>
      </c>
      <c r="G548" s="12"/>
      <c r="H548" s="12"/>
      <c r="I548" s="4" t="s">
        <v>146</v>
      </c>
    </row>
    <row r="549" spans="1:9" hidden="1" x14ac:dyDescent="0.2">
      <c r="A549" s="4" t="s">
        <v>1773</v>
      </c>
      <c r="B549" s="21">
        <v>43761</v>
      </c>
      <c r="C549" s="12">
        <v>6</v>
      </c>
      <c r="D549" s="22" t="s">
        <v>215</v>
      </c>
      <c r="E549" s="23">
        <v>43755</v>
      </c>
      <c r="F549" s="24" t="s">
        <v>896</v>
      </c>
      <c r="G549" s="12"/>
      <c r="H549" s="12"/>
    </row>
    <row r="550" spans="1:9" hidden="1" x14ac:dyDescent="0.2">
      <c r="A550" s="4" t="s">
        <v>1773</v>
      </c>
      <c r="B550" s="21">
        <v>43761</v>
      </c>
      <c r="C550" s="12">
        <v>6</v>
      </c>
      <c r="D550" s="22" t="s">
        <v>971</v>
      </c>
      <c r="E550" s="23">
        <v>43757</v>
      </c>
      <c r="F550" s="24" t="s">
        <v>103</v>
      </c>
      <c r="G550" s="12"/>
      <c r="H550" s="12"/>
    </row>
    <row r="551" spans="1:9" hidden="1" x14ac:dyDescent="0.2">
      <c r="A551" s="4" t="s">
        <v>1773</v>
      </c>
      <c r="B551" s="21">
        <v>43761</v>
      </c>
      <c r="C551" s="12">
        <v>7</v>
      </c>
      <c r="D551" s="22" t="s">
        <v>746</v>
      </c>
      <c r="E551" s="23">
        <v>43756</v>
      </c>
      <c r="F551" s="24" t="s">
        <v>896</v>
      </c>
      <c r="G551" s="12"/>
      <c r="H551" s="12"/>
      <c r="I551" s="4" t="s">
        <v>69</v>
      </c>
    </row>
    <row r="552" spans="1:9" hidden="1" x14ac:dyDescent="0.2">
      <c r="A552" s="4" t="s">
        <v>1773</v>
      </c>
      <c r="B552" s="21">
        <v>43761</v>
      </c>
      <c r="C552" s="12">
        <v>7</v>
      </c>
      <c r="D552" s="22" t="s">
        <v>1075</v>
      </c>
      <c r="E552" s="23">
        <v>43762</v>
      </c>
      <c r="F552" s="24" t="s">
        <v>103</v>
      </c>
      <c r="G552" s="12"/>
      <c r="H552" s="12"/>
    </row>
    <row r="553" spans="1:9" hidden="1" x14ac:dyDescent="0.2">
      <c r="A553" s="4" t="s">
        <v>1773</v>
      </c>
      <c r="B553" s="21">
        <v>43761</v>
      </c>
      <c r="C553" s="12">
        <v>8</v>
      </c>
      <c r="D553" s="22" t="s">
        <v>144</v>
      </c>
      <c r="E553" s="23">
        <v>43756</v>
      </c>
      <c r="F553" s="24" t="s">
        <v>896</v>
      </c>
      <c r="G553" s="12"/>
      <c r="H553" s="12"/>
      <c r="I553" s="4" t="s">
        <v>64</v>
      </c>
    </row>
    <row r="554" spans="1:9" hidden="1" x14ac:dyDescent="0.2">
      <c r="A554" s="4" t="s">
        <v>1773</v>
      </c>
      <c r="B554" s="21">
        <v>43761</v>
      </c>
      <c r="C554" s="12">
        <v>8</v>
      </c>
      <c r="D554" s="22" t="s">
        <v>894</v>
      </c>
      <c r="E554" s="23">
        <v>43759</v>
      </c>
      <c r="F554" s="24" t="s">
        <v>103</v>
      </c>
      <c r="G554" s="12"/>
      <c r="H554" s="12"/>
    </row>
    <row r="555" spans="1:9" hidden="1" x14ac:dyDescent="0.2">
      <c r="A555" s="4" t="s">
        <v>1773</v>
      </c>
      <c r="B555" s="21">
        <v>43761</v>
      </c>
      <c r="C555" s="12">
        <v>9</v>
      </c>
      <c r="D555" s="22" t="s">
        <v>437</v>
      </c>
      <c r="E555" s="23">
        <v>43756</v>
      </c>
      <c r="F555" s="24" t="s">
        <v>896</v>
      </c>
      <c r="G555" s="12"/>
      <c r="H555" s="12"/>
    </row>
    <row r="556" spans="1:9" hidden="1" x14ac:dyDescent="0.2">
      <c r="A556" s="4" t="s">
        <v>1773</v>
      </c>
      <c r="B556" s="21">
        <v>43761</v>
      </c>
      <c r="C556" s="12">
        <v>10</v>
      </c>
      <c r="D556" s="22" t="s">
        <v>461</v>
      </c>
      <c r="E556" s="23">
        <v>43756</v>
      </c>
      <c r="F556" s="24" t="s">
        <v>896</v>
      </c>
      <c r="G556" s="12"/>
      <c r="H556" s="12"/>
    </row>
    <row r="557" spans="1:9" hidden="1" x14ac:dyDescent="0.2">
      <c r="A557" s="4" t="s">
        <v>1773</v>
      </c>
      <c r="B557" s="21">
        <v>43761</v>
      </c>
      <c r="C557" s="12">
        <v>11</v>
      </c>
      <c r="D557" s="22" t="s">
        <v>91</v>
      </c>
      <c r="E557" s="23">
        <v>43756</v>
      </c>
      <c r="F557" s="24" t="s">
        <v>896</v>
      </c>
      <c r="G557" s="12"/>
      <c r="H557" s="12"/>
    </row>
    <row r="558" spans="1:9" hidden="1" x14ac:dyDescent="0.2">
      <c r="A558" s="4" t="s">
        <v>1773</v>
      </c>
      <c r="B558" s="21">
        <v>43761</v>
      </c>
      <c r="C558" s="12">
        <v>12</v>
      </c>
      <c r="D558" s="22" t="s">
        <v>217</v>
      </c>
      <c r="E558" s="23">
        <v>43756</v>
      </c>
      <c r="F558" s="24" t="s">
        <v>896</v>
      </c>
      <c r="G558" s="12"/>
      <c r="H558" s="12"/>
      <c r="I558" s="4" t="s">
        <v>146</v>
      </c>
    </row>
    <row r="559" spans="1:9" hidden="1" x14ac:dyDescent="0.2">
      <c r="A559" s="4" t="s">
        <v>1773</v>
      </c>
      <c r="B559" s="21">
        <v>43761</v>
      </c>
      <c r="C559" s="12">
        <v>13</v>
      </c>
      <c r="D559" s="22" t="s">
        <v>148</v>
      </c>
      <c r="E559" s="23">
        <v>43756</v>
      </c>
      <c r="F559" s="24" t="s">
        <v>896</v>
      </c>
      <c r="G559" s="12"/>
      <c r="H559" s="12"/>
      <c r="I559" s="4" t="s">
        <v>146</v>
      </c>
    </row>
    <row r="560" spans="1:9" hidden="1" x14ac:dyDescent="0.2">
      <c r="A560" s="4" t="s">
        <v>1773</v>
      </c>
      <c r="B560" s="21">
        <v>43761</v>
      </c>
      <c r="C560" s="12">
        <v>14</v>
      </c>
      <c r="D560" s="22" t="s">
        <v>451</v>
      </c>
      <c r="E560" s="23">
        <v>43756</v>
      </c>
      <c r="F560" s="24" t="s">
        <v>896</v>
      </c>
      <c r="G560" s="12"/>
      <c r="H560" s="12"/>
    </row>
    <row r="561" spans="1:9" hidden="1" x14ac:dyDescent="0.2">
      <c r="A561" s="4" t="s">
        <v>1773</v>
      </c>
      <c r="B561" s="21">
        <v>43761</v>
      </c>
      <c r="C561" s="12">
        <v>15</v>
      </c>
      <c r="D561" s="22" t="s">
        <v>145</v>
      </c>
      <c r="E561" s="23">
        <v>43756</v>
      </c>
      <c r="F561" s="24" t="s">
        <v>896</v>
      </c>
      <c r="G561" s="12"/>
      <c r="H561" s="12"/>
      <c r="I561" s="4" t="s">
        <v>146</v>
      </c>
    </row>
    <row r="562" spans="1:9" hidden="1" x14ac:dyDescent="0.2">
      <c r="A562" s="4" t="s">
        <v>1773</v>
      </c>
      <c r="B562" s="21">
        <v>43761</v>
      </c>
      <c r="C562" s="12">
        <v>16</v>
      </c>
      <c r="D562" s="22" t="s">
        <v>147</v>
      </c>
      <c r="E562" s="23">
        <v>43757</v>
      </c>
      <c r="F562" s="24" t="s">
        <v>896</v>
      </c>
      <c r="G562" s="12"/>
      <c r="H562" s="12"/>
      <c r="I562" s="4" t="s">
        <v>146</v>
      </c>
    </row>
    <row r="563" spans="1:9" hidden="1" x14ac:dyDescent="0.2">
      <c r="A563" s="4" t="s">
        <v>1773</v>
      </c>
      <c r="B563" s="21">
        <v>43761</v>
      </c>
      <c r="C563" s="12">
        <v>17</v>
      </c>
      <c r="D563" s="22" t="s">
        <v>124</v>
      </c>
      <c r="E563" s="23">
        <v>43757</v>
      </c>
      <c r="F563" s="24" t="s">
        <v>896</v>
      </c>
      <c r="G563" s="12"/>
      <c r="H563" s="12"/>
    </row>
    <row r="564" spans="1:9" hidden="1" x14ac:dyDescent="0.2">
      <c r="A564" s="4" t="s">
        <v>1773</v>
      </c>
      <c r="B564" s="21">
        <v>43761</v>
      </c>
      <c r="C564" s="12">
        <v>18</v>
      </c>
      <c r="D564" s="22" t="s">
        <v>126</v>
      </c>
      <c r="E564" s="23">
        <v>43760</v>
      </c>
      <c r="F564" s="24" t="s">
        <v>896</v>
      </c>
      <c r="G564" s="12"/>
      <c r="H564" s="12"/>
    </row>
    <row r="565" spans="1:9" hidden="1" x14ac:dyDescent="0.2">
      <c r="A565" s="4" t="s">
        <v>1773</v>
      </c>
      <c r="B565" s="21">
        <v>43761</v>
      </c>
      <c r="C565" s="12">
        <v>19</v>
      </c>
      <c r="D565" s="22" t="s">
        <v>128</v>
      </c>
      <c r="E565" s="23">
        <v>43760</v>
      </c>
      <c r="F565" s="24" t="s">
        <v>896</v>
      </c>
      <c r="G565" s="12"/>
      <c r="H565" s="12"/>
    </row>
    <row r="566" spans="1:9" hidden="1" x14ac:dyDescent="0.2">
      <c r="A566" s="4" t="s">
        <v>1773</v>
      </c>
      <c r="B566" s="21">
        <v>43761</v>
      </c>
      <c r="C566" s="12">
        <v>20</v>
      </c>
      <c r="D566" s="22" t="s">
        <v>101</v>
      </c>
      <c r="E566" s="23">
        <v>43760</v>
      </c>
      <c r="F566" s="24" t="s">
        <v>896</v>
      </c>
      <c r="G566" s="12"/>
      <c r="H566" s="12"/>
    </row>
    <row r="567" spans="1:9" hidden="1" x14ac:dyDescent="0.2">
      <c r="A567" s="4" t="s">
        <v>1773</v>
      </c>
      <c r="B567" s="21">
        <v>43761</v>
      </c>
      <c r="C567" s="12">
        <v>21</v>
      </c>
      <c r="D567" s="22" t="s">
        <v>313</v>
      </c>
      <c r="E567" s="23">
        <v>43760</v>
      </c>
      <c r="F567" s="24" t="s">
        <v>896</v>
      </c>
      <c r="G567" s="12"/>
      <c r="H567" s="12"/>
    </row>
    <row r="568" spans="1:9" hidden="1" x14ac:dyDescent="0.2">
      <c r="A568" s="4" t="s">
        <v>1773</v>
      </c>
      <c r="B568" s="21">
        <v>43761</v>
      </c>
      <c r="C568" s="12">
        <v>22</v>
      </c>
      <c r="D568" s="22" t="s">
        <v>143</v>
      </c>
      <c r="E568" s="23">
        <v>43761</v>
      </c>
      <c r="F568" s="24" t="s">
        <v>896</v>
      </c>
      <c r="G568" s="12"/>
      <c r="H568" s="12"/>
    </row>
    <row r="569" spans="1:9" hidden="1" x14ac:dyDescent="0.2">
      <c r="A569" s="4" t="s">
        <v>2005</v>
      </c>
      <c r="B569" s="21">
        <v>43762</v>
      </c>
      <c r="C569" s="12">
        <v>1</v>
      </c>
      <c r="D569" s="22" t="s">
        <v>373</v>
      </c>
      <c r="E569" s="23">
        <v>43713</v>
      </c>
      <c r="F569" s="24" t="s">
        <v>1</v>
      </c>
      <c r="G569" s="12"/>
      <c r="H569" s="12"/>
    </row>
    <row r="570" spans="1:9" hidden="1" x14ac:dyDescent="0.2">
      <c r="A570" s="4" t="s">
        <v>2005</v>
      </c>
      <c r="B570" s="21">
        <v>43762</v>
      </c>
      <c r="C570" s="12">
        <v>2</v>
      </c>
      <c r="D570" s="22" t="s">
        <v>374</v>
      </c>
      <c r="E570" s="23">
        <v>43714</v>
      </c>
      <c r="F570" s="24" t="s">
        <v>1</v>
      </c>
      <c r="G570" s="12"/>
      <c r="H570" s="12"/>
    </row>
    <row r="571" spans="1:9" hidden="1" x14ac:dyDescent="0.2">
      <c r="A571" s="4" t="s">
        <v>2005</v>
      </c>
      <c r="B571" s="21">
        <v>43762</v>
      </c>
      <c r="C571" s="12">
        <v>2</v>
      </c>
      <c r="D571" s="22" t="s">
        <v>958</v>
      </c>
      <c r="E571" s="23">
        <v>43759</v>
      </c>
      <c r="F571" s="24" t="s">
        <v>1010</v>
      </c>
      <c r="G571" s="12"/>
      <c r="H571" s="12"/>
    </row>
    <row r="572" spans="1:9" hidden="1" x14ac:dyDescent="0.2">
      <c r="A572" s="4" t="s">
        <v>2005</v>
      </c>
      <c r="B572" s="21">
        <v>43762</v>
      </c>
      <c r="C572" s="12">
        <v>3</v>
      </c>
      <c r="D572" s="22" t="s">
        <v>375</v>
      </c>
      <c r="E572" s="23">
        <v>43714</v>
      </c>
      <c r="F572" s="24" t="s">
        <v>1</v>
      </c>
      <c r="G572" s="12"/>
      <c r="H572" s="12"/>
    </row>
    <row r="573" spans="1:9" hidden="1" x14ac:dyDescent="0.2">
      <c r="A573" s="4" t="s">
        <v>2005</v>
      </c>
      <c r="B573" s="21">
        <v>43762</v>
      </c>
      <c r="C573" s="12">
        <v>3</v>
      </c>
      <c r="D573" s="22" t="s">
        <v>764</v>
      </c>
      <c r="E573" s="23">
        <v>43759</v>
      </c>
      <c r="F573" s="24" t="s">
        <v>1010</v>
      </c>
      <c r="G573" s="12"/>
      <c r="H573" s="12"/>
      <c r="I573" s="4" t="s">
        <v>760</v>
      </c>
    </row>
    <row r="574" spans="1:9" hidden="1" x14ac:dyDescent="0.2">
      <c r="A574" s="4" t="s">
        <v>2005</v>
      </c>
      <c r="B574" s="21">
        <v>43762</v>
      </c>
      <c r="C574" s="12">
        <v>4</v>
      </c>
      <c r="D574" s="22" t="s">
        <v>376</v>
      </c>
      <c r="E574" s="23">
        <v>43714</v>
      </c>
      <c r="F574" s="24" t="s">
        <v>1</v>
      </c>
      <c r="G574" s="12"/>
      <c r="H574" s="12"/>
    </row>
    <row r="575" spans="1:9" hidden="1" x14ac:dyDescent="0.2">
      <c r="A575" s="4" t="s">
        <v>2005</v>
      </c>
      <c r="B575" s="21">
        <v>43762</v>
      </c>
      <c r="C575" s="12">
        <v>4</v>
      </c>
      <c r="D575" s="22" t="s">
        <v>762</v>
      </c>
      <c r="E575" s="23">
        <v>43759</v>
      </c>
      <c r="F575" s="24" t="s">
        <v>1010</v>
      </c>
      <c r="G575" s="12"/>
      <c r="H575" s="12"/>
    </row>
    <row r="576" spans="1:9" hidden="1" x14ac:dyDescent="0.2">
      <c r="A576" s="4" t="s">
        <v>2005</v>
      </c>
      <c r="B576" s="21">
        <v>43762</v>
      </c>
      <c r="C576" s="12">
        <v>5</v>
      </c>
      <c r="D576" s="22" t="s">
        <v>410</v>
      </c>
      <c r="E576" s="23">
        <v>43726</v>
      </c>
      <c r="F576" s="24" t="s">
        <v>259</v>
      </c>
      <c r="G576" s="12"/>
      <c r="H576" s="12"/>
    </row>
    <row r="577" spans="1:8" hidden="1" x14ac:dyDescent="0.2">
      <c r="A577" s="4" t="s">
        <v>2005</v>
      </c>
      <c r="B577" s="21">
        <v>43762</v>
      </c>
      <c r="C577" s="12">
        <v>5</v>
      </c>
      <c r="D577" s="22" t="s">
        <v>766</v>
      </c>
      <c r="E577" s="23">
        <v>43760</v>
      </c>
      <c r="F577" s="24" t="s">
        <v>1010</v>
      </c>
      <c r="G577" s="12"/>
      <c r="H577" s="12"/>
    </row>
    <row r="578" spans="1:8" hidden="1" x14ac:dyDescent="0.2">
      <c r="A578" s="4" t="s">
        <v>2005</v>
      </c>
      <c r="B578" s="21">
        <v>43762</v>
      </c>
      <c r="C578" s="12">
        <v>6</v>
      </c>
      <c r="D578" s="22" t="s">
        <v>407</v>
      </c>
      <c r="E578" s="23">
        <v>43756</v>
      </c>
      <c r="F578" s="24" t="s">
        <v>137</v>
      </c>
      <c r="G578" s="12"/>
      <c r="H578" s="12"/>
    </row>
    <row r="579" spans="1:8" hidden="1" x14ac:dyDescent="0.2">
      <c r="A579" s="4" t="s">
        <v>2005</v>
      </c>
      <c r="B579" s="21">
        <v>43762</v>
      </c>
      <c r="C579" s="12">
        <v>6</v>
      </c>
      <c r="D579" s="22" t="s">
        <v>768</v>
      </c>
      <c r="E579" s="23">
        <v>43760</v>
      </c>
      <c r="F579" s="24" t="s">
        <v>1010</v>
      </c>
      <c r="G579" s="12"/>
      <c r="H579" s="12"/>
    </row>
    <row r="580" spans="1:8" hidden="1" x14ac:dyDescent="0.2">
      <c r="A580" s="4" t="s">
        <v>2005</v>
      </c>
      <c r="B580" s="21">
        <v>43762</v>
      </c>
      <c r="C580" s="12">
        <v>7</v>
      </c>
      <c r="D580" s="22" t="s">
        <v>344</v>
      </c>
      <c r="E580" s="23">
        <v>43756</v>
      </c>
      <c r="F580" s="24" t="s">
        <v>137</v>
      </c>
      <c r="G580" s="12"/>
      <c r="H580" s="12"/>
    </row>
    <row r="581" spans="1:8" hidden="1" x14ac:dyDescent="0.2">
      <c r="A581" s="4" t="s">
        <v>2005</v>
      </c>
      <c r="B581" s="21">
        <v>43762</v>
      </c>
      <c r="C581" s="12">
        <v>7</v>
      </c>
      <c r="D581" s="22" t="s">
        <v>772</v>
      </c>
      <c r="E581" s="23">
        <v>43763</v>
      </c>
      <c r="F581" s="24" t="s">
        <v>1010</v>
      </c>
      <c r="G581" s="12"/>
      <c r="H581" s="12"/>
    </row>
    <row r="582" spans="1:8" hidden="1" x14ac:dyDescent="0.2">
      <c r="A582" s="4" t="s">
        <v>2005</v>
      </c>
      <c r="B582" s="21">
        <v>43762</v>
      </c>
      <c r="C582" s="12">
        <v>8</v>
      </c>
      <c r="D582" s="22" t="s">
        <v>411</v>
      </c>
      <c r="E582" s="23">
        <v>43756</v>
      </c>
      <c r="F582" s="24" t="s">
        <v>137</v>
      </c>
      <c r="G582" s="12"/>
      <c r="H582" s="12"/>
    </row>
    <row r="583" spans="1:8" hidden="1" x14ac:dyDescent="0.2">
      <c r="A583" s="4" t="s">
        <v>2005</v>
      </c>
      <c r="B583" s="21">
        <v>43762</v>
      </c>
      <c r="C583" s="12">
        <v>9</v>
      </c>
      <c r="D583" s="22" t="s">
        <v>345</v>
      </c>
      <c r="E583" s="23">
        <v>43759</v>
      </c>
      <c r="F583" s="24" t="s">
        <v>137</v>
      </c>
      <c r="G583" s="12"/>
      <c r="H583" s="12"/>
    </row>
    <row r="584" spans="1:8" hidden="1" x14ac:dyDescent="0.2">
      <c r="A584" s="4" t="s">
        <v>2005</v>
      </c>
      <c r="B584" s="21">
        <v>43762</v>
      </c>
      <c r="C584" s="12">
        <v>10</v>
      </c>
      <c r="D584" s="22" t="s">
        <v>413</v>
      </c>
      <c r="E584" s="23">
        <v>43759</v>
      </c>
      <c r="F584" s="24" t="s">
        <v>137</v>
      </c>
      <c r="G584" s="12"/>
      <c r="H584" s="12"/>
    </row>
    <row r="585" spans="1:8" hidden="1" x14ac:dyDescent="0.2">
      <c r="A585" s="4" t="s">
        <v>2005</v>
      </c>
      <c r="B585" s="21">
        <v>43762</v>
      </c>
      <c r="C585" s="12">
        <v>11</v>
      </c>
      <c r="D585" s="22" t="s">
        <v>412</v>
      </c>
      <c r="E585" s="23">
        <v>43759</v>
      </c>
      <c r="F585" s="24" t="s">
        <v>137</v>
      </c>
      <c r="G585" s="12"/>
      <c r="H585" s="12"/>
    </row>
    <row r="586" spans="1:8" hidden="1" x14ac:dyDescent="0.2">
      <c r="A586" s="4" t="s">
        <v>2005</v>
      </c>
      <c r="B586" s="21">
        <v>43762</v>
      </c>
      <c r="C586" s="12">
        <v>12</v>
      </c>
      <c r="D586" s="22" t="s">
        <v>397</v>
      </c>
      <c r="E586" s="23">
        <v>43759</v>
      </c>
      <c r="F586" s="24" t="s">
        <v>137</v>
      </c>
      <c r="G586" s="12"/>
      <c r="H586" s="12"/>
    </row>
    <row r="587" spans="1:8" hidden="1" x14ac:dyDescent="0.2">
      <c r="A587" s="4" t="s">
        <v>2005</v>
      </c>
      <c r="B587" s="21">
        <v>43762</v>
      </c>
      <c r="C587" s="12">
        <v>13</v>
      </c>
      <c r="D587" s="22" t="s">
        <v>398</v>
      </c>
      <c r="E587" s="23">
        <v>43759</v>
      </c>
      <c r="F587" s="24" t="s">
        <v>137</v>
      </c>
      <c r="G587" s="12"/>
      <c r="H587" s="12"/>
    </row>
    <row r="588" spans="1:8" hidden="1" x14ac:dyDescent="0.2">
      <c r="A588" s="4" t="s">
        <v>2005</v>
      </c>
      <c r="B588" s="21">
        <v>43762</v>
      </c>
      <c r="C588" s="12">
        <v>14</v>
      </c>
      <c r="D588" s="22" t="s">
        <v>399</v>
      </c>
      <c r="E588" s="23">
        <v>43759</v>
      </c>
      <c r="F588" s="24" t="s">
        <v>137</v>
      </c>
      <c r="G588" s="12"/>
      <c r="H588" s="12"/>
    </row>
    <row r="589" spans="1:8" hidden="1" x14ac:dyDescent="0.2">
      <c r="A589" s="4" t="s">
        <v>2005</v>
      </c>
      <c r="B589" s="21">
        <v>43762</v>
      </c>
      <c r="C589" s="12">
        <v>15</v>
      </c>
      <c r="D589" s="22" t="s">
        <v>400</v>
      </c>
      <c r="E589" s="23">
        <v>43759</v>
      </c>
      <c r="F589" s="24" t="s">
        <v>137</v>
      </c>
      <c r="G589" s="12"/>
      <c r="H589" s="12"/>
    </row>
    <row r="590" spans="1:8" hidden="1" x14ac:dyDescent="0.2">
      <c r="A590" s="4" t="s">
        <v>2005</v>
      </c>
      <c r="B590" s="21">
        <v>43762</v>
      </c>
      <c r="C590" s="12">
        <v>16</v>
      </c>
      <c r="D590" s="22" t="s">
        <v>401</v>
      </c>
      <c r="E590" s="23">
        <v>43759</v>
      </c>
      <c r="F590" s="24" t="s">
        <v>137</v>
      </c>
      <c r="G590" s="12"/>
      <c r="H590" s="12"/>
    </row>
    <row r="591" spans="1:8" hidden="1" x14ac:dyDescent="0.2">
      <c r="A591" s="4" t="s">
        <v>2005</v>
      </c>
      <c r="B591" s="21">
        <v>43762</v>
      </c>
      <c r="C591" s="12">
        <v>17</v>
      </c>
      <c r="D591" s="22" t="s">
        <v>402</v>
      </c>
      <c r="E591" s="23">
        <v>43759</v>
      </c>
      <c r="F591" s="24" t="s">
        <v>137</v>
      </c>
      <c r="G591" s="12"/>
      <c r="H591" s="12"/>
    </row>
    <row r="592" spans="1:8" hidden="1" x14ac:dyDescent="0.2">
      <c r="A592" s="4" t="s">
        <v>2005</v>
      </c>
      <c r="B592" s="21">
        <v>43762</v>
      </c>
      <c r="C592" s="12">
        <v>18</v>
      </c>
      <c r="D592" s="22" t="s">
        <v>123</v>
      </c>
      <c r="E592" s="23">
        <v>43760</v>
      </c>
      <c r="F592" s="24" t="s">
        <v>137</v>
      </c>
      <c r="G592" s="12"/>
      <c r="H592" s="12"/>
    </row>
    <row r="593" spans="1:8" hidden="1" x14ac:dyDescent="0.2">
      <c r="A593" s="4" t="s">
        <v>2005</v>
      </c>
      <c r="B593" s="21">
        <v>43762</v>
      </c>
      <c r="C593" s="12">
        <v>19</v>
      </c>
      <c r="D593" s="22" t="s">
        <v>125</v>
      </c>
      <c r="E593" s="23">
        <v>43760</v>
      </c>
      <c r="F593" s="24" t="s">
        <v>137</v>
      </c>
      <c r="G593" s="12"/>
      <c r="H593" s="12"/>
    </row>
    <row r="594" spans="1:8" hidden="1" x14ac:dyDescent="0.2">
      <c r="A594" s="4" t="s">
        <v>2005</v>
      </c>
      <c r="B594" s="21">
        <v>43762</v>
      </c>
      <c r="C594" s="12">
        <v>20</v>
      </c>
      <c r="D594" s="22" t="s">
        <v>127</v>
      </c>
      <c r="E594" s="23">
        <v>43761</v>
      </c>
      <c r="F594" s="24" t="s">
        <v>137</v>
      </c>
      <c r="G594" s="12"/>
      <c r="H594" s="12"/>
    </row>
    <row r="595" spans="1:8" hidden="1" x14ac:dyDescent="0.2">
      <c r="A595" s="4" t="s">
        <v>2005</v>
      </c>
      <c r="B595" s="21">
        <v>43762</v>
      </c>
      <c r="C595" s="12">
        <v>21</v>
      </c>
      <c r="D595" s="22" t="s">
        <v>129</v>
      </c>
      <c r="E595" s="23">
        <v>43761</v>
      </c>
      <c r="F595" s="24" t="s">
        <v>137</v>
      </c>
      <c r="G595" s="12"/>
      <c r="H595" s="12"/>
    </row>
    <row r="596" spans="1:8" hidden="1" x14ac:dyDescent="0.2">
      <c r="A596" s="4" t="s">
        <v>2005</v>
      </c>
      <c r="B596" s="21">
        <v>43762</v>
      </c>
      <c r="C596" s="12">
        <v>22</v>
      </c>
      <c r="D596" s="22" t="s">
        <v>143</v>
      </c>
      <c r="E596" s="23">
        <v>43762</v>
      </c>
      <c r="F596" s="24" t="s">
        <v>137</v>
      </c>
      <c r="G596" s="12"/>
      <c r="H596" s="12"/>
    </row>
    <row r="597" spans="1:8" hidden="1" x14ac:dyDescent="0.2">
      <c r="A597" s="4" t="s">
        <v>2005</v>
      </c>
      <c r="B597" s="21">
        <v>43762</v>
      </c>
      <c r="C597" s="12">
        <v>23</v>
      </c>
      <c r="D597" s="22" t="s">
        <v>403</v>
      </c>
      <c r="E597" s="23">
        <v>43762</v>
      </c>
      <c r="F597" s="24" t="s">
        <v>137</v>
      </c>
      <c r="G597" s="12"/>
      <c r="H597" s="12"/>
    </row>
    <row r="598" spans="1:8" hidden="1" x14ac:dyDescent="0.2">
      <c r="A598" s="4" t="s">
        <v>2005</v>
      </c>
      <c r="B598" s="21">
        <v>43762</v>
      </c>
      <c r="C598" s="12">
        <v>24</v>
      </c>
      <c r="D598" s="22" t="s">
        <v>393</v>
      </c>
      <c r="E598" s="23">
        <v>43766</v>
      </c>
      <c r="F598" s="24" t="s">
        <v>137</v>
      </c>
      <c r="G598" s="12"/>
      <c r="H598" s="12"/>
    </row>
    <row r="599" spans="1:8" hidden="1" x14ac:dyDescent="0.2">
      <c r="A599" s="4" t="s">
        <v>2005</v>
      </c>
      <c r="B599" s="21">
        <v>43762</v>
      </c>
      <c r="C599" s="12">
        <v>25</v>
      </c>
      <c r="D599" s="22" t="s">
        <v>404</v>
      </c>
      <c r="E599" s="23">
        <v>43766</v>
      </c>
      <c r="F599" s="24" t="s">
        <v>137</v>
      </c>
      <c r="G599" s="12"/>
      <c r="H599" s="12"/>
    </row>
    <row r="600" spans="1:8" hidden="1" x14ac:dyDescent="0.2">
      <c r="A600" s="4" t="s">
        <v>1993</v>
      </c>
      <c r="B600" s="21">
        <v>43763</v>
      </c>
      <c r="C600" s="12">
        <v>1</v>
      </c>
      <c r="D600" s="22" t="s">
        <v>1097</v>
      </c>
      <c r="E600" s="23">
        <v>43760</v>
      </c>
      <c r="F600" s="24" t="s">
        <v>103</v>
      </c>
      <c r="G600" s="12"/>
      <c r="H600" s="12"/>
    </row>
    <row r="601" spans="1:8" hidden="1" x14ac:dyDescent="0.2">
      <c r="A601" s="4" t="s">
        <v>1993</v>
      </c>
      <c r="B601" s="21">
        <v>43763</v>
      </c>
      <c r="C601" s="12">
        <v>2</v>
      </c>
      <c r="D601" s="22" t="s">
        <v>1098</v>
      </c>
      <c r="E601" s="23">
        <v>43761</v>
      </c>
      <c r="F601" s="24" t="s">
        <v>103</v>
      </c>
      <c r="G601" s="12"/>
      <c r="H601" s="12"/>
    </row>
    <row r="602" spans="1:8" hidden="1" x14ac:dyDescent="0.2">
      <c r="A602" s="4" t="s">
        <v>1993</v>
      </c>
      <c r="B602" s="21">
        <v>43763</v>
      </c>
      <c r="C602" s="12">
        <v>3</v>
      </c>
      <c r="D602" s="22" t="s">
        <v>1122</v>
      </c>
      <c r="E602" s="23">
        <v>43763</v>
      </c>
      <c r="F602" s="24" t="s">
        <v>103</v>
      </c>
      <c r="G602" s="12"/>
      <c r="H602" s="12"/>
    </row>
    <row r="603" spans="1:8" hidden="1" x14ac:dyDescent="0.2">
      <c r="A603" s="4" t="s">
        <v>1993</v>
      </c>
      <c r="B603" s="21">
        <v>43763</v>
      </c>
      <c r="C603" s="12">
        <v>4</v>
      </c>
      <c r="D603" s="22" t="s">
        <v>1221</v>
      </c>
      <c r="E603" s="23">
        <v>43768</v>
      </c>
      <c r="F603" s="24" t="s">
        <v>103</v>
      </c>
      <c r="G603" s="12"/>
      <c r="H603" s="12"/>
    </row>
    <row r="604" spans="1:8" hidden="1" x14ac:dyDescent="0.2">
      <c r="A604" s="4" t="s">
        <v>1993</v>
      </c>
      <c r="B604" s="21">
        <v>43763</v>
      </c>
      <c r="C604" s="12">
        <v>5</v>
      </c>
      <c r="D604" s="22" t="s">
        <v>1231</v>
      </c>
      <c r="E604" s="23">
        <v>43770</v>
      </c>
      <c r="F604" s="24" t="s">
        <v>103</v>
      </c>
      <c r="G604" s="12"/>
      <c r="H604" s="12"/>
    </row>
    <row r="605" spans="1:8" hidden="1" x14ac:dyDescent="0.2">
      <c r="A605" s="4" t="s">
        <v>1993</v>
      </c>
      <c r="B605" s="21">
        <v>43763</v>
      </c>
      <c r="C605" s="12">
        <v>6</v>
      </c>
      <c r="D605" s="22" t="s">
        <v>1178</v>
      </c>
      <c r="E605" s="23">
        <v>43767</v>
      </c>
      <c r="F605" s="24" t="s">
        <v>1</v>
      </c>
      <c r="G605" s="12"/>
      <c r="H605" s="12"/>
    </row>
    <row r="606" spans="1:8" hidden="1" x14ac:dyDescent="0.2">
      <c r="A606" s="4" t="s">
        <v>2002</v>
      </c>
      <c r="B606" s="21">
        <v>43763</v>
      </c>
      <c r="C606" s="12">
        <v>1</v>
      </c>
      <c r="D606" s="22" t="s">
        <v>1012</v>
      </c>
      <c r="E606" s="23">
        <v>43760</v>
      </c>
      <c r="F606" s="24" t="s">
        <v>103</v>
      </c>
      <c r="G606" s="12"/>
      <c r="H606" s="12"/>
    </row>
    <row r="607" spans="1:8" hidden="1" x14ac:dyDescent="0.2">
      <c r="A607" s="4" t="s">
        <v>2002</v>
      </c>
      <c r="B607" s="21">
        <v>43763</v>
      </c>
      <c r="C607" s="12">
        <v>2</v>
      </c>
      <c r="D607" s="22" t="s">
        <v>1013</v>
      </c>
      <c r="E607" s="23">
        <v>43760</v>
      </c>
      <c r="F607" s="24" t="s">
        <v>103</v>
      </c>
      <c r="G607" s="12"/>
      <c r="H607" s="12"/>
    </row>
    <row r="608" spans="1:8" hidden="1" x14ac:dyDescent="0.2">
      <c r="A608" s="4" t="s">
        <v>2002</v>
      </c>
      <c r="B608" s="21">
        <v>43763</v>
      </c>
      <c r="C608" s="12">
        <v>3</v>
      </c>
      <c r="D608" s="22" t="s">
        <v>1186</v>
      </c>
      <c r="E608" s="23">
        <v>43767</v>
      </c>
      <c r="F608" s="24" t="s">
        <v>103</v>
      </c>
      <c r="G608" s="12">
        <v>1</v>
      </c>
      <c r="H608" s="12"/>
    </row>
    <row r="609" spans="1:8" hidden="1" x14ac:dyDescent="0.2">
      <c r="A609" s="4" t="s">
        <v>2002</v>
      </c>
      <c r="B609" s="21">
        <v>43763</v>
      </c>
      <c r="C609" s="12">
        <v>4</v>
      </c>
      <c r="D609" s="22" t="s">
        <v>1203</v>
      </c>
      <c r="E609" s="23">
        <v>43817</v>
      </c>
      <c r="F609" s="24" t="s">
        <v>2034</v>
      </c>
      <c r="G609" s="12"/>
      <c r="H609" s="12"/>
    </row>
    <row r="610" spans="1:8" hidden="1" x14ac:dyDescent="0.2">
      <c r="A610" s="4" t="s">
        <v>2002</v>
      </c>
      <c r="B610" s="21">
        <v>43763</v>
      </c>
      <c r="C610" s="12">
        <v>5</v>
      </c>
      <c r="D610" s="22" t="s">
        <v>1204</v>
      </c>
      <c r="E610" s="23">
        <v>43764</v>
      </c>
      <c r="F610" s="24" t="s">
        <v>103</v>
      </c>
      <c r="G610" s="12"/>
      <c r="H610" s="12"/>
    </row>
    <row r="611" spans="1:8" hidden="1" x14ac:dyDescent="0.2">
      <c r="A611" s="4" t="s">
        <v>2009</v>
      </c>
      <c r="B611" s="21">
        <v>43763</v>
      </c>
      <c r="C611" s="12">
        <v>0</v>
      </c>
      <c r="D611" s="22" t="s">
        <v>741</v>
      </c>
      <c r="E611" s="23">
        <v>43751</v>
      </c>
      <c r="F611" s="24" t="s">
        <v>103</v>
      </c>
      <c r="G611" s="12"/>
      <c r="H611" s="12"/>
    </row>
    <row r="612" spans="1:8" hidden="1" x14ac:dyDescent="0.2">
      <c r="A612" s="4" t="s">
        <v>2009</v>
      </c>
      <c r="B612" s="21">
        <v>43763</v>
      </c>
      <c r="C612" s="12">
        <v>1</v>
      </c>
      <c r="D612" s="22" t="s">
        <v>925</v>
      </c>
      <c r="E612" s="23">
        <v>43755</v>
      </c>
      <c r="F612" s="24" t="s">
        <v>103</v>
      </c>
      <c r="G612" s="12"/>
      <c r="H612" s="12"/>
    </row>
    <row r="613" spans="1:8" hidden="1" x14ac:dyDescent="0.2">
      <c r="A613" s="4" t="s">
        <v>2009</v>
      </c>
      <c r="B613" s="21">
        <v>43763</v>
      </c>
      <c r="C613" s="12">
        <v>2</v>
      </c>
      <c r="D613" s="22" t="s">
        <v>1020</v>
      </c>
      <c r="E613" s="23">
        <v>43760</v>
      </c>
      <c r="F613" s="24" t="s">
        <v>103</v>
      </c>
      <c r="G613" s="12"/>
      <c r="H613" s="12"/>
    </row>
    <row r="614" spans="1:8" hidden="1" x14ac:dyDescent="0.2">
      <c r="A614" s="4" t="s">
        <v>2009</v>
      </c>
      <c r="B614" s="21">
        <v>43763</v>
      </c>
      <c r="C614" s="12">
        <v>3</v>
      </c>
      <c r="D614" s="22" t="s">
        <v>1034</v>
      </c>
      <c r="E614" s="23">
        <v>43760</v>
      </c>
      <c r="F614" s="24" t="s">
        <v>103</v>
      </c>
      <c r="G614" s="12"/>
      <c r="H614" s="12"/>
    </row>
    <row r="615" spans="1:8" hidden="1" x14ac:dyDescent="0.2">
      <c r="A615" s="4" t="s">
        <v>2009</v>
      </c>
      <c r="B615" s="21">
        <v>43763</v>
      </c>
      <c r="C615" s="12">
        <v>4</v>
      </c>
      <c r="D615" s="22" t="s">
        <v>1046</v>
      </c>
      <c r="E615" s="23">
        <v>43760</v>
      </c>
      <c r="F615" s="24" t="s">
        <v>103</v>
      </c>
      <c r="G615" s="12"/>
      <c r="H615" s="12"/>
    </row>
    <row r="616" spans="1:8" hidden="1" x14ac:dyDescent="0.2">
      <c r="A616" s="4" t="s">
        <v>2009</v>
      </c>
      <c r="B616" s="21">
        <v>43763</v>
      </c>
      <c r="C616" s="12">
        <v>5</v>
      </c>
      <c r="D616" s="22" t="s">
        <v>1035</v>
      </c>
      <c r="E616" s="23">
        <v>43760</v>
      </c>
      <c r="F616" s="24" t="s">
        <v>103</v>
      </c>
      <c r="G616" s="12"/>
      <c r="H616" s="12"/>
    </row>
    <row r="617" spans="1:8" hidden="1" x14ac:dyDescent="0.2">
      <c r="A617" s="4" t="s">
        <v>2009</v>
      </c>
      <c r="B617" s="21">
        <v>43763</v>
      </c>
      <c r="C617" s="12">
        <v>6</v>
      </c>
      <c r="D617" s="22" t="s">
        <v>1037</v>
      </c>
      <c r="E617" s="23">
        <v>43760</v>
      </c>
      <c r="F617" s="24" t="s">
        <v>103</v>
      </c>
      <c r="G617" s="12"/>
      <c r="H617" s="12"/>
    </row>
    <row r="618" spans="1:8" hidden="1" x14ac:dyDescent="0.2">
      <c r="A618" s="4" t="s">
        <v>2009</v>
      </c>
      <c r="B618" s="21">
        <v>43763</v>
      </c>
      <c r="C618" s="12">
        <v>7</v>
      </c>
      <c r="D618" s="22" t="s">
        <v>1036</v>
      </c>
      <c r="E618" s="23">
        <v>43760</v>
      </c>
      <c r="F618" s="24" t="s">
        <v>103</v>
      </c>
      <c r="G618" s="12"/>
      <c r="H618" s="12"/>
    </row>
    <row r="619" spans="1:8" hidden="1" x14ac:dyDescent="0.2">
      <c r="A619" s="4" t="s">
        <v>2009</v>
      </c>
      <c r="B619" s="21">
        <v>43763</v>
      </c>
      <c r="C619" s="12">
        <v>8</v>
      </c>
      <c r="D619" s="22" t="s">
        <v>1052</v>
      </c>
      <c r="E619" s="23">
        <v>43761</v>
      </c>
      <c r="F619" s="24" t="s">
        <v>103</v>
      </c>
      <c r="G619" s="12"/>
      <c r="H619" s="12"/>
    </row>
    <row r="620" spans="1:8" hidden="1" x14ac:dyDescent="0.2">
      <c r="A620" s="4" t="s">
        <v>2009</v>
      </c>
      <c r="B620" s="21">
        <v>43763</v>
      </c>
      <c r="C620" s="12">
        <v>9</v>
      </c>
      <c r="D620" s="22" t="s">
        <v>819</v>
      </c>
      <c r="E620" s="23">
        <v>43760</v>
      </c>
      <c r="F620" s="24" t="s">
        <v>259</v>
      </c>
      <c r="G620" s="12"/>
      <c r="H620" s="12"/>
    </row>
    <row r="621" spans="1:8" hidden="1" x14ac:dyDescent="0.2">
      <c r="A621" s="4" t="s">
        <v>2009</v>
      </c>
      <c r="B621" s="21">
        <v>43763</v>
      </c>
      <c r="C621" s="12">
        <v>10</v>
      </c>
      <c r="D621" s="22" t="s">
        <v>1119</v>
      </c>
      <c r="E621" s="23">
        <v>43764</v>
      </c>
      <c r="F621" s="24" t="s">
        <v>103</v>
      </c>
      <c r="G621" s="12"/>
      <c r="H621" s="12"/>
    </row>
    <row r="622" spans="1:8" hidden="1" x14ac:dyDescent="0.2">
      <c r="A622" s="4" t="s">
        <v>2009</v>
      </c>
      <c r="B622" s="21">
        <v>43763</v>
      </c>
      <c r="C622" s="12">
        <v>11</v>
      </c>
      <c r="D622" s="22" t="s">
        <v>825</v>
      </c>
      <c r="E622" s="23">
        <v>43766</v>
      </c>
      <c r="F622" s="24" t="s">
        <v>103</v>
      </c>
      <c r="G622" s="12"/>
      <c r="H622" s="12"/>
    </row>
    <row r="623" spans="1:8" hidden="1" x14ac:dyDescent="0.2">
      <c r="A623" s="4" t="s">
        <v>1768</v>
      </c>
      <c r="B623" s="21">
        <v>43764</v>
      </c>
      <c r="C623" s="12">
        <v>1</v>
      </c>
      <c r="D623" s="22" t="s">
        <v>157</v>
      </c>
      <c r="E623" s="23">
        <v>43749</v>
      </c>
      <c r="F623" s="24" t="s">
        <v>729</v>
      </c>
      <c r="G623" s="12"/>
      <c r="H623" s="12"/>
    </row>
    <row r="624" spans="1:8" hidden="1" x14ac:dyDescent="0.2">
      <c r="A624" s="4" t="s">
        <v>1768</v>
      </c>
      <c r="B624" s="21">
        <v>43764</v>
      </c>
      <c r="C624" s="12">
        <v>2</v>
      </c>
      <c r="D624" s="22" t="s">
        <v>214</v>
      </c>
      <c r="E624" s="23">
        <v>43754</v>
      </c>
      <c r="F624" s="24" t="s">
        <v>103</v>
      </c>
      <c r="G624" s="12"/>
      <c r="H624" s="12"/>
    </row>
    <row r="625" spans="1:9" hidden="1" x14ac:dyDescent="0.2">
      <c r="A625" s="4" t="s">
        <v>1768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103</v>
      </c>
      <c r="G625" s="12"/>
      <c r="H625" s="12"/>
    </row>
    <row r="626" spans="1:9" hidden="1" x14ac:dyDescent="0.2">
      <c r="A626" s="4" t="s">
        <v>1768</v>
      </c>
      <c r="B626" s="21">
        <v>43764</v>
      </c>
      <c r="C626" s="12">
        <v>4</v>
      </c>
      <c r="D626" s="22" t="s">
        <v>66</v>
      </c>
      <c r="E626" s="23">
        <v>43756</v>
      </c>
      <c r="F626" s="24" t="s">
        <v>970</v>
      </c>
      <c r="G626" s="12"/>
      <c r="H626" s="12"/>
      <c r="I626" s="4" t="s">
        <v>60</v>
      </c>
    </row>
    <row r="627" spans="1:9" hidden="1" x14ac:dyDescent="0.2">
      <c r="A627" s="4" t="s">
        <v>1768</v>
      </c>
      <c r="B627" s="21">
        <v>43764</v>
      </c>
      <c r="C627" s="12">
        <v>5</v>
      </c>
      <c r="D627" s="22" t="s">
        <v>62</v>
      </c>
      <c r="E627" s="23">
        <v>43757</v>
      </c>
      <c r="F627" s="24" t="s">
        <v>970</v>
      </c>
      <c r="G627" s="12"/>
      <c r="H627" s="12"/>
    </row>
    <row r="628" spans="1:9" hidden="1" x14ac:dyDescent="0.2">
      <c r="A628" s="4" t="s">
        <v>1768</v>
      </c>
      <c r="B628" s="21">
        <v>43764</v>
      </c>
      <c r="C628" s="12">
        <v>6</v>
      </c>
      <c r="D628" s="22" t="s">
        <v>215</v>
      </c>
      <c r="E628" s="23">
        <v>43757</v>
      </c>
      <c r="F628" s="24" t="s">
        <v>970</v>
      </c>
      <c r="G628" s="12"/>
      <c r="H628" s="12"/>
    </row>
    <row r="629" spans="1:9" hidden="1" x14ac:dyDescent="0.2">
      <c r="A629" s="4" t="s">
        <v>1768</v>
      </c>
      <c r="B629" s="21">
        <v>43764</v>
      </c>
      <c r="C629" s="12">
        <v>7</v>
      </c>
      <c r="D629" s="22" t="s">
        <v>1033</v>
      </c>
      <c r="E629" s="23">
        <v>43760</v>
      </c>
      <c r="F629" s="24" t="s">
        <v>103</v>
      </c>
      <c r="G629" s="12"/>
      <c r="H629" s="12"/>
      <c r="I629" s="4" t="s">
        <v>69</v>
      </c>
    </row>
    <row r="630" spans="1:9" hidden="1" x14ac:dyDescent="0.2">
      <c r="A630" s="4" t="s">
        <v>1768</v>
      </c>
      <c r="B630" s="21">
        <v>43764</v>
      </c>
      <c r="C630" s="12">
        <v>8</v>
      </c>
      <c r="D630" s="22" t="s">
        <v>144</v>
      </c>
      <c r="E630" s="23">
        <v>43757</v>
      </c>
      <c r="F630" s="24" t="s">
        <v>970</v>
      </c>
      <c r="G630" s="12"/>
      <c r="H630" s="12"/>
      <c r="I630" s="4" t="s">
        <v>64</v>
      </c>
    </row>
    <row r="631" spans="1:9" hidden="1" x14ac:dyDescent="0.2">
      <c r="A631" s="4" t="s">
        <v>1768</v>
      </c>
      <c r="B631" s="21">
        <v>43764</v>
      </c>
      <c r="C631" s="12">
        <v>9</v>
      </c>
      <c r="D631" s="22" t="s">
        <v>1029</v>
      </c>
      <c r="E631" s="23">
        <v>43760</v>
      </c>
      <c r="F631" s="24" t="s">
        <v>103</v>
      </c>
      <c r="G631" s="12"/>
      <c r="H631" s="12"/>
    </row>
    <row r="632" spans="1:9" hidden="1" x14ac:dyDescent="0.2">
      <c r="A632" s="4" t="s">
        <v>1768</v>
      </c>
      <c r="B632" s="21">
        <v>43764</v>
      </c>
      <c r="C632" s="12">
        <v>10</v>
      </c>
      <c r="D632" s="22" t="s">
        <v>461</v>
      </c>
      <c r="E632" s="23">
        <v>43759</v>
      </c>
      <c r="F632" s="24" t="s">
        <v>103</v>
      </c>
      <c r="G632" s="12"/>
      <c r="H632" s="12"/>
    </row>
    <row r="633" spans="1:9" hidden="1" x14ac:dyDescent="0.2">
      <c r="A633" s="4" t="s">
        <v>1768</v>
      </c>
      <c r="B633" s="21">
        <v>43764</v>
      </c>
      <c r="C633" s="12">
        <v>11</v>
      </c>
      <c r="D633" s="22" t="s">
        <v>91</v>
      </c>
      <c r="E633" s="23">
        <v>43760</v>
      </c>
      <c r="F633" s="24" t="s">
        <v>103</v>
      </c>
      <c r="G633" s="12"/>
      <c r="H633" s="12"/>
    </row>
    <row r="634" spans="1:9" hidden="1" x14ac:dyDescent="0.2">
      <c r="A634" s="4" t="s">
        <v>1768</v>
      </c>
      <c r="B634" s="21">
        <v>43764</v>
      </c>
      <c r="C634" s="12">
        <v>12</v>
      </c>
      <c r="D634" s="22" t="s">
        <v>145</v>
      </c>
      <c r="E634" s="23">
        <v>43760</v>
      </c>
      <c r="F634" s="24" t="s">
        <v>103</v>
      </c>
      <c r="G634" s="12"/>
      <c r="H634" s="12"/>
      <c r="I634" s="4" t="s">
        <v>146</v>
      </c>
    </row>
    <row r="635" spans="1:9" hidden="1" x14ac:dyDescent="0.2">
      <c r="A635" s="4" t="s">
        <v>1768</v>
      </c>
      <c r="B635" s="21">
        <v>43764</v>
      </c>
      <c r="C635" s="12">
        <v>13</v>
      </c>
      <c r="D635" s="22" t="s">
        <v>451</v>
      </c>
      <c r="E635" s="23">
        <v>43754</v>
      </c>
      <c r="F635" s="24" t="s">
        <v>103</v>
      </c>
      <c r="G635" s="12"/>
      <c r="H635" s="12"/>
    </row>
    <row r="636" spans="1:9" hidden="1" x14ac:dyDescent="0.2">
      <c r="A636" s="4" t="s">
        <v>1768</v>
      </c>
      <c r="B636" s="21">
        <v>43764</v>
      </c>
      <c r="C636" s="12">
        <v>14</v>
      </c>
      <c r="D636" s="22" t="s">
        <v>1054</v>
      </c>
      <c r="E636" s="23">
        <v>43760</v>
      </c>
      <c r="F636" s="24" t="s">
        <v>103</v>
      </c>
      <c r="G636" s="12"/>
      <c r="H636" s="12"/>
      <c r="I636" s="4" t="s">
        <v>146</v>
      </c>
    </row>
    <row r="637" spans="1:9" hidden="1" x14ac:dyDescent="0.2">
      <c r="A637" s="4" t="s">
        <v>1768</v>
      </c>
      <c r="B637" s="21">
        <v>43764</v>
      </c>
      <c r="C637" s="12">
        <v>18</v>
      </c>
      <c r="D637" s="22" t="s">
        <v>126</v>
      </c>
      <c r="E637" s="23">
        <v>43764</v>
      </c>
      <c r="F637" s="24" t="s">
        <v>103</v>
      </c>
      <c r="G637" s="12"/>
      <c r="H637" s="12"/>
    </row>
    <row r="638" spans="1:9" hidden="1" x14ac:dyDescent="0.2">
      <c r="A638" s="4" t="s">
        <v>1768</v>
      </c>
      <c r="B638" s="21">
        <v>43764</v>
      </c>
      <c r="C638" s="12">
        <v>19</v>
      </c>
      <c r="D638" s="22" t="s">
        <v>128</v>
      </c>
      <c r="E638" s="23">
        <v>43764</v>
      </c>
      <c r="F638" s="24" t="s">
        <v>103</v>
      </c>
      <c r="G638" s="12"/>
      <c r="H638" s="12"/>
    </row>
    <row r="639" spans="1:9" hidden="1" x14ac:dyDescent="0.2">
      <c r="A639" s="4" t="s">
        <v>1768</v>
      </c>
      <c r="B639" s="21">
        <v>43764</v>
      </c>
      <c r="C639" s="12">
        <v>20</v>
      </c>
      <c r="D639" s="22" t="s">
        <v>101</v>
      </c>
      <c r="E639" s="23">
        <v>43765</v>
      </c>
      <c r="F639" s="24" t="s">
        <v>103</v>
      </c>
      <c r="G639" s="12"/>
      <c r="H639" s="12"/>
    </row>
    <row r="640" spans="1:9" hidden="1" x14ac:dyDescent="0.2">
      <c r="A640" s="4" t="s">
        <v>1768</v>
      </c>
      <c r="B640" s="21">
        <v>43764</v>
      </c>
      <c r="C640" s="12">
        <v>21</v>
      </c>
      <c r="D640" s="22" t="s">
        <v>313</v>
      </c>
      <c r="E640" s="23">
        <v>43765</v>
      </c>
      <c r="F640" s="24" t="s">
        <v>103</v>
      </c>
      <c r="G640" s="12"/>
      <c r="H640" s="12"/>
    </row>
    <row r="641" spans="1:9" hidden="1" x14ac:dyDescent="0.2">
      <c r="A641" s="4" t="s">
        <v>1768</v>
      </c>
      <c r="B641" s="21">
        <v>43764</v>
      </c>
      <c r="C641" s="12">
        <v>22</v>
      </c>
      <c r="D641" s="22" t="s">
        <v>143</v>
      </c>
      <c r="E641" s="23">
        <v>43765</v>
      </c>
      <c r="F641" s="24" t="s">
        <v>103</v>
      </c>
      <c r="G641" s="12"/>
      <c r="H641" s="12"/>
    </row>
    <row r="642" spans="1:9" hidden="1" x14ac:dyDescent="0.2">
      <c r="A642" s="4" t="s">
        <v>2005</v>
      </c>
      <c r="B642" s="21">
        <v>43766</v>
      </c>
      <c r="C642" s="12">
        <v>0</v>
      </c>
      <c r="D642" s="22" t="s">
        <v>757</v>
      </c>
      <c r="E642" s="23">
        <v>43751</v>
      </c>
      <c r="F642" s="24" t="s">
        <v>103</v>
      </c>
      <c r="G642" s="12"/>
      <c r="H642" s="12"/>
    </row>
    <row r="643" spans="1:9" hidden="1" x14ac:dyDescent="0.2">
      <c r="A643" s="4" t="s">
        <v>2005</v>
      </c>
      <c r="B643" s="21">
        <v>43766</v>
      </c>
      <c r="C643" s="12">
        <v>1</v>
      </c>
      <c r="D643" s="22" t="s">
        <v>832</v>
      </c>
      <c r="E643" s="23">
        <v>43752</v>
      </c>
      <c r="F643" s="24" t="s">
        <v>103</v>
      </c>
      <c r="G643" s="12"/>
      <c r="H643" s="12"/>
    </row>
    <row r="644" spans="1:9" hidden="1" x14ac:dyDescent="0.2">
      <c r="A644" s="4" t="s">
        <v>2005</v>
      </c>
      <c r="B644" s="21">
        <v>43766</v>
      </c>
      <c r="C644" s="12">
        <v>2</v>
      </c>
      <c r="D644" s="22" t="s">
        <v>1085</v>
      </c>
      <c r="E644" s="23">
        <v>43762</v>
      </c>
      <c r="F644" s="24" t="s">
        <v>103</v>
      </c>
      <c r="G644" s="12"/>
      <c r="H644" s="12"/>
    </row>
    <row r="645" spans="1:9" hidden="1" x14ac:dyDescent="0.2">
      <c r="A645" s="4" t="s">
        <v>2005</v>
      </c>
      <c r="B645" s="21">
        <v>43766</v>
      </c>
      <c r="C645" s="12">
        <v>3</v>
      </c>
      <c r="D645" s="22" t="s">
        <v>1086</v>
      </c>
      <c r="E645" s="23">
        <v>43762</v>
      </c>
      <c r="F645" s="24" t="s">
        <v>103</v>
      </c>
      <c r="G645" s="12"/>
      <c r="H645" s="12"/>
      <c r="I645" s="4" t="s">
        <v>760</v>
      </c>
    </row>
    <row r="646" spans="1:9" hidden="1" x14ac:dyDescent="0.2">
      <c r="A646" s="4" t="s">
        <v>2005</v>
      </c>
      <c r="B646" s="21">
        <v>43766</v>
      </c>
      <c r="C646" s="12">
        <v>4</v>
      </c>
      <c r="D646" s="22" t="s">
        <v>762</v>
      </c>
      <c r="E646" s="23">
        <v>43762</v>
      </c>
      <c r="F646" s="24" t="s">
        <v>103</v>
      </c>
      <c r="G646" s="12"/>
      <c r="H646" s="12"/>
    </row>
    <row r="647" spans="1:9" hidden="1" x14ac:dyDescent="0.2">
      <c r="A647" s="4" t="s">
        <v>2005</v>
      </c>
      <c r="B647" s="21">
        <v>43766</v>
      </c>
      <c r="C647" s="12">
        <v>5</v>
      </c>
      <c r="D647" s="22" t="s">
        <v>766</v>
      </c>
      <c r="E647" s="23">
        <v>43763</v>
      </c>
      <c r="F647" s="24" t="s">
        <v>103</v>
      </c>
      <c r="G647" s="12"/>
      <c r="H647" s="12"/>
    </row>
    <row r="648" spans="1:9" hidden="1" x14ac:dyDescent="0.2">
      <c r="A648" s="4" t="s">
        <v>2005</v>
      </c>
      <c r="B648" s="21">
        <v>43766</v>
      </c>
      <c r="C648" s="12">
        <v>6</v>
      </c>
      <c r="D648" s="22" t="s">
        <v>1264</v>
      </c>
      <c r="E648" s="23">
        <v>43774</v>
      </c>
      <c r="F648" s="24" t="s">
        <v>103</v>
      </c>
      <c r="G648" s="12"/>
      <c r="H648" s="12"/>
      <c r="I648" s="4" t="s">
        <v>1184</v>
      </c>
    </row>
    <row r="649" spans="1:9" hidden="1" x14ac:dyDescent="0.2">
      <c r="A649" s="4" t="s">
        <v>2005</v>
      </c>
      <c r="B649" s="21">
        <v>43766</v>
      </c>
      <c r="C649" s="12">
        <v>7</v>
      </c>
      <c r="D649" s="22" t="s">
        <v>772</v>
      </c>
      <c r="E649" s="23">
        <v>43777</v>
      </c>
      <c r="F649" s="24" t="s">
        <v>103</v>
      </c>
      <c r="G649" s="12"/>
      <c r="H649" s="12"/>
      <c r="I649" s="4" t="s">
        <v>1184</v>
      </c>
    </row>
    <row r="650" spans="1:9" hidden="1" x14ac:dyDescent="0.2">
      <c r="A650" s="4" t="s">
        <v>2006</v>
      </c>
      <c r="B650" s="21">
        <v>43766</v>
      </c>
      <c r="C650" s="12">
        <v>1</v>
      </c>
      <c r="D650" s="22" t="s">
        <v>737</v>
      </c>
      <c r="E650" s="23">
        <v>43747</v>
      </c>
      <c r="F650" s="24" t="s">
        <v>103</v>
      </c>
      <c r="G650" s="12"/>
      <c r="H650" s="12"/>
    </row>
    <row r="651" spans="1:9" hidden="1" x14ac:dyDescent="0.2">
      <c r="A651" s="4" t="s">
        <v>2006</v>
      </c>
      <c r="B651" s="21">
        <v>43766</v>
      </c>
      <c r="C651" s="12">
        <v>2</v>
      </c>
      <c r="D651" s="22" t="s">
        <v>701</v>
      </c>
      <c r="E651" s="23">
        <v>43749</v>
      </c>
      <c r="F651" s="24" t="s">
        <v>103</v>
      </c>
      <c r="G651" s="12"/>
      <c r="H651" s="12"/>
    </row>
    <row r="652" spans="1:9" hidden="1" x14ac:dyDescent="0.2">
      <c r="A652" s="4" t="s">
        <v>2006</v>
      </c>
      <c r="B652" s="21">
        <v>43766</v>
      </c>
      <c r="C652" s="12">
        <v>3</v>
      </c>
      <c r="D652" s="22" t="s">
        <v>959</v>
      </c>
      <c r="E652" s="23">
        <v>43761</v>
      </c>
      <c r="F652" s="24" t="s">
        <v>103</v>
      </c>
      <c r="G652" s="12"/>
      <c r="H652" s="12"/>
    </row>
    <row r="653" spans="1:9" hidden="1" x14ac:dyDescent="0.2">
      <c r="A653" s="4" t="s">
        <v>2006</v>
      </c>
      <c r="B653" s="21">
        <v>43766</v>
      </c>
      <c r="C653" s="12">
        <v>4</v>
      </c>
      <c r="D653" s="22" t="s">
        <v>1055</v>
      </c>
      <c r="E653" s="23">
        <v>43761</v>
      </c>
      <c r="F653" s="24" t="s">
        <v>103</v>
      </c>
      <c r="G653" s="12"/>
      <c r="H653" s="12"/>
    </row>
    <row r="654" spans="1:9" hidden="1" x14ac:dyDescent="0.2">
      <c r="A654" s="4" t="s">
        <v>2006</v>
      </c>
      <c r="B654" s="21">
        <v>43766</v>
      </c>
      <c r="C654" s="12">
        <v>5</v>
      </c>
      <c r="D654" s="22" t="s">
        <v>699</v>
      </c>
      <c r="E654" s="23">
        <v>43761</v>
      </c>
      <c r="F654" s="24" t="s">
        <v>103</v>
      </c>
      <c r="G654" s="12"/>
      <c r="H654" s="12"/>
    </row>
    <row r="655" spans="1:9" hidden="1" x14ac:dyDescent="0.2">
      <c r="A655" s="4" t="s">
        <v>2006</v>
      </c>
      <c r="B655" s="21">
        <v>43766</v>
      </c>
      <c r="C655" s="12">
        <v>6</v>
      </c>
      <c r="D655" s="22" t="s">
        <v>694</v>
      </c>
      <c r="E655" s="23">
        <v>43761</v>
      </c>
      <c r="F655" s="24" t="s">
        <v>103</v>
      </c>
      <c r="G655" s="12"/>
      <c r="H655" s="12"/>
    </row>
    <row r="656" spans="1:9" hidden="1" x14ac:dyDescent="0.2">
      <c r="A656" s="4" t="s">
        <v>2006</v>
      </c>
      <c r="B656" s="21">
        <v>43766</v>
      </c>
      <c r="C656" s="12">
        <v>7</v>
      </c>
      <c r="D656" s="22" t="s">
        <v>700</v>
      </c>
      <c r="E656" s="23">
        <v>43761</v>
      </c>
      <c r="F656" s="24" t="s">
        <v>103</v>
      </c>
      <c r="G656" s="12"/>
      <c r="H656" s="12"/>
    </row>
    <row r="657" spans="1:9" hidden="1" x14ac:dyDescent="0.2">
      <c r="A657" s="4" t="s">
        <v>2006</v>
      </c>
      <c r="B657" s="21">
        <v>43766</v>
      </c>
      <c r="C657" s="12">
        <v>8</v>
      </c>
      <c r="D657" s="22" t="s">
        <v>1062</v>
      </c>
      <c r="E657" s="23">
        <v>43761</v>
      </c>
      <c r="F657" s="24" t="s">
        <v>103</v>
      </c>
      <c r="G657" s="12"/>
      <c r="H657" s="12"/>
    </row>
    <row r="658" spans="1:9" hidden="1" x14ac:dyDescent="0.2">
      <c r="A658" s="4" t="s">
        <v>2006</v>
      </c>
      <c r="B658" s="21">
        <v>43766</v>
      </c>
      <c r="C658" s="12">
        <v>9</v>
      </c>
      <c r="D658" s="22" t="s">
        <v>1235</v>
      </c>
      <c r="E658" s="23">
        <v>43773</v>
      </c>
      <c r="F658" s="24" t="s">
        <v>103</v>
      </c>
      <c r="G658" s="12"/>
      <c r="H658" s="12"/>
      <c r="I658" s="4" t="s">
        <v>1184</v>
      </c>
    </row>
    <row r="659" spans="1:9" hidden="1" x14ac:dyDescent="0.2">
      <c r="A659" s="4" t="s">
        <v>2006</v>
      </c>
      <c r="B659" s="21">
        <v>43766</v>
      </c>
      <c r="C659" s="12">
        <v>10</v>
      </c>
      <c r="D659" s="22" t="s">
        <v>1166</v>
      </c>
      <c r="E659" s="23">
        <v>43767</v>
      </c>
      <c r="F659" s="24" t="s">
        <v>103</v>
      </c>
      <c r="G659" s="12"/>
      <c r="H659" s="12"/>
    </row>
    <row r="660" spans="1:9" hidden="1" x14ac:dyDescent="0.2">
      <c r="A660" s="4" t="s">
        <v>2006</v>
      </c>
      <c r="B660" s="21">
        <v>43766</v>
      </c>
      <c r="C660" s="12">
        <v>11</v>
      </c>
      <c r="D660" s="22" t="s">
        <v>130</v>
      </c>
      <c r="E660" s="23">
        <v>43774</v>
      </c>
      <c r="F660" s="24" t="s">
        <v>103</v>
      </c>
      <c r="G660" s="12"/>
      <c r="H660" s="12"/>
      <c r="I660" s="4" t="s">
        <v>1184</v>
      </c>
    </row>
    <row r="661" spans="1:9" hidden="1" x14ac:dyDescent="0.2">
      <c r="A661" s="4" t="s">
        <v>2006</v>
      </c>
      <c r="B661" s="21">
        <v>43766</v>
      </c>
      <c r="C661" s="12">
        <v>12</v>
      </c>
      <c r="D661" s="22" t="s">
        <v>1317</v>
      </c>
      <c r="E661" s="23">
        <v>43777</v>
      </c>
      <c r="F661" s="24" t="s">
        <v>103</v>
      </c>
      <c r="G661" s="12"/>
      <c r="H661" s="12"/>
      <c r="I661" s="4" t="s">
        <v>1184</v>
      </c>
    </row>
    <row r="662" spans="1:9" hidden="1" x14ac:dyDescent="0.2">
      <c r="A662" s="4" t="s">
        <v>2006</v>
      </c>
      <c r="B662" s="21">
        <v>43766</v>
      </c>
      <c r="C662" s="12"/>
      <c r="D662" s="22" t="s">
        <v>1065</v>
      </c>
      <c r="E662" s="23">
        <v>43762</v>
      </c>
      <c r="F662" s="24" t="s">
        <v>259</v>
      </c>
      <c r="G662" s="12"/>
      <c r="H662" s="12"/>
    </row>
    <row r="663" spans="1:9" hidden="1" x14ac:dyDescent="0.2">
      <c r="A663" s="4" t="s">
        <v>2006</v>
      </c>
      <c r="B663" s="21">
        <v>43766</v>
      </c>
      <c r="C663" s="12"/>
      <c r="D663" s="22" t="s">
        <v>1091</v>
      </c>
      <c r="E663" s="23">
        <v>43762</v>
      </c>
      <c r="F663" s="24" t="s">
        <v>103</v>
      </c>
      <c r="G663" s="12"/>
      <c r="H663" s="12"/>
    </row>
    <row r="664" spans="1:9" hidden="1" x14ac:dyDescent="0.2">
      <c r="A664" s="4" t="s">
        <v>500</v>
      </c>
      <c r="B664" s="21">
        <v>43766</v>
      </c>
      <c r="C664" s="12">
        <v>0</v>
      </c>
      <c r="D664" s="22" t="s">
        <v>803</v>
      </c>
      <c r="E664" s="23">
        <v>43767</v>
      </c>
      <c r="F664" s="24" t="s">
        <v>103</v>
      </c>
      <c r="G664" s="12"/>
      <c r="H664" s="12"/>
      <c r="I664" s="4" t="s">
        <v>98</v>
      </c>
    </row>
    <row r="665" spans="1:9" hidden="1" x14ac:dyDescent="0.2">
      <c r="A665" s="4" t="s">
        <v>500</v>
      </c>
      <c r="B665" s="21">
        <v>43766</v>
      </c>
      <c r="C665" s="12">
        <v>1</v>
      </c>
      <c r="D665" s="22" t="s">
        <v>977</v>
      </c>
      <c r="E665" s="23">
        <v>43769</v>
      </c>
      <c r="F665" s="24" t="s">
        <v>103</v>
      </c>
      <c r="G665" s="12"/>
      <c r="H665" s="12"/>
      <c r="I665" s="4" t="s">
        <v>97</v>
      </c>
    </row>
    <row r="666" spans="1:9" hidden="1" x14ac:dyDescent="0.2">
      <c r="A666" s="4" t="s">
        <v>500</v>
      </c>
      <c r="B666" s="21">
        <v>43766</v>
      </c>
      <c r="C666" s="12">
        <v>2</v>
      </c>
      <c r="D666" s="22" t="s">
        <v>975</v>
      </c>
      <c r="E666" s="23">
        <v>43771</v>
      </c>
      <c r="F666" s="24" t="s">
        <v>103</v>
      </c>
      <c r="G666" s="12"/>
      <c r="H666" s="12"/>
    </row>
    <row r="667" spans="1:9" hidden="1" x14ac:dyDescent="0.2">
      <c r="A667" s="4" t="s">
        <v>1149</v>
      </c>
      <c r="B667" s="21">
        <v>43766</v>
      </c>
      <c r="C667" s="12"/>
      <c r="D667" s="22" t="s">
        <v>1148</v>
      </c>
      <c r="E667" s="23">
        <v>43775</v>
      </c>
      <c r="F667" s="24" t="s">
        <v>103</v>
      </c>
      <c r="G667" s="12"/>
      <c r="H667" s="12"/>
    </row>
    <row r="668" spans="1:9" hidden="1" x14ac:dyDescent="0.2">
      <c r="A668" s="4" t="s">
        <v>2009</v>
      </c>
      <c r="B668" s="21">
        <v>43768</v>
      </c>
      <c r="C668" s="12">
        <v>1</v>
      </c>
      <c r="D668" s="22" t="s">
        <v>1030</v>
      </c>
      <c r="E668" s="23">
        <v>43760</v>
      </c>
      <c r="F668" s="24" t="s">
        <v>103</v>
      </c>
      <c r="G668" s="12"/>
      <c r="H668" s="12"/>
    </row>
    <row r="669" spans="1:9" hidden="1" x14ac:dyDescent="0.2">
      <c r="A669" s="4" t="s">
        <v>2009</v>
      </c>
      <c r="B669" s="21">
        <v>43768</v>
      </c>
      <c r="C669" s="12">
        <v>2</v>
      </c>
      <c r="D669" s="22" t="s">
        <v>1025</v>
      </c>
      <c r="E669" s="23">
        <v>43762</v>
      </c>
      <c r="F669" s="24" t="s">
        <v>259</v>
      </c>
      <c r="G669" s="12"/>
      <c r="H669" s="12"/>
      <c r="I669" s="4" t="s">
        <v>1049</v>
      </c>
    </row>
    <row r="670" spans="1:9" hidden="1" x14ac:dyDescent="0.2">
      <c r="A670" s="4" t="s">
        <v>2009</v>
      </c>
      <c r="B670" s="21">
        <v>43768</v>
      </c>
      <c r="C670" s="12">
        <v>3</v>
      </c>
      <c r="D670" s="22" t="s">
        <v>810</v>
      </c>
      <c r="E670" s="23">
        <v>43763</v>
      </c>
      <c r="F670" s="24" t="s">
        <v>259</v>
      </c>
      <c r="G670" s="12"/>
      <c r="H670" s="12"/>
    </row>
    <row r="671" spans="1:9" hidden="1" x14ac:dyDescent="0.2">
      <c r="A671" s="4" t="s">
        <v>2009</v>
      </c>
      <c r="B671" s="21">
        <v>43768</v>
      </c>
      <c r="C671" s="12">
        <v>4</v>
      </c>
      <c r="D671" s="22" t="s">
        <v>812</v>
      </c>
      <c r="E671" s="23">
        <v>43763</v>
      </c>
      <c r="F671" s="24" t="s">
        <v>259</v>
      </c>
      <c r="G671" s="12"/>
      <c r="H671" s="12"/>
    </row>
    <row r="672" spans="1:9" hidden="1" x14ac:dyDescent="0.2">
      <c r="A672" s="4" t="s">
        <v>2009</v>
      </c>
      <c r="B672" s="21">
        <v>43768</v>
      </c>
      <c r="C672" s="12">
        <v>5</v>
      </c>
      <c r="D672" s="22" t="s">
        <v>815</v>
      </c>
      <c r="E672" s="23">
        <v>43763</v>
      </c>
      <c r="F672" s="24" t="s">
        <v>259</v>
      </c>
      <c r="G672" s="12"/>
      <c r="H672" s="12"/>
    </row>
    <row r="673" spans="1:9" hidden="1" x14ac:dyDescent="0.2">
      <c r="A673" s="4" t="s">
        <v>2009</v>
      </c>
      <c r="B673" s="21">
        <v>43768</v>
      </c>
      <c r="C673" s="12">
        <v>6</v>
      </c>
      <c r="D673" s="22" t="s">
        <v>813</v>
      </c>
      <c r="E673" s="23">
        <v>43763</v>
      </c>
      <c r="F673" s="24" t="s">
        <v>259</v>
      </c>
      <c r="G673" s="12"/>
      <c r="H673" s="12"/>
    </row>
    <row r="674" spans="1:9" hidden="1" x14ac:dyDescent="0.2">
      <c r="A674" s="4" t="s">
        <v>2009</v>
      </c>
      <c r="B674" s="21">
        <v>43768</v>
      </c>
      <c r="C674" s="12">
        <v>7</v>
      </c>
      <c r="D674" s="22" t="s">
        <v>817</v>
      </c>
      <c r="E674" s="23">
        <v>43763</v>
      </c>
      <c r="F674" s="24" t="s">
        <v>259</v>
      </c>
      <c r="G674" s="12"/>
      <c r="H674" s="12"/>
    </row>
    <row r="675" spans="1:9" hidden="1" x14ac:dyDescent="0.2">
      <c r="A675" s="4" t="s">
        <v>2009</v>
      </c>
      <c r="B675" s="21">
        <v>43768</v>
      </c>
      <c r="C675" s="12">
        <v>8</v>
      </c>
      <c r="D675" s="22" t="s">
        <v>821</v>
      </c>
      <c r="E675" s="23">
        <v>43763</v>
      </c>
      <c r="F675" s="24" t="s">
        <v>259</v>
      </c>
      <c r="G675" s="12"/>
      <c r="H675" s="12"/>
    </row>
    <row r="676" spans="1:9" hidden="1" x14ac:dyDescent="0.2">
      <c r="A676" s="4" t="s">
        <v>2009</v>
      </c>
      <c r="B676" s="21">
        <v>43768</v>
      </c>
      <c r="C676" s="12">
        <v>9</v>
      </c>
      <c r="D676" s="22" t="s">
        <v>819</v>
      </c>
      <c r="E676" s="23">
        <v>43764</v>
      </c>
      <c r="F676" s="24" t="s">
        <v>259</v>
      </c>
      <c r="G676" s="12"/>
      <c r="H676" s="12"/>
    </row>
    <row r="677" spans="1:9" hidden="1" x14ac:dyDescent="0.2">
      <c r="A677" s="4" t="s">
        <v>2009</v>
      </c>
      <c r="B677" s="21">
        <v>43768</v>
      </c>
      <c r="C677" s="12">
        <v>10</v>
      </c>
      <c r="D677" s="22" t="s">
        <v>823</v>
      </c>
      <c r="E677" s="23">
        <v>43764</v>
      </c>
      <c r="F677" s="24" t="s">
        <v>259</v>
      </c>
      <c r="G677" s="12"/>
      <c r="H677" s="12"/>
    </row>
    <row r="678" spans="1:9" hidden="1" x14ac:dyDescent="0.2">
      <c r="A678" s="4" t="s">
        <v>2009</v>
      </c>
      <c r="B678" s="21">
        <v>43768</v>
      </c>
      <c r="C678" s="12">
        <v>11</v>
      </c>
      <c r="D678" s="22" t="s">
        <v>825</v>
      </c>
      <c r="E678" s="23">
        <v>43768</v>
      </c>
      <c r="F678" s="24" t="s">
        <v>259</v>
      </c>
      <c r="G678" s="12"/>
      <c r="H678" s="12"/>
    </row>
    <row r="679" spans="1:9" hidden="1" x14ac:dyDescent="0.2">
      <c r="A679" s="4" t="s">
        <v>1768</v>
      </c>
      <c r="B679" s="21">
        <v>43768</v>
      </c>
      <c r="C679" s="12">
        <v>1</v>
      </c>
      <c r="D679" s="22" t="s">
        <v>944</v>
      </c>
      <c r="E679" s="23">
        <v>43761</v>
      </c>
      <c r="F679" s="24" t="s">
        <v>103</v>
      </c>
      <c r="G679" s="12"/>
      <c r="H679" s="12"/>
    </row>
    <row r="680" spans="1:9" hidden="1" x14ac:dyDescent="0.2">
      <c r="A680" s="4" t="s">
        <v>1768</v>
      </c>
      <c r="B680" s="21">
        <v>43768</v>
      </c>
      <c r="C680" s="12">
        <v>2</v>
      </c>
      <c r="D680" s="22" t="s">
        <v>943</v>
      </c>
      <c r="E680" s="23">
        <v>43763</v>
      </c>
      <c r="F680" s="24" t="s">
        <v>103</v>
      </c>
      <c r="G680" s="12"/>
      <c r="H680" s="12"/>
    </row>
    <row r="681" spans="1:9" hidden="1" x14ac:dyDescent="0.2">
      <c r="A681" s="4" t="s">
        <v>1768</v>
      </c>
      <c r="B681" s="21">
        <v>43768</v>
      </c>
      <c r="C681" s="12">
        <v>3</v>
      </c>
      <c r="D681" s="22" t="s">
        <v>886</v>
      </c>
      <c r="E681" s="23">
        <v>43763</v>
      </c>
      <c r="F681" s="24" t="s">
        <v>103</v>
      </c>
      <c r="G681" s="12"/>
      <c r="H681" s="12"/>
    </row>
    <row r="682" spans="1:9" hidden="1" x14ac:dyDescent="0.2">
      <c r="A682" s="4" t="s">
        <v>1768</v>
      </c>
      <c r="B682" s="21">
        <v>43768</v>
      </c>
      <c r="C682" s="12">
        <v>4</v>
      </c>
      <c r="D682" s="22" t="s">
        <v>1143</v>
      </c>
      <c r="E682" s="23">
        <v>43766</v>
      </c>
      <c r="F682" s="24" t="s">
        <v>103</v>
      </c>
      <c r="G682" s="12"/>
      <c r="H682" s="12"/>
    </row>
    <row r="683" spans="1:9" hidden="1" x14ac:dyDescent="0.2">
      <c r="A683" s="4" t="s">
        <v>1768</v>
      </c>
      <c r="B683" s="21">
        <v>43768</v>
      </c>
      <c r="C683" s="12">
        <v>5</v>
      </c>
      <c r="D683" s="22" t="s">
        <v>1154</v>
      </c>
      <c r="E683" s="23">
        <v>43766</v>
      </c>
      <c r="F683" s="24" t="s">
        <v>103</v>
      </c>
      <c r="G683" s="12"/>
      <c r="H683" s="12"/>
    </row>
    <row r="684" spans="1:9" hidden="1" x14ac:dyDescent="0.2">
      <c r="A684" s="4" t="s">
        <v>1768</v>
      </c>
      <c r="B684" s="21">
        <v>43768</v>
      </c>
      <c r="C684" s="12">
        <v>6</v>
      </c>
      <c r="D684" s="22" t="s">
        <v>891</v>
      </c>
      <c r="E684" s="23">
        <v>43765</v>
      </c>
      <c r="F684" s="24" t="s">
        <v>259</v>
      </c>
      <c r="G684" s="12"/>
      <c r="H684" s="12"/>
    </row>
    <row r="685" spans="1:9" hidden="1" x14ac:dyDescent="0.2">
      <c r="A685" s="4" t="s">
        <v>1768</v>
      </c>
      <c r="B685" s="21">
        <v>43768</v>
      </c>
      <c r="C685" s="12">
        <v>7</v>
      </c>
      <c r="D685" s="22" t="s">
        <v>1195</v>
      </c>
      <c r="E685" s="23">
        <v>43769</v>
      </c>
      <c r="F685" s="24" t="s">
        <v>103</v>
      </c>
      <c r="G685" s="12"/>
      <c r="H685" s="12"/>
    </row>
    <row r="686" spans="1:9" hidden="1" x14ac:dyDescent="0.2">
      <c r="A686" s="4" t="s">
        <v>1768</v>
      </c>
      <c r="B686" s="21">
        <v>43768</v>
      </c>
      <c r="C686" s="12">
        <v>8</v>
      </c>
      <c r="D686" s="22" t="s">
        <v>894</v>
      </c>
      <c r="E686" s="23">
        <v>43767</v>
      </c>
      <c r="F686" s="24" t="s">
        <v>103</v>
      </c>
      <c r="G686" s="12"/>
      <c r="H686" s="12"/>
      <c r="I686" s="4" t="s">
        <v>1150</v>
      </c>
    </row>
    <row r="687" spans="1:9" hidden="1" x14ac:dyDescent="0.2">
      <c r="A687" s="4" t="s">
        <v>1768</v>
      </c>
      <c r="B687" s="21">
        <v>43768</v>
      </c>
      <c r="C687" s="12"/>
      <c r="D687" s="22" t="s">
        <v>1128</v>
      </c>
      <c r="E687" s="23">
        <v>43766</v>
      </c>
      <c r="F687" s="24" t="s">
        <v>103</v>
      </c>
      <c r="G687" s="12"/>
      <c r="H687" s="12"/>
    </row>
    <row r="688" spans="1:9" hidden="1" x14ac:dyDescent="0.2">
      <c r="A688" s="4" t="s">
        <v>1773</v>
      </c>
      <c r="B688" s="21">
        <v>43768</v>
      </c>
      <c r="C688" s="12">
        <v>1</v>
      </c>
      <c r="D688" s="22" t="s">
        <v>1077</v>
      </c>
      <c r="E688" s="23">
        <v>43762</v>
      </c>
      <c r="F688" s="24" t="s">
        <v>103</v>
      </c>
      <c r="G688" s="12">
        <v>1</v>
      </c>
      <c r="H688" s="12"/>
    </row>
    <row r="689" spans="1:8" hidden="1" x14ac:dyDescent="0.2">
      <c r="A689" s="4" t="s">
        <v>1773</v>
      </c>
      <c r="B689" s="21">
        <v>43768</v>
      </c>
      <c r="C689" s="12">
        <v>2</v>
      </c>
      <c r="D689" s="22" t="s">
        <v>943</v>
      </c>
      <c r="E689" s="23">
        <v>43762</v>
      </c>
      <c r="F689" s="24" t="s">
        <v>103</v>
      </c>
      <c r="G689" s="12"/>
      <c r="H689" s="12"/>
    </row>
    <row r="690" spans="1:8" hidden="1" x14ac:dyDescent="0.2">
      <c r="A690" s="4" t="s">
        <v>1773</v>
      </c>
      <c r="B690" s="21">
        <v>43768</v>
      </c>
      <c r="C690" s="12">
        <v>3</v>
      </c>
      <c r="D690" s="22" t="s">
        <v>886</v>
      </c>
      <c r="E690" s="23">
        <v>43762</v>
      </c>
      <c r="F690" s="24" t="s">
        <v>103</v>
      </c>
      <c r="G690" s="12"/>
      <c r="H690" s="12"/>
    </row>
    <row r="691" spans="1:8" hidden="1" x14ac:dyDescent="0.2">
      <c r="A691" s="4" t="s">
        <v>1773</v>
      </c>
      <c r="B691" s="21">
        <v>43768</v>
      </c>
      <c r="C691" s="12">
        <v>4</v>
      </c>
      <c r="D691" s="22" t="s">
        <v>1106</v>
      </c>
      <c r="E691" s="23">
        <v>43763</v>
      </c>
      <c r="F691" s="24" t="s">
        <v>103</v>
      </c>
      <c r="G691" s="12"/>
      <c r="H691" s="12"/>
    </row>
    <row r="692" spans="1:8" hidden="1" x14ac:dyDescent="0.2">
      <c r="A692" s="4" t="s">
        <v>1773</v>
      </c>
      <c r="B692" s="21">
        <v>43768</v>
      </c>
      <c r="C692" s="12">
        <v>5</v>
      </c>
      <c r="D692" s="22" t="s">
        <v>890</v>
      </c>
      <c r="E692" s="23">
        <v>43763</v>
      </c>
      <c r="F692" s="24" t="s">
        <v>103</v>
      </c>
      <c r="G692" s="12"/>
      <c r="H692" s="12"/>
    </row>
    <row r="693" spans="1:8" hidden="1" x14ac:dyDescent="0.2">
      <c r="A693" s="4" t="s">
        <v>1773</v>
      </c>
      <c r="B693" s="21">
        <v>43768</v>
      </c>
      <c r="C693" s="12">
        <v>6</v>
      </c>
      <c r="D693" s="22" t="s">
        <v>1120</v>
      </c>
      <c r="E693" s="23">
        <v>43764</v>
      </c>
      <c r="F693" s="24" t="s">
        <v>103</v>
      </c>
      <c r="G693" s="12"/>
      <c r="H693" s="12"/>
    </row>
    <row r="694" spans="1:8" hidden="1" x14ac:dyDescent="0.2">
      <c r="A694" s="4" t="s">
        <v>1773</v>
      </c>
      <c r="B694" s="21">
        <v>43768</v>
      </c>
      <c r="C694" s="12">
        <v>7</v>
      </c>
      <c r="D694" s="22" t="s">
        <v>1193</v>
      </c>
      <c r="E694" s="23">
        <v>43769</v>
      </c>
      <c r="F694" s="24" t="s">
        <v>103</v>
      </c>
      <c r="G694" s="12"/>
      <c r="H694" s="12"/>
    </row>
    <row r="695" spans="1:8" hidden="1" x14ac:dyDescent="0.2">
      <c r="A695" s="4" t="s">
        <v>1773</v>
      </c>
      <c r="B695" s="21">
        <v>43768</v>
      </c>
      <c r="C695" s="12">
        <v>8</v>
      </c>
      <c r="D695" s="22" t="s">
        <v>894</v>
      </c>
      <c r="E695" s="23">
        <v>43767</v>
      </c>
      <c r="F695" s="24" t="s">
        <v>103</v>
      </c>
      <c r="G695" s="12"/>
      <c r="H695" s="12"/>
    </row>
    <row r="696" spans="1:8" hidden="1" x14ac:dyDescent="0.2">
      <c r="A696" s="4" t="s">
        <v>2009</v>
      </c>
      <c r="B696" s="21">
        <v>43770</v>
      </c>
      <c r="C696" s="12">
        <v>1</v>
      </c>
      <c r="D696" s="22" t="s">
        <v>1030</v>
      </c>
      <c r="E696" s="23">
        <v>43760</v>
      </c>
      <c r="F696" s="24" t="s">
        <v>103</v>
      </c>
      <c r="G696" s="12"/>
      <c r="H696" s="12"/>
    </row>
    <row r="697" spans="1:8" hidden="1" x14ac:dyDescent="0.2">
      <c r="A697" s="4" t="s">
        <v>2009</v>
      </c>
      <c r="B697" s="21">
        <v>43770</v>
      </c>
      <c r="C697" s="12">
        <v>2</v>
      </c>
      <c r="D697" s="22" t="s">
        <v>1163</v>
      </c>
      <c r="E697" s="23">
        <v>43766</v>
      </c>
      <c r="F697" s="24" t="s">
        <v>103</v>
      </c>
      <c r="G697" s="12"/>
      <c r="H697" s="12"/>
    </row>
    <row r="698" spans="1:8" hidden="1" x14ac:dyDescent="0.2">
      <c r="A698" s="4" t="s">
        <v>2009</v>
      </c>
      <c r="B698" s="21">
        <v>43770</v>
      </c>
      <c r="C698" s="12">
        <v>3</v>
      </c>
      <c r="D698" s="22" t="s">
        <v>810</v>
      </c>
      <c r="E698" s="23">
        <v>43767</v>
      </c>
      <c r="F698" s="24" t="s">
        <v>103</v>
      </c>
      <c r="G698" s="12"/>
      <c r="H698" s="12"/>
    </row>
    <row r="699" spans="1:8" hidden="1" x14ac:dyDescent="0.2">
      <c r="A699" s="4" t="s">
        <v>2009</v>
      </c>
      <c r="B699" s="21">
        <v>43770</v>
      </c>
      <c r="C699" s="12">
        <v>4</v>
      </c>
      <c r="D699" s="22" t="s">
        <v>1187</v>
      </c>
      <c r="E699" s="23">
        <v>43767</v>
      </c>
      <c r="F699" s="24" t="s">
        <v>103</v>
      </c>
      <c r="G699" s="12"/>
      <c r="H699" s="12"/>
    </row>
    <row r="700" spans="1:8" hidden="1" x14ac:dyDescent="0.2">
      <c r="A700" s="4" t="s">
        <v>2009</v>
      </c>
      <c r="B700" s="21">
        <v>43770</v>
      </c>
      <c r="C700" s="12">
        <v>5</v>
      </c>
      <c r="D700" s="22" t="s">
        <v>1182</v>
      </c>
      <c r="E700" s="23">
        <v>43767</v>
      </c>
      <c r="F700" s="24" t="s">
        <v>103</v>
      </c>
      <c r="G700" s="12"/>
      <c r="H700" s="12"/>
    </row>
    <row r="701" spans="1:8" hidden="1" x14ac:dyDescent="0.2">
      <c r="A701" s="4" t="s">
        <v>2009</v>
      </c>
      <c r="B701" s="21">
        <v>43770</v>
      </c>
      <c r="C701" s="12">
        <v>6</v>
      </c>
      <c r="D701" s="22" t="s">
        <v>813</v>
      </c>
      <c r="E701" s="23">
        <v>43767</v>
      </c>
      <c r="F701" s="24" t="s">
        <v>103</v>
      </c>
      <c r="G701" s="12"/>
      <c r="H701" s="12"/>
    </row>
    <row r="702" spans="1:8" hidden="1" x14ac:dyDescent="0.2">
      <c r="A702" s="4" t="s">
        <v>2009</v>
      </c>
      <c r="B702" s="21">
        <v>43770</v>
      </c>
      <c r="C702" s="12">
        <v>7</v>
      </c>
      <c r="D702" s="22" t="s">
        <v>817</v>
      </c>
      <c r="E702" s="23">
        <v>43767</v>
      </c>
      <c r="F702" s="24" t="s">
        <v>103</v>
      </c>
      <c r="G702" s="12"/>
      <c r="H702" s="12"/>
    </row>
    <row r="703" spans="1:8" hidden="1" x14ac:dyDescent="0.2">
      <c r="A703" s="4" t="s">
        <v>2009</v>
      </c>
      <c r="B703" s="21">
        <v>43770</v>
      </c>
      <c r="C703" s="12">
        <v>8</v>
      </c>
      <c r="D703" s="22" t="s">
        <v>1194</v>
      </c>
      <c r="E703" s="23">
        <v>43768</v>
      </c>
      <c r="F703" s="24" t="s">
        <v>103</v>
      </c>
      <c r="G703" s="12"/>
      <c r="H703" s="12"/>
    </row>
    <row r="704" spans="1:8" hidden="1" x14ac:dyDescent="0.2">
      <c r="A704" s="4" t="s">
        <v>2009</v>
      </c>
      <c r="B704" s="21">
        <v>43770</v>
      </c>
      <c r="C704" s="12">
        <v>9</v>
      </c>
      <c r="D704" s="22" t="s">
        <v>819</v>
      </c>
      <c r="E704" s="23">
        <v>43766</v>
      </c>
      <c r="F704" s="24" t="s">
        <v>259</v>
      </c>
      <c r="G704" s="12"/>
      <c r="H704" s="12"/>
    </row>
    <row r="705" spans="1:9" hidden="1" x14ac:dyDescent="0.2">
      <c r="A705" s="4" t="s">
        <v>2009</v>
      </c>
      <c r="B705" s="21">
        <v>43770</v>
      </c>
      <c r="C705" s="12">
        <v>10</v>
      </c>
      <c r="D705" s="22" t="s">
        <v>1230</v>
      </c>
      <c r="E705" s="23">
        <v>43771</v>
      </c>
      <c r="F705" s="24" t="s">
        <v>103</v>
      </c>
      <c r="G705" s="12"/>
      <c r="H705" s="12"/>
    </row>
    <row r="706" spans="1:9" hidden="1" x14ac:dyDescent="0.2">
      <c r="A706" s="4" t="s">
        <v>2009</v>
      </c>
      <c r="B706" s="21">
        <v>43770</v>
      </c>
      <c r="C706" s="12">
        <v>11</v>
      </c>
      <c r="D706" s="22" t="s">
        <v>825</v>
      </c>
      <c r="E706" s="23">
        <v>43773</v>
      </c>
      <c r="F706" s="24" t="s">
        <v>103</v>
      </c>
      <c r="G706" s="12"/>
      <c r="H706" s="12"/>
    </row>
    <row r="707" spans="1:9" hidden="1" x14ac:dyDescent="0.2">
      <c r="A707" s="4" t="s">
        <v>793</v>
      </c>
      <c r="B707" s="21">
        <v>43770</v>
      </c>
      <c r="C707" s="12">
        <v>1</v>
      </c>
      <c r="D707" s="22" t="s">
        <v>1144</v>
      </c>
      <c r="E707" s="23">
        <v>43764</v>
      </c>
      <c r="F707" s="24" t="s">
        <v>103</v>
      </c>
      <c r="G707" s="12"/>
      <c r="H707" s="12"/>
      <c r="I707" s="4" t="s">
        <v>776</v>
      </c>
    </row>
    <row r="708" spans="1:9" hidden="1" x14ac:dyDescent="0.2">
      <c r="A708" s="4" t="s">
        <v>793</v>
      </c>
      <c r="B708" s="21">
        <v>43770</v>
      </c>
      <c r="C708" s="12">
        <v>2</v>
      </c>
      <c r="D708" s="22" t="s">
        <v>779</v>
      </c>
      <c r="E708" s="23">
        <v>43764</v>
      </c>
      <c r="F708" s="24" t="s">
        <v>103</v>
      </c>
      <c r="G708" s="12"/>
      <c r="H708" s="12"/>
      <c r="I708" s="4" t="s">
        <v>776</v>
      </c>
    </row>
    <row r="709" spans="1:9" hidden="1" x14ac:dyDescent="0.2">
      <c r="A709" s="4" t="s">
        <v>793</v>
      </c>
      <c r="B709" s="21">
        <v>43770</v>
      </c>
      <c r="C709" s="12">
        <v>3</v>
      </c>
      <c r="D709" s="22" t="s">
        <v>1147</v>
      </c>
      <c r="E709" s="23">
        <v>43764</v>
      </c>
      <c r="F709" s="24" t="s">
        <v>103</v>
      </c>
      <c r="G709" s="12"/>
      <c r="H709" s="12"/>
      <c r="I709" s="4" t="s">
        <v>776</v>
      </c>
    </row>
    <row r="710" spans="1:9" hidden="1" x14ac:dyDescent="0.2">
      <c r="A710" s="4" t="s">
        <v>793</v>
      </c>
      <c r="B710" s="21">
        <v>43770</v>
      </c>
      <c r="C710" s="12">
        <v>4</v>
      </c>
      <c r="D710" s="22" t="s">
        <v>208</v>
      </c>
      <c r="E710" s="23">
        <v>43769</v>
      </c>
      <c r="F710" s="24" t="s">
        <v>103</v>
      </c>
      <c r="G710" s="12"/>
      <c r="H710" s="12"/>
    </row>
    <row r="711" spans="1:9" hidden="1" x14ac:dyDescent="0.2">
      <c r="A711" s="4" t="s">
        <v>793</v>
      </c>
      <c r="B711" s="21">
        <v>43770</v>
      </c>
      <c r="C711" s="12">
        <v>5</v>
      </c>
      <c r="D711" s="22" t="s">
        <v>1265</v>
      </c>
      <c r="E711" s="23">
        <v>43774</v>
      </c>
      <c r="F711" s="24" t="s">
        <v>103</v>
      </c>
      <c r="G711" s="12">
        <v>4</v>
      </c>
      <c r="H711" s="12"/>
    </row>
    <row r="712" spans="1:9" hidden="1" x14ac:dyDescent="0.2">
      <c r="A712" s="4" t="s">
        <v>793</v>
      </c>
      <c r="B712" s="21">
        <v>43770</v>
      </c>
      <c r="C712" s="12">
        <v>6</v>
      </c>
      <c r="D712" s="22" t="s">
        <v>794</v>
      </c>
      <c r="E712" s="23">
        <v>43770</v>
      </c>
      <c r="F712" s="24" t="s">
        <v>103</v>
      </c>
      <c r="G712" s="12"/>
      <c r="H712" s="12"/>
      <c r="I712" s="4" t="s">
        <v>1099</v>
      </c>
    </row>
    <row r="713" spans="1:9" hidden="1" x14ac:dyDescent="0.2">
      <c r="A713" s="4" t="s">
        <v>793</v>
      </c>
      <c r="B713" s="21">
        <v>43770</v>
      </c>
      <c r="C713" s="12">
        <v>7</v>
      </c>
      <c r="D713" s="22" t="s">
        <v>1145</v>
      </c>
      <c r="E713" s="23">
        <v>43773</v>
      </c>
      <c r="F713" s="24" t="s">
        <v>103</v>
      </c>
      <c r="G713" s="12"/>
      <c r="H713" s="12"/>
    </row>
    <row r="714" spans="1:9" hidden="1" x14ac:dyDescent="0.2">
      <c r="A714" s="4" t="s">
        <v>793</v>
      </c>
      <c r="B714" s="21">
        <v>43770</v>
      </c>
      <c r="C714" s="12">
        <v>8</v>
      </c>
      <c r="D714" s="22" t="s">
        <v>1307</v>
      </c>
      <c r="E714" s="23">
        <v>43776</v>
      </c>
      <c r="F714" s="24" t="s">
        <v>103</v>
      </c>
      <c r="G714" s="12">
        <v>4</v>
      </c>
      <c r="H714" s="12"/>
    </row>
    <row r="715" spans="1:9" hidden="1" x14ac:dyDescent="0.2">
      <c r="A715" s="4" t="s">
        <v>793</v>
      </c>
      <c r="B715" s="21">
        <v>43770</v>
      </c>
      <c r="C715" s="12">
        <v>9</v>
      </c>
      <c r="D715" s="22" t="s">
        <v>208</v>
      </c>
      <c r="E715" s="23">
        <v>43775</v>
      </c>
      <c r="F715" s="24" t="s">
        <v>103</v>
      </c>
      <c r="G715" s="12"/>
      <c r="H715" s="12"/>
    </row>
    <row r="716" spans="1:9" hidden="1" x14ac:dyDescent="0.2">
      <c r="A716" s="4" t="s">
        <v>793</v>
      </c>
      <c r="B716" s="21">
        <v>43770</v>
      </c>
      <c r="C716" s="12">
        <v>10</v>
      </c>
      <c r="D716" s="22" t="s">
        <v>1100</v>
      </c>
      <c r="E716" s="23">
        <v>43777</v>
      </c>
      <c r="F716" s="24" t="s">
        <v>103</v>
      </c>
      <c r="G716" s="12"/>
      <c r="H716" s="12"/>
      <c r="I716" s="4" t="s">
        <v>1101</v>
      </c>
    </row>
    <row r="717" spans="1:9" hidden="1" x14ac:dyDescent="0.2">
      <c r="A717" s="4" t="s">
        <v>793</v>
      </c>
      <c r="B717" s="21">
        <v>43770</v>
      </c>
      <c r="C717" s="12">
        <v>11</v>
      </c>
      <c r="D717" s="22" t="s">
        <v>208</v>
      </c>
      <c r="E717" s="23">
        <v>43777</v>
      </c>
      <c r="F717" s="24" t="s">
        <v>103</v>
      </c>
      <c r="G717" s="12"/>
      <c r="H717" s="12"/>
    </row>
    <row r="718" spans="1:9" hidden="1" x14ac:dyDescent="0.2">
      <c r="A718" s="4" t="s">
        <v>793</v>
      </c>
      <c r="B718" s="21">
        <v>43770</v>
      </c>
      <c r="C718" s="12">
        <v>12</v>
      </c>
      <c r="D718" s="22" t="s">
        <v>1349</v>
      </c>
      <c r="E718" s="23">
        <v>43781</v>
      </c>
      <c r="F718" s="24" t="s">
        <v>103</v>
      </c>
      <c r="G718" s="12"/>
      <c r="H718" s="12"/>
    </row>
    <row r="719" spans="1:9" hidden="1" x14ac:dyDescent="0.2">
      <c r="A719" s="4" t="s">
        <v>793</v>
      </c>
      <c r="B719" s="21">
        <v>43770</v>
      </c>
      <c r="C719" s="12">
        <v>13</v>
      </c>
      <c r="D719" s="22" t="s">
        <v>1145</v>
      </c>
      <c r="E719" s="23">
        <v>43780</v>
      </c>
      <c r="F719" s="24" t="s">
        <v>103</v>
      </c>
      <c r="G719" s="12"/>
      <c r="H719" s="12"/>
    </row>
    <row r="720" spans="1:9" hidden="1" x14ac:dyDescent="0.2">
      <c r="A720" s="4" t="s">
        <v>793</v>
      </c>
      <c r="B720" s="21">
        <v>43770</v>
      </c>
      <c r="C720" s="12">
        <v>14</v>
      </c>
      <c r="D720" s="22" t="s">
        <v>1380</v>
      </c>
      <c r="E720" s="23">
        <v>43783</v>
      </c>
      <c r="F720" s="24" t="s">
        <v>103</v>
      </c>
      <c r="G720" s="12"/>
      <c r="H720" s="12"/>
    </row>
    <row r="721" spans="1:9" hidden="1" x14ac:dyDescent="0.2">
      <c r="A721" s="4" t="s">
        <v>793</v>
      </c>
      <c r="B721" s="21">
        <v>43770</v>
      </c>
      <c r="C721" s="12">
        <v>15</v>
      </c>
      <c r="D721" s="22" t="s">
        <v>208</v>
      </c>
      <c r="E721" s="23">
        <v>43782</v>
      </c>
      <c r="F721" s="24" t="s">
        <v>103</v>
      </c>
      <c r="G721" s="12"/>
      <c r="H721" s="12"/>
    </row>
    <row r="722" spans="1:9" hidden="1" x14ac:dyDescent="0.2">
      <c r="A722" s="4" t="s">
        <v>793</v>
      </c>
      <c r="B722" s="21">
        <v>43770</v>
      </c>
      <c r="C722" s="12">
        <v>16</v>
      </c>
      <c r="D722" s="22" t="s">
        <v>208</v>
      </c>
      <c r="E722" s="23">
        <v>43784</v>
      </c>
      <c r="F722" s="24" t="s">
        <v>103</v>
      </c>
      <c r="G722" s="12"/>
      <c r="H722" s="12"/>
    </row>
    <row r="723" spans="1:9" hidden="1" x14ac:dyDescent="0.2">
      <c r="A723" s="4" t="s">
        <v>793</v>
      </c>
      <c r="B723" s="21">
        <v>43770</v>
      </c>
      <c r="C723" s="12">
        <v>17</v>
      </c>
      <c r="D723" s="22" t="s">
        <v>1485</v>
      </c>
      <c r="E723" s="23">
        <v>43790</v>
      </c>
      <c r="F723" s="24" t="s">
        <v>103</v>
      </c>
      <c r="G723" s="12">
        <v>4</v>
      </c>
      <c r="H723" s="12"/>
    </row>
    <row r="724" spans="1:9" hidden="1" x14ac:dyDescent="0.2">
      <c r="A724" s="4" t="s">
        <v>793</v>
      </c>
      <c r="B724" s="21">
        <v>43770</v>
      </c>
      <c r="C724" s="12">
        <v>18</v>
      </c>
      <c r="D724" s="22" t="s">
        <v>1145</v>
      </c>
      <c r="E724" s="23">
        <v>43786</v>
      </c>
      <c r="F724" s="24" t="s">
        <v>103</v>
      </c>
      <c r="G724" s="12"/>
      <c r="H724" s="12"/>
    </row>
    <row r="725" spans="1:9" hidden="1" x14ac:dyDescent="0.2">
      <c r="A725" s="4" t="s">
        <v>793</v>
      </c>
      <c r="B725" s="21">
        <v>43770</v>
      </c>
      <c r="C725" s="12">
        <v>19</v>
      </c>
      <c r="D725" s="22" t="s">
        <v>1506</v>
      </c>
      <c r="E725" s="23">
        <v>43791</v>
      </c>
      <c r="F725" s="24" t="s">
        <v>103</v>
      </c>
      <c r="G725" s="12"/>
      <c r="H725" s="12"/>
    </row>
    <row r="726" spans="1:9" hidden="1" x14ac:dyDescent="0.2">
      <c r="A726" s="4" t="s">
        <v>793</v>
      </c>
      <c r="B726" s="21">
        <v>43770</v>
      </c>
      <c r="C726" s="12">
        <v>20</v>
      </c>
      <c r="D726" s="22" t="s">
        <v>208</v>
      </c>
      <c r="E726" s="23">
        <v>43789</v>
      </c>
      <c r="F726" s="24" t="s">
        <v>103</v>
      </c>
      <c r="G726" s="12"/>
      <c r="H726" s="12"/>
    </row>
    <row r="727" spans="1:9" hidden="1" x14ac:dyDescent="0.2">
      <c r="A727" s="4" t="s">
        <v>793</v>
      </c>
      <c r="B727" s="21">
        <v>43770</v>
      </c>
      <c r="C727" s="12">
        <v>21</v>
      </c>
      <c r="D727" s="22" t="s">
        <v>208</v>
      </c>
      <c r="E727" s="23">
        <v>43790</v>
      </c>
      <c r="F727" s="24" t="s">
        <v>103</v>
      </c>
      <c r="G727" s="12"/>
      <c r="H727" s="12"/>
    </row>
    <row r="728" spans="1:9" hidden="1" x14ac:dyDescent="0.2">
      <c r="A728" s="4" t="s">
        <v>793</v>
      </c>
      <c r="B728" s="21">
        <v>43770</v>
      </c>
      <c r="C728" s="12">
        <v>22</v>
      </c>
      <c r="D728" s="22" t="s">
        <v>1560</v>
      </c>
      <c r="E728" s="23">
        <v>43796</v>
      </c>
      <c r="F728" s="24" t="s">
        <v>103</v>
      </c>
      <c r="G728" s="12"/>
      <c r="H728" s="12"/>
    </row>
    <row r="729" spans="1:9" hidden="1" x14ac:dyDescent="0.2">
      <c r="A729" s="4" t="s">
        <v>793</v>
      </c>
      <c r="B729" s="21">
        <v>43770</v>
      </c>
      <c r="C729" s="12">
        <v>23</v>
      </c>
      <c r="D729" s="22" t="s">
        <v>1536</v>
      </c>
      <c r="E729" s="23">
        <v>43796</v>
      </c>
      <c r="F729" s="24" t="s">
        <v>103</v>
      </c>
      <c r="G729" s="12"/>
      <c r="H729" s="12"/>
      <c r="I729" s="4" t="s">
        <v>789</v>
      </c>
    </row>
    <row r="730" spans="1:9" hidden="1" x14ac:dyDescent="0.2">
      <c r="A730" s="4" t="s">
        <v>793</v>
      </c>
      <c r="B730" s="21">
        <v>43770</v>
      </c>
      <c r="C730" s="12">
        <v>24</v>
      </c>
      <c r="D730" s="22" t="s">
        <v>1537</v>
      </c>
      <c r="E730" s="23">
        <v>43798</v>
      </c>
      <c r="F730" s="24" t="s">
        <v>103</v>
      </c>
      <c r="G730" s="12"/>
      <c r="H730" s="12"/>
      <c r="I730" s="4" t="s">
        <v>787</v>
      </c>
    </row>
    <row r="731" spans="1:9" hidden="1" x14ac:dyDescent="0.2">
      <c r="A731" s="4" t="s">
        <v>793</v>
      </c>
      <c r="B731" s="21">
        <v>43770</v>
      </c>
      <c r="C731" s="12">
        <v>25</v>
      </c>
      <c r="D731" s="22" t="s">
        <v>1538</v>
      </c>
      <c r="E731" s="23">
        <v>43797</v>
      </c>
      <c r="F731" s="24" t="s">
        <v>103</v>
      </c>
      <c r="G731" s="12"/>
      <c r="H731" s="12"/>
      <c r="I731" s="4" t="s">
        <v>787</v>
      </c>
    </row>
    <row r="732" spans="1:9" hidden="1" x14ac:dyDescent="0.2">
      <c r="A732" s="4" t="s">
        <v>793</v>
      </c>
      <c r="B732" s="21">
        <v>43770</v>
      </c>
      <c r="C732" s="12">
        <v>26</v>
      </c>
      <c r="D732" s="22" t="s">
        <v>1103</v>
      </c>
      <c r="E732" s="23">
        <v>43808</v>
      </c>
      <c r="F732" s="24" t="s">
        <v>103</v>
      </c>
      <c r="G732" s="12"/>
      <c r="H732" s="12"/>
      <c r="I732" s="4" t="s">
        <v>96</v>
      </c>
    </row>
    <row r="733" spans="1:9" hidden="1" x14ac:dyDescent="0.2">
      <c r="A733" s="4" t="s">
        <v>793</v>
      </c>
      <c r="B733" s="21">
        <v>43770</v>
      </c>
      <c r="C733" s="12">
        <v>27</v>
      </c>
      <c r="D733" s="22" t="s">
        <v>1146</v>
      </c>
      <c r="E733" s="23">
        <v>43794</v>
      </c>
      <c r="F733" s="24" t="s">
        <v>103</v>
      </c>
      <c r="G733" s="12"/>
      <c r="H733" s="12"/>
    </row>
    <row r="734" spans="1:9" hidden="1" x14ac:dyDescent="0.2">
      <c r="A734" s="4" t="s">
        <v>793</v>
      </c>
      <c r="B734" s="21">
        <v>43770</v>
      </c>
      <c r="C734" s="12">
        <v>28</v>
      </c>
      <c r="D734" s="22" t="s">
        <v>1525</v>
      </c>
      <c r="E734" s="23">
        <v>43801</v>
      </c>
      <c r="F734" s="24" t="s">
        <v>103</v>
      </c>
      <c r="G734" s="12"/>
      <c r="H734" s="12"/>
    </row>
    <row r="735" spans="1:9" hidden="1" x14ac:dyDescent="0.2">
      <c r="A735" s="4" t="s">
        <v>793</v>
      </c>
      <c r="B735" s="21">
        <v>43770</v>
      </c>
      <c r="C735" s="12">
        <v>29</v>
      </c>
      <c r="D735" s="22" t="s">
        <v>1528</v>
      </c>
      <c r="E735" s="23">
        <v>43795</v>
      </c>
      <c r="F735" s="24" t="s">
        <v>103</v>
      </c>
      <c r="G735" s="12"/>
      <c r="H735" s="12"/>
      <c r="I735" s="4" t="s">
        <v>787</v>
      </c>
    </row>
    <row r="736" spans="1:9" hidden="1" x14ac:dyDescent="0.2">
      <c r="A736" s="4" t="s">
        <v>793</v>
      </c>
      <c r="B736" s="21">
        <v>43770</v>
      </c>
      <c r="C736" s="12">
        <v>30</v>
      </c>
      <c r="D736" s="22" t="s">
        <v>1544</v>
      </c>
      <c r="E736" s="23">
        <v>43796</v>
      </c>
      <c r="F736" s="24" t="s">
        <v>103</v>
      </c>
      <c r="G736" s="12"/>
      <c r="H736" s="12"/>
      <c r="I736" s="4" t="s">
        <v>1102</v>
      </c>
    </row>
    <row r="737" spans="1:9" hidden="1" x14ac:dyDescent="0.2">
      <c r="A737" s="4" t="s">
        <v>793</v>
      </c>
      <c r="B737" s="21">
        <v>43770</v>
      </c>
      <c r="C737" s="12">
        <v>31</v>
      </c>
      <c r="D737" s="22" t="s">
        <v>208</v>
      </c>
      <c r="E737" s="23">
        <v>43796</v>
      </c>
      <c r="F737" s="24" t="s">
        <v>103</v>
      </c>
      <c r="G737" s="12"/>
      <c r="H737" s="12"/>
    </row>
    <row r="738" spans="1:9" hidden="1" x14ac:dyDescent="0.2">
      <c r="A738" s="4" t="s">
        <v>793</v>
      </c>
      <c r="B738" s="21">
        <v>43770</v>
      </c>
      <c r="C738" s="12">
        <v>32</v>
      </c>
      <c r="D738" s="22" t="s">
        <v>392</v>
      </c>
      <c r="E738" s="23">
        <v>43796</v>
      </c>
      <c r="F738" s="24" t="s">
        <v>103</v>
      </c>
      <c r="G738" s="12"/>
      <c r="H738" s="12"/>
      <c r="I738" s="4" t="s">
        <v>1102</v>
      </c>
    </row>
    <row r="739" spans="1:9" hidden="1" x14ac:dyDescent="0.2">
      <c r="A739" s="4" t="s">
        <v>793</v>
      </c>
      <c r="B739" s="21">
        <v>43770</v>
      </c>
      <c r="C739" s="12">
        <v>33</v>
      </c>
      <c r="D739" s="22" t="s">
        <v>208</v>
      </c>
      <c r="E739" s="23">
        <v>43798</v>
      </c>
      <c r="F739" s="24" t="s">
        <v>103</v>
      </c>
      <c r="G739" s="12"/>
      <c r="H739" s="12"/>
    </row>
    <row r="740" spans="1:9" hidden="1" x14ac:dyDescent="0.2">
      <c r="A740" s="4" t="s">
        <v>1389</v>
      </c>
      <c r="B740" s="21">
        <v>43770</v>
      </c>
      <c r="C740" s="12"/>
      <c r="D740" s="22" t="s">
        <v>1524</v>
      </c>
      <c r="E740" s="23">
        <v>43825</v>
      </c>
      <c r="F740" s="24" t="s">
        <v>1385</v>
      </c>
      <c r="G740" s="12"/>
      <c r="H740" s="12"/>
    </row>
    <row r="741" spans="1:9" hidden="1" x14ac:dyDescent="0.2">
      <c r="A741" s="4" t="s">
        <v>2005</v>
      </c>
      <c r="B741" s="21">
        <v>43772</v>
      </c>
      <c r="C741" s="12">
        <v>0</v>
      </c>
      <c r="D741" s="22" t="s">
        <v>757</v>
      </c>
      <c r="E741" s="23">
        <v>43751</v>
      </c>
      <c r="F741" s="24" t="s">
        <v>103</v>
      </c>
      <c r="G741" s="12"/>
      <c r="H741" s="12"/>
    </row>
    <row r="742" spans="1:9" hidden="1" x14ac:dyDescent="0.2">
      <c r="A742" s="4" t="s">
        <v>2005</v>
      </c>
      <c r="B742" s="21">
        <v>43772</v>
      </c>
      <c r="C742" s="12">
        <v>1</v>
      </c>
      <c r="D742" s="22" t="s">
        <v>832</v>
      </c>
      <c r="E742" s="23">
        <v>43752</v>
      </c>
      <c r="F742" s="24" t="s">
        <v>103</v>
      </c>
      <c r="G742" s="12"/>
      <c r="H742" s="12"/>
    </row>
    <row r="743" spans="1:9" hidden="1" x14ac:dyDescent="0.2">
      <c r="A743" s="4" t="s">
        <v>2005</v>
      </c>
      <c r="B743" s="21">
        <v>43772</v>
      </c>
      <c r="C743" s="12">
        <v>2</v>
      </c>
      <c r="D743" s="22" t="s">
        <v>759</v>
      </c>
      <c r="E743" s="23">
        <v>43768</v>
      </c>
      <c r="F743" s="24" t="s">
        <v>1183</v>
      </c>
      <c r="G743" s="12"/>
      <c r="H743" s="12"/>
    </row>
    <row r="744" spans="1:9" hidden="1" x14ac:dyDescent="0.2">
      <c r="A744" s="4" t="s">
        <v>2005</v>
      </c>
      <c r="B744" s="21">
        <v>43772</v>
      </c>
      <c r="C744" s="12">
        <v>3</v>
      </c>
      <c r="D744" s="22" t="s">
        <v>764</v>
      </c>
      <c r="E744" s="23">
        <v>43769</v>
      </c>
      <c r="F744" s="24" t="s">
        <v>1183</v>
      </c>
      <c r="G744" s="12"/>
      <c r="H744" s="12"/>
      <c r="I744" s="4" t="s">
        <v>760</v>
      </c>
    </row>
    <row r="745" spans="1:9" hidden="1" x14ac:dyDescent="0.2">
      <c r="A745" s="4" t="s">
        <v>2005</v>
      </c>
      <c r="B745" s="21">
        <v>43772</v>
      </c>
      <c r="C745" s="12">
        <v>4</v>
      </c>
      <c r="D745" s="22" t="s">
        <v>762</v>
      </c>
      <c r="E745" s="23">
        <v>43769</v>
      </c>
      <c r="F745" s="24" t="s">
        <v>1183</v>
      </c>
      <c r="G745" s="12"/>
      <c r="H745" s="12"/>
    </row>
    <row r="746" spans="1:9" hidden="1" x14ac:dyDescent="0.2">
      <c r="A746" s="4" t="s">
        <v>2005</v>
      </c>
      <c r="B746" s="21">
        <v>43772</v>
      </c>
      <c r="C746" s="12">
        <v>5</v>
      </c>
      <c r="D746" s="22" t="s">
        <v>766</v>
      </c>
      <c r="E746" s="23">
        <v>43770</v>
      </c>
      <c r="F746" s="24" t="s">
        <v>1183</v>
      </c>
      <c r="G746" s="12"/>
      <c r="H746" s="12"/>
    </row>
    <row r="747" spans="1:9" hidden="1" x14ac:dyDescent="0.2">
      <c r="A747" s="4" t="s">
        <v>2005</v>
      </c>
      <c r="B747" s="21">
        <v>43772</v>
      </c>
      <c r="C747" s="12">
        <v>6</v>
      </c>
      <c r="D747" s="22" t="s">
        <v>768</v>
      </c>
      <c r="E747" s="23">
        <v>43770</v>
      </c>
      <c r="F747" s="24" t="s">
        <v>1183</v>
      </c>
      <c r="G747" s="12"/>
      <c r="H747" s="12"/>
    </row>
    <row r="748" spans="1:9" hidden="1" x14ac:dyDescent="0.2">
      <c r="A748" s="4" t="s">
        <v>2005</v>
      </c>
      <c r="B748" s="21">
        <v>43772</v>
      </c>
      <c r="C748" s="12">
        <v>7</v>
      </c>
      <c r="D748" s="22" t="s">
        <v>772</v>
      </c>
      <c r="E748" s="23">
        <v>43776</v>
      </c>
      <c r="F748" s="24" t="s">
        <v>1183</v>
      </c>
      <c r="G748" s="12"/>
      <c r="H748" s="12"/>
    </row>
    <row r="749" spans="1:9" hidden="1" x14ac:dyDescent="0.2">
      <c r="A749" s="4" t="s">
        <v>2001</v>
      </c>
      <c r="B749" s="21">
        <v>43772</v>
      </c>
      <c r="C749" s="12">
        <v>1</v>
      </c>
      <c r="D749" s="22" t="s">
        <v>1381</v>
      </c>
      <c r="E749" s="23">
        <v>43768</v>
      </c>
      <c r="F749" s="24" t="s">
        <v>103</v>
      </c>
      <c r="G749" s="12"/>
      <c r="H749" s="12"/>
    </row>
    <row r="750" spans="1:9" hidden="1" x14ac:dyDescent="0.2">
      <c r="A750" s="4" t="s">
        <v>2001</v>
      </c>
      <c r="B750" s="21">
        <v>43772</v>
      </c>
      <c r="C750" s="12">
        <v>2</v>
      </c>
      <c r="D750" s="22" t="s">
        <v>1217</v>
      </c>
      <c r="E750" s="23">
        <v>43769</v>
      </c>
      <c r="F750" s="24" t="s">
        <v>103</v>
      </c>
      <c r="G750" s="12"/>
      <c r="H750" s="12"/>
    </row>
    <row r="751" spans="1:9" hidden="1" x14ac:dyDescent="0.2">
      <c r="A751" s="4" t="s">
        <v>2001</v>
      </c>
      <c r="B751" s="21">
        <v>43772</v>
      </c>
      <c r="C751" s="12">
        <v>3</v>
      </c>
      <c r="D751" s="22" t="s">
        <v>1260</v>
      </c>
      <c r="E751" s="23">
        <v>43773</v>
      </c>
      <c r="F751" s="24" t="s">
        <v>103</v>
      </c>
      <c r="G751" s="12"/>
      <c r="H751" s="12"/>
    </row>
    <row r="752" spans="1:9" hidden="1" x14ac:dyDescent="0.2">
      <c r="A752" s="4" t="s">
        <v>2001</v>
      </c>
      <c r="B752" s="21">
        <v>43772</v>
      </c>
      <c r="C752" s="12">
        <v>4</v>
      </c>
      <c r="D752" s="22" t="s">
        <v>1377</v>
      </c>
      <c r="E752" s="23">
        <v>43783</v>
      </c>
      <c r="F752" s="24" t="s">
        <v>103</v>
      </c>
      <c r="G752" s="12"/>
      <c r="H752" s="12"/>
    </row>
    <row r="753" spans="1:9" hidden="1" x14ac:dyDescent="0.2">
      <c r="A753" s="4" t="s">
        <v>2001</v>
      </c>
      <c r="B753" s="21">
        <v>43772</v>
      </c>
      <c r="C753" s="12">
        <v>5</v>
      </c>
      <c r="D753" s="22" t="s">
        <v>1354</v>
      </c>
      <c r="E753" s="23">
        <v>43774</v>
      </c>
      <c r="F753" s="24" t="s">
        <v>103</v>
      </c>
      <c r="G753" s="12"/>
      <c r="H753" s="12"/>
    </row>
    <row r="754" spans="1:9" hidden="1" x14ac:dyDescent="0.2">
      <c r="A754" s="4" t="s">
        <v>500</v>
      </c>
      <c r="B754" s="21">
        <v>43773</v>
      </c>
      <c r="C754" s="12">
        <v>0</v>
      </c>
      <c r="D754" s="22" t="s">
        <v>803</v>
      </c>
      <c r="E754" s="23">
        <v>43774</v>
      </c>
      <c r="F754" s="24" t="s">
        <v>103</v>
      </c>
      <c r="G754" s="12"/>
      <c r="H754" s="12"/>
      <c r="I754" s="4" t="s">
        <v>98</v>
      </c>
    </row>
    <row r="755" spans="1:9" hidden="1" x14ac:dyDescent="0.2">
      <c r="A755" s="4" t="s">
        <v>500</v>
      </c>
      <c r="B755" s="21">
        <v>43773</v>
      </c>
      <c r="C755" s="12">
        <v>1</v>
      </c>
      <c r="D755" s="22" t="s">
        <v>977</v>
      </c>
      <c r="E755" s="23">
        <v>43777</v>
      </c>
      <c r="F755" s="24" t="s">
        <v>103</v>
      </c>
      <c r="G755" s="12"/>
      <c r="H755" s="12"/>
      <c r="I755" s="4" t="s">
        <v>97</v>
      </c>
    </row>
    <row r="756" spans="1:9" hidden="1" x14ac:dyDescent="0.2">
      <c r="A756" s="4" t="s">
        <v>500</v>
      </c>
      <c r="B756" s="21">
        <v>43773</v>
      </c>
      <c r="C756" s="12">
        <v>2</v>
      </c>
      <c r="D756" s="22" t="s">
        <v>975</v>
      </c>
      <c r="E756" s="23">
        <v>43777</v>
      </c>
      <c r="F756" s="24" t="s">
        <v>103</v>
      </c>
      <c r="G756" s="12"/>
      <c r="H756" s="12"/>
    </row>
    <row r="757" spans="1:9" hidden="1" x14ac:dyDescent="0.2">
      <c r="A757" s="4" t="s">
        <v>501</v>
      </c>
      <c r="B757" s="21">
        <v>43773</v>
      </c>
      <c r="C757" s="12"/>
      <c r="D757" s="22" t="s">
        <v>1281</v>
      </c>
      <c r="E757" s="23">
        <v>43775</v>
      </c>
      <c r="F757" s="24" t="s">
        <v>103</v>
      </c>
      <c r="G757" s="12"/>
      <c r="H757" s="12"/>
    </row>
    <row r="758" spans="1:9" hidden="1" x14ac:dyDescent="0.2">
      <c r="A758" s="4" t="s">
        <v>1249</v>
      </c>
      <c r="B758" s="21">
        <v>43773</v>
      </c>
      <c r="C758" s="12"/>
      <c r="D758" s="22" t="s">
        <v>1250</v>
      </c>
      <c r="E758" s="23">
        <v>43774</v>
      </c>
      <c r="F758" s="24" t="s">
        <v>103</v>
      </c>
      <c r="G758" s="12"/>
      <c r="H758" s="12"/>
    </row>
    <row r="759" spans="1:9" hidden="1" x14ac:dyDescent="0.2">
      <c r="A759" s="4" t="s">
        <v>1249</v>
      </c>
      <c r="B759" s="21">
        <v>43773</v>
      </c>
      <c r="C759" s="12"/>
      <c r="D759" s="22" t="s">
        <v>1263</v>
      </c>
      <c r="E759" s="23">
        <v>43774</v>
      </c>
      <c r="F759" s="24" t="s">
        <v>103</v>
      </c>
      <c r="G759" s="12"/>
      <c r="H759" s="12"/>
    </row>
    <row r="760" spans="1:9" hidden="1" x14ac:dyDescent="0.2">
      <c r="A760" s="4" t="s">
        <v>2011</v>
      </c>
      <c r="B760" s="21">
        <v>43774</v>
      </c>
      <c r="C760" s="12">
        <v>1</v>
      </c>
      <c r="D760" s="22" t="s">
        <v>92</v>
      </c>
      <c r="E760" s="23">
        <v>43749</v>
      </c>
      <c r="F760" s="24" t="s">
        <v>729</v>
      </c>
      <c r="G760" s="12"/>
      <c r="H760" s="12"/>
    </row>
    <row r="761" spans="1:9" hidden="1" x14ac:dyDescent="0.2">
      <c r="A761" s="4" t="s">
        <v>2011</v>
      </c>
      <c r="B761" s="21">
        <v>43774</v>
      </c>
      <c r="C761" s="12">
        <v>2</v>
      </c>
      <c r="D761" s="22" t="s">
        <v>93</v>
      </c>
      <c r="E761" s="23">
        <v>43749</v>
      </c>
      <c r="F761" s="24" t="s">
        <v>729</v>
      </c>
      <c r="G761" s="12"/>
      <c r="H761" s="12"/>
    </row>
    <row r="762" spans="1:9" hidden="1" x14ac:dyDescent="0.2">
      <c r="A762" s="4" t="s">
        <v>2011</v>
      </c>
      <c r="B762" s="21">
        <v>43774</v>
      </c>
      <c r="C762" s="12">
        <v>3</v>
      </c>
      <c r="D762" s="22" t="s">
        <v>466</v>
      </c>
      <c r="E762" s="23">
        <v>43749</v>
      </c>
      <c r="F762" s="24" t="s">
        <v>103</v>
      </c>
      <c r="G762" s="12"/>
      <c r="H762" s="12"/>
      <c r="I762" s="4" t="s">
        <v>94</v>
      </c>
    </row>
    <row r="763" spans="1:9" hidden="1" x14ac:dyDescent="0.2">
      <c r="A763" s="4" t="s">
        <v>2011</v>
      </c>
      <c r="B763" s="21">
        <v>43774</v>
      </c>
      <c r="C763" s="12">
        <v>5</v>
      </c>
      <c r="D763" s="22" t="s">
        <v>277</v>
      </c>
      <c r="E763" s="23">
        <v>43749</v>
      </c>
      <c r="F763" s="24" t="s">
        <v>103</v>
      </c>
      <c r="G763" s="12"/>
      <c r="H763" s="12"/>
    </row>
    <row r="764" spans="1:9" hidden="1" x14ac:dyDescent="0.2">
      <c r="A764" s="4" t="s">
        <v>2011</v>
      </c>
      <c r="B764" s="21">
        <v>43774</v>
      </c>
      <c r="C764" s="12">
        <v>6</v>
      </c>
      <c r="D764" s="22" t="s">
        <v>377</v>
      </c>
      <c r="E764" s="23">
        <v>43749</v>
      </c>
      <c r="F764" s="24" t="s">
        <v>103</v>
      </c>
      <c r="G764" s="12"/>
      <c r="H764" s="12"/>
    </row>
    <row r="765" spans="1:9" hidden="1" x14ac:dyDescent="0.2">
      <c r="A765" s="4" t="s">
        <v>2011</v>
      </c>
      <c r="B765" s="21">
        <v>43774</v>
      </c>
      <c r="C765" s="12">
        <v>7</v>
      </c>
      <c r="D765" s="22" t="s">
        <v>1168</v>
      </c>
      <c r="E765" s="23">
        <v>43767</v>
      </c>
      <c r="F765" s="24" t="s">
        <v>103</v>
      </c>
      <c r="G765" s="12">
        <v>3</v>
      </c>
      <c r="H765" s="12"/>
      <c r="I765" s="4" t="s">
        <v>278</v>
      </c>
    </row>
    <row r="766" spans="1:9" hidden="1" x14ac:dyDescent="0.2">
      <c r="A766" s="4" t="s">
        <v>2011</v>
      </c>
      <c r="B766" s="21">
        <v>43774</v>
      </c>
      <c r="C766" s="12">
        <v>8</v>
      </c>
      <c r="D766" s="22" t="s">
        <v>233</v>
      </c>
      <c r="E766" s="23">
        <v>43766</v>
      </c>
      <c r="F766" s="24" t="s">
        <v>1169</v>
      </c>
      <c r="G766" s="12"/>
      <c r="H766" s="12"/>
      <c r="I766" s="4" t="s">
        <v>105</v>
      </c>
    </row>
    <row r="767" spans="1:9" hidden="1" x14ac:dyDescent="0.2">
      <c r="A767" s="4" t="s">
        <v>2011</v>
      </c>
      <c r="B767" s="21">
        <v>43774</v>
      </c>
      <c r="C767" s="12">
        <v>9</v>
      </c>
      <c r="D767" s="22" t="s">
        <v>1179</v>
      </c>
      <c r="E767" s="23">
        <v>43767</v>
      </c>
      <c r="F767" s="24" t="s">
        <v>103</v>
      </c>
      <c r="G767" s="12"/>
      <c r="H767" s="12"/>
    </row>
    <row r="768" spans="1:9" hidden="1" x14ac:dyDescent="0.2">
      <c r="A768" s="4" t="s">
        <v>2011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103</v>
      </c>
      <c r="G768" s="12"/>
      <c r="H768" s="12"/>
    </row>
    <row r="769" spans="1:9" hidden="1" x14ac:dyDescent="0.2">
      <c r="A769" s="4" t="s">
        <v>2011</v>
      </c>
      <c r="B769" s="21">
        <v>43774</v>
      </c>
      <c r="C769" s="12">
        <v>11</v>
      </c>
      <c r="D769" s="22" t="s">
        <v>379</v>
      </c>
      <c r="E769" s="23">
        <v>43767</v>
      </c>
      <c r="F769" s="24" t="s">
        <v>103</v>
      </c>
      <c r="G769" s="12"/>
      <c r="H769" s="12"/>
    </row>
    <row r="770" spans="1:9" hidden="1" x14ac:dyDescent="0.2">
      <c r="A770" s="4" t="s">
        <v>2011</v>
      </c>
      <c r="B770" s="21">
        <v>43774</v>
      </c>
      <c r="C770" s="12">
        <v>12</v>
      </c>
      <c r="D770" s="22" t="s">
        <v>109</v>
      </c>
      <c r="E770" s="23">
        <v>43767</v>
      </c>
      <c r="F770" s="24" t="s">
        <v>1188</v>
      </c>
      <c r="G770" s="12"/>
      <c r="H770" s="12"/>
      <c r="I770" s="4" t="s">
        <v>20</v>
      </c>
    </row>
    <row r="771" spans="1:9" hidden="1" x14ac:dyDescent="0.2">
      <c r="A771" s="4" t="s">
        <v>2011</v>
      </c>
      <c r="B771" s="21">
        <v>43774</v>
      </c>
      <c r="C771" s="12">
        <v>13</v>
      </c>
      <c r="D771" s="22" t="s">
        <v>468</v>
      </c>
      <c r="E771" s="23">
        <v>43767</v>
      </c>
      <c r="F771" s="24" t="s">
        <v>103</v>
      </c>
      <c r="G771" s="12"/>
      <c r="H771" s="12"/>
      <c r="I771" s="4" t="s">
        <v>13</v>
      </c>
    </row>
    <row r="772" spans="1:9" hidden="1" x14ac:dyDescent="0.2">
      <c r="A772" s="4" t="s">
        <v>2011</v>
      </c>
      <c r="B772" s="21">
        <v>43774</v>
      </c>
      <c r="C772" s="12">
        <v>14</v>
      </c>
      <c r="D772" s="22" t="s">
        <v>107</v>
      </c>
      <c r="E772" s="23">
        <v>43767</v>
      </c>
      <c r="F772" s="24" t="s">
        <v>103</v>
      </c>
      <c r="G772" s="12"/>
      <c r="H772" s="12"/>
      <c r="I772" s="4" t="s">
        <v>20</v>
      </c>
    </row>
    <row r="773" spans="1:9" hidden="1" x14ac:dyDescent="0.2">
      <c r="A773" s="4" t="s">
        <v>2011</v>
      </c>
      <c r="B773" s="21">
        <v>43774</v>
      </c>
      <c r="C773" s="12">
        <v>15</v>
      </c>
      <c r="D773" s="22" t="s">
        <v>234</v>
      </c>
      <c r="E773" s="23">
        <v>43769</v>
      </c>
      <c r="F773" s="24" t="s">
        <v>259</v>
      </c>
      <c r="G773" s="12"/>
      <c r="H773" s="12"/>
      <c r="I773" s="4" t="s">
        <v>111</v>
      </c>
    </row>
    <row r="774" spans="1:9" hidden="1" x14ac:dyDescent="0.2">
      <c r="A774" s="4" t="s">
        <v>2011</v>
      </c>
      <c r="B774" s="21">
        <v>43774</v>
      </c>
      <c r="C774" s="12">
        <v>16</v>
      </c>
      <c r="D774" s="22" t="s">
        <v>115</v>
      </c>
      <c r="E774" s="23">
        <v>43770</v>
      </c>
      <c r="F774" s="24" t="s">
        <v>103</v>
      </c>
      <c r="G774" s="12"/>
      <c r="H774" s="12"/>
      <c r="I774" s="4" t="s">
        <v>113</v>
      </c>
    </row>
    <row r="775" spans="1:9" hidden="1" x14ac:dyDescent="0.2">
      <c r="A775" s="4" t="s">
        <v>2011</v>
      </c>
      <c r="B775" s="21">
        <v>43774</v>
      </c>
      <c r="C775" s="12">
        <v>17</v>
      </c>
      <c r="D775" s="22" t="s">
        <v>117</v>
      </c>
      <c r="E775" s="23">
        <v>43770</v>
      </c>
      <c r="F775" s="24" t="s">
        <v>103</v>
      </c>
      <c r="G775" s="12"/>
      <c r="H775" s="12"/>
    </row>
    <row r="776" spans="1:9" hidden="1" x14ac:dyDescent="0.2">
      <c r="A776" s="4" t="s">
        <v>2011</v>
      </c>
      <c r="B776" s="21">
        <v>43774</v>
      </c>
      <c r="C776" s="12">
        <v>18</v>
      </c>
      <c r="D776" s="22" t="s">
        <v>119</v>
      </c>
      <c r="E776" s="23">
        <v>43770</v>
      </c>
      <c r="F776" s="24" t="s">
        <v>103</v>
      </c>
      <c r="G776" s="12"/>
      <c r="H776" s="12"/>
    </row>
    <row r="777" spans="1:9" hidden="1" x14ac:dyDescent="0.2">
      <c r="A777" s="4" t="s">
        <v>2011</v>
      </c>
      <c r="B777" s="21">
        <v>43774</v>
      </c>
      <c r="C777" s="12">
        <v>19</v>
      </c>
      <c r="D777" s="22" t="s">
        <v>132</v>
      </c>
      <c r="E777" s="23">
        <v>43773</v>
      </c>
      <c r="F777" s="24" t="s">
        <v>103</v>
      </c>
      <c r="G777" s="12"/>
      <c r="H777" s="12"/>
    </row>
    <row r="778" spans="1:9" hidden="1" x14ac:dyDescent="0.2">
      <c r="A778" s="4" t="s">
        <v>2011</v>
      </c>
      <c r="B778" s="21">
        <v>43774</v>
      </c>
      <c r="C778" s="12">
        <v>20</v>
      </c>
      <c r="D778" s="22" t="s">
        <v>133</v>
      </c>
      <c r="E778" s="23">
        <v>43773</v>
      </c>
      <c r="F778" s="24" t="s">
        <v>103</v>
      </c>
      <c r="G778" s="12"/>
      <c r="H778" s="12"/>
    </row>
    <row r="779" spans="1:9" hidden="1" x14ac:dyDescent="0.2">
      <c r="A779" s="4" t="s">
        <v>2011</v>
      </c>
      <c r="B779" s="21">
        <v>43774</v>
      </c>
      <c r="C779" s="12">
        <v>21</v>
      </c>
      <c r="D779" s="22" t="s">
        <v>134</v>
      </c>
      <c r="E779" s="23">
        <v>43773</v>
      </c>
      <c r="F779" s="24" t="s">
        <v>103</v>
      </c>
      <c r="G779" s="12"/>
      <c r="H779" s="12"/>
    </row>
    <row r="780" spans="1:9" hidden="1" x14ac:dyDescent="0.2">
      <c r="A780" s="4" t="s">
        <v>2011</v>
      </c>
      <c r="B780" s="21">
        <v>43774</v>
      </c>
      <c r="C780" s="12">
        <v>22</v>
      </c>
      <c r="D780" s="22" t="s">
        <v>120</v>
      </c>
      <c r="E780" s="23">
        <v>43770</v>
      </c>
      <c r="F780" s="24" t="s">
        <v>103</v>
      </c>
      <c r="G780" s="12"/>
      <c r="H780" s="12"/>
    </row>
    <row r="781" spans="1:9" hidden="1" x14ac:dyDescent="0.2">
      <c r="A781" s="4" t="s">
        <v>2011</v>
      </c>
      <c r="B781" s="21">
        <v>43774</v>
      </c>
      <c r="C781" s="12">
        <v>23</v>
      </c>
      <c r="D781" s="22" t="s">
        <v>122</v>
      </c>
      <c r="E781" s="23">
        <v>43771</v>
      </c>
      <c r="F781" s="24" t="s">
        <v>103</v>
      </c>
      <c r="G781" s="12"/>
      <c r="H781" s="12"/>
    </row>
    <row r="782" spans="1:9" hidden="1" x14ac:dyDescent="0.2">
      <c r="A782" s="4" t="s">
        <v>2011</v>
      </c>
      <c r="B782" s="21">
        <v>43774</v>
      </c>
      <c r="C782" s="12">
        <v>24</v>
      </c>
      <c r="D782" s="22" t="s">
        <v>124</v>
      </c>
      <c r="E782" s="23">
        <v>43771</v>
      </c>
      <c r="F782" s="24" t="s">
        <v>103</v>
      </c>
      <c r="G782" s="12"/>
      <c r="H782" s="12"/>
    </row>
    <row r="783" spans="1:9" hidden="1" x14ac:dyDescent="0.2">
      <c r="A783" s="4" t="s">
        <v>2011</v>
      </c>
      <c r="B783" s="21">
        <v>43774</v>
      </c>
      <c r="C783" s="12">
        <v>25</v>
      </c>
      <c r="D783" s="22" t="s">
        <v>1236</v>
      </c>
      <c r="E783" s="23">
        <v>43775</v>
      </c>
      <c r="F783" s="24" t="s">
        <v>103</v>
      </c>
      <c r="G783" s="12"/>
      <c r="H783" s="12"/>
    </row>
    <row r="784" spans="1:9" hidden="1" x14ac:dyDescent="0.2">
      <c r="A784" s="4" t="s">
        <v>2011</v>
      </c>
      <c r="B784" s="21">
        <v>43774</v>
      </c>
      <c r="C784" s="12">
        <v>26</v>
      </c>
      <c r="D784" s="22" t="s">
        <v>128</v>
      </c>
      <c r="E784" s="23">
        <v>43774</v>
      </c>
      <c r="F784" s="24" t="s">
        <v>259</v>
      </c>
      <c r="G784" s="12"/>
      <c r="H784" s="12"/>
    </row>
    <row r="785" spans="1:8" hidden="1" x14ac:dyDescent="0.2">
      <c r="A785" s="4" t="s">
        <v>2011</v>
      </c>
      <c r="B785" s="21">
        <v>43774</v>
      </c>
      <c r="C785" s="12">
        <v>27</v>
      </c>
      <c r="D785" s="22" t="s">
        <v>130</v>
      </c>
      <c r="E785" s="23">
        <v>43776</v>
      </c>
      <c r="F785" s="24" t="s">
        <v>103</v>
      </c>
      <c r="G785" s="12"/>
      <c r="H785" s="12"/>
    </row>
    <row r="786" spans="1:8" hidden="1" x14ac:dyDescent="0.2">
      <c r="A786" s="4" t="s">
        <v>2011</v>
      </c>
      <c r="B786" s="21">
        <v>43774</v>
      </c>
      <c r="C786" s="12">
        <v>28</v>
      </c>
      <c r="D786" s="22" t="s">
        <v>469</v>
      </c>
      <c r="E786" s="23">
        <v>43776</v>
      </c>
      <c r="F786" s="24" t="s">
        <v>103</v>
      </c>
      <c r="G786" s="12"/>
      <c r="H786" s="12"/>
    </row>
    <row r="787" spans="1:8" hidden="1" x14ac:dyDescent="0.2">
      <c r="A787" s="4" t="s">
        <v>2011</v>
      </c>
      <c r="B787" s="21">
        <v>43774</v>
      </c>
      <c r="C787" s="12">
        <v>29</v>
      </c>
      <c r="D787" s="22" t="s">
        <v>1165</v>
      </c>
      <c r="E787" s="23">
        <v>43777</v>
      </c>
      <c r="F787" s="24" t="s">
        <v>103</v>
      </c>
      <c r="G787" s="12"/>
      <c r="H787" s="12"/>
    </row>
    <row r="788" spans="1:8" hidden="1" x14ac:dyDescent="0.2">
      <c r="A788" s="4" t="s">
        <v>2009</v>
      </c>
      <c r="B788" s="21">
        <v>43775</v>
      </c>
      <c r="C788" s="12">
        <v>1</v>
      </c>
      <c r="D788" s="22" t="s">
        <v>1175</v>
      </c>
      <c r="E788" s="23">
        <v>43767</v>
      </c>
      <c r="F788" s="24" t="s">
        <v>103</v>
      </c>
      <c r="G788" s="12"/>
      <c r="H788" s="12"/>
    </row>
    <row r="789" spans="1:8" hidden="1" x14ac:dyDescent="0.2">
      <c r="A789" s="4" t="s">
        <v>2009</v>
      </c>
      <c r="B789" s="21">
        <v>43775</v>
      </c>
      <c r="C789" s="12">
        <v>2</v>
      </c>
      <c r="D789" s="22" t="s">
        <v>1025</v>
      </c>
      <c r="E789" s="23">
        <v>43769</v>
      </c>
      <c r="F789" s="24" t="s">
        <v>259</v>
      </c>
      <c r="G789" s="12"/>
      <c r="H789" s="12"/>
    </row>
    <row r="790" spans="1:8" hidden="1" x14ac:dyDescent="0.2">
      <c r="A790" s="4" t="s">
        <v>2009</v>
      </c>
      <c r="B790" s="21">
        <v>43775</v>
      </c>
      <c r="C790" s="12">
        <v>3</v>
      </c>
      <c r="D790" s="22" t="s">
        <v>810</v>
      </c>
      <c r="E790" s="23">
        <v>43770</v>
      </c>
      <c r="F790" s="24" t="s">
        <v>259</v>
      </c>
      <c r="G790" s="12"/>
      <c r="H790" s="12"/>
    </row>
    <row r="791" spans="1:8" hidden="1" x14ac:dyDescent="0.2">
      <c r="A791" s="4" t="s">
        <v>2009</v>
      </c>
      <c r="B791" s="21">
        <v>43775</v>
      </c>
      <c r="C791" s="12">
        <v>4</v>
      </c>
      <c r="D791" s="22" t="s">
        <v>812</v>
      </c>
      <c r="E791" s="23">
        <v>43770</v>
      </c>
      <c r="F791" s="24" t="s">
        <v>259</v>
      </c>
      <c r="G791" s="12"/>
      <c r="H791" s="12"/>
    </row>
    <row r="792" spans="1:8" hidden="1" x14ac:dyDescent="0.2">
      <c r="A792" s="4" t="s">
        <v>2009</v>
      </c>
      <c r="B792" s="21">
        <v>43775</v>
      </c>
      <c r="C792" s="12">
        <v>5</v>
      </c>
      <c r="D792" s="22" t="s">
        <v>815</v>
      </c>
      <c r="E792" s="23">
        <v>43770</v>
      </c>
      <c r="F792" s="24" t="s">
        <v>259</v>
      </c>
      <c r="G792" s="12"/>
      <c r="H792" s="12"/>
    </row>
    <row r="793" spans="1:8" hidden="1" x14ac:dyDescent="0.2">
      <c r="A793" s="4" t="s">
        <v>2009</v>
      </c>
      <c r="B793" s="21">
        <v>43775</v>
      </c>
      <c r="C793" s="12">
        <v>6</v>
      </c>
      <c r="D793" s="22" t="s">
        <v>813</v>
      </c>
      <c r="E793" s="23">
        <v>43770</v>
      </c>
      <c r="F793" s="24" t="s">
        <v>259</v>
      </c>
      <c r="G793" s="12"/>
      <c r="H793" s="12"/>
    </row>
    <row r="794" spans="1:8" hidden="1" x14ac:dyDescent="0.2">
      <c r="A794" s="4" t="s">
        <v>2009</v>
      </c>
      <c r="B794" s="21">
        <v>43775</v>
      </c>
      <c r="C794" s="12">
        <v>7</v>
      </c>
      <c r="D794" s="22" t="s">
        <v>817</v>
      </c>
      <c r="E794" s="23">
        <v>43770</v>
      </c>
      <c r="F794" s="24" t="s">
        <v>259</v>
      </c>
      <c r="G794" s="12"/>
      <c r="H794" s="12"/>
    </row>
    <row r="795" spans="1:8" hidden="1" x14ac:dyDescent="0.2">
      <c r="A795" s="4" t="s">
        <v>2009</v>
      </c>
      <c r="B795" s="21">
        <v>43775</v>
      </c>
      <c r="C795" s="12">
        <v>8</v>
      </c>
      <c r="D795" s="22" t="s">
        <v>821</v>
      </c>
      <c r="E795" s="23">
        <v>43770</v>
      </c>
      <c r="F795" s="24" t="s">
        <v>259</v>
      </c>
      <c r="G795" s="12"/>
      <c r="H795" s="12"/>
    </row>
    <row r="796" spans="1:8" hidden="1" x14ac:dyDescent="0.2">
      <c r="A796" s="4" t="s">
        <v>2009</v>
      </c>
      <c r="B796" s="21">
        <v>43775</v>
      </c>
      <c r="C796" s="12">
        <v>9</v>
      </c>
      <c r="D796" s="22" t="s">
        <v>819</v>
      </c>
      <c r="E796" s="23">
        <v>43771</v>
      </c>
      <c r="F796" s="24" t="s">
        <v>259</v>
      </c>
      <c r="G796" s="12"/>
      <c r="H796" s="12"/>
    </row>
    <row r="797" spans="1:8" hidden="1" x14ac:dyDescent="0.2">
      <c r="A797" s="4" t="s">
        <v>2009</v>
      </c>
      <c r="B797" s="21">
        <v>43775</v>
      </c>
      <c r="C797" s="12">
        <v>10</v>
      </c>
      <c r="D797" s="22" t="s">
        <v>823</v>
      </c>
      <c r="E797" s="23">
        <v>43773</v>
      </c>
      <c r="F797" s="24" t="s">
        <v>259</v>
      </c>
      <c r="G797" s="12"/>
      <c r="H797" s="12"/>
    </row>
    <row r="798" spans="1:8" hidden="1" x14ac:dyDescent="0.2">
      <c r="A798" s="4" t="s">
        <v>2009</v>
      </c>
      <c r="B798" s="21">
        <v>43775</v>
      </c>
      <c r="C798" s="12">
        <v>11</v>
      </c>
      <c r="D798" s="22" t="s">
        <v>825</v>
      </c>
      <c r="E798" s="23">
        <v>43776</v>
      </c>
      <c r="F798" s="24" t="s">
        <v>259</v>
      </c>
      <c r="G798" s="12"/>
      <c r="H798" s="12"/>
    </row>
    <row r="799" spans="1:8" hidden="1" x14ac:dyDescent="0.2">
      <c r="A799" s="4" t="s">
        <v>1768</v>
      </c>
      <c r="B799" s="21">
        <v>43775</v>
      </c>
      <c r="C799" s="12">
        <v>1</v>
      </c>
      <c r="D799" s="22" t="s">
        <v>1108</v>
      </c>
      <c r="E799" s="23">
        <v>43768</v>
      </c>
      <c r="F799" s="24" t="s">
        <v>103</v>
      </c>
      <c r="G799" s="12"/>
      <c r="H799" s="12"/>
    </row>
    <row r="800" spans="1:8" hidden="1" x14ac:dyDescent="0.2">
      <c r="A800" s="4" t="s">
        <v>1768</v>
      </c>
      <c r="B800" s="21">
        <v>43775</v>
      </c>
      <c r="C800" s="12">
        <v>2</v>
      </c>
      <c r="D800" s="22" t="s">
        <v>943</v>
      </c>
      <c r="E800" s="23">
        <v>43769</v>
      </c>
      <c r="F800" s="24" t="s">
        <v>103</v>
      </c>
      <c r="G800" s="12"/>
      <c r="H800" s="12"/>
    </row>
    <row r="801" spans="1:8" hidden="1" x14ac:dyDescent="0.2">
      <c r="A801" s="4" t="s">
        <v>1768</v>
      </c>
      <c r="B801" s="21">
        <v>43775</v>
      </c>
      <c r="C801" s="12">
        <v>3</v>
      </c>
      <c r="D801" s="22" t="s">
        <v>886</v>
      </c>
      <c r="E801" s="23">
        <v>43770</v>
      </c>
      <c r="F801" s="24" t="s">
        <v>103</v>
      </c>
      <c r="G801" s="12"/>
      <c r="H801" s="12"/>
    </row>
    <row r="802" spans="1:8" hidden="1" x14ac:dyDescent="0.2">
      <c r="A802" s="4" t="s">
        <v>1768</v>
      </c>
      <c r="B802" s="21">
        <v>43775</v>
      </c>
      <c r="C802" s="12">
        <v>4</v>
      </c>
      <c r="D802" s="22" t="s">
        <v>1239</v>
      </c>
      <c r="E802" s="23">
        <v>43773</v>
      </c>
      <c r="F802" s="24" t="s">
        <v>103</v>
      </c>
      <c r="G802" s="12"/>
      <c r="H802" s="12"/>
    </row>
    <row r="803" spans="1:8" hidden="1" x14ac:dyDescent="0.2">
      <c r="A803" s="4" t="s">
        <v>1768</v>
      </c>
      <c r="B803" s="21">
        <v>43775</v>
      </c>
      <c r="C803" s="12">
        <v>5</v>
      </c>
      <c r="D803" s="22" t="s">
        <v>1240</v>
      </c>
      <c r="E803" s="23">
        <v>43773</v>
      </c>
      <c r="F803" s="24" t="s">
        <v>103</v>
      </c>
      <c r="G803" s="12"/>
      <c r="H803" s="12"/>
    </row>
    <row r="804" spans="1:8" hidden="1" x14ac:dyDescent="0.2">
      <c r="A804" s="4" t="s">
        <v>1768</v>
      </c>
      <c r="B804" s="21">
        <v>43775</v>
      </c>
      <c r="C804" s="12">
        <v>6</v>
      </c>
      <c r="D804" s="22" t="s">
        <v>891</v>
      </c>
      <c r="E804" s="23">
        <v>43772</v>
      </c>
      <c r="F804" s="24" t="s">
        <v>259</v>
      </c>
      <c r="G804" s="12"/>
      <c r="H804" s="12"/>
    </row>
    <row r="805" spans="1:8" hidden="1" x14ac:dyDescent="0.2">
      <c r="A805" s="4" t="s">
        <v>1768</v>
      </c>
      <c r="B805" s="21">
        <v>43775</v>
      </c>
      <c r="C805" s="12">
        <v>7</v>
      </c>
      <c r="D805" s="22" t="s">
        <v>1282</v>
      </c>
      <c r="E805" s="23">
        <v>43775</v>
      </c>
      <c r="F805" s="24" t="s">
        <v>103</v>
      </c>
      <c r="G805" s="12">
        <v>3</v>
      </c>
      <c r="H805" s="12"/>
    </row>
    <row r="806" spans="1:8" hidden="1" x14ac:dyDescent="0.2">
      <c r="A806" s="4" t="s">
        <v>1768</v>
      </c>
      <c r="B806" s="21">
        <v>43775</v>
      </c>
      <c r="C806" s="12">
        <v>8</v>
      </c>
      <c r="D806" s="22" t="s">
        <v>894</v>
      </c>
      <c r="E806" s="23">
        <v>43775</v>
      </c>
      <c r="F806" s="24" t="s">
        <v>103</v>
      </c>
      <c r="G806" s="12"/>
      <c r="H806" s="12"/>
    </row>
    <row r="807" spans="1:8" hidden="1" x14ac:dyDescent="0.2">
      <c r="A807" s="4" t="s">
        <v>1768</v>
      </c>
      <c r="B807" s="21">
        <v>43775</v>
      </c>
      <c r="C807" s="12"/>
      <c r="D807" s="22" t="s">
        <v>1232</v>
      </c>
      <c r="E807" s="23">
        <v>43773</v>
      </c>
      <c r="F807" s="24" t="s">
        <v>103</v>
      </c>
      <c r="G807" s="12"/>
      <c r="H807" s="12"/>
    </row>
    <row r="808" spans="1:8" hidden="1" x14ac:dyDescent="0.2">
      <c r="A808" s="4" t="s">
        <v>1773</v>
      </c>
      <c r="B808" s="21">
        <v>43775</v>
      </c>
      <c r="C808" s="12">
        <v>1</v>
      </c>
      <c r="D808" s="22" t="s">
        <v>1063</v>
      </c>
      <c r="E808" s="23">
        <v>43768</v>
      </c>
      <c r="F808" s="24" t="s">
        <v>103</v>
      </c>
      <c r="G808" s="12"/>
      <c r="H808" s="12"/>
    </row>
    <row r="809" spans="1:8" hidden="1" x14ac:dyDescent="0.2">
      <c r="A809" s="4" t="s">
        <v>1773</v>
      </c>
      <c r="B809" s="21">
        <v>43775</v>
      </c>
      <c r="C809" s="12">
        <v>2</v>
      </c>
      <c r="D809" s="22" t="s">
        <v>943</v>
      </c>
      <c r="E809" s="23">
        <v>43769</v>
      </c>
      <c r="F809" s="24" t="s">
        <v>103</v>
      </c>
      <c r="G809" s="12"/>
      <c r="H809" s="12"/>
    </row>
    <row r="810" spans="1:8" hidden="1" x14ac:dyDescent="0.2">
      <c r="A810" s="4" t="s">
        <v>1773</v>
      </c>
      <c r="B810" s="21">
        <v>43775</v>
      </c>
      <c r="C810" s="12">
        <v>3</v>
      </c>
      <c r="D810" s="22" t="s">
        <v>1205</v>
      </c>
      <c r="E810" s="23">
        <v>43770</v>
      </c>
      <c r="F810" s="24" t="s">
        <v>103</v>
      </c>
      <c r="G810" s="12"/>
      <c r="H810" s="12"/>
    </row>
    <row r="811" spans="1:8" hidden="1" x14ac:dyDescent="0.2">
      <c r="A811" s="4" t="s">
        <v>1773</v>
      </c>
      <c r="B811" s="21">
        <v>43775</v>
      </c>
      <c r="C811" s="12">
        <v>4</v>
      </c>
      <c r="D811" s="22" t="s">
        <v>1224</v>
      </c>
      <c r="E811" s="23">
        <v>43770</v>
      </c>
      <c r="F811" s="24" t="s">
        <v>103</v>
      </c>
      <c r="G811" s="12"/>
      <c r="H811" s="12"/>
    </row>
    <row r="812" spans="1:8" hidden="1" x14ac:dyDescent="0.2">
      <c r="A812" s="4" t="s">
        <v>1773</v>
      </c>
      <c r="B812" s="21">
        <v>43775</v>
      </c>
      <c r="C812" s="12">
        <v>5</v>
      </c>
      <c r="D812" s="22" t="s">
        <v>890</v>
      </c>
      <c r="E812" s="23">
        <v>43770</v>
      </c>
      <c r="F812" s="24" t="s">
        <v>259</v>
      </c>
      <c r="G812" s="12"/>
      <c r="H812" s="12"/>
    </row>
    <row r="813" spans="1:8" hidden="1" x14ac:dyDescent="0.2">
      <c r="A813" s="4" t="s">
        <v>1773</v>
      </c>
      <c r="B813" s="21">
        <v>43775</v>
      </c>
      <c r="C813" s="12">
        <v>6</v>
      </c>
      <c r="D813" s="22" t="s">
        <v>1234</v>
      </c>
      <c r="E813" s="23">
        <v>43774</v>
      </c>
      <c r="F813" s="24" t="s">
        <v>103</v>
      </c>
      <c r="G813" s="12"/>
      <c r="H813" s="12"/>
    </row>
    <row r="814" spans="1:8" hidden="1" x14ac:dyDescent="0.2">
      <c r="A814" s="4" t="s">
        <v>1773</v>
      </c>
      <c r="B814" s="21">
        <v>43775</v>
      </c>
      <c r="C814" s="12">
        <v>7</v>
      </c>
      <c r="D814" s="22" t="s">
        <v>1287</v>
      </c>
      <c r="E814" s="23">
        <v>43776</v>
      </c>
      <c r="F814" s="24" t="s">
        <v>103</v>
      </c>
      <c r="G814" s="12"/>
      <c r="H814" s="12"/>
    </row>
    <row r="815" spans="1:8" hidden="1" x14ac:dyDescent="0.2">
      <c r="A815" s="4" t="s">
        <v>1773</v>
      </c>
      <c r="B815" s="21">
        <v>43775</v>
      </c>
      <c r="C815" s="12">
        <v>8</v>
      </c>
      <c r="D815" s="22" t="s">
        <v>894</v>
      </c>
      <c r="E815" s="23">
        <v>43775</v>
      </c>
      <c r="F815" s="24" t="s">
        <v>103</v>
      </c>
      <c r="G815" s="12"/>
      <c r="H815" s="12"/>
    </row>
    <row r="816" spans="1:8" hidden="1" x14ac:dyDescent="0.2">
      <c r="A816" s="4" t="s">
        <v>1761</v>
      </c>
      <c r="B816" s="21">
        <v>43776</v>
      </c>
      <c r="C816" s="12">
        <v>1</v>
      </c>
      <c r="D816" s="22" t="s">
        <v>1206</v>
      </c>
      <c r="E816" s="23">
        <v>43769</v>
      </c>
      <c r="F816" s="24" t="s">
        <v>103</v>
      </c>
      <c r="G816" s="12"/>
      <c r="H816" s="12"/>
    </row>
    <row r="817" spans="1:8" hidden="1" x14ac:dyDescent="0.2">
      <c r="A817" s="4" t="s">
        <v>1761</v>
      </c>
      <c r="B817" s="21">
        <v>43776</v>
      </c>
      <c r="C817" s="12">
        <v>2</v>
      </c>
      <c r="D817" s="22" t="s">
        <v>1140</v>
      </c>
      <c r="E817" s="23">
        <v>43773</v>
      </c>
      <c r="F817" s="24" t="s">
        <v>103</v>
      </c>
      <c r="G817" s="12"/>
      <c r="H817" s="12"/>
    </row>
    <row r="818" spans="1:8" hidden="1" x14ac:dyDescent="0.2">
      <c r="A818" s="4" t="s">
        <v>1761</v>
      </c>
      <c r="B818" s="21">
        <v>43776</v>
      </c>
      <c r="C818" s="12">
        <v>3</v>
      </c>
      <c r="D818" s="22" t="s">
        <v>1262</v>
      </c>
      <c r="E818" s="23">
        <v>43774</v>
      </c>
      <c r="F818" s="24" t="s">
        <v>103</v>
      </c>
      <c r="G818" s="12"/>
      <c r="H818" s="12"/>
    </row>
    <row r="819" spans="1:8" hidden="1" x14ac:dyDescent="0.2">
      <c r="A819" s="4" t="s">
        <v>1761</v>
      </c>
      <c r="B819" s="21">
        <v>43776</v>
      </c>
      <c r="C819" s="12">
        <v>4</v>
      </c>
      <c r="D819" s="22" t="s">
        <v>1288</v>
      </c>
      <c r="E819" s="23">
        <v>43776</v>
      </c>
      <c r="F819" s="24" t="s">
        <v>103</v>
      </c>
      <c r="G819" s="12">
        <v>3</v>
      </c>
      <c r="H819" s="12"/>
    </row>
    <row r="820" spans="1:8" hidden="1" x14ac:dyDescent="0.2">
      <c r="A820" s="4" t="s">
        <v>1761</v>
      </c>
      <c r="B820" s="21">
        <v>43776</v>
      </c>
      <c r="C820" s="12">
        <v>5</v>
      </c>
      <c r="D820" s="22" t="s">
        <v>1318</v>
      </c>
      <c r="E820" s="23">
        <v>43777</v>
      </c>
      <c r="F820" s="24" t="s">
        <v>103</v>
      </c>
      <c r="G820" s="12"/>
      <c r="H820" s="12"/>
    </row>
    <row r="821" spans="1:8" hidden="1" x14ac:dyDescent="0.2">
      <c r="A821" s="4" t="s">
        <v>1761</v>
      </c>
      <c r="B821" s="21">
        <v>43776</v>
      </c>
      <c r="C821" s="12">
        <v>6</v>
      </c>
      <c r="D821" s="22" t="s">
        <v>1363</v>
      </c>
      <c r="E821" s="23">
        <v>43784</v>
      </c>
      <c r="F821" s="24" t="s">
        <v>103</v>
      </c>
      <c r="G821" s="12"/>
      <c r="H821" s="12"/>
    </row>
    <row r="822" spans="1:8" hidden="1" x14ac:dyDescent="0.2">
      <c r="A822" s="4" t="s">
        <v>1761</v>
      </c>
      <c r="B822" s="21">
        <v>43776</v>
      </c>
      <c r="C822" s="12">
        <v>7</v>
      </c>
      <c r="D822" s="22" t="s">
        <v>1141</v>
      </c>
      <c r="E822" s="23">
        <v>43781</v>
      </c>
      <c r="F822" s="24" t="s">
        <v>103</v>
      </c>
      <c r="G822" s="12"/>
      <c r="H822" s="12"/>
    </row>
    <row r="823" spans="1:8" hidden="1" x14ac:dyDescent="0.2">
      <c r="A823" s="4" t="s">
        <v>2009</v>
      </c>
      <c r="B823" s="21">
        <v>43777</v>
      </c>
      <c r="C823" s="12">
        <v>1</v>
      </c>
      <c r="D823" s="22" t="s">
        <v>1175</v>
      </c>
      <c r="E823" s="23">
        <v>43767</v>
      </c>
      <c r="F823" s="24" t="s">
        <v>103</v>
      </c>
      <c r="G823" s="12"/>
      <c r="H823" s="12"/>
    </row>
    <row r="824" spans="1:8" hidden="1" x14ac:dyDescent="0.2">
      <c r="A824" s="4" t="s">
        <v>2009</v>
      </c>
      <c r="B824" s="21">
        <v>43777</v>
      </c>
      <c r="C824" s="12">
        <v>2</v>
      </c>
      <c r="D824" s="22" t="s">
        <v>1025</v>
      </c>
      <c r="E824" s="23">
        <v>43773</v>
      </c>
      <c r="F824" s="24" t="s">
        <v>103</v>
      </c>
      <c r="G824" s="12"/>
      <c r="H824" s="12"/>
    </row>
    <row r="825" spans="1:8" hidden="1" x14ac:dyDescent="0.2">
      <c r="A825" s="4" t="s">
        <v>2009</v>
      </c>
      <c r="B825" s="21">
        <v>43777</v>
      </c>
      <c r="C825" s="12">
        <v>3</v>
      </c>
      <c r="D825" s="22" t="s">
        <v>810</v>
      </c>
      <c r="E825" s="23">
        <v>43774</v>
      </c>
      <c r="F825" s="24" t="s">
        <v>103</v>
      </c>
      <c r="G825" s="12"/>
      <c r="H825" s="12"/>
    </row>
    <row r="826" spans="1:8" hidden="1" x14ac:dyDescent="0.2">
      <c r="A826" s="4" t="s">
        <v>2009</v>
      </c>
      <c r="B826" s="21">
        <v>43777</v>
      </c>
      <c r="C826" s="12">
        <v>4</v>
      </c>
      <c r="D826" s="22" t="s">
        <v>812</v>
      </c>
      <c r="E826" s="23">
        <v>43774</v>
      </c>
      <c r="F826" s="24" t="s">
        <v>103</v>
      </c>
      <c r="G826" s="12"/>
      <c r="H826" s="12"/>
    </row>
    <row r="827" spans="1:8" hidden="1" x14ac:dyDescent="0.2">
      <c r="A827" s="4" t="s">
        <v>2009</v>
      </c>
      <c r="B827" s="21">
        <v>43777</v>
      </c>
      <c r="C827" s="12">
        <v>5</v>
      </c>
      <c r="D827" s="22" t="s">
        <v>815</v>
      </c>
      <c r="E827" s="23">
        <v>43774</v>
      </c>
      <c r="F827" s="24" t="s">
        <v>103</v>
      </c>
      <c r="G827" s="12"/>
      <c r="H827" s="12"/>
    </row>
    <row r="828" spans="1:8" hidden="1" x14ac:dyDescent="0.2">
      <c r="A828" s="4" t="s">
        <v>2009</v>
      </c>
      <c r="B828" s="21">
        <v>43777</v>
      </c>
      <c r="C828" s="12">
        <v>6</v>
      </c>
      <c r="D828" s="22" t="s">
        <v>813</v>
      </c>
      <c r="E828" s="23">
        <v>43774</v>
      </c>
      <c r="F828" s="24" t="s">
        <v>103</v>
      </c>
      <c r="G828" s="12"/>
      <c r="H828" s="12"/>
    </row>
    <row r="829" spans="1:8" hidden="1" x14ac:dyDescent="0.2">
      <c r="A829" s="4" t="s">
        <v>2009</v>
      </c>
      <c r="B829" s="21">
        <v>43777</v>
      </c>
      <c r="C829" s="12">
        <v>7</v>
      </c>
      <c r="D829" s="22" t="s">
        <v>817</v>
      </c>
      <c r="E829" s="23">
        <v>43774</v>
      </c>
      <c r="F829" s="24" t="s">
        <v>103</v>
      </c>
      <c r="G829" s="12"/>
      <c r="H829" s="12"/>
    </row>
    <row r="830" spans="1:8" hidden="1" x14ac:dyDescent="0.2">
      <c r="A830" s="4" t="s">
        <v>2009</v>
      </c>
      <c r="B830" s="21">
        <v>43777</v>
      </c>
      <c r="C830" s="12">
        <v>8</v>
      </c>
      <c r="D830" s="22" t="s">
        <v>1283</v>
      </c>
      <c r="E830" s="23">
        <v>43775</v>
      </c>
      <c r="F830" s="24" t="s">
        <v>103</v>
      </c>
      <c r="G830" s="12"/>
      <c r="H830" s="12"/>
    </row>
    <row r="831" spans="1:8" hidden="1" x14ac:dyDescent="0.2">
      <c r="A831" s="4" t="s">
        <v>2009</v>
      </c>
      <c r="B831" s="21">
        <v>43777</v>
      </c>
      <c r="C831" s="12">
        <v>9</v>
      </c>
      <c r="D831" s="22" t="s">
        <v>819</v>
      </c>
      <c r="E831" s="23">
        <v>43774</v>
      </c>
      <c r="F831" s="24" t="s">
        <v>259</v>
      </c>
      <c r="G831" s="12"/>
      <c r="H831" s="12"/>
    </row>
    <row r="832" spans="1:8" hidden="1" x14ac:dyDescent="0.2">
      <c r="A832" s="4" t="s">
        <v>2009</v>
      </c>
      <c r="B832" s="21">
        <v>43777</v>
      </c>
      <c r="C832" s="12">
        <v>10</v>
      </c>
      <c r="D832" s="22" t="s">
        <v>1345</v>
      </c>
      <c r="E832" s="23">
        <v>43780</v>
      </c>
      <c r="F832" s="24" t="s">
        <v>103</v>
      </c>
      <c r="G832" s="12"/>
      <c r="H832" s="12"/>
    </row>
    <row r="833" spans="1:9" hidden="1" x14ac:dyDescent="0.2">
      <c r="A833" s="4" t="s">
        <v>2009</v>
      </c>
      <c r="B833" s="21">
        <v>43777</v>
      </c>
      <c r="C833" s="12">
        <v>11</v>
      </c>
      <c r="D833" s="22" t="s">
        <v>825</v>
      </c>
      <c r="E833" s="23">
        <v>43780</v>
      </c>
      <c r="F833" s="24" t="s">
        <v>103</v>
      </c>
      <c r="G833" s="12"/>
      <c r="H833" s="12"/>
    </row>
    <row r="834" spans="1:9" hidden="1" x14ac:dyDescent="0.2">
      <c r="A834" s="4" t="s">
        <v>1768</v>
      </c>
      <c r="B834" s="21">
        <v>43778</v>
      </c>
      <c r="C834" s="12">
        <v>1</v>
      </c>
      <c r="D834" s="22" t="s">
        <v>1167</v>
      </c>
      <c r="E834" s="23">
        <v>43769</v>
      </c>
      <c r="F834" s="24" t="s">
        <v>103</v>
      </c>
      <c r="G834" s="12"/>
      <c r="H834" s="12"/>
    </row>
    <row r="835" spans="1:9" hidden="1" x14ac:dyDescent="0.2">
      <c r="A835" s="4" t="s">
        <v>1768</v>
      </c>
      <c r="B835" s="21">
        <v>43778</v>
      </c>
      <c r="C835" s="12">
        <v>2</v>
      </c>
      <c r="D835" s="22" t="s">
        <v>943</v>
      </c>
      <c r="E835" s="23">
        <v>43773</v>
      </c>
      <c r="F835" s="24" t="s">
        <v>103</v>
      </c>
      <c r="G835" s="12"/>
      <c r="H835" s="12"/>
    </row>
    <row r="836" spans="1:9" hidden="1" x14ac:dyDescent="0.2">
      <c r="A836" s="4" t="s">
        <v>1768</v>
      </c>
      <c r="B836" s="21">
        <v>43778</v>
      </c>
      <c r="C836" s="12">
        <v>3</v>
      </c>
      <c r="D836" s="22" t="s">
        <v>886</v>
      </c>
      <c r="E836" s="23">
        <v>43774</v>
      </c>
      <c r="F836" s="24" t="s">
        <v>103</v>
      </c>
      <c r="G836" s="12"/>
      <c r="H836" s="12"/>
    </row>
    <row r="837" spans="1:9" hidden="1" x14ac:dyDescent="0.2">
      <c r="A837" s="4" t="s">
        <v>1768</v>
      </c>
      <c r="B837" s="21">
        <v>43778</v>
      </c>
      <c r="C837" s="12">
        <v>4</v>
      </c>
      <c r="D837" s="22" t="s">
        <v>1299</v>
      </c>
      <c r="E837" s="23">
        <v>43775</v>
      </c>
      <c r="F837" s="24" t="s">
        <v>103</v>
      </c>
      <c r="G837" s="12"/>
      <c r="H837" s="12"/>
    </row>
    <row r="838" spans="1:9" hidden="1" x14ac:dyDescent="0.2">
      <c r="A838" s="4" t="s">
        <v>1768</v>
      </c>
      <c r="B838" s="21">
        <v>43778</v>
      </c>
      <c r="C838" s="12">
        <v>5</v>
      </c>
      <c r="D838" s="22" t="s">
        <v>890</v>
      </c>
      <c r="E838" s="23">
        <v>43775</v>
      </c>
      <c r="F838" s="24" t="s">
        <v>103</v>
      </c>
      <c r="G838" s="12"/>
      <c r="H838" s="12"/>
    </row>
    <row r="839" spans="1:9" hidden="1" x14ac:dyDescent="0.2">
      <c r="A839" s="4" t="s">
        <v>1768</v>
      </c>
      <c r="B839" s="21">
        <v>43778</v>
      </c>
      <c r="C839" s="12">
        <v>6</v>
      </c>
      <c r="D839" s="22" t="s">
        <v>891</v>
      </c>
      <c r="E839" s="23">
        <v>43768</v>
      </c>
      <c r="F839" s="24" t="s">
        <v>259</v>
      </c>
      <c r="G839" s="12"/>
      <c r="H839" s="12"/>
    </row>
    <row r="840" spans="1:9" hidden="1" x14ac:dyDescent="0.2">
      <c r="A840" s="4" t="s">
        <v>1768</v>
      </c>
      <c r="B840" s="21">
        <v>43778</v>
      </c>
      <c r="C840" s="12">
        <v>7</v>
      </c>
      <c r="D840" s="22" t="s">
        <v>1332</v>
      </c>
      <c r="E840" s="23">
        <v>43780</v>
      </c>
      <c r="F840" s="24" t="s">
        <v>103</v>
      </c>
      <c r="G840" s="12"/>
      <c r="H840" s="12"/>
    </row>
    <row r="841" spans="1:9" hidden="1" x14ac:dyDescent="0.2">
      <c r="A841" s="4" t="s">
        <v>1768</v>
      </c>
      <c r="B841" s="21">
        <v>43778</v>
      </c>
      <c r="C841" s="12">
        <v>8</v>
      </c>
      <c r="D841" s="22" t="s">
        <v>894</v>
      </c>
      <c r="E841" s="23">
        <v>43780</v>
      </c>
      <c r="F841" s="24" t="s">
        <v>103</v>
      </c>
      <c r="G841" s="12"/>
      <c r="H841" s="12"/>
    </row>
    <row r="842" spans="1:9" hidden="1" x14ac:dyDescent="0.2">
      <c r="A842" s="4" t="s">
        <v>2005</v>
      </c>
      <c r="B842" s="21">
        <v>43779</v>
      </c>
      <c r="C842" s="12">
        <v>0</v>
      </c>
      <c r="D842" s="22" t="s">
        <v>757</v>
      </c>
      <c r="E842" s="23">
        <v>43751</v>
      </c>
      <c r="F842" s="24" t="s">
        <v>103</v>
      </c>
      <c r="G842" s="12"/>
      <c r="H842" s="12"/>
    </row>
    <row r="843" spans="1:9" hidden="1" x14ac:dyDescent="0.2">
      <c r="A843" s="4" t="s">
        <v>2005</v>
      </c>
      <c r="B843" s="21">
        <v>43779</v>
      </c>
      <c r="C843" s="12">
        <v>1</v>
      </c>
      <c r="D843" s="22" t="s">
        <v>832</v>
      </c>
      <c r="E843" s="23">
        <v>43752</v>
      </c>
      <c r="F843" s="24" t="s">
        <v>103</v>
      </c>
      <c r="G843" s="12"/>
      <c r="H843" s="12"/>
    </row>
    <row r="844" spans="1:9" hidden="1" x14ac:dyDescent="0.2">
      <c r="A844" s="4" t="s">
        <v>2005</v>
      </c>
      <c r="B844" s="21">
        <v>43779</v>
      </c>
      <c r="C844" s="12">
        <v>2</v>
      </c>
      <c r="D844" s="22" t="s">
        <v>759</v>
      </c>
      <c r="E844" s="23">
        <v>43774</v>
      </c>
      <c r="F844" s="24" t="s">
        <v>1010</v>
      </c>
      <c r="G844" s="12"/>
      <c r="H844" s="12"/>
    </row>
    <row r="845" spans="1:9" hidden="1" x14ac:dyDescent="0.2">
      <c r="A845" s="4" t="s">
        <v>2005</v>
      </c>
      <c r="B845" s="21">
        <v>43779</v>
      </c>
      <c r="C845" s="12">
        <v>3</v>
      </c>
      <c r="D845" s="22" t="s">
        <v>764</v>
      </c>
      <c r="E845" s="23">
        <v>43776</v>
      </c>
      <c r="F845" s="24" t="s">
        <v>1010</v>
      </c>
      <c r="G845" s="12"/>
      <c r="H845" s="12"/>
      <c r="I845" s="4" t="s">
        <v>760</v>
      </c>
    </row>
    <row r="846" spans="1:9" hidden="1" x14ac:dyDescent="0.2">
      <c r="A846" s="4" t="s">
        <v>2005</v>
      </c>
      <c r="B846" s="21">
        <v>43779</v>
      </c>
      <c r="C846" s="12">
        <v>4</v>
      </c>
      <c r="D846" s="22" t="s">
        <v>762</v>
      </c>
      <c r="E846" s="23">
        <v>43776</v>
      </c>
      <c r="F846" s="24" t="s">
        <v>1010</v>
      </c>
      <c r="G846" s="12"/>
      <c r="H846" s="12"/>
    </row>
    <row r="847" spans="1:9" hidden="1" x14ac:dyDescent="0.2">
      <c r="A847" s="4" t="s">
        <v>2005</v>
      </c>
      <c r="B847" s="21">
        <v>43779</v>
      </c>
      <c r="C847" s="12">
        <v>5</v>
      </c>
      <c r="D847" s="22" t="s">
        <v>766</v>
      </c>
      <c r="E847" s="23">
        <v>43777</v>
      </c>
      <c r="F847" s="24" t="s">
        <v>1010</v>
      </c>
      <c r="G847" s="12"/>
      <c r="H847" s="12"/>
    </row>
    <row r="848" spans="1:9" hidden="1" x14ac:dyDescent="0.2">
      <c r="A848" s="4" t="s">
        <v>2005</v>
      </c>
      <c r="B848" s="21">
        <v>43779</v>
      </c>
      <c r="C848" s="12">
        <v>6</v>
      </c>
      <c r="D848" s="22" t="s">
        <v>768</v>
      </c>
      <c r="E848" s="23">
        <v>43777</v>
      </c>
      <c r="F848" s="24" t="s">
        <v>1010</v>
      </c>
      <c r="G848" s="12"/>
      <c r="H848" s="12"/>
    </row>
    <row r="849" spans="1:9" hidden="1" x14ac:dyDescent="0.2">
      <c r="A849" s="4" t="s">
        <v>2005</v>
      </c>
      <c r="B849" s="21">
        <v>43779</v>
      </c>
      <c r="C849" s="12">
        <v>7</v>
      </c>
      <c r="D849" s="22" t="s">
        <v>772</v>
      </c>
      <c r="E849" s="23">
        <v>43783</v>
      </c>
      <c r="F849" s="24" t="s">
        <v>1010</v>
      </c>
      <c r="G849" s="12"/>
      <c r="H849" s="12"/>
    </row>
    <row r="850" spans="1:9" hidden="1" x14ac:dyDescent="0.2">
      <c r="A850" s="4" t="s">
        <v>500</v>
      </c>
      <c r="B850" s="21">
        <v>43780</v>
      </c>
      <c r="C850" s="12">
        <v>0</v>
      </c>
      <c r="D850" s="22" t="s">
        <v>803</v>
      </c>
      <c r="E850" s="23">
        <v>43781</v>
      </c>
      <c r="F850" s="24" t="s">
        <v>103</v>
      </c>
      <c r="G850" s="12"/>
      <c r="H850" s="12"/>
      <c r="I850" s="4" t="s">
        <v>98</v>
      </c>
    </row>
    <row r="851" spans="1:9" hidden="1" x14ac:dyDescent="0.2">
      <c r="A851" s="4" t="s">
        <v>500</v>
      </c>
      <c r="B851" s="21">
        <v>43780</v>
      </c>
      <c r="C851" s="12">
        <v>1</v>
      </c>
      <c r="D851" s="22" t="s">
        <v>977</v>
      </c>
      <c r="E851" s="23">
        <v>43784</v>
      </c>
      <c r="F851" s="24" t="s">
        <v>103</v>
      </c>
      <c r="G851" s="12"/>
      <c r="H851" s="12"/>
      <c r="I851" s="4" t="s">
        <v>97</v>
      </c>
    </row>
    <row r="852" spans="1:9" hidden="1" x14ac:dyDescent="0.2">
      <c r="A852" s="4" t="s">
        <v>500</v>
      </c>
      <c r="B852" s="21">
        <v>43780</v>
      </c>
      <c r="C852" s="12">
        <v>2</v>
      </c>
      <c r="D852" s="22" t="s">
        <v>975</v>
      </c>
      <c r="E852" s="23">
        <v>43784</v>
      </c>
      <c r="F852" s="24" t="s">
        <v>103</v>
      </c>
      <c r="G852" s="12"/>
      <c r="H852" s="12"/>
    </row>
    <row r="853" spans="1:9" hidden="1" x14ac:dyDescent="0.2">
      <c r="A853" s="4" t="s">
        <v>1316</v>
      </c>
      <c r="B853" s="21">
        <v>43780</v>
      </c>
      <c r="C853" s="12"/>
      <c r="D853" s="22" t="s">
        <v>1315</v>
      </c>
      <c r="E853" s="23">
        <v>43787</v>
      </c>
      <c r="F853" s="24" t="s">
        <v>103</v>
      </c>
      <c r="G853" s="12"/>
      <c r="H853" s="12"/>
    </row>
    <row r="854" spans="1:9" hidden="1" x14ac:dyDescent="0.2">
      <c r="A854" s="4" t="s">
        <v>1326</v>
      </c>
      <c r="B854" s="21">
        <v>43780</v>
      </c>
      <c r="C854" s="12"/>
      <c r="D854" s="22" t="s">
        <v>1327</v>
      </c>
      <c r="E854" s="23">
        <v>43780</v>
      </c>
      <c r="F854" s="24" t="s">
        <v>103</v>
      </c>
      <c r="G854" s="12"/>
      <c r="H854" s="12"/>
    </row>
    <row r="855" spans="1:9" hidden="1" x14ac:dyDescent="0.2">
      <c r="A855" s="4" t="s">
        <v>1326</v>
      </c>
      <c r="B855" s="21">
        <v>43780</v>
      </c>
      <c r="C855" s="12"/>
      <c r="D855" s="22" t="s">
        <v>1328</v>
      </c>
      <c r="E855" s="23">
        <v>43786</v>
      </c>
      <c r="F855" s="24" t="s">
        <v>103</v>
      </c>
      <c r="G855" s="12"/>
      <c r="H855" s="12"/>
    </row>
    <row r="856" spans="1:9" hidden="1" x14ac:dyDescent="0.2">
      <c r="A856" s="4" t="s">
        <v>501</v>
      </c>
      <c r="B856" s="21">
        <v>43780</v>
      </c>
      <c r="C856" s="12"/>
      <c r="D856" s="22" t="s">
        <v>1346</v>
      </c>
      <c r="E856" s="23">
        <v>43781</v>
      </c>
      <c r="F856" s="24" t="s">
        <v>103</v>
      </c>
      <c r="G856" s="12"/>
      <c r="H856" s="12"/>
    </row>
    <row r="857" spans="1:9" hidden="1" x14ac:dyDescent="0.2">
      <c r="A857" s="4" t="s">
        <v>1383</v>
      </c>
      <c r="B857" s="21">
        <v>43780</v>
      </c>
      <c r="C857" s="12"/>
      <c r="D857" s="22" t="s">
        <v>1384</v>
      </c>
      <c r="E857" s="23">
        <v>43787</v>
      </c>
      <c r="F857" s="24" t="s">
        <v>103</v>
      </c>
      <c r="G857" s="12"/>
      <c r="H857" s="12"/>
    </row>
    <row r="858" spans="1:9" hidden="1" x14ac:dyDescent="0.2">
      <c r="A858" s="4" t="s">
        <v>1383</v>
      </c>
      <c r="B858" s="21">
        <v>43780</v>
      </c>
      <c r="C858" s="12"/>
      <c r="D858" s="22" t="s">
        <v>1386</v>
      </c>
      <c r="E858" s="23">
        <v>43784</v>
      </c>
      <c r="F858" s="24" t="s">
        <v>103</v>
      </c>
      <c r="G858" s="12"/>
      <c r="H858" s="12"/>
    </row>
    <row r="859" spans="1:9" hidden="1" x14ac:dyDescent="0.2">
      <c r="A859" s="4" t="s">
        <v>1399</v>
      </c>
      <c r="B859" s="21">
        <v>43780</v>
      </c>
      <c r="C859" s="12"/>
      <c r="D859" s="22" t="s">
        <v>1400</v>
      </c>
      <c r="E859" s="23">
        <v>43785</v>
      </c>
      <c r="F859" s="24" t="s">
        <v>103</v>
      </c>
      <c r="G859" s="12"/>
      <c r="H859" s="12"/>
    </row>
    <row r="860" spans="1:9" hidden="1" x14ac:dyDescent="0.2">
      <c r="A860" s="4" t="s">
        <v>501</v>
      </c>
      <c r="B860" s="21">
        <v>43780</v>
      </c>
      <c r="C860" s="12"/>
      <c r="D860" s="22" t="s">
        <v>1413</v>
      </c>
      <c r="E860" s="23">
        <v>43787</v>
      </c>
      <c r="F860" s="24" t="s">
        <v>103</v>
      </c>
      <c r="G860" s="12"/>
      <c r="H860" s="12"/>
    </row>
    <row r="861" spans="1:9" hidden="1" x14ac:dyDescent="0.2">
      <c r="A861" s="4" t="s">
        <v>2009</v>
      </c>
      <c r="B861" s="21">
        <v>43782</v>
      </c>
      <c r="C861" s="12">
        <v>1</v>
      </c>
      <c r="D861" s="22" t="s">
        <v>1279</v>
      </c>
      <c r="E861" s="23">
        <v>43774</v>
      </c>
      <c r="F861" s="24" t="s">
        <v>103</v>
      </c>
      <c r="G861" s="12"/>
      <c r="H861" s="12"/>
    </row>
    <row r="862" spans="1:9" hidden="1" x14ac:dyDescent="0.2">
      <c r="A862" s="4" t="s">
        <v>2009</v>
      </c>
      <c r="B862" s="21">
        <v>43782</v>
      </c>
      <c r="C862" s="12">
        <v>2</v>
      </c>
      <c r="D862" s="22" t="s">
        <v>1025</v>
      </c>
      <c r="E862" s="23">
        <v>43776</v>
      </c>
      <c r="F862" s="24" t="s">
        <v>103</v>
      </c>
      <c r="G862" s="12"/>
      <c r="H862" s="12"/>
    </row>
    <row r="863" spans="1:9" hidden="1" x14ac:dyDescent="0.2">
      <c r="A863" s="4" t="s">
        <v>2009</v>
      </c>
      <c r="B863" s="21">
        <v>43782</v>
      </c>
      <c r="C863" s="12">
        <v>3</v>
      </c>
      <c r="D863" s="22" t="s">
        <v>810</v>
      </c>
      <c r="E863" s="23">
        <v>43777</v>
      </c>
      <c r="F863" s="24" t="s">
        <v>103</v>
      </c>
      <c r="G863" s="12"/>
      <c r="H863" s="12"/>
    </row>
    <row r="864" spans="1:9" hidden="1" x14ac:dyDescent="0.2">
      <c r="A864" s="4" t="s">
        <v>2009</v>
      </c>
      <c r="B864" s="21">
        <v>43782</v>
      </c>
      <c r="C864" s="12">
        <v>4</v>
      </c>
      <c r="D864" s="22" t="s">
        <v>1325</v>
      </c>
      <c r="E864" s="23">
        <v>43777</v>
      </c>
      <c r="F864" s="24" t="s">
        <v>103</v>
      </c>
      <c r="G864" s="12"/>
      <c r="H864" s="12"/>
    </row>
    <row r="865" spans="1:8" hidden="1" x14ac:dyDescent="0.2">
      <c r="A865" s="4" t="s">
        <v>2009</v>
      </c>
      <c r="B865" s="21">
        <v>43782</v>
      </c>
      <c r="C865" s="12">
        <v>5</v>
      </c>
      <c r="D865" s="22" t="s">
        <v>815</v>
      </c>
      <c r="E865" s="23">
        <v>43777</v>
      </c>
      <c r="F865" s="24" t="s">
        <v>103</v>
      </c>
      <c r="G865" s="12"/>
      <c r="H865" s="12"/>
    </row>
    <row r="866" spans="1:8" hidden="1" x14ac:dyDescent="0.2">
      <c r="A866" s="4" t="s">
        <v>2009</v>
      </c>
      <c r="B866" s="21">
        <v>43782</v>
      </c>
      <c r="C866" s="12">
        <v>6</v>
      </c>
      <c r="D866" s="22" t="s">
        <v>813</v>
      </c>
      <c r="E866" s="23">
        <v>43777</v>
      </c>
      <c r="F866" s="24" t="s">
        <v>103</v>
      </c>
      <c r="G866" s="12"/>
      <c r="H866" s="12"/>
    </row>
    <row r="867" spans="1:8" hidden="1" x14ac:dyDescent="0.2">
      <c r="A867" s="4" t="s">
        <v>2009</v>
      </c>
      <c r="B867" s="21">
        <v>43782</v>
      </c>
      <c r="C867" s="12">
        <v>7</v>
      </c>
      <c r="D867" s="22" t="s">
        <v>817</v>
      </c>
      <c r="E867" s="23">
        <v>43777</v>
      </c>
      <c r="F867" s="24" t="s">
        <v>103</v>
      </c>
      <c r="G867" s="12"/>
      <c r="H867" s="12"/>
    </row>
    <row r="868" spans="1:8" hidden="1" x14ac:dyDescent="0.2">
      <c r="A868" s="4" t="s">
        <v>2009</v>
      </c>
      <c r="B868" s="21">
        <v>43782</v>
      </c>
      <c r="C868" s="12">
        <v>8</v>
      </c>
      <c r="D868" s="22" t="s">
        <v>821</v>
      </c>
      <c r="E868" s="23">
        <v>43777</v>
      </c>
      <c r="F868" s="24" t="s">
        <v>259</v>
      </c>
      <c r="G868" s="12"/>
      <c r="H868" s="12"/>
    </row>
    <row r="869" spans="1:8" hidden="1" x14ac:dyDescent="0.2">
      <c r="A869" s="4" t="s">
        <v>2009</v>
      </c>
      <c r="B869" s="21">
        <v>43782</v>
      </c>
      <c r="C869" s="12">
        <v>9</v>
      </c>
      <c r="D869" s="22" t="s">
        <v>1337</v>
      </c>
      <c r="E869" s="23">
        <v>43780</v>
      </c>
      <c r="F869" s="24" t="s">
        <v>103</v>
      </c>
      <c r="G869" s="12"/>
      <c r="H869" s="12"/>
    </row>
    <row r="870" spans="1:8" hidden="1" x14ac:dyDescent="0.2">
      <c r="A870" s="4" t="s">
        <v>2009</v>
      </c>
      <c r="B870" s="21">
        <v>43782</v>
      </c>
      <c r="C870" s="12">
        <v>10</v>
      </c>
      <c r="D870" s="22" t="s">
        <v>1364</v>
      </c>
      <c r="E870" s="23">
        <v>43782</v>
      </c>
      <c r="F870" s="24" t="s">
        <v>103</v>
      </c>
      <c r="G870" s="12"/>
      <c r="H870" s="12"/>
    </row>
    <row r="871" spans="1:8" hidden="1" x14ac:dyDescent="0.2">
      <c r="A871" s="4" t="s">
        <v>2009</v>
      </c>
      <c r="B871" s="21">
        <v>43782</v>
      </c>
      <c r="C871" s="12">
        <v>11</v>
      </c>
      <c r="D871" s="22" t="s">
        <v>825</v>
      </c>
      <c r="E871" s="23">
        <v>43783</v>
      </c>
      <c r="F871" s="24" t="s">
        <v>103</v>
      </c>
      <c r="G871" s="12"/>
      <c r="H871" s="12"/>
    </row>
    <row r="872" spans="1:8" hidden="1" x14ac:dyDescent="0.2">
      <c r="A872" s="4" t="s">
        <v>1773</v>
      </c>
      <c r="B872" s="21">
        <v>43782</v>
      </c>
      <c r="C872" s="12">
        <v>1</v>
      </c>
      <c r="D872" s="22" t="s">
        <v>1208</v>
      </c>
      <c r="E872" s="23">
        <v>43769</v>
      </c>
      <c r="F872" s="24" t="s">
        <v>103</v>
      </c>
      <c r="G872" s="12"/>
      <c r="H872" s="12"/>
    </row>
    <row r="873" spans="1:8" hidden="1" x14ac:dyDescent="0.2">
      <c r="A873" s="4" t="s">
        <v>1773</v>
      </c>
      <c r="B873" s="21">
        <v>43782</v>
      </c>
      <c r="C873" s="12">
        <v>2</v>
      </c>
      <c r="D873" s="22" t="s">
        <v>943</v>
      </c>
      <c r="E873" s="23">
        <v>43775</v>
      </c>
      <c r="F873" s="24" t="s">
        <v>103</v>
      </c>
      <c r="G873" s="12"/>
      <c r="H873" s="12"/>
    </row>
    <row r="874" spans="1:8" hidden="1" x14ac:dyDescent="0.2">
      <c r="A874" s="4" t="s">
        <v>1773</v>
      </c>
      <c r="B874" s="21">
        <v>43782</v>
      </c>
      <c r="C874" s="12">
        <v>3</v>
      </c>
      <c r="D874" s="22" t="s">
        <v>886</v>
      </c>
      <c r="E874" s="23">
        <v>43775</v>
      </c>
      <c r="F874" s="24" t="s">
        <v>103</v>
      </c>
      <c r="G874" s="12"/>
      <c r="H874" s="12"/>
    </row>
    <row r="875" spans="1:8" hidden="1" x14ac:dyDescent="0.2">
      <c r="A875" s="4" t="s">
        <v>1773</v>
      </c>
      <c r="B875" s="21">
        <v>43782</v>
      </c>
      <c r="C875" s="12">
        <v>4</v>
      </c>
      <c r="D875" s="22" t="s">
        <v>1321</v>
      </c>
      <c r="E875" s="23">
        <v>43777</v>
      </c>
      <c r="F875" s="24" t="s">
        <v>103</v>
      </c>
      <c r="G875" s="12"/>
      <c r="H875" s="12"/>
    </row>
    <row r="876" spans="1:8" hidden="1" x14ac:dyDescent="0.2">
      <c r="A876" s="4" t="s">
        <v>1773</v>
      </c>
      <c r="B876" s="21">
        <v>43782</v>
      </c>
      <c r="C876" s="12">
        <v>5</v>
      </c>
      <c r="D876" s="22" t="s">
        <v>890</v>
      </c>
      <c r="E876" s="23">
        <v>43777</v>
      </c>
      <c r="F876" s="24" t="s">
        <v>259</v>
      </c>
      <c r="G876" s="12"/>
      <c r="H876" s="12"/>
    </row>
    <row r="877" spans="1:8" hidden="1" x14ac:dyDescent="0.2">
      <c r="A877" s="4" t="s">
        <v>1773</v>
      </c>
      <c r="B877" s="21">
        <v>43782</v>
      </c>
      <c r="C877" s="12">
        <v>6</v>
      </c>
      <c r="D877" s="22" t="s">
        <v>1335</v>
      </c>
      <c r="E877" s="23">
        <v>43787</v>
      </c>
      <c r="F877" s="24" t="s">
        <v>103</v>
      </c>
      <c r="G877" s="12"/>
      <c r="H877" s="12"/>
    </row>
    <row r="878" spans="1:8" hidden="1" x14ac:dyDescent="0.2">
      <c r="A878" s="4" t="s">
        <v>1773</v>
      </c>
      <c r="B878" s="21">
        <v>43782</v>
      </c>
      <c r="C878" s="12">
        <v>7</v>
      </c>
      <c r="D878" s="22" t="s">
        <v>1374</v>
      </c>
      <c r="E878" s="23">
        <v>43784</v>
      </c>
      <c r="F878" s="24" t="s">
        <v>103</v>
      </c>
      <c r="G878" s="12"/>
      <c r="H878" s="12"/>
    </row>
    <row r="879" spans="1:8" hidden="1" x14ac:dyDescent="0.2">
      <c r="A879" s="4" t="s">
        <v>1773</v>
      </c>
      <c r="B879" s="21">
        <v>43782</v>
      </c>
      <c r="C879" s="12">
        <v>8</v>
      </c>
      <c r="D879" s="22" t="s">
        <v>894</v>
      </c>
      <c r="E879" s="23">
        <v>43783</v>
      </c>
      <c r="F879" s="24" t="s">
        <v>103</v>
      </c>
      <c r="G879" s="12"/>
      <c r="H879" s="12"/>
    </row>
    <row r="880" spans="1:8" hidden="1" x14ac:dyDescent="0.2">
      <c r="A880" s="4" t="s">
        <v>2009</v>
      </c>
      <c r="B880" s="21">
        <v>43784</v>
      </c>
      <c r="C880" s="12">
        <v>1</v>
      </c>
      <c r="D880" s="22" t="s">
        <v>1279</v>
      </c>
      <c r="E880" s="23">
        <v>43774</v>
      </c>
      <c r="F880" s="24" t="s">
        <v>103</v>
      </c>
      <c r="G880" s="12"/>
      <c r="H880" s="12"/>
    </row>
    <row r="881" spans="1:9" hidden="1" x14ac:dyDescent="0.2">
      <c r="A881" s="4" t="s">
        <v>2009</v>
      </c>
      <c r="B881" s="21">
        <v>43784</v>
      </c>
      <c r="C881" s="12">
        <v>2</v>
      </c>
      <c r="D881" s="22" t="s">
        <v>1025</v>
      </c>
      <c r="E881" s="23">
        <v>43780</v>
      </c>
      <c r="F881" s="24" t="s">
        <v>259</v>
      </c>
      <c r="G881" s="12"/>
      <c r="H881" s="12"/>
    </row>
    <row r="882" spans="1:9" hidden="1" x14ac:dyDescent="0.2">
      <c r="A882" s="4" t="s">
        <v>2009</v>
      </c>
      <c r="B882" s="21">
        <v>43784</v>
      </c>
      <c r="C882" s="12">
        <v>3</v>
      </c>
      <c r="D882" s="22" t="s">
        <v>810</v>
      </c>
      <c r="E882" s="23">
        <v>43781</v>
      </c>
      <c r="F882" s="24" t="s">
        <v>259</v>
      </c>
      <c r="G882" s="12"/>
      <c r="H882" s="12"/>
    </row>
    <row r="883" spans="1:9" hidden="1" x14ac:dyDescent="0.2">
      <c r="A883" s="4" t="s">
        <v>2009</v>
      </c>
      <c r="B883" s="21">
        <v>43784</v>
      </c>
      <c r="C883" s="12">
        <v>4</v>
      </c>
      <c r="D883" s="22" t="s">
        <v>812</v>
      </c>
      <c r="E883" s="23">
        <v>43781</v>
      </c>
      <c r="F883" s="24" t="s">
        <v>259</v>
      </c>
      <c r="G883" s="12"/>
      <c r="H883" s="12"/>
    </row>
    <row r="884" spans="1:9" hidden="1" x14ac:dyDescent="0.2">
      <c r="A884" s="4" t="s">
        <v>2009</v>
      </c>
      <c r="B884" s="21">
        <v>43784</v>
      </c>
      <c r="C884" s="12">
        <v>5</v>
      </c>
      <c r="D884" s="22" t="s">
        <v>815</v>
      </c>
      <c r="E884" s="23">
        <v>43781</v>
      </c>
      <c r="F884" s="24" t="s">
        <v>259</v>
      </c>
      <c r="G884" s="12"/>
      <c r="H884" s="12"/>
    </row>
    <row r="885" spans="1:9" hidden="1" x14ac:dyDescent="0.2">
      <c r="A885" s="4" t="s">
        <v>2009</v>
      </c>
      <c r="B885" s="21">
        <v>43784</v>
      </c>
      <c r="C885" s="12">
        <v>6</v>
      </c>
      <c r="D885" s="22" t="s">
        <v>813</v>
      </c>
      <c r="E885" s="23">
        <v>43781</v>
      </c>
      <c r="F885" s="24" t="s">
        <v>259</v>
      </c>
      <c r="G885" s="12"/>
      <c r="H885" s="12"/>
    </row>
    <row r="886" spans="1:9" hidden="1" x14ac:dyDescent="0.2">
      <c r="A886" s="4" t="s">
        <v>2009</v>
      </c>
      <c r="B886" s="21">
        <v>43784</v>
      </c>
      <c r="C886" s="12">
        <v>7</v>
      </c>
      <c r="D886" s="22" t="s">
        <v>817</v>
      </c>
      <c r="E886" s="23">
        <v>43781</v>
      </c>
      <c r="F886" s="24" t="s">
        <v>259</v>
      </c>
      <c r="G886" s="12"/>
      <c r="H886" s="12"/>
    </row>
    <row r="887" spans="1:9" hidden="1" x14ac:dyDescent="0.2">
      <c r="A887" s="4" t="s">
        <v>2009</v>
      </c>
      <c r="B887" s="21">
        <v>43784</v>
      </c>
      <c r="C887" s="12">
        <v>8</v>
      </c>
      <c r="D887" s="22" t="s">
        <v>821</v>
      </c>
      <c r="E887" s="23">
        <v>43781</v>
      </c>
      <c r="F887" s="24" t="s">
        <v>259</v>
      </c>
      <c r="G887" s="12"/>
      <c r="H887" s="12"/>
    </row>
    <row r="888" spans="1:9" hidden="1" x14ac:dyDescent="0.2">
      <c r="A888" s="4" t="s">
        <v>2009</v>
      </c>
      <c r="B888" s="21">
        <v>43784</v>
      </c>
      <c r="C888" s="12">
        <v>9</v>
      </c>
      <c r="D888" s="22" t="s">
        <v>819</v>
      </c>
      <c r="E888" s="23">
        <v>43781</v>
      </c>
      <c r="F888" s="24" t="s">
        <v>259</v>
      </c>
      <c r="G888" s="12"/>
      <c r="H888" s="12"/>
    </row>
    <row r="889" spans="1:9" hidden="1" x14ac:dyDescent="0.2">
      <c r="A889" s="4" t="s">
        <v>2009</v>
      </c>
      <c r="B889" s="21">
        <v>43784</v>
      </c>
      <c r="C889" s="12">
        <v>10</v>
      </c>
      <c r="D889" s="22" t="s">
        <v>823</v>
      </c>
      <c r="E889" s="23">
        <v>43782</v>
      </c>
      <c r="F889" s="24" t="s">
        <v>259</v>
      </c>
      <c r="G889" s="12"/>
      <c r="H889" s="12"/>
    </row>
    <row r="890" spans="1:9" hidden="1" x14ac:dyDescent="0.2">
      <c r="A890" s="4" t="s">
        <v>2009</v>
      </c>
      <c r="B890" s="21">
        <v>43784</v>
      </c>
      <c r="C890" s="12">
        <v>11</v>
      </c>
      <c r="D890" s="22" t="s">
        <v>825</v>
      </c>
      <c r="E890" s="23">
        <v>43787</v>
      </c>
      <c r="F890" s="24" t="s">
        <v>259</v>
      </c>
      <c r="G890" s="12"/>
      <c r="H890" s="12"/>
    </row>
    <row r="891" spans="1:9" hidden="1" x14ac:dyDescent="0.2">
      <c r="A891" s="4" t="s">
        <v>2005</v>
      </c>
      <c r="B891" s="21">
        <v>43786</v>
      </c>
      <c r="C891" s="12">
        <v>0</v>
      </c>
      <c r="D891" s="22" t="s">
        <v>757</v>
      </c>
      <c r="E891" s="23">
        <v>43751</v>
      </c>
      <c r="F891" s="24" t="s">
        <v>103</v>
      </c>
      <c r="G891" s="12"/>
      <c r="H891" s="12"/>
    </row>
    <row r="892" spans="1:9" hidden="1" x14ac:dyDescent="0.2">
      <c r="A892" s="4" t="s">
        <v>2005</v>
      </c>
      <c r="B892" s="21">
        <v>43786</v>
      </c>
      <c r="C892" s="12">
        <v>1</v>
      </c>
      <c r="D892" s="22" t="s">
        <v>832</v>
      </c>
      <c r="E892" s="23">
        <v>43752</v>
      </c>
      <c r="F892" s="24" t="s">
        <v>103</v>
      </c>
      <c r="G892" s="12"/>
      <c r="H892" s="12"/>
    </row>
    <row r="893" spans="1:9" hidden="1" x14ac:dyDescent="0.2">
      <c r="A893" s="4" t="s">
        <v>2005</v>
      </c>
      <c r="B893" s="21">
        <v>43786</v>
      </c>
      <c r="C893" s="12">
        <v>2</v>
      </c>
      <c r="D893" s="22" t="s">
        <v>759</v>
      </c>
      <c r="E893" s="23">
        <v>43782</v>
      </c>
      <c r="F893" s="24" t="s">
        <v>103</v>
      </c>
      <c r="G893" s="12"/>
      <c r="H893" s="12"/>
    </row>
    <row r="894" spans="1:9" hidden="1" x14ac:dyDescent="0.2">
      <c r="A894" s="4" t="s">
        <v>2005</v>
      </c>
      <c r="B894" s="21">
        <v>43786</v>
      </c>
      <c r="C894" s="12">
        <v>3</v>
      </c>
      <c r="D894" s="22" t="s">
        <v>764</v>
      </c>
      <c r="E894" s="23">
        <v>43782</v>
      </c>
      <c r="F894" s="24" t="s">
        <v>103</v>
      </c>
      <c r="G894" s="12"/>
      <c r="H894" s="12"/>
      <c r="I894" s="4" t="s">
        <v>760</v>
      </c>
    </row>
    <row r="895" spans="1:9" hidden="1" x14ac:dyDescent="0.2">
      <c r="A895" s="4" t="s">
        <v>2005</v>
      </c>
      <c r="B895" s="21">
        <v>43786</v>
      </c>
      <c r="C895" s="12">
        <v>4</v>
      </c>
      <c r="D895" s="22" t="s">
        <v>762</v>
      </c>
      <c r="E895" s="23">
        <v>43782</v>
      </c>
      <c r="F895" s="24" t="s">
        <v>103</v>
      </c>
      <c r="G895" s="12"/>
      <c r="H895" s="12"/>
    </row>
    <row r="896" spans="1:9" hidden="1" x14ac:dyDescent="0.2">
      <c r="A896" s="4" t="s">
        <v>2005</v>
      </c>
      <c r="B896" s="21">
        <v>43786</v>
      </c>
      <c r="C896" s="12">
        <v>5</v>
      </c>
      <c r="D896" s="22" t="s">
        <v>766</v>
      </c>
      <c r="E896" s="23">
        <v>43782</v>
      </c>
      <c r="F896" s="24" t="s">
        <v>103</v>
      </c>
      <c r="G896" s="12"/>
      <c r="H896" s="12"/>
    </row>
    <row r="897" spans="1:9" hidden="1" x14ac:dyDescent="0.2">
      <c r="A897" s="4" t="s">
        <v>2005</v>
      </c>
      <c r="B897" s="21">
        <v>43786</v>
      </c>
      <c r="C897" s="12">
        <v>6</v>
      </c>
      <c r="D897" s="22" t="s">
        <v>1429</v>
      </c>
      <c r="E897" s="23">
        <v>43788</v>
      </c>
      <c r="F897" s="24" t="s">
        <v>103</v>
      </c>
      <c r="G897" s="12"/>
      <c r="H897" s="12"/>
    </row>
    <row r="898" spans="1:9" hidden="1" x14ac:dyDescent="0.2">
      <c r="A898" s="4" t="s">
        <v>2005</v>
      </c>
      <c r="B898" s="21">
        <v>43786</v>
      </c>
      <c r="C898" s="12">
        <v>7</v>
      </c>
      <c r="D898" s="22" t="s">
        <v>772</v>
      </c>
      <c r="E898" s="23">
        <v>43790</v>
      </c>
      <c r="F898" s="24" t="s">
        <v>103</v>
      </c>
      <c r="G898" s="12"/>
      <c r="H898" s="12"/>
    </row>
    <row r="899" spans="1:9" hidden="1" x14ac:dyDescent="0.2">
      <c r="A899" s="4" t="s">
        <v>1762</v>
      </c>
      <c r="B899" s="21">
        <v>43787</v>
      </c>
      <c r="C899" s="12">
        <v>1</v>
      </c>
      <c r="D899" s="22" t="s">
        <v>1331</v>
      </c>
      <c r="E899" s="23">
        <v>43781</v>
      </c>
      <c r="F899" s="24" t="s">
        <v>103</v>
      </c>
      <c r="G899" s="12"/>
      <c r="H899" s="12"/>
    </row>
    <row r="900" spans="1:9" hidden="1" x14ac:dyDescent="0.2">
      <c r="A900" s="4" t="s">
        <v>1762</v>
      </c>
      <c r="B900" s="21">
        <v>43787</v>
      </c>
      <c r="C900" s="12">
        <v>2</v>
      </c>
      <c r="D900" s="22" t="s">
        <v>1394</v>
      </c>
      <c r="E900" s="23">
        <v>43784</v>
      </c>
      <c r="F900" s="24" t="s">
        <v>103</v>
      </c>
      <c r="G900" s="12"/>
      <c r="H900" s="12"/>
    </row>
    <row r="901" spans="1:9" hidden="1" x14ac:dyDescent="0.2">
      <c r="A901" s="4" t="s">
        <v>1762</v>
      </c>
      <c r="B901" s="21">
        <v>43787</v>
      </c>
      <c r="C901" s="12">
        <v>3</v>
      </c>
      <c r="D901" s="22" t="s">
        <v>1396</v>
      </c>
      <c r="E901" s="23">
        <v>43784</v>
      </c>
      <c r="F901" s="24" t="s">
        <v>103</v>
      </c>
      <c r="G901" s="12"/>
      <c r="H901" s="12"/>
    </row>
    <row r="902" spans="1:9" hidden="1" x14ac:dyDescent="0.2">
      <c r="A902" s="4" t="s">
        <v>1762</v>
      </c>
      <c r="B902" s="21">
        <v>43787</v>
      </c>
      <c r="C902" s="12">
        <v>4</v>
      </c>
      <c r="D902" s="22" t="s">
        <v>1410</v>
      </c>
      <c r="E902" s="23">
        <v>43785</v>
      </c>
      <c r="F902" s="24" t="s">
        <v>1</v>
      </c>
      <c r="G902" s="12"/>
      <c r="H902" s="12"/>
    </row>
    <row r="903" spans="1:9" hidden="1" x14ac:dyDescent="0.2">
      <c r="A903" s="4" t="s">
        <v>1762</v>
      </c>
      <c r="B903" s="21">
        <v>43787</v>
      </c>
      <c r="C903" s="12">
        <v>5</v>
      </c>
      <c r="D903" s="22" t="s">
        <v>1483</v>
      </c>
      <c r="E903" s="23">
        <v>43790</v>
      </c>
      <c r="F903" s="24" t="s">
        <v>103</v>
      </c>
      <c r="G903" s="12"/>
      <c r="H903" s="12"/>
    </row>
    <row r="904" spans="1:9" hidden="1" x14ac:dyDescent="0.2">
      <c r="A904" s="4" t="s">
        <v>1762</v>
      </c>
      <c r="B904" s="21">
        <v>43787</v>
      </c>
      <c r="C904" s="12">
        <v>6</v>
      </c>
      <c r="D904" s="22" t="s">
        <v>1552</v>
      </c>
      <c r="E904" s="23">
        <v>43796</v>
      </c>
      <c r="F904" s="24" t="s">
        <v>103</v>
      </c>
      <c r="G904" s="12"/>
      <c r="H904" s="12"/>
    </row>
    <row r="905" spans="1:9" hidden="1" x14ac:dyDescent="0.2">
      <c r="A905" s="4" t="s">
        <v>500</v>
      </c>
      <c r="B905" s="21">
        <v>43787</v>
      </c>
      <c r="C905" s="12">
        <v>0</v>
      </c>
      <c r="D905" s="22" t="s">
        <v>803</v>
      </c>
      <c r="E905" s="23">
        <v>43789</v>
      </c>
      <c r="F905" s="24" t="s">
        <v>103</v>
      </c>
      <c r="G905" s="12"/>
      <c r="H905" s="12"/>
      <c r="I905" s="4" t="s">
        <v>98</v>
      </c>
    </row>
    <row r="906" spans="1:9" hidden="1" x14ac:dyDescent="0.2">
      <c r="A906" s="4" t="s">
        <v>500</v>
      </c>
      <c r="B906" s="21">
        <v>43787</v>
      </c>
      <c r="C906" s="12">
        <v>1</v>
      </c>
      <c r="D906" s="22" t="s">
        <v>977</v>
      </c>
      <c r="E906" s="23">
        <v>43791</v>
      </c>
      <c r="F906" s="24" t="s">
        <v>259</v>
      </c>
      <c r="G906" s="12"/>
      <c r="H906" s="12"/>
      <c r="I906" s="4" t="s">
        <v>97</v>
      </c>
    </row>
    <row r="907" spans="1:9" hidden="1" x14ac:dyDescent="0.2">
      <c r="A907" s="4" t="s">
        <v>500</v>
      </c>
      <c r="B907" s="21">
        <v>43787</v>
      </c>
      <c r="C907" s="12">
        <v>2</v>
      </c>
      <c r="D907" s="22" t="s">
        <v>975</v>
      </c>
      <c r="E907" s="23">
        <v>43791</v>
      </c>
      <c r="F907" s="24" t="s">
        <v>103</v>
      </c>
      <c r="G907" s="12"/>
      <c r="H907" s="12"/>
    </row>
    <row r="908" spans="1:9" hidden="1" x14ac:dyDescent="0.2">
      <c r="A908" s="4" t="s">
        <v>501</v>
      </c>
      <c r="B908" s="21">
        <v>43787</v>
      </c>
      <c r="C908" s="12"/>
      <c r="D908" s="22" t="s">
        <v>1405</v>
      </c>
      <c r="E908" s="23">
        <v>43788</v>
      </c>
      <c r="F908" s="24" t="s">
        <v>103</v>
      </c>
      <c r="G908" s="12"/>
      <c r="H908" s="12"/>
    </row>
    <row r="909" spans="1:9" hidden="1" x14ac:dyDescent="0.2">
      <c r="A909" s="4" t="s">
        <v>1500</v>
      </c>
      <c r="B909" s="21">
        <v>43787</v>
      </c>
      <c r="C909" s="12"/>
      <c r="D909" s="22" t="s">
        <v>1555</v>
      </c>
      <c r="E909" s="23">
        <v>43832</v>
      </c>
      <c r="F909" s="24" t="s">
        <v>1501</v>
      </c>
      <c r="G909" s="12"/>
      <c r="H909" s="12"/>
      <c r="I909" s="4" t="s">
        <v>2045</v>
      </c>
    </row>
    <row r="910" spans="1:9" hidden="1" x14ac:dyDescent="0.2">
      <c r="A910" s="4" t="s">
        <v>2009</v>
      </c>
      <c r="B910" s="21">
        <v>43789</v>
      </c>
      <c r="C910" s="12">
        <v>1</v>
      </c>
      <c r="D910" s="22" t="s">
        <v>1353</v>
      </c>
      <c r="E910" s="23">
        <v>43781</v>
      </c>
      <c r="F910" s="24" t="s">
        <v>103</v>
      </c>
      <c r="G910" s="12"/>
      <c r="H910" s="12"/>
    </row>
    <row r="911" spans="1:9" hidden="1" x14ac:dyDescent="0.2">
      <c r="A911" s="4" t="s">
        <v>2009</v>
      </c>
      <c r="B911" s="21">
        <v>43789</v>
      </c>
      <c r="C911" s="12">
        <v>2</v>
      </c>
      <c r="D911" s="22" t="s">
        <v>1371</v>
      </c>
      <c r="E911" s="23">
        <v>43782</v>
      </c>
      <c r="F911" s="24" t="s">
        <v>103</v>
      </c>
      <c r="G911" s="12"/>
      <c r="H911" s="12"/>
    </row>
    <row r="912" spans="1:9" hidden="1" x14ac:dyDescent="0.2">
      <c r="A912" s="4" t="s">
        <v>2009</v>
      </c>
      <c r="B912" s="21">
        <v>43789</v>
      </c>
      <c r="C912" s="12">
        <v>3</v>
      </c>
      <c r="D912" s="22" t="s">
        <v>810</v>
      </c>
      <c r="E912" s="23">
        <v>43783</v>
      </c>
      <c r="F912" s="24" t="s">
        <v>103</v>
      </c>
      <c r="G912" s="12"/>
      <c r="H912" s="12"/>
    </row>
    <row r="913" spans="1:9" hidden="1" x14ac:dyDescent="0.2">
      <c r="A913" s="4" t="s">
        <v>2009</v>
      </c>
      <c r="B913" s="21">
        <v>43789</v>
      </c>
      <c r="C913" s="12">
        <v>3</v>
      </c>
      <c r="D913" s="22" t="s">
        <v>1425</v>
      </c>
      <c r="E913" s="23">
        <v>43787</v>
      </c>
      <c r="F913" s="24" t="s">
        <v>103</v>
      </c>
      <c r="G913" s="12"/>
      <c r="H913" s="12"/>
    </row>
    <row r="914" spans="1:9" hidden="1" x14ac:dyDescent="0.2">
      <c r="A914" s="4" t="s">
        <v>2009</v>
      </c>
      <c r="B914" s="21">
        <v>43789</v>
      </c>
      <c r="C914" s="12">
        <v>4</v>
      </c>
      <c r="D914" s="22" t="s">
        <v>1387</v>
      </c>
      <c r="E914" s="23">
        <v>43783</v>
      </c>
      <c r="F914" s="24" t="s">
        <v>103</v>
      </c>
      <c r="G914" s="12"/>
      <c r="H914" s="12"/>
    </row>
    <row r="915" spans="1:9" hidden="1" x14ac:dyDescent="0.2">
      <c r="A915" s="4" t="s">
        <v>2009</v>
      </c>
      <c r="B915" s="21">
        <v>43789</v>
      </c>
      <c r="C915" s="12">
        <v>5</v>
      </c>
      <c r="D915" s="22" t="s">
        <v>1378</v>
      </c>
      <c r="E915" s="23">
        <v>43783</v>
      </c>
      <c r="F915" s="24" t="s">
        <v>103</v>
      </c>
      <c r="G915" s="12"/>
      <c r="H915" s="12"/>
    </row>
    <row r="916" spans="1:9" hidden="1" x14ac:dyDescent="0.2">
      <c r="A916" s="4" t="s">
        <v>2009</v>
      </c>
      <c r="B916" s="21">
        <v>43789</v>
      </c>
      <c r="C916" s="12">
        <v>5</v>
      </c>
      <c r="D916" s="22" t="s">
        <v>1415</v>
      </c>
      <c r="E916" s="23">
        <v>43788</v>
      </c>
      <c r="F916" s="24" t="s">
        <v>103</v>
      </c>
      <c r="G916" s="12"/>
      <c r="H916" s="12"/>
    </row>
    <row r="917" spans="1:9" hidden="1" x14ac:dyDescent="0.2">
      <c r="A917" s="4" t="s">
        <v>2009</v>
      </c>
      <c r="B917" s="21">
        <v>43789</v>
      </c>
      <c r="C917" s="12">
        <v>6</v>
      </c>
      <c r="D917" s="22" t="s">
        <v>813</v>
      </c>
      <c r="E917" s="23">
        <v>43783</v>
      </c>
      <c r="F917" s="24" t="s">
        <v>103</v>
      </c>
      <c r="G917" s="12"/>
      <c r="H917" s="12"/>
    </row>
    <row r="918" spans="1:9" hidden="1" x14ac:dyDescent="0.2">
      <c r="A918" s="4" t="s">
        <v>2009</v>
      </c>
      <c r="B918" s="21">
        <v>43789</v>
      </c>
      <c r="C918" s="12">
        <v>6</v>
      </c>
      <c r="D918" s="22" t="s">
        <v>1409</v>
      </c>
      <c r="E918" s="23">
        <v>43787</v>
      </c>
      <c r="F918" s="24" t="s">
        <v>103</v>
      </c>
      <c r="G918" s="12"/>
      <c r="H918" s="12"/>
    </row>
    <row r="919" spans="1:9" hidden="1" x14ac:dyDescent="0.2">
      <c r="A919" s="4" t="s">
        <v>2009</v>
      </c>
      <c r="B919" s="21">
        <v>43789</v>
      </c>
      <c r="C919" s="12">
        <v>7</v>
      </c>
      <c r="D919" s="22" t="s">
        <v>1379</v>
      </c>
      <c r="E919" s="23">
        <v>43783</v>
      </c>
      <c r="F919" s="24" t="s">
        <v>103</v>
      </c>
      <c r="G919" s="12"/>
      <c r="H919" s="12"/>
    </row>
    <row r="920" spans="1:9" hidden="1" x14ac:dyDescent="0.2">
      <c r="A920" s="4" t="s">
        <v>2009</v>
      </c>
      <c r="B920" s="21">
        <v>43789</v>
      </c>
      <c r="C920" s="12">
        <v>7</v>
      </c>
      <c r="D920" s="22" t="s">
        <v>1412</v>
      </c>
      <c r="E920" s="23">
        <v>43786</v>
      </c>
      <c r="F920" s="24" t="s">
        <v>103</v>
      </c>
      <c r="G920" s="12"/>
      <c r="H920" s="12"/>
    </row>
    <row r="921" spans="1:9" hidden="1" x14ac:dyDescent="0.2">
      <c r="A921" s="4" t="s">
        <v>2009</v>
      </c>
      <c r="B921" s="21">
        <v>43789</v>
      </c>
      <c r="C921" s="12">
        <v>8</v>
      </c>
      <c r="D921" s="22" t="s">
        <v>821</v>
      </c>
      <c r="E921" s="23">
        <v>43783</v>
      </c>
      <c r="F921" s="24" t="s">
        <v>259</v>
      </c>
      <c r="G921" s="12"/>
      <c r="H921" s="12"/>
    </row>
    <row r="922" spans="1:9" hidden="1" x14ac:dyDescent="0.2">
      <c r="A922" s="4" t="s">
        <v>2009</v>
      </c>
      <c r="B922" s="21">
        <v>43789</v>
      </c>
      <c r="C922" s="12">
        <v>9</v>
      </c>
      <c r="D922" s="22" t="s">
        <v>1423</v>
      </c>
      <c r="E922" s="23">
        <v>43787</v>
      </c>
      <c r="F922" s="24" t="s">
        <v>103</v>
      </c>
      <c r="G922" s="12"/>
      <c r="H922" s="12"/>
    </row>
    <row r="923" spans="1:9" hidden="1" x14ac:dyDescent="0.2">
      <c r="A923" s="4" t="s">
        <v>2009</v>
      </c>
      <c r="B923" s="21">
        <v>43789</v>
      </c>
      <c r="C923" s="12">
        <v>10</v>
      </c>
      <c r="D923" s="22" t="s">
        <v>1472</v>
      </c>
      <c r="E923" s="23">
        <v>43789</v>
      </c>
      <c r="F923" s="24" t="s">
        <v>103</v>
      </c>
      <c r="G923" s="12"/>
      <c r="H923" s="12"/>
    </row>
    <row r="924" spans="1:9" hidden="1" x14ac:dyDescent="0.2">
      <c r="A924" s="4" t="s">
        <v>2009</v>
      </c>
      <c r="B924" s="21">
        <v>43789</v>
      </c>
      <c r="C924" s="12">
        <v>11</v>
      </c>
      <c r="D924" s="22" t="s">
        <v>825</v>
      </c>
      <c r="E924" s="23">
        <v>43789</v>
      </c>
      <c r="F924" s="24" t="s">
        <v>1484</v>
      </c>
      <c r="G924" s="12"/>
      <c r="H924" s="12"/>
    </row>
    <row r="925" spans="1:9" hidden="1" x14ac:dyDescent="0.2">
      <c r="A925" s="4" t="s">
        <v>2011</v>
      </c>
      <c r="B925" s="21">
        <v>43789</v>
      </c>
      <c r="C925" s="12">
        <v>1</v>
      </c>
      <c r="D925" s="22" t="s">
        <v>92</v>
      </c>
      <c r="E925" s="23">
        <v>43754</v>
      </c>
      <c r="F925" s="24" t="s">
        <v>910</v>
      </c>
      <c r="G925" s="12"/>
      <c r="H925" s="12"/>
    </row>
    <row r="926" spans="1:9" hidden="1" x14ac:dyDescent="0.2">
      <c r="A926" s="4" t="s">
        <v>2011</v>
      </c>
      <c r="B926" s="21">
        <v>43789</v>
      </c>
      <c r="C926" s="12">
        <v>2</v>
      </c>
      <c r="D926" s="22" t="s">
        <v>93</v>
      </c>
      <c r="E926" s="23">
        <v>43754</v>
      </c>
      <c r="F926" s="24" t="s">
        <v>910</v>
      </c>
      <c r="G926" s="12"/>
      <c r="H926" s="12"/>
    </row>
    <row r="927" spans="1:9" hidden="1" x14ac:dyDescent="0.2">
      <c r="A927" s="4" t="s">
        <v>2011</v>
      </c>
      <c r="B927" s="21">
        <v>43789</v>
      </c>
      <c r="C927" s="12">
        <v>3</v>
      </c>
      <c r="D927" s="22" t="s">
        <v>466</v>
      </c>
      <c r="E927" s="23">
        <v>43762</v>
      </c>
      <c r="F927" s="24" t="s">
        <v>103</v>
      </c>
      <c r="G927" s="12"/>
      <c r="H927" s="12"/>
      <c r="I927" s="4" t="s">
        <v>94</v>
      </c>
    </row>
    <row r="928" spans="1:9" hidden="1" x14ac:dyDescent="0.2">
      <c r="A928" s="4" t="s">
        <v>2011</v>
      </c>
      <c r="B928" s="21">
        <v>43789</v>
      </c>
      <c r="C928" s="12">
        <v>5</v>
      </c>
      <c r="D928" s="22" t="s">
        <v>277</v>
      </c>
      <c r="E928" s="23">
        <v>43770</v>
      </c>
      <c r="F928" s="24" t="s">
        <v>103</v>
      </c>
      <c r="G928" s="12"/>
      <c r="H928" s="12"/>
    </row>
    <row r="929" spans="1:9" hidden="1" x14ac:dyDescent="0.2">
      <c r="A929" s="4" t="s">
        <v>2011</v>
      </c>
      <c r="B929" s="21">
        <v>43789</v>
      </c>
      <c r="C929" s="12">
        <v>6</v>
      </c>
      <c r="D929" s="22" t="s">
        <v>377</v>
      </c>
      <c r="E929" s="23">
        <v>43770</v>
      </c>
      <c r="F929" s="24" t="s">
        <v>103</v>
      </c>
      <c r="G929" s="12"/>
      <c r="H929" s="12"/>
    </row>
    <row r="930" spans="1:9" hidden="1" x14ac:dyDescent="0.2">
      <c r="A930" s="4" t="s">
        <v>2011</v>
      </c>
      <c r="B930" s="21">
        <v>43789</v>
      </c>
      <c r="C930" s="12">
        <v>7</v>
      </c>
      <c r="D930" s="22" t="s">
        <v>378</v>
      </c>
      <c r="E930" s="23">
        <v>43780</v>
      </c>
      <c r="F930" s="24" t="s">
        <v>1341</v>
      </c>
      <c r="G930" s="12"/>
      <c r="H930" s="12"/>
      <c r="I930" s="4" t="s">
        <v>278</v>
      </c>
    </row>
    <row r="931" spans="1:9" hidden="1" x14ac:dyDescent="0.2">
      <c r="A931" s="4" t="s">
        <v>2011</v>
      </c>
      <c r="B931" s="21">
        <v>43789</v>
      </c>
      <c r="C931" s="12">
        <v>8</v>
      </c>
      <c r="D931" s="22" t="s">
        <v>233</v>
      </c>
      <c r="E931" s="23">
        <v>43780</v>
      </c>
      <c r="F931" s="24" t="s">
        <v>1341</v>
      </c>
      <c r="G931" s="12"/>
      <c r="H931" s="12"/>
      <c r="I931" s="4" t="s">
        <v>105</v>
      </c>
    </row>
    <row r="932" spans="1:9" hidden="1" x14ac:dyDescent="0.2">
      <c r="A932" s="4" t="s">
        <v>2011</v>
      </c>
      <c r="B932" s="21">
        <v>43789</v>
      </c>
      <c r="C932" s="12">
        <v>9</v>
      </c>
      <c r="D932" s="22" t="s">
        <v>467</v>
      </c>
      <c r="E932" s="23">
        <v>43780</v>
      </c>
      <c r="F932" s="24" t="s">
        <v>1341</v>
      </c>
      <c r="G932" s="12"/>
      <c r="H932" s="12"/>
    </row>
    <row r="933" spans="1:9" hidden="1" x14ac:dyDescent="0.2">
      <c r="A933" s="4" t="s">
        <v>2011</v>
      </c>
      <c r="B933" s="21">
        <v>43789</v>
      </c>
      <c r="C933" s="12">
        <v>10</v>
      </c>
      <c r="D933" s="22" t="s">
        <v>43</v>
      </c>
      <c r="E933" s="23">
        <v>43780</v>
      </c>
      <c r="F933" s="24" t="s">
        <v>1341</v>
      </c>
      <c r="G933" s="12"/>
      <c r="H933" s="12"/>
    </row>
    <row r="934" spans="1:9" hidden="1" x14ac:dyDescent="0.2">
      <c r="A934" s="4" t="s">
        <v>2011</v>
      </c>
      <c r="B934" s="21">
        <v>43789</v>
      </c>
      <c r="C934" s="12">
        <v>11</v>
      </c>
      <c r="D934" s="22" t="s">
        <v>379</v>
      </c>
      <c r="E934" s="23">
        <v>43780</v>
      </c>
      <c r="F934" s="24" t="s">
        <v>1341</v>
      </c>
      <c r="G934" s="12"/>
      <c r="H934" s="12"/>
    </row>
    <row r="935" spans="1:9" hidden="1" x14ac:dyDescent="0.2">
      <c r="A935" s="4" t="s">
        <v>2011</v>
      </c>
      <c r="B935" s="21">
        <v>43789</v>
      </c>
      <c r="C935" s="12">
        <v>12</v>
      </c>
      <c r="D935" s="22" t="s">
        <v>109</v>
      </c>
      <c r="E935" s="23">
        <v>43781</v>
      </c>
      <c r="F935" s="24" t="s">
        <v>103</v>
      </c>
      <c r="G935" s="12"/>
      <c r="H935" s="12"/>
      <c r="I935" s="4" t="s">
        <v>20</v>
      </c>
    </row>
    <row r="936" spans="1:9" hidden="1" x14ac:dyDescent="0.2">
      <c r="A936" s="4" t="s">
        <v>2011</v>
      </c>
      <c r="B936" s="21">
        <v>43789</v>
      </c>
      <c r="C936" s="12">
        <v>13</v>
      </c>
      <c r="D936" s="22" t="s">
        <v>468</v>
      </c>
      <c r="E936" s="23">
        <v>43781</v>
      </c>
      <c r="F936" s="24" t="s">
        <v>103</v>
      </c>
      <c r="G936" s="12"/>
      <c r="H936" s="12"/>
      <c r="I936" s="4" t="s">
        <v>13</v>
      </c>
    </row>
    <row r="937" spans="1:9" hidden="1" x14ac:dyDescent="0.2">
      <c r="A937" s="4" t="s">
        <v>2011</v>
      </c>
      <c r="B937" s="21">
        <v>43789</v>
      </c>
      <c r="C937" s="12">
        <v>14</v>
      </c>
      <c r="D937" s="22" t="s">
        <v>107</v>
      </c>
      <c r="E937" s="23">
        <v>43781</v>
      </c>
      <c r="F937" s="24" t="s">
        <v>103</v>
      </c>
      <c r="G937" s="12"/>
      <c r="H937" s="12"/>
      <c r="I937" s="4" t="s">
        <v>20</v>
      </c>
    </row>
    <row r="938" spans="1:9" hidden="1" x14ac:dyDescent="0.2">
      <c r="A938" s="4" t="s">
        <v>2011</v>
      </c>
      <c r="B938" s="21">
        <v>43789</v>
      </c>
      <c r="C938" s="12">
        <v>15</v>
      </c>
      <c r="D938" s="22" t="s">
        <v>234</v>
      </c>
      <c r="E938" s="23">
        <v>43782</v>
      </c>
      <c r="F938" s="24" t="s">
        <v>259</v>
      </c>
      <c r="G938" s="12"/>
      <c r="H938" s="12"/>
      <c r="I938" s="4" t="s">
        <v>111</v>
      </c>
    </row>
    <row r="939" spans="1:9" hidden="1" x14ac:dyDescent="0.2">
      <c r="A939" s="4" t="s">
        <v>2011</v>
      </c>
      <c r="B939" s="21">
        <v>43789</v>
      </c>
      <c r="C939" s="12">
        <v>16</v>
      </c>
      <c r="D939" s="22" t="s">
        <v>115</v>
      </c>
      <c r="E939" s="23">
        <v>43784</v>
      </c>
      <c r="F939" s="24" t="s">
        <v>103</v>
      </c>
      <c r="G939" s="12"/>
      <c r="H939" s="12"/>
      <c r="I939" s="4" t="s">
        <v>113</v>
      </c>
    </row>
    <row r="940" spans="1:9" hidden="1" x14ac:dyDescent="0.2">
      <c r="A940" s="4" t="s">
        <v>2011</v>
      </c>
      <c r="B940" s="21">
        <v>43789</v>
      </c>
      <c r="C940" s="12">
        <v>17</v>
      </c>
      <c r="D940" s="22" t="s">
        <v>117</v>
      </c>
      <c r="E940" s="23">
        <v>43784</v>
      </c>
      <c r="F940" s="24" t="s">
        <v>103</v>
      </c>
      <c r="G940" s="12"/>
      <c r="H940" s="12"/>
    </row>
    <row r="941" spans="1:9" hidden="1" x14ac:dyDescent="0.2">
      <c r="A941" s="4" t="s">
        <v>2011</v>
      </c>
      <c r="B941" s="21">
        <v>43789</v>
      </c>
      <c r="C941" s="12">
        <v>18</v>
      </c>
      <c r="D941" s="22" t="s">
        <v>119</v>
      </c>
      <c r="E941" s="23">
        <v>43784</v>
      </c>
      <c r="F941" s="24" t="s">
        <v>103</v>
      </c>
      <c r="G941" s="12"/>
      <c r="H941" s="12"/>
    </row>
    <row r="942" spans="1:9" hidden="1" x14ac:dyDescent="0.2">
      <c r="A942" s="4" t="s">
        <v>2011</v>
      </c>
      <c r="B942" s="21">
        <v>43789</v>
      </c>
      <c r="C942" s="12">
        <v>19</v>
      </c>
      <c r="D942" s="22" t="s">
        <v>132</v>
      </c>
      <c r="E942" s="23">
        <v>43784</v>
      </c>
      <c r="F942" s="24" t="s">
        <v>103</v>
      </c>
      <c r="G942" s="12"/>
      <c r="H942" s="12"/>
    </row>
    <row r="943" spans="1:9" hidden="1" x14ac:dyDescent="0.2">
      <c r="A943" s="4" t="s">
        <v>2011</v>
      </c>
      <c r="B943" s="21">
        <v>43789</v>
      </c>
      <c r="C943" s="12">
        <v>20</v>
      </c>
      <c r="D943" s="22" t="s">
        <v>133</v>
      </c>
      <c r="E943" s="23">
        <v>43784</v>
      </c>
      <c r="F943" s="24" t="s">
        <v>103</v>
      </c>
      <c r="G943" s="12"/>
      <c r="H943" s="12"/>
    </row>
    <row r="944" spans="1:9" hidden="1" x14ac:dyDescent="0.2">
      <c r="A944" s="4" t="s">
        <v>2011</v>
      </c>
      <c r="B944" s="21">
        <v>43789</v>
      </c>
      <c r="C944" s="12">
        <v>21</v>
      </c>
      <c r="D944" s="22" t="s">
        <v>134</v>
      </c>
      <c r="E944" s="23">
        <v>43788</v>
      </c>
      <c r="F944" s="24" t="s">
        <v>103</v>
      </c>
      <c r="G944" s="12"/>
      <c r="H944" s="12"/>
    </row>
    <row r="945" spans="1:8" hidden="1" x14ac:dyDescent="0.2">
      <c r="A945" s="4" t="s">
        <v>2011</v>
      </c>
      <c r="B945" s="21">
        <v>43789</v>
      </c>
      <c r="C945" s="12">
        <v>22</v>
      </c>
      <c r="D945" s="22" t="s">
        <v>120</v>
      </c>
      <c r="E945" s="23">
        <v>43785</v>
      </c>
      <c r="F945" s="24" t="s">
        <v>103</v>
      </c>
      <c r="G945" s="12"/>
      <c r="H945" s="12"/>
    </row>
    <row r="946" spans="1:8" hidden="1" x14ac:dyDescent="0.2">
      <c r="A946" s="4" t="s">
        <v>2011</v>
      </c>
      <c r="B946" s="21">
        <v>43789</v>
      </c>
      <c r="C946" s="12">
        <v>23</v>
      </c>
      <c r="D946" s="22" t="s">
        <v>122</v>
      </c>
      <c r="E946" s="23">
        <v>43785</v>
      </c>
      <c r="F946" s="24" t="s">
        <v>103</v>
      </c>
      <c r="G946" s="12"/>
      <c r="H946" s="12"/>
    </row>
    <row r="947" spans="1:8" hidden="1" x14ac:dyDescent="0.2">
      <c r="A947" s="4" t="s">
        <v>2011</v>
      </c>
      <c r="B947" s="21">
        <v>43789</v>
      </c>
      <c r="C947" s="12">
        <v>24</v>
      </c>
      <c r="D947" s="22" t="s">
        <v>124</v>
      </c>
      <c r="E947" s="23">
        <v>43785</v>
      </c>
      <c r="F947" s="24" t="s">
        <v>103</v>
      </c>
      <c r="G947" s="12"/>
      <c r="H947" s="12"/>
    </row>
    <row r="948" spans="1:8" hidden="1" x14ac:dyDescent="0.2">
      <c r="A948" s="4" t="s">
        <v>2011</v>
      </c>
      <c r="B948" s="21">
        <v>43789</v>
      </c>
      <c r="C948" s="12">
        <v>25</v>
      </c>
      <c r="D948" s="22" t="s">
        <v>126</v>
      </c>
      <c r="E948" s="23">
        <v>43788</v>
      </c>
      <c r="F948" s="24" t="s">
        <v>103</v>
      </c>
      <c r="G948" s="12"/>
      <c r="H948" s="12"/>
    </row>
    <row r="949" spans="1:8" hidden="1" x14ac:dyDescent="0.2">
      <c r="A949" s="4" t="s">
        <v>2011</v>
      </c>
      <c r="B949" s="21">
        <v>43789</v>
      </c>
      <c r="C949" s="12">
        <v>26</v>
      </c>
      <c r="D949" s="22" t="s">
        <v>128</v>
      </c>
      <c r="E949" s="23">
        <v>43788</v>
      </c>
      <c r="F949" s="24" t="s">
        <v>103</v>
      </c>
      <c r="G949" s="12"/>
      <c r="H949" s="12"/>
    </row>
    <row r="950" spans="1:8" hidden="1" x14ac:dyDescent="0.2">
      <c r="A950" s="4" t="s">
        <v>2011</v>
      </c>
      <c r="B950" s="21">
        <v>43789</v>
      </c>
      <c r="C950" s="12">
        <v>27</v>
      </c>
      <c r="D950" s="22" t="s">
        <v>130</v>
      </c>
      <c r="E950" s="23">
        <v>43789</v>
      </c>
      <c r="F950" s="24" t="s">
        <v>103</v>
      </c>
      <c r="G950" s="12"/>
      <c r="H950" s="12"/>
    </row>
    <row r="951" spans="1:8" hidden="1" x14ac:dyDescent="0.2">
      <c r="A951" s="4" t="s">
        <v>2011</v>
      </c>
      <c r="B951" s="21">
        <v>43789</v>
      </c>
      <c r="C951" s="12">
        <v>28</v>
      </c>
      <c r="D951" s="22" t="s">
        <v>469</v>
      </c>
      <c r="E951" s="23">
        <v>43789</v>
      </c>
      <c r="F951" s="24" t="s">
        <v>103</v>
      </c>
      <c r="G951" s="12"/>
      <c r="H951" s="12"/>
    </row>
    <row r="952" spans="1:8" hidden="1" x14ac:dyDescent="0.2">
      <c r="A952" s="4" t="s">
        <v>2011</v>
      </c>
      <c r="B952" s="21">
        <v>43789</v>
      </c>
      <c r="C952" s="12">
        <v>29</v>
      </c>
      <c r="D952" s="22" t="s">
        <v>1165</v>
      </c>
      <c r="E952" s="23">
        <v>43789</v>
      </c>
      <c r="F952" s="24" t="s">
        <v>103</v>
      </c>
      <c r="G952" s="12"/>
      <c r="H952" s="12"/>
    </row>
    <row r="953" spans="1:8" hidden="1" x14ac:dyDescent="0.2">
      <c r="A953" s="4" t="s">
        <v>2011</v>
      </c>
      <c r="B953" s="21">
        <v>43789</v>
      </c>
      <c r="C953" s="12"/>
      <c r="D953" s="22" t="s">
        <v>1348</v>
      </c>
      <c r="E953" s="23">
        <v>43781</v>
      </c>
      <c r="F953" s="24" t="s">
        <v>103</v>
      </c>
      <c r="G953" s="12"/>
      <c r="H953" s="12"/>
    </row>
    <row r="954" spans="1:8" hidden="1" x14ac:dyDescent="0.2">
      <c r="A954" s="4" t="s">
        <v>1768</v>
      </c>
      <c r="B954" s="21">
        <v>43789</v>
      </c>
      <c r="C954" s="12">
        <v>1</v>
      </c>
      <c r="D954" s="22" t="s">
        <v>1361</v>
      </c>
      <c r="E954" s="23">
        <v>43782</v>
      </c>
      <c r="F954" s="24" t="s">
        <v>103</v>
      </c>
      <c r="G954" s="12"/>
      <c r="H954" s="12"/>
    </row>
    <row r="955" spans="1:8" hidden="1" x14ac:dyDescent="0.2">
      <c r="A955" s="4" t="s">
        <v>1768</v>
      </c>
      <c r="B955" s="21">
        <v>43789</v>
      </c>
      <c r="C955" s="12">
        <v>2</v>
      </c>
      <c r="D955" s="22" t="s">
        <v>943</v>
      </c>
      <c r="E955" s="23">
        <v>43784</v>
      </c>
      <c r="F955" s="24" t="s">
        <v>103</v>
      </c>
      <c r="G955" s="12"/>
      <c r="H955" s="12"/>
    </row>
    <row r="956" spans="1:8" hidden="1" x14ac:dyDescent="0.2">
      <c r="A956" s="4" t="s">
        <v>1768</v>
      </c>
      <c r="B956" s="21">
        <v>43789</v>
      </c>
      <c r="C956" s="12">
        <v>3</v>
      </c>
      <c r="D956" s="22" t="s">
        <v>886</v>
      </c>
      <c r="E956" s="23">
        <v>43787</v>
      </c>
      <c r="F956" s="24" t="s">
        <v>103</v>
      </c>
      <c r="G956" s="12"/>
      <c r="H956" s="12"/>
    </row>
    <row r="957" spans="1:8" hidden="1" x14ac:dyDescent="0.2">
      <c r="A957" s="4" t="s">
        <v>1768</v>
      </c>
      <c r="B957" s="21">
        <v>43789</v>
      </c>
      <c r="C957" s="12">
        <v>4</v>
      </c>
      <c r="D957" s="22" t="s">
        <v>1407</v>
      </c>
      <c r="E957" s="23">
        <v>43787</v>
      </c>
      <c r="F957" s="24" t="s">
        <v>103</v>
      </c>
      <c r="G957" s="12"/>
      <c r="H957" s="12"/>
    </row>
    <row r="958" spans="1:8" hidden="1" x14ac:dyDescent="0.2">
      <c r="A958" s="4" t="s">
        <v>1768</v>
      </c>
      <c r="B958" s="21">
        <v>43789</v>
      </c>
      <c r="C958" s="12">
        <v>5</v>
      </c>
      <c r="D958" s="22" t="s">
        <v>1411</v>
      </c>
      <c r="E958" s="23">
        <v>43787</v>
      </c>
      <c r="F958" s="24" t="s">
        <v>103</v>
      </c>
      <c r="G958" s="12"/>
      <c r="H958" s="12"/>
    </row>
    <row r="959" spans="1:8" hidden="1" x14ac:dyDescent="0.2">
      <c r="A959" s="4" t="s">
        <v>1768</v>
      </c>
      <c r="B959" s="21">
        <v>43789</v>
      </c>
      <c r="C959" s="12">
        <v>6</v>
      </c>
      <c r="D959" s="22" t="s">
        <v>1223</v>
      </c>
      <c r="E959" s="23">
        <v>43786</v>
      </c>
      <c r="F959" s="24" t="s">
        <v>259</v>
      </c>
      <c r="G959" s="12"/>
      <c r="H959" s="12"/>
    </row>
    <row r="960" spans="1:8" hidden="1" x14ac:dyDescent="0.2">
      <c r="A960" s="4" t="s">
        <v>1768</v>
      </c>
      <c r="B960" s="21">
        <v>43789</v>
      </c>
      <c r="C960" s="12">
        <v>7</v>
      </c>
      <c r="D960" s="22" t="s">
        <v>1435</v>
      </c>
      <c r="E960" s="23">
        <v>43789</v>
      </c>
      <c r="F960" s="24" t="s">
        <v>103</v>
      </c>
      <c r="G960" s="12"/>
      <c r="H960" s="12"/>
    </row>
    <row r="961" spans="1:8" hidden="1" x14ac:dyDescent="0.2">
      <c r="A961" s="4" t="s">
        <v>1768</v>
      </c>
      <c r="B961" s="21">
        <v>43789</v>
      </c>
      <c r="C961" s="12">
        <v>8</v>
      </c>
      <c r="D961" s="22" t="s">
        <v>894</v>
      </c>
      <c r="E961" s="23">
        <v>43789</v>
      </c>
      <c r="F961" s="24" t="s">
        <v>103</v>
      </c>
      <c r="G961" s="12"/>
      <c r="H961" s="12"/>
    </row>
    <row r="962" spans="1:8" hidden="1" x14ac:dyDescent="0.2">
      <c r="A962" s="4" t="s">
        <v>1773</v>
      </c>
      <c r="B962" s="21">
        <v>43789</v>
      </c>
      <c r="C962" s="12">
        <v>1</v>
      </c>
      <c r="D962" s="22" t="s">
        <v>1309</v>
      </c>
      <c r="E962" s="23">
        <v>43776</v>
      </c>
      <c r="F962" s="24" t="s">
        <v>103</v>
      </c>
      <c r="G962" s="12"/>
      <c r="H962" s="12"/>
    </row>
    <row r="963" spans="1:8" hidden="1" x14ac:dyDescent="0.2">
      <c r="A963" s="4" t="s">
        <v>1773</v>
      </c>
      <c r="B963" s="21">
        <v>43789</v>
      </c>
      <c r="C963" s="12">
        <v>2</v>
      </c>
      <c r="D963" s="22" t="s">
        <v>943</v>
      </c>
      <c r="E963" s="23">
        <v>43783</v>
      </c>
      <c r="F963" s="24" t="s">
        <v>103</v>
      </c>
      <c r="G963" s="12"/>
      <c r="H963" s="12"/>
    </row>
    <row r="964" spans="1:8" hidden="1" x14ac:dyDescent="0.2">
      <c r="A964" s="4" t="s">
        <v>1773</v>
      </c>
      <c r="B964" s="21">
        <v>43789</v>
      </c>
      <c r="C964" s="12">
        <v>3</v>
      </c>
      <c r="D964" s="22" t="s">
        <v>886</v>
      </c>
      <c r="E964" s="23">
        <v>43784</v>
      </c>
      <c r="F964" s="24" t="s">
        <v>103</v>
      </c>
      <c r="G964" s="12"/>
      <c r="H964" s="12"/>
    </row>
    <row r="965" spans="1:8" hidden="1" x14ac:dyDescent="0.2">
      <c r="A965" s="4" t="s">
        <v>1773</v>
      </c>
      <c r="B965" s="21">
        <v>43789</v>
      </c>
      <c r="C965" s="12">
        <v>4</v>
      </c>
      <c r="D965" s="22" t="s">
        <v>1395</v>
      </c>
      <c r="E965" s="23">
        <v>43784</v>
      </c>
      <c r="F965" s="24" t="s">
        <v>103</v>
      </c>
      <c r="G965" s="12"/>
      <c r="H965" s="12"/>
    </row>
    <row r="966" spans="1:8" hidden="1" x14ac:dyDescent="0.2">
      <c r="A966" s="4" t="s">
        <v>1773</v>
      </c>
      <c r="B966" s="21">
        <v>43789</v>
      </c>
      <c r="C966" s="12">
        <v>5</v>
      </c>
      <c r="D966" s="22" t="s">
        <v>890</v>
      </c>
      <c r="E966" s="23">
        <v>43784</v>
      </c>
      <c r="F966" s="24" t="s">
        <v>259</v>
      </c>
      <c r="G966" s="12"/>
      <c r="H966" s="12"/>
    </row>
    <row r="967" spans="1:8" hidden="1" x14ac:dyDescent="0.2">
      <c r="A967" s="4" t="s">
        <v>1773</v>
      </c>
      <c r="B967" s="21">
        <v>43789</v>
      </c>
      <c r="C967" s="12">
        <v>6</v>
      </c>
      <c r="D967" s="22" t="s">
        <v>1404</v>
      </c>
      <c r="E967" s="23">
        <v>43786</v>
      </c>
      <c r="F967" s="24" t="s">
        <v>103</v>
      </c>
      <c r="G967" s="12"/>
      <c r="H967" s="12"/>
    </row>
    <row r="968" spans="1:8" hidden="1" x14ac:dyDescent="0.2">
      <c r="A968" s="4" t="s">
        <v>1773</v>
      </c>
      <c r="B968" s="21">
        <v>43789</v>
      </c>
      <c r="C968" s="12">
        <v>7</v>
      </c>
      <c r="D968" s="22" t="s">
        <v>1439</v>
      </c>
      <c r="E968" s="23">
        <v>43789</v>
      </c>
      <c r="F968" s="24" t="s">
        <v>103</v>
      </c>
      <c r="G968" s="12"/>
      <c r="H968" s="12"/>
    </row>
    <row r="969" spans="1:8" hidden="1" x14ac:dyDescent="0.2">
      <c r="A969" s="4" t="s">
        <v>1773</v>
      </c>
      <c r="B969" s="21">
        <v>43789</v>
      </c>
      <c r="C969" s="12">
        <v>8</v>
      </c>
      <c r="D969" s="22" t="s">
        <v>894</v>
      </c>
      <c r="E969" s="23">
        <v>43789</v>
      </c>
      <c r="F969" s="24" t="s">
        <v>103</v>
      </c>
      <c r="G969" s="12"/>
      <c r="H969" s="12"/>
    </row>
    <row r="970" spans="1:8" hidden="1" x14ac:dyDescent="0.2">
      <c r="A970" s="4" t="s">
        <v>1761</v>
      </c>
      <c r="B970" s="21">
        <v>43790</v>
      </c>
      <c r="C970" s="12">
        <v>1</v>
      </c>
      <c r="D970" s="22" t="s">
        <v>1303</v>
      </c>
      <c r="E970" s="23">
        <v>43781</v>
      </c>
      <c r="F970" s="24" t="s">
        <v>103</v>
      </c>
      <c r="G970" s="12"/>
      <c r="H970" s="12"/>
    </row>
    <row r="971" spans="1:8" hidden="1" x14ac:dyDescent="0.2">
      <c r="A971" s="4" t="s">
        <v>1761</v>
      </c>
      <c r="B971" s="21">
        <v>43790</v>
      </c>
      <c r="C971" s="12">
        <v>2</v>
      </c>
      <c r="D971" s="22" t="s">
        <v>1289</v>
      </c>
      <c r="E971" s="23">
        <v>43787</v>
      </c>
      <c r="F971" s="24" t="s">
        <v>103</v>
      </c>
      <c r="G971" s="12"/>
      <c r="H971" s="12"/>
    </row>
    <row r="972" spans="1:8" hidden="1" x14ac:dyDescent="0.2">
      <c r="A972" s="4" t="s">
        <v>1761</v>
      </c>
      <c r="B972" s="21">
        <v>43790</v>
      </c>
      <c r="C972" s="12">
        <v>3</v>
      </c>
      <c r="D972" s="22" t="s">
        <v>1424</v>
      </c>
      <c r="E972" s="23">
        <v>43788</v>
      </c>
      <c r="F972" s="24" t="s">
        <v>103</v>
      </c>
      <c r="G972" s="12"/>
      <c r="H972" s="12"/>
    </row>
    <row r="973" spans="1:8" hidden="1" x14ac:dyDescent="0.2">
      <c r="A973" s="4" t="s">
        <v>1761</v>
      </c>
      <c r="B973" s="21">
        <v>43790</v>
      </c>
      <c r="C973" s="12">
        <v>4</v>
      </c>
      <c r="D973" s="22" t="s">
        <v>1432</v>
      </c>
      <c r="E973" s="23">
        <v>43788</v>
      </c>
      <c r="F973" s="24" t="s">
        <v>103</v>
      </c>
      <c r="G973" s="12"/>
      <c r="H973" s="12"/>
    </row>
    <row r="974" spans="1:8" hidden="1" x14ac:dyDescent="0.2">
      <c r="A974" s="4" t="s">
        <v>1761</v>
      </c>
      <c r="B974" s="21">
        <v>43790</v>
      </c>
      <c r="C974" s="12">
        <v>5</v>
      </c>
      <c r="D974" s="22" t="s">
        <v>1493</v>
      </c>
      <c r="E974" s="23">
        <v>43791</v>
      </c>
      <c r="F974" s="24" t="s">
        <v>103</v>
      </c>
      <c r="G974" s="12"/>
      <c r="H974" s="12"/>
    </row>
    <row r="975" spans="1:8" hidden="1" x14ac:dyDescent="0.2">
      <c r="A975" s="4" t="s">
        <v>1761</v>
      </c>
      <c r="B975" s="21">
        <v>43790</v>
      </c>
      <c r="C975" s="12">
        <v>6</v>
      </c>
      <c r="D975" s="22" t="s">
        <v>1529</v>
      </c>
      <c r="E975" s="23">
        <v>43798</v>
      </c>
      <c r="F975" s="24" t="s">
        <v>103</v>
      </c>
      <c r="G975" s="12"/>
      <c r="H975" s="12"/>
    </row>
    <row r="976" spans="1:8" hidden="1" x14ac:dyDescent="0.2">
      <c r="A976" s="4" t="s">
        <v>1761</v>
      </c>
      <c r="B976" s="21">
        <v>43790</v>
      </c>
      <c r="C976" s="12">
        <v>7</v>
      </c>
      <c r="D976" s="22" t="s">
        <v>1292</v>
      </c>
      <c r="E976" s="23">
        <v>43794</v>
      </c>
      <c r="F976" s="24" t="s">
        <v>103</v>
      </c>
      <c r="G976" s="12"/>
      <c r="H976" s="12"/>
    </row>
    <row r="977" spans="1:9" hidden="1" x14ac:dyDescent="0.2">
      <c r="A977" s="4" t="s">
        <v>2005</v>
      </c>
      <c r="B977" s="21">
        <v>43793</v>
      </c>
      <c r="C977" s="12">
        <v>1</v>
      </c>
      <c r="D977" s="22" t="s">
        <v>1296</v>
      </c>
      <c r="E977" s="23">
        <v>43775</v>
      </c>
      <c r="F977" s="24" t="s">
        <v>103</v>
      </c>
      <c r="G977" s="12"/>
      <c r="H977" s="12"/>
    </row>
    <row r="978" spans="1:9" hidden="1" x14ac:dyDescent="0.2">
      <c r="A978" s="4" t="s">
        <v>2005</v>
      </c>
      <c r="B978" s="21">
        <v>43793</v>
      </c>
      <c r="C978" s="12">
        <v>2</v>
      </c>
      <c r="D978" s="22" t="s">
        <v>1475</v>
      </c>
      <c r="E978" s="23">
        <v>43790</v>
      </c>
      <c r="F978" s="24" t="s">
        <v>103</v>
      </c>
      <c r="G978" s="12"/>
      <c r="H978" s="12"/>
    </row>
    <row r="979" spans="1:9" hidden="1" x14ac:dyDescent="0.2">
      <c r="A979" s="4" t="s">
        <v>2005</v>
      </c>
      <c r="B979" s="21">
        <v>43793</v>
      </c>
      <c r="C979" s="12">
        <v>3</v>
      </c>
      <c r="D979" s="22" t="s">
        <v>764</v>
      </c>
      <c r="E979" s="23">
        <v>43790</v>
      </c>
      <c r="F979" s="24" t="s">
        <v>103</v>
      </c>
      <c r="G979" s="12"/>
      <c r="H979" s="12"/>
      <c r="I979" s="4" t="s">
        <v>760</v>
      </c>
    </row>
    <row r="980" spans="1:9" hidden="1" x14ac:dyDescent="0.2">
      <c r="A980" s="4" t="s">
        <v>2005</v>
      </c>
      <c r="B980" s="21">
        <v>43793</v>
      </c>
      <c r="C980" s="12">
        <v>4</v>
      </c>
      <c r="D980" s="22" t="s">
        <v>762</v>
      </c>
      <c r="E980" s="23">
        <v>43790</v>
      </c>
      <c r="F980" s="24" t="s">
        <v>103</v>
      </c>
      <c r="G980" s="12"/>
      <c r="H980" s="12"/>
    </row>
    <row r="981" spans="1:9" hidden="1" x14ac:dyDescent="0.2">
      <c r="A981" s="4" t="s">
        <v>2005</v>
      </c>
      <c r="B981" s="21">
        <v>43793</v>
      </c>
      <c r="C981" s="12">
        <v>5</v>
      </c>
      <c r="D981" s="22" t="s">
        <v>766</v>
      </c>
      <c r="E981" s="23">
        <v>43791</v>
      </c>
      <c r="F981" s="24" t="s">
        <v>103</v>
      </c>
      <c r="G981" s="12">
        <v>4</v>
      </c>
      <c r="H981" s="12"/>
    </row>
    <row r="982" spans="1:9" hidden="1" x14ac:dyDescent="0.2">
      <c r="A982" s="4" t="s">
        <v>2005</v>
      </c>
      <c r="B982" s="21">
        <v>43793</v>
      </c>
      <c r="C982" s="12">
        <v>6</v>
      </c>
      <c r="D982" s="22" t="s">
        <v>1549</v>
      </c>
      <c r="E982" s="23">
        <v>43796</v>
      </c>
      <c r="F982" s="24" t="s">
        <v>103</v>
      </c>
      <c r="G982" s="12"/>
      <c r="H982" s="12"/>
    </row>
    <row r="983" spans="1:9" hidden="1" x14ac:dyDescent="0.2">
      <c r="A983" s="4" t="s">
        <v>2005</v>
      </c>
      <c r="B983" s="21">
        <v>43793</v>
      </c>
      <c r="C983" s="12">
        <v>7</v>
      </c>
      <c r="D983" s="22" t="s">
        <v>772</v>
      </c>
      <c r="E983" s="23">
        <v>43803</v>
      </c>
      <c r="F983" s="24" t="s">
        <v>103</v>
      </c>
      <c r="G983" s="12"/>
      <c r="H983" s="12"/>
    </row>
    <row r="984" spans="1:9" hidden="1" x14ac:dyDescent="0.2">
      <c r="A984" s="4" t="s">
        <v>500</v>
      </c>
      <c r="B984" s="21">
        <v>43794</v>
      </c>
      <c r="C984" s="12">
        <v>0</v>
      </c>
      <c r="D984" s="22" t="s">
        <v>803</v>
      </c>
      <c r="E984" s="23">
        <v>43794</v>
      </c>
      <c r="F984" s="24" t="s">
        <v>259</v>
      </c>
      <c r="G984" s="12"/>
      <c r="H984" s="12"/>
      <c r="I984" s="4" t="s">
        <v>98</v>
      </c>
    </row>
    <row r="985" spans="1:9" hidden="1" x14ac:dyDescent="0.2">
      <c r="A985" s="4" t="s">
        <v>500</v>
      </c>
      <c r="B985" s="21">
        <v>43794</v>
      </c>
      <c r="C985" s="12">
        <v>1</v>
      </c>
      <c r="D985" s="22" t="s">
        <v>977</v>
      </c>
      <c r="E985" s="23">
        <v>43798</v>
      </c>
      <c r="F985" s="24" t="s">
        <v>259</v>
      </c>
      <c r="G985" s="12"/>
      <c r="H985" s="12"/>
      <c r="I985" s="4" t="s">
        <v>97</v>
      </c>
    </row>
    <row r="986" spans="1:9" hidden="1" x14ac:dyDescent="0.2">
      <c r="A986" s="4" t="s">
        <v>500</v>
      </c>
      <c r="B986" s="21">
        <v>43794</v>
      </c>
      <c r="C986" s="12">
        <v>2</v>
      </c>
      <c r="D986" s="22" t="s">
        <v>975</v>
      </c>
      <c r="E986" s="23">
        <v>43798</v>
      </c>
      <c r="F986" s="24" t="s">
        <v>103</v>
      </c>
      <c r="G986" s="12"/>
      <c r="H986" s="12"/>
      <c r="I986" s="4" t="s">
        <v>97</v>
      </c>
    </row>
    <row r="987" spans="1:9" hidden="1" x14ac:dyDescent="0.2">
      <c r="A987" s="4" t="s">
        <v>500</v>
      </c>
      <c r="B987" s="21">
        <v>43794</v>
      </c>
      <c r="C987" s="12">
        <v>3</v>
      </c>
      <c r="D987" s="22" t="s">
        <v>1494</v>
      </c>
      <c r="E987" s="23">
        <v>43798</v>
      </c>
      <c r="F987" s="24" t="s">
        <v>103</v>
      </c>
      <c r="G987" s="12"/>
      <c r="H987" s="12"/>
      <c r="I987" s="4" t="s">
        <v>97</v>
      </c>
    </row>
    <row r="988" spans="1:9" hidden="1" x14ac:dyDescent="0.2">
      <c r="A988" s="4" t="s">
        <v>501</v>
      </c>
      <c r="B988" s="21">
        <v>43794</v>
      </c>
      <c r="C988" s="12"/>
      <c r="D988" s="22" t="s">
        <v>1534</v>
      </c>
      <c r="E988" s="23">
        <v>43795</v>
      </c>
      <c r="F988" s="24" t="s">
        <v>103</v>
      </c>
      <c r="G988" s="12"/>
      <c r="H988" s="12"/>
    </row>
    <row r="989" spans="1:9" hidden="1" x14ac:dyDescent="0.2">
      <c r="A989" s="4" t="s">
        <v>1574</v>
      </c>
      <c r="B989" s="21">
        <v>43794</v>
      </c>
      <c r="C989" s="12"/>
      <c r="D989" s="22" t="s">
        <v>1575</v>
      </c>
      <c r="E989" s="23">
        <v>43798</v>
      </c>
      <c r="F989" s="24" t="s">
        <v>103</v>
      </c>
      <c r="G989" s="12"/>
      <c r="H989" s="12"/>
    </row>
    <row r="990" spans="1:9" hidden="1" x14ac:dyDescent="0.2">
      <c r="A990" s="4" t="s">
        <v>1574</v>
      </c>
      <c r="B990" s="21">
        <v>43794</v>
      </c>
      <c r="C990" s="12"/>
      <c r="D990" s="22" t="s">
        <v>1576</v>
      </c>
      <c r="E990" s="23">
        <v>43798</v>
      </c>
      <c r="F990" s="24" t="s">
        <v>103</v>
      </c>
      <c r="G990" s="12"/>
      <c r="H990" s="12"/>
    </row>
    <row r="991" spans="1:9" hidden="1" x14ac:dyDescent="0.2">
      <c r="A991" s="4" t="s">
        <v>501</v>
      </c>
      <c r="B991" s="21">
        <v>43794</v>
      </c>
      <c r="C991" s="12"/>
      <c r="D991" s="22" t="s">
        <v>1581</v>
      </c>
      <c r="E991" s="23">
        <v>43801</v>
      </c>
      <c r="F991" s="24" t="s">
        <v>103</v>
      </c>
      <c r="G991" s="12"/>
      <c r="H991" s="12"/>
    </row>
    <row r="992" spans="1:9" hidden="1" x14ac:dyDescent="0.2">
      <c r="A992" s="4" t="s">
        <v>501</v>
      </c>
      <c r="B992" s="21">
        <v>43794</v>
      </c>
      <c r="C992" s="12"/>
      <c r="D992" s="22" t="s">
        <v>1584</v>
      </c>
      <c r="E992" s="23">
        <v>43801</v>
      </c>
      <c r="F992" s="24" t="s">
        <v>103</v>
      </c>
      <c r="G992" s="12"/>
      <c r="H992" s="12"/>
    </row>
    <row r="993" spans="1:8" hidden="1" x14ac:dyDescent="0.2">
      <c r="A993" s="4" t="s">
        <v>2009</v>
      </c>
      <c r="B993" s="21">
        <v>43796</v>
      </c>
      <c r="C993" s="12">
        <v>1</v>
      </c>
      <c r="D993" s="22" t="s">
        <v>1470</v>
      </c>
      <c r="E993" s="23">
        <v>43789</v>
      </c>
      <c r="F993" s="24" t="s">
        <v>103</v>
      </c>
      <c r="G993" s="12"/>
      <c r="H993" s="12"/>
    </row>
    <row r="994" spans="1:8" hidden="1" x14ac:dyDescent="0.2">
      <c r="A994" s="4" t="s">
        <v>2009</v>
      </c>
      <c r="B994" s="21">
        <v>43796</v>
      </c>
      <c r="C994" s="12">
        <v>2</v>
      </c>
      <c r="D994" s="22" t="s">
        <v>809</v>
      </c>
      <c r="E994" s="23">
        <v>43790</v>
      </c>
      <c r="F994" s="24" t="s">
        <v>137</v>
      </c>
      <c r="G994" s="12"/>
      <c r="H994" s="12"/>
    </row>
    <row r="995" spans="1:8" hidden="1" x14ac:dyDescent="0.2">
      <c r="A995" s="4" t="s">
        <v>2009</v>
      </c>
      <c r="B995" s="21">
        <v>43796</v>
      </c>
      <c r="C995" s="12">
        <v>3</v>
      </c>
      <c r="D995" s="22" t="s">
        <v>811</v>
      </c>
      <c r="E995" s="23">
        <v>43791</v>
      </c>
      <c r="F995" s="24" t="s">
        <v>137</v>
      </c>
      <c r="G995" s="12"/>
      <c r="H995" s="12"/>
    </row>
    <row r="996" spans="1:8" hidden="1" x14ac:dyDescent="0.2">
      <c r="A996" s="4" t="s">
        <v>2009</v>
      </c>
      <c r="B996" s="21">
        <v>43796</v>
      </c>
      <c r="C996" s="12">
        <v>4</v>
      </c>
      <c r="D996" s="22" t="s">
        <v>1388</v>
      </c>
      <c r="E996" s="23">
        <v>43791</v>
      </c>
      <c r="F996" s="24" t="s">
        <v>137</v>
      </c>
      <c r="G996" s="12"/>
      <c r="H996" s="12"/>
    </row>
    <row r="997" spans="1:8" hidden="1" x14ac:dyDescent="0.2">
      <c r="A997" s="4" t="s">
        <v>2009</v>
      </c>
      <c r="B997" s="21">
        <v>43796</v>
      </c>
      <c r="C997" s="12">
        <v>5</v>
      </c>
      <c r="D997" s="22" t="s">
        <v>816</v>
      </c>
      <c r="E997" s="23">
        <v>43791</v>
      </c>
      <c r="F997" s="24" t="s">
        <v>137</v>
      </c>
      <c r="G997" s="12"/>
      <c r="H997" s="12"/>
    </row>
    <row r="998" spans="1:8" hidden="1" x14ac:dyDescent="0.2">
      <c r="A998" s="4" t="s">
        <v>2009</v>
      </c>
      <c r="B998" s="21">
        <v>43796</v>
      </c>
      <c r="C998" s="12">
        <v>6</v>
      </c>
      <c r="D998" s="22" t="s">
        <v>814</v>
      </c>
      <c r="E998" s="23">
        <v>43791</v>
      </c>
      <c r="F998" s="24" t="s">
        <v>137</v>
      </c>
      <c r="G998" s="12"/>
      <c r="H998" s="12"/>
    </row>
    <row r="999" spans="1:8" hidden="1" x14ac:dyDescent="0.2">
      <c r="A999" s="4" t="s">
        <v>2009</v>
      </c>
      <c r="B999" s="21">
        <v>43796</v>
      </c>
      <c r="C999" s="12">
        <v>7</v>
      </c>
      <c r="D999" s="22" t="s">
        <v>818</v>
      </c>
      <c r="E999" s="23">
        <v>43791</v>
      </c>
      <c r="F999" s="24" t="s">
        <v>137</v>
      </c>
      <c r="G999" s="12"/>
      <c r="H999" s="12"/>
    </row>
    <row r="1000" spans="1:8" hidden="1" x14ac:dyDescent="0.2">
      <c r="A1000" s="4" t="s">
        <v>2009</v>
      </c>
      <c r="B1000" s="21">
        <v>43796</v>
      </c>
      <c r="C1000" s="12">
        <v>9</v>
      </c>
      <c r="D1000" s="22" t="s">
        <v>820</v>
      </c>
      <c r="E1000" s="23">
        <v>43791</v>
      </c>
      <c r="F1000" s="24" t="s">
        <v>137</v>
      </c>
      <c r="G1000" s="12"/>
      <c r="H1000" s="12"/>
    </row>
    <row r="1001" spans="1:8" hidden="1" x14ac:dyDescent="0.2">
      <c r="A1001" s="4" t="s">
        <v>2009</v>
      </c>
      <c r="B1001" s="21">
        <v>43796</v>
      </c>
      <c r="C1001" s="12">
        <v>10</v>
      </c>
      <c r="D1001" s="22" t="s">
        <v>824</v>
      </c>
      <c r="E1001" s="23">
        <v>43791</v>
      </c>
      <c r="F1001" s="24" t="s">
        <v>137</v>
      </c>
      <c r="G1001" s="12"/>
      <c r="H1001" s="12"/>
    </row>
    <row r="1002" spans="1:8" hidden="1" x14ac:dyDescent="0.2">
      <c r="A1002" s="4" t="s">
        <v>2009</v>
      </c>
      <c r="B1002" s="21">
        <v>43796</v>
      </c>
      <c r="C1002" s="12">
        <v>11</v>
      </c>
      <c r="D1002" s="7" t="s">
        <v>826</v>
      </c>
      <c r="E1002" s="23">
        <v>43791</v>
      </c>
      <c r="F1002" s="24" t="s">
        <v>137</v>
      </c>
      <c r="G1002" s="12"/>
      <c r="H1002" s="12"/>
    </row>
    <row r="1003" spans="1:8" hidden="1" x14ac:dyDescent="0.2">
      <c r="A1003" s="4" t="s">
        <v>1768</v>
      </c>
      <c r="B1003" s="21">
        <v>43796</v>
      </c>
      <c r="C1003" s="12">
        <v>1</v>
      </c>
      <c r="D1003" s="22" t="s">
        <v>1391</v>
      </c>
      <c r="E1003" s="23">
        <v>43789</v>
      </c>
      <c r="F1003" s="24" t="s">
        <v>103</v>
      </c>
      <c r="G1003" s="12"/>
      <c r="H1003" s="12"/>
    </row>
    <row r="1004" spans="1:8" hidden="1" x14ac:dyDescent="0.2">
      <c r="A1004" s="4" t="s">
        <v>1768</v>
      </c>
      <c r="B1004" s="21">
        <v>43796</v>
      </c>
      <c r="C1004" s="12">
        <v>2</v>
      </c>
      <c r="D1004" s="22" t="s">
        <v>943</v>
      </c>
      <c r="E1004" s="23">
        <v>43790</v>
      </c>
      <c r="F1004" s="24" t="s">
        <v>103</v>
      </c>
      <c r="G1004" s="12"/>
      <c r="H1004" s="12"/>
    </row>
    <row r="1005" spans="1:8" hidden="1" x14ac:dyDescent="0.2">
      <c r="A1005" s="4" t="s">
        <v>1768</v>
      </c>
      <c r="B1005" s="21">
        <v>43796</v>
      </c>
      <c r="C1005" s="12">
        <v>3</v>
      </c>
      <c r="D1005" s="22" t="s">
        <v>886</v>
      </c>
      <c r="E1005" s="23">
        <v>43794</v>
      </c>
      <c r="F1005" s="24" t="s">
        <v>103</v>
      </c>
      <c r="G1005" s="12"/>
      <c r="H1005" s="12"/>
    </row>
    <row r="1006" spans="1:8" hidden="1" x14ac:dyDescent="0.2">
      <c r="A1006" s="4" t="s">
        <v>1768</v>
      </c>
      <c r="B1006" s="21">
        <v>43796</v>
      </c>
      <c r="C1006" s="12">
        <v>4</v>
      </c>
      <c r="D1006" s="22" t="s">
        <v>888</v>
      </c>
      <c r="E1006" s="23">
        <v>43791</v>
      </c>
      <c r="F1006" s="24" t="s">
        <v>103</v>
      </c>
      <c r="G1006" s="12"/>
      <c r="H1006" s="12"/>
    </row>
    <row r="1007" spans="1:8" hidden="1" x14ac:dyDescent="0.2">
      <c r="A1007" s="4" t="s">
        <v>1768</v>
      </c>
      <c r="B1007" s="21">
        <v>43796</v>
      </c>
      <c r="C1007" s="12">
        <v>5</v>
      </c>
      <c r="D1007" s="22" t="s">
        <v>1513</v>
      </c>
      <c r="E1007" s="23">
        <v>43795</v>
      </c>
      <c r="F1007" s="24" t="s">
        <v>103</v>
      </c>
      <c r="G1007" s="12"/>
      <c r="H1007" s="12"/>
    </row>
    <row r="1008" spans="1:8" hidden="1" x14ac:dyDescent="0.2">
      <c r="A1008" s="4" t="s">
        <v>1768</v>
      </c>
      <c r="B1008" s="21">
        <v>43796</v>
      </c>
      <c r="C1008" s="12">
        <v>6</v>
      </c>
      <c r="D1008" s="22" t="s">
        <v>1223</v>
      </c>
      <c r="E1008" s="23">
        <v>43791</v>
      </c>
      <c r="F1008" s="24" t="s">
        <v>259</v>
      </c>
      <c r="G1008" s="12"/>
      <c r="H1008" s="12"/>
    </row>
    <row r="1009" spans="1:8" hidden="1" x14ac:dyDescent="0.2">
      <c r="A1009" s="4" t="s">
        <v>1768</v>
      </c>
      <c r="B1009" s="21">
        <v>43796</v>
      </c>
      <c r="C1009" s="12">
        <v>7</v>
      </c>
      <c r="D1009" s="22" t="s">
        <v>1557</v>
      </c>
      <c r="E1009" s="23">
        <v>43796</v>
      </c>
      <c r="F1009" s="24" t="s">
        <v>1564</v>
      </c>
      <c r="G1009" s="12"/>
      <c r="H1009" s="12"/>
    </row>
    <row r="1010" spans="1:8" hidden="1" x14ac:dyDescent="0.2">
      <c r="A1010" s="4" t="s">
        <v>1768</v>
      </c>
      <c r="B1010" s="21">
        <v>43796</v>
      </c>
      <c r="C1010" s="12">
        <v>8</v>
      </c>
      <c r="D1010" s="22" t="s">
        <v>894</v>
      </c>
      <c r="E1010" s="23">
        <v>43795</v>
      </c>
      <c r="F1010" s="24" t="s">
        <v>103</v>
      </c>
      <c r="G1010" s="12"/>
      <c r="H1010" s="12"/>
    </row>
    <row r="1011" spans="1:8" hidden="1" x14ac:dyDescent="0.2">
      <c r="A1011" s="4" t="s">
        <v>1773</v>
      </c>
      <c r="B1011" s="21">
        <v>43796</v>
      </c>
      <c r="C1011" s="12">
        <v>1</v>
      </c>
      <c r="D1011" s="22" t="s">
        <v>1373</v>
      </c>
      <c r="E1011" s="23">
        <v>43791</v>
      </c>
      <c r="F1011" s="24" t="s">
        <v>103</v>
      </c>
      <c r="G1011" s="12"/>
      <c r="H1011" s="12"/>
    </row>
    <row r="1012" spans="1:8" hidden="1" x14ac:dyDescent="0.2">
      <c r="A1012" s="4" t="s">
        <v>1773</v>
      </c>
      <c r="B1012" s="21">
        <v>43796</v>
      </c>
      <c r="C1012" s="12">
        <v>2</v>
      </c>
      <c r="D1012" s="22" t="s">
        <v>1492</v>
      </c>
      <c r="E1012" s="23">
        <v>43791</v>
      </c>
      <c r="F1012" s="24" t="s">
        <v>103</v>
      </c>
      <c r="G1012" s="12"/>
      <c r="H1012" s="12"/>
    </row>
    <row r="1013" spans="1:8" hidden="1" x14ac:dyDescent="0.2">
      <c r="A1013" s="4" t="s">
        <v>1773</v>
      </c>
      <c r="B1013" s="21">
        <v>43796</v>
      </c>
      <c r="C1013" s="12">
        <v>3</v>
      </c>
      <c r="D1013" s="22" t="s">
        <v>886</v>
      </c>
      <c r="E1013" s="23">
        <v>43791</v>
      </c>
      <c r="F1013" s="24" t="s">
        <v>103</v>
      </c>
      <c r="G1013" s="12"/>
      <c r="H1013" s="12"/>
    </row>
    <row r="1014" spans="1:8" hidden="1" x14ac:dyDescent="0.2">
      <c r="A1014" s="4" t="s">
        <v>1773</v>
      </c>
      <c r="B1014" s="21">
        <v>43796</v>
      </c>
      <c r="C1014" s="12">
        <v>4</v>
      </c>
      <c r="D1014" s="22" t="s">
        <v>888</v>
      </c>
      <c r="E1014" s="23">
        <v>43791</v>
      </c>
      <c r="F1014" s="24" t="s">
        <v>103</v>
      </c>
      <c r="G1014" s="12"/>
      <c r="H1014" s="12"/>
    </row>
    <row r="1015" spans="1:8" hidden="1" x14ac:dyDescent="0.2">
      <c r="A1015" s="4" t="s">
        <v>1773</v>
      </c>
      <c r="B1015" s="21">
        <v>43796</v>
      </c>
      <c r="C1015" s="12">
        <v>5</v>
      </c>
      <c r="D1015" s="22" t="s">
        <v>890</v>
      </c>
      <c r="E1015" s="23">
        <v>43791</v>
      </c>
      <c r="F1015" s="24" t="s">
        <v>259</v>
      </c>
      <c r="G1015" s="12"/>
      <c r="H1015" s="12"/>
    </row>
    <row r="1016" spans="1:8" hidden="1" x14ac:dyDescent="0.2">
      <c r="A1016" s="4" t="s">
        <v>1773</v>
      </c>
      <c r="B1016" s="21">
        <v>43796</v>
      </c>
      <c r="C1016" s="12">
        <v>6</v>
      </c>
      <c r="D1016" s="22" t="s">
        <v>1514</v>
      </c>
      <c r="E1016" s="23">
        <v>43794</v>
      </c>
      <c r="F1016" s="24" t="s">
        <v>103</v>
      </c>
      <c r="G1016" s="12"/>
      <c r="H1016" s="12"/>
    </row>
    <row r="1017" spans="1:8" hidden="1" x14ac:dyDescent="0.2">
      <c r="A1017" s="4" t="s">
        <v>1773</v>
      </c>
      <c r="B1017" s="21">
        <v>43796</v>
      </c>
      <c r="C1017" s="12">
        <v>7</v>
      </c>
      <c r="D1017" s="22" t="s">
        <v>1550</v>
      </c>
      <c r="E1017" s="23">
        <v>43796</v>
      </c>
      <c r="F1017" s="24" t="s">
        <v>103</v>
      </c>
      <c r="G1017" s="12">
        <v>3</v>
      </c>
      <c r="H1017" s="12"/>
    </row>
    <row r="1018" spans="1:8" hidden="1" x14ac:dyDescent="0.2">
      <c r="A1018" s="4" t="s">
        <v>1773</v>
      </c>
      <c r="B1018" s="21">
        <v>43796</v>
      </c>
      <c r="C1018" s="12">
        <v>8</v>
      </c>
      <c r="D1018" s="22" t="s">
        <v>894</v>
      </c>
      <c r="E1018" s="23">
        <v>43795</v>
      </c>
      <c r="F1018" s="24" t="s">
        <v>103</v>
      </c>
      <c r="G1018" s="12"/>
      <c r="H1018" s="12"/>
    </row>
    <row r="1019" spans="1:8" hidden="1" x14ac:dyDescent="0.2">
      <c r="A1019" s="4" t="s">
        <v>1761</v>
      </c>
      <c r="B1019" s="21">
        <v>43797</v>
      </c>
      <c r="C1019" s="12">
        <v>1</v>
      </c>
      <c r="D1019" s="22" t="s">
        <v>1428</v>
      </c>
      <c r="E1019" s="23">
        <v>43791</v>
      </c>
      <c r="F1019" s="24" t="s">
        <v>103</v>
      </c>
      <c r="G1019" s="12"/>
      <c r="H1019" s="12"/>
    </row>
    <row r="1020" spans="1:8" hidden="1" x14ac:dyDescent="0.2">
      <c r="A1020" s="4" t="s">
        <v>1761</v>
      </c>
      <c r="B1020" s="21">
        <v>43797</v>
      </c>
      <c r="C1020" s="12">
        <v>2</v>
      </c>
      <c r="D1020" s="22" t="s">
        <v>1523</v>
      </c>
      <c r="E1020" s="23">
        <v>43795</v>
      </c>
      <c r="F1020" s="24" t="s">
        <v>103</v>
      </c>
      <c r="G1020" s="12"/>
      <c r="H1020" s="12"/>
    </row>
    <row r="1021" spans="1:8" hidden="1" x14ac:dyDescent="0.2">
      <c r="A1021" s="4" t="s">
        <v>1761</v>
      </c>
      <c r="B1021" s="21">
        <v>43797</v>
      </c>
      <c r="C1021" s="12">
        <v>3</v>
      </c>
      <c r="D1021" s="22" t="s">
        <v>1522</v>
      </c>
      <c r="E1021" s="23">
        <v>43795</v>
      </c>
      <c r="F1021" s="24" t="s">
        <v>103</v>
      </c>
      <c r="G1021" s="12"/>
      <c r="H1021" s="12"/>
    </row>
    <row r="1022" spans="1:8" hidden="1" x14ac:dyDescent="0.2">
      <c r="A1022" s="4" t="s">
        <v>1761</v>
      </c>
      <c r="B1022" s="21">
        <v>43797</v>
      </c>
      <c r="C1022" s="12">
        <v>4</v>
      </c>
      <c r="D1022" s="22" t="s">
        <v>1531</v>
      </c>
      <c r="E1022" s="23">
        <v>43795</v>
      </c>
      <c r="F1022" s="24" t="s">
        <v>103</v>
      </c>
      <c r="G1022" s="12"/>
      <c r="H1022" s="12"/>
    </row>
    <row r="1023" spans="1:8" hidden="1" x14ac:dyDescent="0.2">
      <c r="A1023" s="4" t="s">
        <v>1761</v>
      </c>
      <c r="B1023" s="21">
        <v>43797</v>
      </c>
      <c r="C1023" s="12">
        <v>5</v>
      </c>
      <c r="D1023" s="22" t="s">
        <v>1569</v>
      </c>
      <c r="E1023" s="23">
        <v>43798</v>
      </c>
      <c r="F1023" s="24" t="s">
        <v>103</v>
      </c>
      <c r="G1023" s="12"/>
      <c r="H1023" s="12"/>
    </row>
    <row r="1024" spans="1:8" hidden="1" x14ac:dyDescent="0.2">
      <c r="A1024" s="4" t="s">
        <v>1761</v>
      </c>
      <c r="B1024" s="21">
        <v>43797</v>
      </c>
      <c r="C1024" s="12">
        <v>6</v>
      </c>
      <c r="D1024" s="22" t="s">
        <v>1725</v>
      </c>
      <c r="E1024" s="23">
        <v>43809</v>
      </c>
      <c r="F1024" s="24" t="s">
        <v>103</v>
      </c>
      <c r="G1024" s="12"/>
      <c r="H1024" s="12"/>
    </row>
    <row r="1025" spans="1:8" hidden="1" x14ac:dyDescent="0.2">
      <c r="A1025" s="4" t="s">
        <v>1761</v>
      </c>
      <c r="B1025" s="21">
        <v>43797</v>
      </c>
      <c r="C1025" s="12">
        <v>7</v>
      </c>
      <c r="D1025" s="22" t="s">
        <v>1292</v>
      </c>
      <c r="E1025" s="23">
        <v>43796</v>
      </c>
      <c r="F1025" s="24" t="s">
        <v>103</v>
      </c>
      <c r="G1025" s="12"/>
      <c r="H1025" s="12"/>
    </row>
    <row r="1026" spans="1:8" hidden="1" x14ac:dyDescent="0.2">
      <c r="A1026" s="4" t="s">
        <v>1999</v>
      </c>
      <c r="B1026" s="21">
        <v>43798</v>
      </c>
      <c r="C1026" s="12">
        <v>1</v>
      </c>
      <c r="D1026" s="22" t="s">
        <v>1444</v>
      </c>
      <c r="E1026" s="23">
        <v>43789</v>
      </c>
      <c r="F1026" s="24" t="s">
        <v>103</v>
      </c>
      <c r="G1026" s="12"/>
      <c r="H1026" s="12"/>
    </row>
    <row r="1027" spans="1:8" hidden="1" x14ac:dyDescent="0.2">
      <c r="A1027" s="4" t="s">
        <v>1999</v>
      </c>
      <c r="B1027" s="21">
        <v>43798</v>
      </c>
      <c r="C1027" s="12">
        <v>2</v>
      </c>
      <c r="D1027" s="22" t="s">
        <v>1495</v>
      </c>
      <c r="E1027" s="23">
        <v>43796</v>
      </c>
      <c r="F1027" s="24" t="s">
        <v>103</v>
      </c>
      <c r="G1027" s="12"/>
      <c r="H1027" s="12"/>
    </row>
    <row r="1028" spans="1:8" hidden="1" x14ac:dyDescent="0.2">
      <c r="A1028" s="4" t="s">
        <v>1999</v>
      </c>
      <c r="B1028" s="21">
        <v>43798</v>
      </c>
      <c r="C1028" s="12">
        <v>3</v>
      </c>
      <c r="D1028" s="22" t="s">
        <v>1562</v>
      </c>
      <c r="E1028" s="23">
        <v>43796</v>
      </c>
      <c r="F1028" s="24" t="s">
        <v>1</v>
      </c>
      <c r="G1028" s="12"/>
      <c r="H1028" s="12"/>
    </row>
    <row r="1029" spans="1:8" hidden="1" x14ac:dyDescent="0.2">
      <c r="A1029" s="4" t="s">
        <v>1999</v>
      </c>
      <c r="B1029" s="21">
        <v>43798</v>
      </c>
      <c r="C1029" s="12">
        <v>4</v>
      </c>
      <c r="D1029" s="22" t="s">
        <v>1651</v>
      </c>
      <c r="E1029" s="23">
        <v>43797</v>
      </c>
      <c r="F1029" s="24" t="s">
        <v>103</v>
      </c>
      <c r="G1029" s="12"/>
      <c r="H1029" s="12"/>
    </row>
    <row r="1030" spans="1:8" hidden="1" x14ac:dyDescent="0.2">
      <c r="A1030" s="4" t="s">
        <v>1999</v>
      </c>
      <c r="B1030" s="21">
        <v>43798</v>
      </c>
      <c r="C1030" s="12">
        <v>5</v>
      </c>
      <c r="D1030" s="22" t="s">
        <v>1652</v>
      </c>
      <c r="E1030" s="23">
        <v>43804</v>
      </c>
      <c r="F1030" s="24" t="s">
        <v>103</v>
      </c>
      <c r="G1030" s="12"/>
      <c r="H1030" s="12"/>
    </row>
    <row r="1031" spans="1:8" hidden="1" x14ac:dyDescent="0.2">
      <c r="A1031" s="4" t="s">
        <v>2009</v>
      </c>
      <c r="B1031" s="21">
        <v>43798</v>
      </c>
      <c r="C1031" s="12">
        <v>1</v>
      </c>
      <c r="D1031" s="22" t="s">
        <v>1470</v>
      </c>
      <c r="E1031" s="23">
        <v>43789</v>
      </c>
      <c r="F1031" s="24" t="s">
        <v>103</v>
      </c>
      <c r="G1031" s="12"/>
      <c r="H1031" s="12"/>
    </row>
    <row r="1032" spans="1:8" hidden="1" x14ac:dyDescent="0.2">
      <c r="A1032" s="4" t="s">
        <v>2009</v>
      </c>
      <c r="B1032" s="21">
        <v>43798</v>
      </c>
      <c r="C1032" s="12">
        <v>2</v>
      </c>
      <c r="D1032" s="22" t="s">
        <v>809</v>
      </c>
      <c r="E1032" s="23">
        <v>43794</v>
      </c>
      <c r="F1032" s="24" t="s">
        <v>137</v>
      </c>
      <c r="G1032" s="12"/>
      <c r="H1032" s="12"/>
    </row>
    <row r="1033" spans="1:8" hidden="1" x14ac:dyDescent="0.2">
      <c r="A1033" s="4" t="s">
        <v>2009</v>
      </c>
      <c r="B1033" s="21">
        <v>43798</v>
      </c>
      <c r="C1033" s="12">
        <v>3</v>
      </c>
      <c r="D1033" s="22" t="s">
        <v>811</v>
      </c>
      <c r="E1033" s="23">
        <v>43794</v>
      </c>
      <c r="F1033" s="24" t="s">
        <v>137</v>
      </c>
      <c r="G1033" s="12"/>
      <c r="H1033" s="12"/>
    </row>
    <row r="1034" spans="1:8" hidden="1" x14ac:dyDescent="0.2">
      <c r="A1034" s="4" t="s">
        <v>2009</v>
      </c>
      <c r="B1034" s="21">
        <v>43798</v>
      </c>
      <c r="C1034" s="12">
        <v>4</v>
      </c>
      <c r="D1034" s="22" t="s">
        <v>1388</v>
      </c>
      <c r="E1034" s="23">
        <v>43794</v>
      </c>
      <c r="F1034" s="24" t="s">
        <v>137</v>
      </c>
      <c r="G1034" s="12"/>
      <c r="H1034" s="12"/>
    </row>
    <row r="1035" spans="1:8" hidden="1" x14ac:dyDescent="0.2">
      <c r="A1035" s="4" t="s">
        <v>2009</v>
      </c>
      <c r="B1035" s="21">
        <v>43798</v>
      </c>
      <c r="C1035" s="12">
        <v>5</v>
      </c>
      <c r="D1035" s="22" t="s">
        <v>816</v>
      </c>
      <c r="E1035" s="23">
        <v>43794</v>
      </c>
      <c r="F1035" s="24" t="s">
        <v>137</v>
      </c>
      <c r="G1035" s="12"/>
      <c r="H1035" s="12"/>
    </row>
    <row r="1036" spans="1:8" hidden="1" x14ac:dyDescent="0.2">
      <c r="A1036" s="4" t="s">
        <v>2009</v>
      </c>
      <c r="B1036" s="21">
        <v>43798</v>
      </c>
      <c r="C1036" s="12">
        <v>6</v>
      </c>
      <c r="D1036" s="22" t="s">
        <v>814</v>
      </c>
      <c r="E1036" s="23">
        <v>43794</v>
      </c>
      <c r="F1036" s="24" t="s">
        <v>137</v>
      </c>
      <c r="G1036" s="12"/>
      <c r="H1036" s="12"/>
    </row>
    <row r="1037" spans="1:8" hidden="1" x14ac:dyDescent="0.2">
      <c r="A1037" s="4" t="s">
        <v>2009</v>
      </c>
      <c r="B1037" s="21">
        <v>43798</v>
      </c>
      <c r="C1037" s="12">
        <v>7</v>
      </c>
      <c r="D1037" s="22" t="s">
        <v>818</v>
      </c>
      <c r="E1037" s="23">
        <v>43794</v>
      </c>
      <c r="F1037" s="24" t="s">
        <v>137</v>
      </c>
      <c r="G1037" s="12"/>
      <c r="H1037" s="12"/>
    </row>
    <row r="1038" spans="1:8" hidden="1" x14ac:dyDescent="0.2">
      <c r="A1038" s="4" t="s">
        <v>2009</v>
      </c>
      <c r="B1038" s="21">
        <v>43798</v>
      </c>
      <c r="C1038" s="12">
        <v>8</v>
      </c>
      <c r="D1038" s="22" t="s">
        <v>822</v>
      </c>
      <c r="E1038" s="23">
        <v>43794</v>
      </c>
      <c r="F1038" s="24" t="s">
        <v>137</v>
      </c>
      <c r="G1038" s="12"/>
      <c r="H1038" s="12"/>
    </row>
    <row r="1039" spans="1:8" hidden="1" x14ac:dyDescent="0.2">
      <c r="A1039" s="4" t="s">
        <v>2009</v>
      </c>
      <c r="B1039" s="21">
        <v>43798</v>
      </c>
      <c r="C1039" s="12">
        <v>10</v>
      </c>
      <c r="D1039" s="22" t="s">
        <v>824</v>
      </c>
      <c r="E1039" s="23">
        <v>43794</v>
      </c>
      <c r="F1039" s="24" t="s">
        <v>137</v>
      </c>
      <c r="G1039" s="12"/>
      <c r="H1039" s="12"/>
    </row>
    <row r="1040" spans="1:8" hidden="1" x14ac:dyDescent="0.2">
      <c r="A1040" s="4" t="s">
        <v>2009</v>
      </c>
      <c r="B1040" s="21">
        <v>43798</v>
      </c>
      <c r="C1040" s="12">
        <v>11</v>
      </c>
      <c r="D1040" s="7" t="s">
        <v>826</v>
      </c>
      <c r="E1040" s="23">
        <v>43794</v>
      </c>
      <c r="F1040" s="24" t="s">
        <v>137</v>
      </c>
      <c r="G1040" s="12"/>
      <c r="H1040" s="12"/>
    </row>
    <row r="1041" spans="1:9" hidden="1" x14ac:dyDescent="0.2">
      <c r="A1041" s="4" t="s">
        <v>793</v>
      </c>
      <c r="B1041" s="21">
        <v>43800</v>
      </c>
      <c r="C1041" s="12">
        <v>1</v>
      </c>
      <c r="D1041" s="22" t="s">
        <v>1590</v>
      </c>
      <c r="E1041" s="23">
        <v>43801</v>
      </c>
      <c r="F1041" s="24" t="s">
        <v>103</v>
      </c>
      <c r="G1041" s="12"/>
      <c r="H1041" s="12"/>
    </row>
    <row r="1042" spans="1:9" hidden="1" x14ac:dyDescent="0.2">
      <c r="A1042" s="4" t="s">
        <v>793</v>
      </c>
      <c r="B1042" s="21">
        <v>43800</v>
      </c>
      <c r="C1042" s="12">
        <v>2</v>
      </c>
      <c r="D1042" s="22" t="s">
        <v>1539</v>
      </c>
      <c r="E1042" s="23">
        <v>43796</v>
      </c>
      <c r="F1042" s="24" t="s">
        <v>103</v>
      </c>
      <c r="G1042" s="12"/>
      <c r="H1042" s="12"/>
      <c r="I1042" s="4" t="s">
        <v>776</v>
      </c>
    </row>
    <row r="1043" spans="1:9" hidden="1" x14ac:dyDescent="0.2">
      <c r="A1043" s="4" t="s">
        <v>793</v>
      </c>
      <c r="B1043" s="21">
        <v>43800</v>
      </c>
      <c r="C1043" s="12">
        <v>3</v>
      </c>
      <c r="D1043" s="22" t="s">
        <v>1540</v>
      </c>
      <c r="E1043" s="23">
        <v>43796</v>
      </c>
      <c r="F1043" s="24" t="s">
        <v>103</v>
      </c>
      <c r="G1043" s="12"/>
      <c r="H1043" s="12"/>
      <c r="I1043" s="4" t="s">
        <v>776</v>
      </c>
    </row>
    <row r="1044" spans="1:9" hidden="1" x14ac:dyDescent="0.2">
      <c r="A1044" s="4" t="s">
        <v>793</v>
      </c>
      <c r="B1044" s="21">
        <v>43800</v>
      </c>
      <c r="C1044" s="12">
        <v>4</v>
      </c>
      <c r="D1044" s="22" t="s">
        <v>1541</v>
      </c>
      <c r="E1044" s="23">
        <v>43796</v>
      </c>
      <c r="F1044" s="24" t="s">
        <v>103</v>
      </c>
      <c r="G1044" s="12"/>
      <c r="H1044" s="12"/>
      <c r="I1044" s="4" t="s">
        <v>776</v>
      </c>
    </row>
    <row r="1045" spans="1:9" hidden="1" x14ac:dyDescent="0.2">
      <c r="A1045" s="4" t="s">
        <v>793</v>
      </c>
      <c r="B1045" s="21">
        <v>43800</v>
      </c>
      <c r="C1045" s="12">
        <v>5</v>
      </c>
      <c r="D1045" s="22" t="s">
        <v>1611</v>
      </c>
      <c r="E1045" s="23">
        <v>43808</v>
      </c>
      <c r="F1045" s="24" t="s">
        <v>103</v>
      </c>
      <c r="G1045" s="12"/>
      <c r="H1045" s="12"/>
    </row>
    <row r="1046" spans="1:9" hidden="1" x14ac:dyDescent="0.2">
      <c r="A1046" s="4" t="s">
        <v>793</v>
      </c>
      <c r="B1046" s="21">
        <v>43800</v>
      </c>
      <c r="C1046" s="12">
        <v>6</v>
      </c>
      <c r="D1046" s="22" t="s">
        <v>794</v>
      </c>
      <c r="E1046" s="23">
        <v>43801</v>
      </c>
      <c r="F1046" s="24" t="s">
        <v>103</v>
      </c>
      <c r="G1046" s="12"/>
      <c r="H1046" s="12"/>
      <c r="I1046" s="4" t="s">
        <v>1099</v>
      </c>
    </row>
    <row r="1047" spans="1:9" hidden="1" x14ac:dyDescent="0.2">
      <c r="A1047" s="4" t="s">
        <v>793</v>
      </c>
      <c r="B1047" s="21">
        <v>43800</v>
      </c>
      <c r="C1047" s="12">
        <v>7</v>
      </c>
      <c r="D1047" s="22" t="s">
        <v>1145</v>
      </c>
      <c r="E1047" s="23">
        <v>43801</v>
      </c>
      <c r="F1047" s="24" t="s">
        <v>103</v>
      </c>
      <c r="G1047" s="12"/>
      <c r="H1047" s="12"/>
    </row>
    <row r="1048" spans="1:9" hidden="1" x14ac:dyDescent="0.2">
      <c r="A1048" s="4" t="s">
        <v>793</v>
      </c>
      <c r="B1048" s="21">
        <v>43800</v>
      </c>
      <c r="C1048" s="12">
        <v>8</v>
      </c>
      <c r="D1048" s="22" t="s">
        <v>1696</v>
      </c>
      <c r="E1048" s="23">
        <v>43808</v>
      </c>
      <c r="F1048" s="24" t="s">
        <v>103</v>
      </c>
      <c r="G1048" s="12"/>
      <c r="H1048" s="12"/>
    </row>
    <row r="1049" spans="1:9" hidden="1" x14ac:dyDescent="0.2">
      <c r="A1049" s="4" t="s">
        <v>793</v>
      </c>
      <c r="B1049" s="21">
        <v>43800</v>
      </c>
      <c r="C1049" s="12">
        <v>9</v>
      </c>
      <c r="D1049" s="22" t="s">
        <v>208</v>
      </c>
      <c r="E1049" s="23">
        <v>43803</v>
      </c>
      <c r="F1049" s="24" t="s">
        <v>103</v>
      </c>
      <c r="G1049" s="12"/>
      <c r="H1049" s="12"/>
    </row>
    <row r="1050" spans="1:9" hidden="1" x14ac:dyDescent="0.2">
      <c r="A1050" s="4" t="s">
        <v>793</v>
      </c>
      <c r="B1050" s="21">
        <v>43800</v>
      </c>
      <c r="C1050" s="12">
        <v>10</v>
      </c>
      <c r="D1050" s="22" t="s">
        <v>1973</v>
      </c>
      <c r="E1050" s="23">
        <v>43815</v>
      </c>
      <c r="F1050" s="24" t="s">
        <v>103</v>
      </c>
      <c r="G1050" s="12"/>
      <c r="H1050" s="12"/>
    </row>
    <row r="1051" spans="1:9" hidden="1" x14ac:dyDescent="0.2">
      <c r="A1051" s="4" t="s">
        <v>793</v>
      </c>
      <c r="B1051" s="21">
        <v>43800</v>
      </c>
      <c r="C1051" s="12">
        <v>11</v>
      </c>
      <c r="D1051" s="22" t="s">
        <v>1100</v>
      </c>
      <c r="E1051" s="23">
        <v>43805</v>
      </c>
      <c r="F1051" s="24" t="s">
        <v>103</v>
      </c>
      <c r="G1051" s="12"/>
      <c r="H1051" s="12"/>
      <c r="I1051" s="4" t="s">
        <v>1101</v>
      </c>
    </row>
    <row r="1052" spans="1:9" hidden="1" x14ac:dyDescent="0.2">
      <c r="A1052" s="4" t="s">
        <v>793</v>
      </c>
      <c r="B1052" s="21">
        <v>43800</v>
      </c>
      <c r="C1052" s="12">
        <v>12</v>
      </c>
      <c r="D1052" s="22" t="s">
        <v>208</v>
      </c>
      <c r="E1052" s="23">
        <v>43805</v>
      </c>
      <c r="F1052" s="24" t="s">
        <v>103</v>
      </c>
      <c r="G1052" s="12"/>
      <c r="H1052" s="12"/>
    </row>
    <row r="1053" spans="1:9" hidden="1" x14ac:dyDescent="0.2">
      <c r="A1053" s="4" t="s">
        <v>793</v>
      </c>
      <c r="B1053" s="21">
        <v>43800</v>
      </c>
      <c r="C1053" s="12">
        <v>13</v>
      </c>
      <c r="D1053" s="22" t="s">
        <v>1145</v>
      </c>
      <c r="E1053" s="23">
        <v>43808</v>
      </c>
      <c r="F1053" s="24" t="s">
        <v>103</v>
      </c>
      <c r="G1053" s="12"/>
      <c r="H1053" s="12"/>
    </row>
    <row r="1054" spans="1:9" hidden="1" x14ac:dyDescent="0.2">
      <c r="A1054" s="4" t="s">
        <v>793</v>
      </c>
      <c r="B1054" s="21">
        <v>43800</v>
      </c>
      <c r="C1054" s="12">
        <v>14</v>
      </c>
      <c r="D1054" s="22" t="s">
        <v>1984</v>
      </c>
      <c r="E1054" s="23">
        <v>43816</v>
      </c>
      <c r="F1054" s="24" t="s">
        <v>103</v>
      </c>
      <c r="G1054" s="12">
        <v>4</v>
      </c>
      <c r="H1054" s="12"/>
    </row>
    <row r="1055" spans="1:9" hidden="1" x14ac:dyDescent="0.2">
      <c r="A1055" s="4" t="s">
        <v>793</v>
      </c>
      <c r="B1055" s="21">
        <v>43800</v>
      </c>
      <c r="C1055" s="12">
        <v>15</v>
      </c>
      <c r="D1055" s="22" t="s">
        <v>208</v>
      </c>
      <c r="E1055" s="23">
        <v>43810</v>
      </c>
      <c r="F1055" s="24" t="s">
        <v>103</v>
      </c>
      <c r="G1055" s="12"/>
      <c r="H1055" s="12"/>
    </row>
    <row r="1056" spans="1:9" hidden="1" x14ac:dyDescent="0.2">
      <c r="A1056" s="4" t="s">
        <v>793</v>
      </c>
      <c r="B1056" s="21">
        <v>43800</v>
      </c>
      <c r="C1056" s="12">
        <v>16</v>
      </c>
      <c r="D1056" s="22" t="s">
        <v>2085</v>
      </c>
      <c r="E1056" s="23">
        <v>43819</v>
      </c>
      <c r="F1056" s="24" t="s">
        <v>103</v>
      </c>
      <c r="G1056" s="12"/>
      <c r="H1056" s="12"/>
    </row>
    <row r="1057" spans="1:9" hidden="1" x14ac:dyDescent="0.2">
      <c r="A1057" s="4" t="s">
        <v>793</v>
      </c>
      <c r="B1057" s="21">
        <v>43800</v>
      </c>
      <c r="C1057" s="12">
        <v>17</v>
      </c>
      <c r="D1057" s="22" t="s">
        <v>208</v>
      </c>
      <c r="E1057" s="23">
        <v>43812</v>
      </c>
      <c r="F1057" s="24" t="s">
        <v>103</v>
      </c>
      <c r="G1057" s="12"/>
      <c r="H1057" s="12"/>
    </row>
    <row r="1058" spans="1:9" hidden="1" x14ac:dyDescent="0.2">
      <c r="A1058" s="4" t="s">
        <v>793</v>
      </c>
      <c r="B1058" s="21">
        <v>43800</v>
      </c>
      <c r="C1058" s="12">
        <v>18</v>
      </c>
      <c r="D1058" s="22" t="s">
        <v>1145</v>
      </c>
      <c r="E1058" s="23">
        <v>43815</v>
      </c>
      <c r="F1058" s="24" t="s">
        <v>103</v>
      </c>
      <c r="G1058" s="12"/>
      <c r="H1058" s="12"/>
    </row>
    <row r="1059" spans="1:9" hidden="1" x14ac:dyDescent="0.2">
      <c r="A1059" s="4" t="s">
        <v>793</v>
      </c>
      <c r="B1059" s="21">
        <v>43800</v>
      </c>
      <c r="C1059" s="12">
        <v>19</v>
      </c>
      <c r="D1059" s="22" t="s">
        <v>2226</v>
      </c>
      <c r="E1059" s="23">
        <v>43823</v>
      </c>
      <c r="F1059" s="24" t="s">
        <v>1547</v>
      </c>
      <c r="G1059" s="12"/>
      <c r="H1059" s="12"/>
    </row>
    <row r="1060" spans="1:9" hidden="1" x14ac:dyDescent="0.2">
      <c r="A1060" s="4" t="s">
        <v>793</v>
      </c>
      <c r="B1060" s="21">
        <v>43800</v>
      </c>
      <c r="C1060" s="12">
        <v>20</v>
      </c>
      <c r="D1060" s="22" t="s">
        <v>208</v>
      </c>
      <c r="E1060" s="23">
        <v>43817</v>
      </c>
      <c r="F1060" s="24" t="s">
        <v>103</v>
      </c>
      <c r="G1060" s="12"/>
      <c r="H1060" s="12"/>
    </row>
    <row r="1061" spans="1:9" hidden="1" x14ac:dyDescent="0.2">
      <c r="A1061" s="4" t="s">
        <v>793</v>
      </c>
      <c r="B1061" s="21">
        <v>43800</v>
      </c>
      <c r="C1061" s="12">
        <v>21</v>
      </c>
      <c r="D1061" s="22" t="s">
        <v>2227</v>
      </c>
      <c r="E1061" s="23">
        <v>43823</v>
      </c>
      <c r="F1061" s="24" t="s">
        <v>85</v>
      </c>
      <c r="G1061" s="12"/>
      <c r="H1061" s="12"/>
    </row>
    <row r="1062" spans="1:9" hidden="1" x14ac:dyDescent="0.2">
      <c r="A1062" s="4" t="s">
        <v>793</v>
      </c>
      <c r="B1062" s="21">
        <v>43800</v>
      </c>
      <c r="C1062" s="12">
        <v>22</v>
      </c>
      <c r="D1062" s="22" t="s">
        <v>208</v>
      </c>
      <c r="E1062" s="23">
        <v>43819</v>
      </c>
      <c r="F1062" s="24" t="s">
        <v>103</v>
      </c>
      <c r="G1062" s="12"/>
      <c r="H1062" s="12"/>
    </row>
    <row r="1063" spans="1:9" hidden="1" x14ac:dyDescent="0.2">
      <c r="A1063" s="4" t="s">
        <v>793</v>
      </c>
      <c r="B1063" s="21">
        <v>43800</v>
      </c>
      <c r="C1063" s="12">
        <v>23</v>
      </c>
      <c r="D1063" s="22" t="s">
        <v>1545</v>
      </c>
      <c r="E1063" s="23">
        <v>43823</v>
      </c>
      <c r="F1063" s="24" t="s">
        <v>85</v>
      </c>
      <c r="G1063" s="12"/>
      <c r="H1063" s="12"/>
      <c r="I1063" s="4" t="s">
        <v>787</v>
      </c>
    </row>
    <row r="1064" spans="1:9" hidden="1" x14ac:dyDescent="0.2">
      <c r="A1064" s="4" t="s">
        <v>793</v>
      </c>
      <c r="B1064" s="21">
        <v>43800</v>
      </c>
      <c r="C1064" s="12">
        <v>24</v>
      </c>
      <c r="D1064" s="22" t="s">
        <v>1145</v>
      </c>
      <c r="E1064" s="23">
        <v>43822</v>
      </c>
      <c r="F1064" s="24" t="s">
        <v>103</v>
      </c>
      <c r="G1064" s="12"/>
      <c r="H1064" s="12"/>
    </row>
    <row r="1065" spans="1:9" hidden="1" x14ac:dyDescent="0.2">
      <c r="A1065" s="4" t="s">
        <v>793</v>
      </c>
      <c r="B1065" s="21">
        <v>43800</v>
      </c>
      <c r="C1065" s="12">
        <v>25</v>
      </c>
      <c r="D1065" s="22" t="s">
        <v>1542</v>
      </c>
      <c r="E1065" s="23">
        <v>43823</v>
      </c>
      <c r="F1065" s="24" t="s">
        <v>85</v>
      </c>
      <c r="G1065" s="12"/>
      <c r="H1065" s="12"/>
      <c r="I1065" s="4" t="s">
        <v>787</v>
      </c>
    </row>
    <row r="1066" spans="1:9" hidden="1" x14ac:dyDescent="0.2">
      <c r="A1066" s="4" t="s">
        <v>793</v>
      </c>
      <c r="B1066" s="21">
        <v>43800</v>
      </c>
      <c r="C1066" s="12">
        <v>26</v>
      </c>
      <c r="D1066" s="22" t="s">
        <v>1543</v>
      </c>
      <c r="E1066" s="23">
        <v>43823</v>
      </c>
      <c r="F1066" s="24" t="s">
        <v>85</v>
      </c>
      <c r="G1066" s="12"/>
      <c r="H1066" s="12"/>
      <c r="I1066" s="4" t="s">
        <v>789</v>
      </c>
    </row>
    <row r="1067" spans="1:9" hidden="1" x14ac:dyDescent="0.2">
      <c r="A1067" s="4" t="s">
        <v>793</v>
      </c>
      <c r="B1067" s="21">
        <v>43800</v>
      </c>
      <c r="C1067" s="12">
        <v>27</v>
      </c>
      <c r="D1067" s="22" t="s">
        <v>1635</v>
      </c>
      <c r="E1067" s="23">
        <v>43823</v>
      </c>
      <c r="F1067" s="24" t="s">
        <v>85</v>
      </c>
      <c r="G1067" s="12"/>
      <c r="H1067" s="12"/>
      <c r="I1067" s="4" t="s">
        <v>787</v>
      </c>
    </row>
    <row r="1068" spans="1:9" hidden="1" x14ac:dyDescent="0.2">
      <c r="A1068" s="4" t="s">
        <v>793</v>
      </c>
      <c r="B1068" s="21">
        <v>43800</v>
      </c>
      <c r="C1068" s="12">
        <v>28</v>
      </c>
      <c r="D1068" s="22" t="s">
        <v>795</v>
      </c>
      <c r="E1068" s="23">
        <v>43823</v>
      </c>
      <c r="F1068" s="24" t="s">
        <v>85</v>
      </c>
      <c r="G1068" s="12"/>
      <c r="H1068" s="12"/>
      <c r="I1068" s="4" t="s">
        <v>787</v>
      </c>
    </row>
    <row r="1069" spans="1:9" hidden="1" x14ac:dyDescent="0.2">
      <c r="A1069" s="4" t="s">
        <v>793</v>
      </c>
      <c r="B1069" s="21">
        <v>43800</v>
      </c>
      <c r="C1069" s="12">
        <v>29</v>
      </c>
      <c r="D1069" s="22" t="s">
        <v>1103</v>
      </c>
      <c r="E1069" s="23">
        <v>43823</v>
      </c>
      <c r="F1069" s="24" t="s">
        <v>85</v>
      </c>
      <c r="G1069" s="12"/>
      <c r="H1069" s="12"/>
      <c r="I1069" s="4" t="s">
        <v>96</v>
      </c>
    </row>
    <row r="1070" spans="1:9" hidden="1" x14ac:dyDescent="0.2">
      <c r="A1070" s="4" t="s">
        <v>793</v>
      </c>
      <c r="B1070" s="21">
        <v>43800</v>
      </c>
      <c r="C1070" s="12">
        <v>30</v>
      </c>
      <c r="D1070" s="22" t="s">
        <v>1551</v>
      </c>
      <c r="E1070" s="23">
        <v>43823</v>
      </c>
      <c r="F1070" s="24" t="s">
        <v>1547</v>
      </c>
      <c r="G1070" s="12"/>
      <c r="H1070" s="12"/>
    </row>
    <row r="1071" spans="1:9" hidden="1" x14ac:dyDescent="0.2">
      <c r="A1071" s="4" t="s">
        <v>793</v>
      </c>
      <c r="B1071" s="21">
        <v>43800</v>
      </c>
      <c r="C1071" s="12">
        <v>31</v>
      </c>
      <c r="D1071" s="22" t="s">
        <v>392</v>
      </c>
      <c r="E1071" s="23">
        <v>43824</v>
      </c>
      <c r="F1071" s="24" t="s">
        <v>85</v>
      </c>
      <c r="G1071" s="12"/>
      <c r="H1071" s="12"/>
      <c r="I1071" s="4" t="s">
        <v>1102</v>
      </c>
    </row>
    <row r="1072" spans="1:9" hidden="1" x14ac:dyDescent="0.2">
      <c r="A1072" s="4" t="s">
        <v>793</v>
      </c>
      <c r="B1072" s="21">
        <v>43800</v>
      </c>
      <c r="C1072" s="12">
        <v>32</v>
      </c>
      <c r="D1072" s="22" t="s">
        <v>208</v>
      </c>
      <c r="E1072" s="23">
        <v>43824</v>
      </c>
      <c r="F1072" s="24" t="s">
        <v>85</v>
      </c>
      <c r="G1072" s="12"/>
      <c r="H1072" s="12"/>
    </row>
    <row r="1073" spans="1:9" hidden="1" x14ac:dyDescent="0.2">
      <c r="A1073" s="4" t="s">
        <v>793</v>
      </c>
      <c r="B1073" s="21">
        <v>43800</v>
      </c>
      <c r="C1073" s="12">
        <v>33</v>
      </c>
      <c r="D1073" s="22" t="s">
        <v>208</v>
      </c>
      <c r="E1073" s="23">
        <v>43826</v>
      </c>
      <c r="F1073" s="24" t="s">
        <v>85</v>
      </c>
      <c r="G1073" s="12"/>
      <c r="H1073" s="12"/>
    </row>
    <row r="1074" spans="1:9" hidden="1" x14ac:dyDescent="0.2">
      <c r="A1074" s="4" t="s">
        <v>793</v>
      </c>
      <c r="B1074" s="21">
        <v>43800</v>
      </c>
      <c r="C1074" s="12">
        <v>34</v>
      </c>
      <c r="D1074" s="22" t="s">
        <v>256</v>
      </c>
      <c r="E1074" s="23">
        <v>43827</v>
      </c>
      <c r="F1074" s="24" t="s">
        <v>85</v>
      </c>
      <c r="G1074" s="12"/>
      <c r="H1074" s="12"/>
      <c r="I1074" s="4" t="s">
        <v>1102</v>
      </c>
    </row>
    <row r="1075" spans="1:9" hidden="1" x14ac:dyDescent="0.2">
      <c r="A1075" s="4" t="s">
        <v>793</v>
      </c>
      <c r="B1075" s="21">
        <v>43800</v>
      </c>
      <c r="C1075" s="12">
        <v>35</v>
      </c>
      <c r="D1075" s="22" t="s">
        <v>1145</v>
      </c>
      <c r="E1075" s="23">
        <v>43829</v>
      </c>
      <c r="F1075" s="24" t="s">
        <v>85</v>
      </c>
      <c r="G1075" s="12"/>
      <c r="H1075" s="12"/>
    </row>
    <row r="1076" spans="1:9" hidden="1" x14ac:dyDescent="0.2">
      <c r="A1076" s="4" t="s">
        <v>793</v>
      </c>
      <c r="B1076" s="21">
        <v>43800</v>
      </c>
      <c r="C1076" s="12"/>
      <c r="D1076" s="22" t="s">
        <v>1601</v>
      </c>
      <c r="E1076" s="23">
        <v>43839</v>
      </c>
      <c r="F1076" s="24" t="s">
        <v>1602</v>
      </c>
      <c r="G1076" s="12"/>
      <c r="H1076" s="12"/>
    </row>
    <row r="1077" spans="1:9" hidden="1" x14ac:dyDescent="0.2">
      <c r="A1077" s="4" t="s">
        <v>500</v>
      </c>
      <c r="B1077" s="21">
        <v>43801</v>
      </c>
      <c r="C1077" s="12">
        <v>0</v>
      </c>
      <c r="D1077" s="22" t="s">
        <v>803</v>
      </c>
      <c r="E1077" s="23">
        <v>43801</v>
      </c>
      <c r="F1077" s="24" t="s">
        <v>259</v>
      </c>
      <c r="G1077" s="12"/>
      <c r="H1077" s="12"/>
      <c r="I1077" s="4" t="s">
        <v>98</v>
      </c>
    </row>
    <row r="1078" spans="1:9" hidden="1" x14ac:dyDescent="0.2">
      <c r="A1078" s="4" t="s">
        <v>500</v>
      </c>
      <c r="B1078" s="21">
        <v>43801</v>
      </c>
      <c r="C1078" s="12">
        <v>1</v>
      </c>
      <c r="D1078" s="22" t="s">
        <v>977</v>
      </c>
      <c r="E1078" s="23">
        <v>43805</v>
      </c>
      <c r="F1078" s="24" t="s">
        <v>259</v>
      </c>
      <c r="G1078" s="12"/>
      <c r="H1078" s="12"/>
      <c r="I1078" s="4" t="s">
        <v>97</v>
      </c>
    </row>
    <row r="1079" spans="1:9" hidden="1" x14ac:dyDescent="0.2">
      <c r="A1079" s="4" t="s">
        <v>500</v>
      </c>
      <c r="B1079" s="21">
        <v>43801</v>
      </c>
      <c r="C1079" s="12">
        <v>2</v>
      </c>
      <c r="D1079" s="22" t="s">
        <v>975</v>
      </c>
      <c r="E1079" s="23">
        <v>43805</v>
      </c>
      <c r="F1079" s="24" t="s">
        <v>103</v>
      </c>
      <c r="G1079" s="12"/>
      <c r="H1079" s="12"/>
      <c r="I1079" s="4" t="s">
        <v>97</v>
      </c>
    </row>
    <row r="1080" spans="1:9" hidden="1" x14ac:dyDescent="0.2">
      <c r="A1080" s="4" t="s">
        <v>500</v>
      </c>
      <c r="B1080" s="21">
        <v>43801</v>
      </c>
      <c r="C1080" s="12">
        <v>3</v>
      </c>
      <c r="D1080" s="22" t="s">
        <v>1494</v>
      </c>
      <c r="E1080" s="23">
        <v>43805</v>
      </c>
      <c r="F1080" s="24" t="s">
        <v>103</v>
      </c>
      <c r="G1080" s="12"/>
      <c r="H1080" s="12"/>
      <c r="I1080" s="4" t="s">
        <v>97</v>
      </c>
    </row>
    <row r="1081" spans="1:9" hidden="1" x14ac:dyDescent="0.2">
      <c r="A1081" s="4" t="s">
        <v>2005</v>
      </c>
      <c r="B1081" s="21">
        <v>43802</v>
      </c>
      <c r="C1081" s="12">
        <v>1</v>
      </c>
      <c r="D1081" s="22" t="s">
        <v>1296</v>
      </c>
      <c r="E1081" s="23">
        <v>43775</v>
      </c>
      <c r="F1081" s="24" t="s">
        <v>103</v>
      </c>
      <c r="G1081" s="12"/>
      <c r="H1081" s="12"/>
    </row>
    <row r="1082" spans="1:9" hidden="1" x14ac:dyDescent="0.2">
      <c r="A1082" s="4" t="s">
        <v>2005</v>
      </c>
      <c r="B1082" s="21">
        <v>43802</v>
      </c>
      <c r="C1082" s="12">
        <v>2</v>
      </c>
      <c r="D1082" s="22" t="s">
        <v>1559</v>
      </c>
      <c r="E1082" s="23">
        <v>43797</v>
      </c>
      <c r="F1082" s="24" t="s">
        <v>103</v>
      </c>
      <c r="G1082" s="12"/>
      <c r="H1082" s="12"/>
    </row>
    <row r="1083" spans="1:9" hidden="1" x14ac:dyDescent="0.2">
      <c r="A1083" s="4" t="s">
        <v>2005</v>
      </c>
      <c r="B1083" s="21">
        <v>43802</v>
      </c>
      <c r="C1083" s="12">
        <v>3</v>
      </c>
      <c r="D1083" s="22" t="s">
        <v>764</v>
      </c>
      <c r="E1083" s="23">
        <v>43797</v>
      </c>
      <c r="F1083" s="24" t="s">
        <v>103</v>
      </c>
      <c r="G1083" s="12"/>
      <c r="H1083" s="12"/>
      <c r="I1083" s="4" t="s">
        <v>760</v>
      </c>
    </row>
    <row r="1084" spans="1:9" hidden="1" x14ac:dyDescent="0.2">
      <c r="A1084" s="4" t="s">
        <v>2005</v>
      </c>
      <c r="B1084" s="21">
        <v>43802</v>
      </c>
      <c r="C1084" s="12">
        <v>4</v>
      </c>
      <c r="D1084" s="22" t="s">
        <v>1603</v>
      </c>
      <c r="E1084" s="23">
        <v>43802</v>
      </c>
      <c r="F1084" s="24" t="s">
        <v>1604</v>
      </c>
      <c r="G1084" s="12"/>
      <c r="H1084" s="12"/>
    </row>
    <row r="1085" spans="1:9" hidden="1" x14ac:dyDescent="0.2">
      <c r="A1085" s="4" t="s">
        <v>2005</v>
      </c>
      <c r="B1085" s="21">
        <v>43802</v>
      </c>
      <c r="C1085" s="12">
        <v>5</v>
      </c>
      <c r="D1085" s="22" t="s">
        <v>766</v>
      </c>
      <c r="E1085" s="23">
        <v>43798</v>
      </c>
      <c r="F1085" s="24" t="s">
        <v>103</v>
      </c>
      <c r="G1085" s="12"/>
      <c r="H1085" s="12"/>
    </row>
    <row r="1086" spans="1:9" hidden="1" x14ac:dyDescent="0.2">
      <c r="A1086" s="4" t="s">
        <v>2005</v>
      </c>
      <c r="B1086" s="21">
        <v>43802</v>
      </c>
      <c r="C1086" s="12">
        <v>6</v>
      </c>
      <c r="D1086" s="22" t="s">
        <v>1609</v>
      </c>
      <c r="E1086" s="23">
        <v>43803</v>
      </c>
      <c r="F1086" s="24" t="s">
        <v>103</v>
      </c>
      <c r="G1086" s="12"/>
      <c r="H1086" s="12"/>
    </row>
    <row r="1087" spans="1:9" hidden="1" x14ac:dyDescent="0.2">
      <c r="A1087" s="4" t="s">
        <v>2005</v>
      </c>
      <c r="B1087" s="21">
        <v>43802</v>
      </c>
      <c r="C1087" s="12">
        <v>7</v>
      </c>
      <c r="D1087" s="22" t="s">
        <v>772</v>
      </c>
      <c r="E1087" s="23">
        <v>43804</v>
      </c>
      <c r="F1087" s="24" t="s">
        <v>103</v>
      </c>
      <c r="G1087" s="12"/>
      <c r="H1087" s="12"/>
    </row>
    <row r="1088" spans="1:9" hidden="1" x14ac:dyDescent="0.2">
      <c r="A1088" s="4" t="s">
        <v>2006</v>
      </c>
      <c r="B1088" s="21">
        <v>43802</v>
      </c>
      <c r="C1088" s="12">
        <v>1</v>
      </c>
      <c r="D1088" s="22" t="s">
        <v>1421</v>
      </c>
      <c r="E1088" s="23">
        <v>43787</v>
      </c>
      <c r="F1088" s="24" t="s">
        <v>103</v>
      </c>
      <c r="G1088" s="12"/>
      <c r="H1088" s="12"/>
    </row>
    <row r="1089" spans="1:8" hidden="1" x14ac:dyDescent="0.2">
      <c r="A1089" s="4" t="s">
        <v>2006</v>
      </c>
      <c r="B1089" s="21">
        <v>43802</v>
      </c>
      <c r="C1089" s="12">
        <v>2</v>
      </c>
      <c r="D1089" s="22" t="s">
        <v>1418</v>
      </c>
      <c r="E1089" s="23">
        <v>43787</v>
      </c>
      <c r="F1089" s="24" t="s">
        <v>1422</v>
      </c>
      <c r="G1089" s="12"/>
      <c r="H1089" s="12"/>
    </row>
    <row r="1090" spans="1:8" hidden="1" x14ac:dyDescent="0.2">
      <c r="A1090" s="4" t="s">
        <v>2006</v>
      </c>
      <c r="B1090" s="21">
        <v>43802</v>
      </c>
      <c r="C1090" s="12">
        <v>3</v>
      </c>
      <c r="D1090" s="22" t="s">
        <v>1419</v>
      </c>
      <c r="E1090" s="23">
        <v>43797</v>
      </c>
      <c r="F1090" s="24" t="s">
        <v>103</v>
      </c>
      <c r="G1090" s="12"/>
      <c r="H1090" s="12"/>
    </row>
    <row r="1091" spans="1:8" hidden="1" x14ac:dyDescent="0.2">
      <c r="A1091" s="4" t="s">
        <v>2006</v>
      </c>
      <c r="B1091" s="21">
        <v>43802</v>
      </c>
      <c r="C1091" s="12">
        <v>4</v>
      </c>
      <c r="D1091" s="22" t="s">
        <v>1420</v>
      </c>
      <c r="E1091" s="23">
        <v>43797</v>
      </c>
      <c r="F1091" s="24" t="s">
        <v>103</v>
      </c>
      <c r="G1091" s="12"/>
      <c r="H1091" s="12"/>
    </row>
    <row r="1092" spans="1:8" hidden="1" x14ac:dyDescent="0.2">
      <c r="A1092" s="4" t="s">
        <v>2006</v>
      </c>
      <c r="B1092" s="21">
        <v>43802</v>
      </c>
      <c r="C1092" s="12">
        <v>5</v>
      </c>
      <c r="D1092" s="22" t="s">
        <v>699</v>
      </c>
      <c r="E1092" s="23">
        <v>43797</v>
      </c>
      <c r="F1092" s="24" t="s">
        <v>103</v>
      </c>
      <c r="G1092" s="12"/>
      <c r="H1092" s="12"/>
    </row>
    <row r="1093" spans="1:8" hidden="1" x14ac:dyDescent="0.2">
      <c r="A1093" s="4" t="s">
        <v>2006</v>
      </c>
      <c r="B1093" s="21">
        <v>43802</v>
      </c>
      <c r="C1093" s="12">
        <v>6</v>
      </c>
      <c r="D1093" s="22" t="s">
        <v>694</v>
      </c>
      <c r="E1093" s="23">
        <v>43797</v>
      </c>
      <c r="F1093" s="24" t="s">
        <v>103</v>
      </c>
      <c r="G1093" s="12"/>
      <c r="H1093" s="12"/>
    </row>
    <row r="1094" spans="1:8" hidden="1" x14ac:dyDescent="0.2">
      <c r="A1094" s="4" t="s">
        <v>2006</v>
      </c>
      <c r="B1094" s="21">
        <v>43802</v>
      </c>
      <c r="C1094" s="12">
        <v>7</v>
      </c>
      <c r="D1094" s="22" t="s">
        <v>1605</v>
      </c>
      <c r="E1094" s="23">
        <v>43802</v>
      </c>
      <c r="F1094" s="24" t="s">
        <v>1604</v>
      </c>
      <c r="G1094" s="12"/>
      <c r="H1094" s="12"/>
    </row>
    <row r="1095" spans="1:8" hidden="1" x14ac:dyDescent="0.2">
      <c r="A1095" s="4" t="s">
        <v>2006</v>
      </c>
      <c r="B1095" s="21">
        <v>43802</v>
      </c>
      <c r="C1095" s="12">
        <v>8</v>
      </c>
      <c r="D1095" s="22" t="s">
        <v>1567</v>
      </c>
      <c r="E1095" s="23">
        <v>43797</v>
      </c>
      <c r="F1095" s="24" t="s">
        <v>103</v>
      </c>
      <c r="G1095" s="12"/>
      <c r="H1095" s="12"/>
    </row>
    <row r="1096" spans="1:8" hidden="1" x14ac:dyDescent="0.2">
      <c r="A1096" s="4" t="s">
        <v>2006</v>
      </c>
      <c r="B1096" s="21">
        <v>43802</v>
      </c>
      <c r="C1096" s="12">
        <v>9</v>
      </c>
      <c r="D1096" s="22" t="s">
        <v>1600</v>
      </c>
      <c r="E1096" s="23">
        <v>43802</v>
      </c>
      <c r="F1096" s="24" t="s">
        <v>103</v>
      </c>
      <c r="G1096" s="12"/>
      <c r="H1096" s="12"/>
    </row>
    <row r="1097" spans="1:8" hidden="1" x14ac:dyDescent="0.2">
      <c r="A1097" s="4" t="s">
        <v>2006</v>
      </c>
      <c r="B1097" s="21">
        <v>43802</v>
      </c>
      <c r="C1097" s="12">
        <v>10</v>
      </c>
      <c r="D1097" s="22" t="s">
        <v>1610</v>
      </c>
      <c r="E1097" s="23">
        <v>43803</v>
      </c>
      <c r="F1097" s="24" t="s">
        <v>103</v>
      </c>
      <c r="G1097" s="12"/>
      <c r="H1097" s="12"/>
    </row>
    <row r="1098" spans="1:8" hidden="1" x14ac:dyDescent="0.2">
      <c r="A1098" s="4" t="s">
        <v>2006</v>
      </c>
      <c r="B1098" s="21">
        <v>43802</v>
      </c>
      <c r="C1098" s="12">
        <v>11</v>
      </c>
      <c r="D1098" s="22" t="s">
        <v>130</v>
      </c>
      <c r="E1098" s="23">
        <v>43803</v>
      </c>
      <c r="F1098" s="24" t="s">
        <v>103</v>
      </c>
      <c r="G1098" s="12"/>
      <c r="H1098" s="12"/>
    </row>
    <row r="1099" spans="1:8" hidden="1" x14ac:dyDescent="0.2">
      <c r="A1099" s="4" t="s">
        <v>2006</v>
      </c>
      <c r="B1099" s="21">
        <v>43802</v>
      </c>
      <c r="C1099" s="12">
        <v>12</v>
      </c>
      <c r="D1099" s="22" t="s">
        <v>1667</v>
      </c>
      <c r="E1099" s="23">
        <v>43804</v>
      </c>
      <c r="F1099" s="24" t="s">
        <v>1665</v>
      </c>
      <c r="G1099" s="12"/>
      <c r="H1099" s="12"/>
    </row>
    <row r="1100" spans="1:8" hidden="1" x14ac:dyDescent="0.2">
      <c r="A1100" s="4" t="s">
        <v>2009</v>
      </c>
      <c r="B1100" s="21">
        <v>43803</v>
      </c>
      <c r="C1100" s="12">
        <v>1</v>
      </c>
      <c r="D1100" s="22" t="s">
        <v>1470</v>
      </c>
      <c r="E1100" s="23">
        <v>43789</v>
      </c>
      <c r="F1100" s="24" t="s">
        <v>103</v>
      </c>
      <c r="G1100" s="12"/>
      <c r="H1100" s="12"/>
    </row>
    <row r="1101" spans="1:8" hidden="1" x14ac:dyDescent="0.2">
      <c r="A1101" s="4" t="s">
        <v>2009</v>
      </c>
      <c r="B1101" s="21">
        <v>43803</v>
      </c>
      <c r="C1101" s="12">
        <v>2</v>
      </c>
      <c r="D1101" s="22" t="s">
        <v>809</v>
      </c>
      <c r="E1101" s="23">
        <v>43797</v>
      </c>
      <c r="F1101" s="24" t="s">
        <v>137</v>
      </c>
      <c r="G1101" s="12"/>
      <c r="H1101" s="12"/>
    </row>
    <row r="1102" spans="1:8" hidden="1" x14ac:dyDescent="0.2">
      <c r="A1102" s="4" t="s">
        <v>2009</v>
      </c>
      <c r="B1102" s="21">
        <v>43803</v>
      </c>
      <c r="C1102" s="12">
        <v>3</v>
      </c>
      <c r="D1102" s="22" t="s">
        <v>811</v>
      </c>
      <c r="E1102" s="23">
        <v>43798</v>
      </c>
      <c r="F1102" s="24" t="s">
        <v>137</v>
      </c>
      <c r="G1102" s="12"/>
      <c r="H1102" s="12"/>
    </row>
    <row r="1103" spans="1:8" hidden="1" x14ac:dyDescent="0.2">
      <c r="A1103" s="4" t="s">
        <v>2009</v>
      </c>
      <c r="B1103" s="21">
        <v>43803</v>
      </c>
      <c r="C1103" s="12">
        <v>4</v>
      </c>
      <c r="D1103" s="22" t="s">
        <v>1388</v>
      </c>
      <c r="E1103" s="23">
        <v>43798</v>
      </c>
      <c r="F1103" s="24" t="s">
        <v>137</v>
      </c>
      <c r="G1103" s="12"/>
      <c r="H1103" s="12"/>
    </row>
    <row r="1104" spans="1:8" hidden="1" x14ac:dyDescent="0.2">
      <c r="A1104" s="4" t="s">
        <v>2009</v>
      </c>
      <c r="B1104" s="21">
        <v>43803</v>
      </c>
      <c r="C1104" s="12">
        <v>5</v>
      </c>
      <c r="D1104" s="22" t="s">
        <v>816</v>
      </c>
      <c r="E1104" s="23">
        <v>43798</v>
      </c>
      <c r="F1104" s="24" t="s">
        <v>137</v>
      </c>
      <c r="G1104" s="12"/>
      <c r="H1104" s="12"/>
    </row>
    <row r="1105" spans="1:8" hidden="1" x14ac:dyDescent="0.2">
      <c r="A1105" s="4" t="s">
        <v>2009</v>
      </c>
      <c r="B1105" s="21">
        <v>43803</v>
      </c>
      <c r="C1105" s="12">
        <v>6</v>
      </c>
      <c r="D1105" s="22" t="s">
        <v>814</v>
      </c>
      <c r="E1105" s="23">
        <v>43798</v>
      </c>
      <c r="F1105" s="24" t="s">
        <v>137</v>
      </c>
      <c r="G1105" s="12"/>
      <c r="H1105" s="12"/>
    </row>
    <row r="1106" spans="1:8" hidden="1" x14ac:dyDescent="0.2">
      <c r="A1106" s="4" t="s">
        <v>2009</v>
      </c>
      <c r="B1106" s="21">
        <v>43803</v>
      </c>
      <c r="C1106" s="12">
        <v>7</v>
      </c>
      <c r="D1106" s="22" t="s">
        <v>818</v>
      </c>
      <c r="E1106" s="23">
        <v>43798</v>
      </c>
      <c r="F1106" s="24" t="s">
        <v>137</v>
      </c>
      <c r="G1106" s="12"/>
      <c r="H1106" s="12"/>
    </row>
    <row r="1107" spans="1:8" hidden="1" x14ac:dyDescent="0.2">
      <c r="A1107" s="4" t="s">
        <v>2009</v>
      </c>
      <c r="B1107" s="21">
        <v>43803</v>
      </c>
      <c r="C1107" s="12">
        <v>8</v>
      </c>
      <c r="D1107" s="22" t="s">
        <v>822</v>
      </c>
      <c r="E1107" s="23">
        <v>43798</v>
      </c>
      <c r="F1107" s="24" t="s">
        <v>137</v>
      </c>
      <c r="G1107" s="12"/>
      <c r="H1107" s="12"/>
    </row>
    <row r="1108" spans="1:8" hidden="1" x14ac:dyDescent="0.2">
      <c r="A1108" s="4" t="s">
        <v>2009</v>
      </c>
      <c r="B1108" s="21">
        <v>43803</v>
      </c>
      <c r="C1108" s="12">
        <v>9</v>
      </c>
      <c r="D1108" s="22" t="s">
        <v>820</v>
      </c>
      <c r="E1108" s="23">
        <v>43798</v>
      </c>
      <c r="F1108" s="24" t="s">
        <v>137</v>
      </c>
      <c r="G1108" s="12"/>
      <c r="H1108" s="12"/>
    </row>
    <row r="1109" spans="1:8" hidden="1" x14ac:dyDescent="0.2">
      <c r="A1109" s="4" t="s">
        <v>2009</v>
      </c>
      <c r="B1109" s="21">
        <v>43803</v>
      </c>
      <c r="C1109" s="12">
        <v>10</v>
      </c>
      <c r="D1109" s="22" t="s">
        <v>824</v>
      </c>
      <c r="E1109" s="23">
        <v>43798</v>
      </c>
      <c r="F1109" s="24" t="s">
        <v>137</v>
      </c>
      <c r="G1109" s="12"/>
      <c r="H1109" s="12"/>
    </row>
    <row r="1110" spans="1:8" hidden="1" x14ac:dyDescent="0.2">
      <c r="A1110" s="4" t="s">
        <v>2009</v>
      </c>
      <c r="B1110" s="21">
        <v>43803</v>
      </c>
      <c r="C1110" s="12">
        <v>11</v>
      </c>
      <c r="D1110" s="7" t="s">
        <v>826</v>
      </c>
      <c r="E1110" s="23">
        <v>43798</v>
      </c>
      <c r="F1110" s="24" t="s">
        <v>137</v>
      </c>
      <c r="G1110" s="12"/>
      <c r="H1110" s="12"/>
    </row>
    <row r="1111" spans="1:8" hidden="1" x14ac:dyDescent="0.2">
      <c r="A1111" s="4" t="s">
        <v>2011</v>
      </c>
      <c r="B1111" s="21">
        <v>43803</v>
      </c>
      <c r="C1111" s="12">
        <v>1</v>
      </c>
      <c r="D1111" s="22" t="s">
        <v>1340</v>
      </c>
      <c r="E1111" s="23">
        <v>43780</v>
      </c>
      <c r="F1111" s="24" t="s">
        <v>1341</v>
      </c>
      <c r="G1111" s="12"/>
      <c r="H1111" s="12"/>
    </row>
    <row r="1112" spans="1:8" hidden="1" x14ac:dyDescent="0.2">
      <c r="A1112" s="4" t="s">
        <v>2011</v>
      </c>
      <c r="B1112" s="21">
        <v>43803</v>
      </c>
      <c r="C1112" s="12">
        <v>2</v>
      </c>
      <c r="D1112" s="22" t="s">
        <v>1347</v>
      </c>
      <c r="E1112" s="23">
        <v>43780</v>
      </c>
      <c r="F1112" s="24" t="s">
        <v>1341</v>
      </c>
      <c r="G1112" s="12"/>
      <c r="H1112" s="12"/>
    </row>
    <row r="1113" spans="1:8" hidden="1" x14ac:dyDescent="0.2">
      <c r="A1113" s="4" t="s">
        <v>2011</v>
      </c>
      <c r="B1113" s="21">
        <v>43803</v>
      </c>
      <c r="C1113" s="12">
        <v>3</v>
      </c>
      <c r="D1113" s="22" t="s">
        <v>1527</v>
      </c>
      <c r="E1113" s="23">
        <v>43795</v>
      </c>
      <c r="F1113" s="24" t="s">
        <v>103</v>
      </c>
      <c r="G1113" s="12"/>
      <c r="H1113" s="12"/>
    </row>
    <row r="1114" spans="1:8" hidden="1" x14ac:dyDescent="0.2">
      <c r="A1114" s="4" t="s">
        <v>2011</v>
      </c>
      <c r="B1114" s="21">
        <v>43803</v>
      </c>
      <c r="C1114" s="12">
        <v>4</v>
      </c>
      <c r="D1114" s="22" t="s">
        <v>1563</v>
      </c>
      <c r="E1114" s="23">
        <v>43795</v>
      </c>
      <c r="F1114" s="24" t="s">
        <v>103</v>
      </c>
      <c r="G1114" s="12"/>
      <c r="H1114" s="12"/>
    </row>
    <row r="1115" spans="1:8" hidden="1" x14ac:dyDescent="0.2">
      <c r="A1115" s="4" t="s">
        <v>2011</v>
      </c>
      <c r="B1115" s="21">
        <v>43803</v>
      </c>
      <c r="C1115" s="12">
        <v>5</v>
      </c>
      <c r="D1115" s="22" t="s">
        <v>234</v>
      </c>
      <c r="E1115" s="23">
        <v>43797</v>
      </c>
      <c r="F1115" s="24" t="s">
        <v>103</v>
      </c>
      <c r="G1115" s="12"/>
      <c r="H1115" s="12"/>
    </row>
    <row r="1116" spans="1:8" hidden="1" x14ac:dyDescent="0.2">
      <c r="A1116" s="4" t="s">
        <v>2011</v>
      </c>
      <c r="B1116" s="21">
        <v>43803</v>
      </c>
      <c r="C1116" s="12">
        <v>6</v>
      </c>
      <c r="D1116" s="22" t="s">
        <v>1580</v>
      </c>
      <c r="E1116" s="23">
        <v>43798</v>
      </c>
      <c r="F1116" s="24" t="s">
        <v>103</v>
      </c>
      <c r="G1116" s="12"/>
      <c r="H1116" s="12"/>
    </row>
    <row r="1117" spans="1:8" hidden="1" x14ac:dyDescent="0.2">
      <c r="A1117" s="4" t="s">
        <v>2011</v>
      </c>
      <c r="B1117" s="21">
        <v>43803</v>
      </c>
      <c r="C1117" s="12">
        <v>7</v>
      </c>
      <c r="D1117" s="22" t="s">
        <v>1588</v>
      </c>
      <c r="E1117" s="23">
        <v>43804</v>
      </c>
      <c r="F1117" s="24" t="s">
        <v>103</v>
      </c>
      <c r="G1117" s="12"/>
      <c r="H1117" s="12"/>
    </row>
    <row r="1118" spans="1:8" hidden="1" x14ac:dyDescent="0.2">
      <c r="A1118" s="4" t="s">
        <v>2011</v>
      </c>
      <c r="B1118" s="21">
        <v>43803</v>
      </c>
      <c r="C1118" s="12">
        <v>8</v>
      </c>
      <c r="D1118" s="22" t="s">
        <v>1627</v>
      </c>
      <c r="E1118" s="23">
        <v>43804</v>
      </c>
      <c r="F1118" s="24" t="s">
        <v>103</v>
      </c>
      <c r="G1118" s="12"/>
      <c r="H1118" s="12"/>
    </row>
    <row r="1119" spans="1:8" hidden="1" x14ac:dyDescent="0.2">
      <c r="A1119" s="4" t="s">
        <v>2011</v>
      </c>
      <c r="B1119" s="21">
        <v>43803</v>
      </c>
      <c r="C1119" s="12">
        <v>9</v>
      </c>
      <c r="D1119" s="22" t="s">
        <v>1704</v>
      </c>
      <c r="E1119" s="23">
        <v>43804</v>
      </c>
      <c r="F1119" s="24" t="s">
        <v>103</v>
      </c>
      <c r="G1119" s="12"/>
      <c r="H1119" s="12"/>
    </row>
    <row r="1120" spans="1:8" hidden="1" x14ac:dyDescent="0.2">
      <c r="A1120" s="4" t="s">
        <v>2011</v>
      </c>
      <c r="B1120" s="21">
        <v>43803</v>
      </c>
      <c r="C1120" s="12">
        <v>10</v>
      </c>
      <c r="D1120" s="22" t="s">
        <v>1613</v>
      </c>
      <c r="E1120" s="23">
        <v>43804</v>
      </c>
      <c r="F1120" s="24" t="s">
        <v>103</v>
      </c>
      <c r="G1120" s="12"/>
      <c r="H1120" s="12"/>
    </row>
    <row r="1121" spans="1:8" hidden="1" x14ac:dyDescent="0.2">
      <c r="A1121" s="4" t="s">
        <v>1768</v>
      </c>
      <c r="B1121" s="21">
        <v>43803</v>
      </c>
      <c r="C1121" s="12">
        <v>1</v>
      </c>
      <c r="D1121" s="22" t="s">
        <v>1496</v>
      </c>
      <c r="E1121" s="23">
        <v>43796</v>
      </c>
      <c r="F1121" s="24" t="s">
        <v>103</v>
      </c>
      <c r="G1121" s="12"/>
      <c r="H1121" s="12"/>
    </row>
    <row r="1122" spans="1:8" hidden="1" x14ac:dyDescent="0.2">
      <c r="A1122" s="4" t="s">
        <v>1768</v>
      </c>
      <c r="B1122" s="21">
        <v>43803</v>
      </c>
      <c r="C1122" s="12">
        <v>2</v>
      </c>
      <c r="D1122" s="22" t="s">
        <v>943</v>
      </c>
      <c r="E1122" s="23">
        <v>43797</v>
      </c>
      <c r="F1122" s="24" t="s">
        <v>103</v>
      </c>
      <c r="G1122" s="12"/>
      <c r="H1122" s="12"/>
    </row>
    <row r="1123" spans="1:8" hidden="1" x14ac:dyDescent="0.2">
      <c r="A1123" s="4" t="s">
        <v>1768</v>
      </c>
      <c r="B1123" s="21">
        <v>43803</v>
      </c>
      <c r="C1123" s="12">
        <v>3</v>
      </c>
      <c r="D1123" s="22" t="s">
        <v>886</v>
      </c>
      <c r="E1123" s="23">
        <v>43798</v>
      </c>
      <c r="F1123" s="24" t="s">
        <v>103</v>
      </c>
      <c r="G1123" s="12"/>
      <c r="H1123" s="12"/>
    </row>
    <row r="1124" spans="1:8" hidden="1" x14ac:dyDescent="0.2">
      <c r="A1124" s="4" t="s">
        <v>1768</v>
      </c>
      <c r="B1124" s="21">
        <v>43803</v>
      </c>
      <c r="C1124" s="12">
        <v>4</v>
      </c>
      <c r="D1124" s="22" t="s">
        <v>1582</v>
      </c>
      <c r="E1124" s="23">
        <v>43798</v>
      </c>
      <c r="F1124" s="24" t="s">
        <v>103</v>
      </c>
      <c r="G1124" s="12"/>
      <c r="H1124" s="12"/>
    </row>
    <row r="1125" spans="1:8" hidden="1" x14ac:dyDescent="0.2">
      <c r="A1125" s="4" t="s">
        <v>1768</v>
      </c>
      <c r="B1125" s="21">
        <v>43803</v>
      </c>
      <c r="C1125" s="12">
        <v>5</v>
      </c>
      <c r="D1125" s="22" t="s">
        <v>1579</v>
      </c>
      <c r="E1125" s="23">
        <v>43800</v>
      </c>
      <c r="F1125" s="24" t="s">
        <v>1595</v>
      </c>
      <c r="G1125" s="12"/>
      <c r="H1125" s="12"/>
    </row>
    <row r="1126" spans="1:8" hidden="1" x14ac:dyDescent="0.2">
      <c r="A1126" s="4" t="s">
        <v>1768</v>
      </c>
      <c r="B1126" s="21">
        <v>43803</v>
      </c>
      <c r="C1126" s="12">
        <v>6</v>
      </c>
      <c r="D1126" s="22" t="s">
        <v>1223</v>
      </c>
      <c r="E1126" s="23">
        <v>43798</v>
      </c>
      <c r="F1126" s="24" t="s">
        <v>259</v>
      </c>
      <c r="G1126" s="12"/>
      <c r="H1126" s="12"/>
    </row>
    <row r="1127" spans="1:8" hidden="1" x14ac:dyDescent="0.2">
      <c r="A1127" s="4" t="s">
        <v>1768</v>
      </c>
      <c r="B1127" s="21">
        <v>43803</v>
      </c>
      <c r="C1127" s="12">
        <v>7</v>
      </c>
      <c r="D1127" s="22" t="s">
        <v>1653</v>
      </c>
      <c r="E1127" s="23">
        <v>43804</v>
      </c>
      <c r="F1127" s="24" t="s">
        <v>103</v>
      </c>
      <c r="G1127" s="12"/>
      <c r="H1127" s="12"/>
    </row>
    <row r="1128" spans="1:8" hidden="1" x14ac:dyDescent="0.2">
      <c r="A1128" s="4" t="s">
        <v>1768</v>
      </c>
      <c r="B1128" s="21">
        <v>43803</v>
      </c>
      <c r="C1128" s="12">
        <v>8</v>
      </c>
      <c r="D1128" s="22" t="s">
        <v>894</v>
      </c>
      <c r="E1128" s="23">
        <v>43804</v>
      </c>
      <c r="F1128" s="24" t="s">
        <v>103</v>
      </c>
      <c r="G1128" s="12"/>
      <c r="H1128" s="12"/>
    </row>
    <row r="1129" spans="1:8" hidden="1" x14ac:dyDescent="0.2">
      <c r="A1129" s="4" t="s">
        <v>1773</v>
      </c>
      <c r="B1129" s="21">
        <v>43803</v>
      </c>
      <c r="C1129" s="12">
        <v>1</v>
      </c>
      <c r="D1129" s="22" t="s">
        <v>1491</v>
      </c>
      <c r="E1129" s="23">
        <v>43790</v>
      </c>
      <c r="F1129" s="24" t="s">
        <v>103</v>
      </c>
      <c r="G1129" s="12"/>
      <c r="H1129" s="12"/>
    </row>
    <row r="1130" spans="1:8" hidden="1" x14ac:dyDescent="0.2">
      <c r="A1130" s="4" t="s">
        <v>1773</v>
      </c>
      <c r="B1130" s="21">
        <v>43803</v>
      </c>
      <c r="C1130" s="12">
        <v>2</v>
      </c>
      <c r="D1130" s="22" t="s">
        <v>943</v>
      </c>
      <c r="E1130" s="23">
        <v>43797</v>
      </c>
      <c r="F1130" s="24" t="s">
        <v>103</v>
      </c>
      <c r="G1130" s="12"/>
      <c r="H1130" s="12"/>
    </row>
    <row r="1131" spans="1:8" hidden="1" x14ac:dyDescent="0.2">
      <c r="A1131" s="4" t="s">
        <v>1773</v>
      </c>
      <c r="B1131" s="21">
        <v>43803</v>
      </c>
      <c r="C1131" s="12">
        <v>3</v>
      </c>
      <c r="D1131" s="22" t="s">
        <v>886</v>
      </c>
      <c r="E1131" s="23">
        <v>43797</v>
      </c>
      <c r="F1131" s="24" t="s">
        <v>103</v>
      </c>
      <c r="G1131" s="12"/>
      <c r="H1131" s="12"/>
    </row>
    <row r="1132" spans="1:8" hidden="1" x14ac:dyDescent="0.2">
      <c r="A1132" s="4" t="s">
        <v>1773</v>
      </c>
      <c r="B1132" s="21">
        <v>43803</v>
      </c>
      <c r="C1132" s="12">
        <v>4</v>
      </c>
      <c r="D1132" s="22" t="s">
        <v>1578</v>
      </c>
      <c r="E1132" s="23">
        <v>43798</v>
      </c>
      <c r="F1132" s="24" t="s">
        <v>103</v>
      </c>
      <c r="G1132" s="12"/>
      <c r="H1132" s="12"/>
    </row>
    <row r="1133" spans="1:8" hidden="1" x14ac:dyDescent="0.2">
      <c r="A1133" s="4" t="s">
        <v>1773</v>
      </c>
      <c r="B1133" s="21">
        <v>43803</v>
      </c>
      <c r="C1133" s="12">
        <v>5</v>
      </c>
      <c r="D1133" s="22" t="s">
        <v>890</v>
      </c>
      <c r="E1133" s="23">
        <v>43798</v>
      </c>
      <c r="F1133" s="24" t="s">
        <v>259</v>
      </c>
      <c r="G1133" s="12"/>
      <c r="H1133" s="12"/>
    </row>
    <row r="1134" spans="1:8" hidden="1" x14ac:dyDescent="0.2">
      <c r="A1134" s="4" t="s">
        <v>1773</v>
      </c>
      <c r="B1134" s="21">
        <v>43803</v>
      </c>
      <c r="C1134" s="12">
        <v>6</v>
      </c>
      <c r="D1134" s="22" t="s">
        <v>1589</v>
      </c>
      <c r="E1134" s="23">
        <v>43800</v>
      </c>
      <c r="F1134" s="24" t="s">
        <v>103</v>
      </c>
      <c r="G1134" s="12"/>
      <c r="H1134" s="12"/>
    </row>
    <row r="1135" spans="1:8" hidden="1" x14ac:dyDescent="0.2">
      <c r="A1135" s="4" t="s">
        <v>1773</v>
      </c>
      <c r="B1135" s="21">
        <v>43803</v>
      </c>
      <c r="C1135" s="12">
        <v>7</v>
      </c>
      <c r="D1135" s="22" t="s">
        <v>1626</v>
      </c>
      <c r="E1135" s="23">
        <v>43804</v>
      </c>
      <c r="F1135" s="24" t="s">
        <v>103</v>
      </c>
      <c r="G1135" s="12"/>
      <c r="H1135" s="12"/>
    </row>
    <row r="1136" spans="1:8" hidden="1" x14ac:dyDescent="0.2">
      <c r="A1136" s="4" t="s">
        <v>1773</v>
      </c>
      <c r="B1136" s="21">
        <v>43803</v>
      </c>
      <c r="C1136" s="12">
        <v>8</v>
      </c>
      <c r="D1136" s="22" t="s">
        <v>894</v>
      </c>
      <c r="E1136" s="23">
        <v>43804</v>
      </c>
      <c r="F1136" s="24" t="s">
        <v>103</v>
      </c>
      <c r="G1136" s="12"/>
      <c r="H1136" s="12"/>
    </row>
    <row r="1137" spans="1:9" hidden="1" x14ac:dyDescent="0.2">
      <c r="A1137" s="4" t="s">
        <v>2005</v>
      </c>
      <c r="B1137" s="21">
        <v>43807</v>
      </c>
      <c r="C1137" s="12">
        <v>1</v>
      </c>
      <c r="D1137" s="22" t="s">
        <v>1296</v>
      </c>
      <c r="E1137" s="23">
        <v>43775</v>
      </c>
      <c r="F1137" s="24" t="s">
        <v>103</v>
      </c>
      <c r="G1137" s="12"/>
      <c r="H1137" s="12"/>
    </row>
    <row r="1138" spans="1:9" hidden="1" x14ac:dyDescent="0.2">
      <c r="A1138" s="4" t="s">
        <v>2005</v>
      </c>
      <c r="B1138" s="21">
        <v>43807</v>
      </c>
      <c r="C1138" s="12">
        <v>2</v>
      </c>
      <c r="D1138" s="22" t="s">
        <v>759</v>
      </c>
      <c r="E1138" s="23">
        <v>43805</v>
      </c>
      <c r="F1138" s="24" t="s">
        <v>103</v>
      </c>
      <c r="G1138" s="12"/>
      <c r="H1138" s="12"/>
    </row>
    <row r="1139" spans="1:9" hidden="1" x14ac:dyDescent="0.2">
      <c r="A1139" s="4" t="s">
        <v>2005</v>
      </c>
      <c r="B1139" s="21">
        <v>43807</v>
      </c>
      <c r="C1139" s="12">
        <v>3</v>
      </c>
      <c r="D1139" s="22" t="s">
        <v>764</v>
      </c>
      <c r="E1139" s="23">
        <v>43805</v>
      </c>
      <c r="F1139" s="24" t="s">
        <v>103</v>
      </c>
      <c r="G1139" s="12"/>
      <c r="H1139" s="12"/>
      <c r="I1139" s="4" t="s">
        <v>760</v>
      </c>
    </row>
    <row r="1140" spans="1:9" hidden="1" x14ac:dyDescent="0.2">
      <c r="A1140" s="4" t="s">
        <v>2005</v>
      </c>
      <c r="B1140" s="21">
        <v>43807</v>
      </c>
      <c r="C1140" s="12">
        <v>4</v>
      </c>
      <c r="D1140" s="22" t="s">
        <v>762</v>
      </c>
      <c r="E1140" s="23">
        <v>43805</v>
      </c>
      <c r="F1140" s="24" t="s">
        <v>103</v>
      </c>
      <c r="G1140" s="12"/>
      <c r="H1140" s="12"/>
    </row>
    <row r="1141" spans="1:9" hidden="1" x14ac:dyDescent="0.2">
      <c r="A1141" s="4" t="s">
        <v>2005</v>
      </c>
      <c r="B1141" s="21">
        <v>43807</v>
      </c>
      <c r="C1141" s="12">
        <v>5</v>
      </c>
      <c r="D1141" s="22" t="s">
        <v>766</v>
      </c>
      <c r="E1141" s="23">
        <v>43806</v>
      </c>
      <c r="F1141" s="24" t="s">
        <v>1697</v>
      </c>
      <c r="G1141" s="12"/>
      <c r="H1141" s="12"/>
    </row>
    <row r="1142" spans="1:9" hidden="1" x14ac:dyDescent="0.2">
      <c r="A1142" s="4" t="s">
        <v>2005</v>
      </c>
      <c r="B1142" s="21">
        <v>43807</v>
      </c>
      <c r="C1142" s="12">
        <v>6</v>
      </c>
      <c r="D1142" s="22" t="s">
        <v>1700</v>
      </c>
      <c r="E1142" s="23">
        <v>43809</v>
      </c>
      <c r="F1142" s="24" t="s">
        <v>103</v>
      </c>
      <c r="G1142" s="12"/>
      <c r="H1142" s="12"/>
    </row>
    <row r="1143" spans="1:9" hidden="1" x14ac:dyDescent="0.2">
      <c r="A1143" s="4" t="s">
        <v>2005</v>
      </c>
      <c r="B1143" s="21">
        <v>43807</v>
      </c>
      <c r="C1143" s="12">
        <v>7</v>
      </c>
      <c r="D1143" s="22" t="s">
        <v>772</v>
      </c>
      <c r="E1143" s="23">
        <v>43810</v>
      </c>
      <c r="F1143" s="24" t="s">
        <v>103</v>
      </c>
      <c r="G1143" s="12"/>
      <c r="H1143" s="12"/>
    </row>
    <row r="1144" spans="1:9" hidden="1" x14ac:dyDescent="0.2">
      <c r="A1144" s="4" t="s">
        <v>500</v>
      </c>
      <c r="B1144" s="21">
        <v>43808</v>
      </c>
      <c r="C1144" s="12">
        <v>0</v>
      </c>
      <c r="D1144" s="22" t="s">
        <v>803</v>
      </c>
      <c r="E1144" s="23">
        <v>43808</v>
      </c>
      <c r="F1144" s="24" t="s">
        <v>259</v>
      </c>
      <c r="G1144" s="12"/>
      <c r="H1144" s="12"/>
      <c r="I1144" s="4" t="s">
        <v>98</v>
      </c>
    </row>
    <row r="1145" spans="1:9" hidden="1" x14ac:dyDescent="0.2">
      <c r="A1145" s="4" t="s">
        <v>500</v>
      </c>
      <c r="B1145" s="21">
        <v>43808</v>
      </c>
      <c r="C1145" s="12">
        <v>1</v>
      </c>
      <c r="D1145" s="22" t="s">
        <v>977</v>
      </c>
      <c r="E1145" s="23">
        <v>43812</v>
      </c>
      <c r="F1145" s="24" t="s">
        <v>103</v>
      </c>
      <c r="G1145" s="12"/>
      <c r="H1145" s="12"/>
      <c r="I1145" s="4" t="s">
        <v>97</v>
      </c>
    </row>
    <row r="1146" spans="1:9" hidden="1" x14ac:dyDescent="0.2">
      <c r="A1146" s="4" t="s">
        <v>500</v>
      </c>
      <c r="B1146" s="21">
        <v>43808</v>
      </c>
      <c r="C1146" s="12">
        <v>2</v>
      </c>
      <c r="D1146" s="22" t="s">
        <v>975</v>
      </c>
      <c r="E1146" s="23">
        <v>43812</v>
      </c>
      <c r="F1146" s="24" t="s">
        <v>103</v>
      </c>
      <c r="G1146" s="12"/>
      <c r="H1146" s="12"/>
      <c r="I1146" s="4" t="s">
        <v>97</v>
      </c>
    </row>
    <row r="1147" spans="1:9" hidden="1" x14ac:dyDescent="0.2">
      <c r="A1147" s="4" t="s">
        <v>500</v>
      </c>
      <c r="B1147" s="21">
        <v>43808</v>
      </c>
      <c r="C1147" s="12">
        <v>3</v>
      </c>
      <c r="D1147" s="22" t="s">
        <v>1494</v>
      </c>
      <c r="E1147" s="23">
        <v>43812</v>
      </c>
      <c r="F1147" s="24" t="s">
        <v>103</v>
      </c>
      <c r="G1147" s="12"/>
      <c r="H1147" s="12"/>
      <c r="I1147" s="4" t="s">
        <v>97</v>
      </c>
    </row>
    <row r="1148" spans="1:9" hidden="1" x14ac:dyDescent="0.2">
      <c r="A1148" s="4" t="s">
        <v>1690</v>
      </c>
      <c r="B1148" s="21">
        <v>43808</v>
      </c>
      <c r="C1148" s="12"/>
      <c r="D1148" s="22" t="s">
        <v>1694</v>
      </c>
      <c r="E1148" s="23">
        <v>43823</v>
      </c>
      <c r="F1148" s="24" t="s">
        <v>85</v>
      </c>
      <c r="G1148" s="12"/>
      <c r="H1148" s="12"/>
    </row>
    <row r="1149" spans="1:9" hidden="1" x14ac:dyDescent="0.2">
      <c r="A1149" s="4" t="s">
        <v>501</v>
      </c>
      <c r="B1149" s="21">
        <v>43808</v>
      </c>
      <c r="C1149" s="12"/>
      <c r="D1149" s="22" t="s">
        <v>1701</v>
      </c>
      <c r="E1149" s="23">
        <v>43810</v>
      </c>
      <c r="F1149" s="24" t="s">
        <v>103</v>
      </c>
      <c r="G1149" s="12"/>
      <c r="H1149" s="12"/>
    </row>
    <row r="1150" spans="1:9" hidden="1" x14ac:dyDescent="0.2">
      <c r="A1150" s="4" t="s">
        <v>501</v>
      </c>
      <c r="B1150" s="21">
        <v>43808</v>
      </c>
      <c r="C1150" s="12"/>
      <c r="D1150" s="22" t="s">
        <v>1702</v>
      </c>
      <c r="E1150" s="23">
        <v>43809</v>
      </c>
      <c r="F1150" s="24" t="s">
        <v>103</v>
      </c>
      <c r="G1150" s="12"/>
      <c r="H1150" s="12"/>
    </row>
    <row r="1151" spans="1:9" hidden="1" x14ac:dyDescent="0.2">
      <c r="A1151" s="4" t="s">
        <v>501</v>
      </c>
      <c r="B1151" s="21">
        <v>43808</v>
      </c>
      <c r="C1151" s="12"/>
      <c r="D1151" s="22" t="s">
        <v>1703</v>
      </c>
      <c r="E1151" s="23">
        <v>43815</v>
      </c>
      <c r="F1151" s="24" t="s">
        <v>103</v>
      </c>
      <c r="G1151" s="12"/>
      <c r="H1151" s="12"/>
    </row>
    <row r="1152" spans="1:9" hidden="1" x14ac:dyDescent="0.2">
      <c r="A1152" s="4" t="s">
        <v>501</v>
      </c>
      <c r="B1152" s="21">
        <v>43808</v>
      </c>
      <c r="C1152" s="12"/>
      <c r="D1152" s="22" t="s">
        <v>1713</v>
      </c>
      <c r="E1152" s="23">
        <v>43815</v>
      </c>
      <c r="F1152" s="24" t="s">
        <v>103</v>
      </c>
      <c r="G1152" s="12"/>
      <c r="H1152" s="12"/>
    </row>
    <row r="1153" spans="1:9" hidden="1" x14ac:dyDescent="0.2">
      <c r="A1153" s="4" t="s">
        <v>501</v>
      </c>
      <c r="B1153" s="21">
        <v>43808</v>
      </c>
      <c r="C1153" s="12"/>
      <c r="D1153" s="22" t="s">
        <v>1720</v>
      </c>
      <c r="E1153" s="23">
        <v>43822</v>
      </c>
      <c r="F1153" s="24" t="s">
        <v>103</v>
      </c>
      <c r="G1153" s="12"/>
      <c r="H1153" s="12"/>
    </row>
    <row r="1154" spans="1:9" hidden="1" x14ac:dyDescent="0.2">
      <c r="A1154" s="4" t="s">
        <v>501</v>
      </c>
      <c r="B1154" s="21">
        <v>43808</v>
      </c>
      <c r="C1154" s="12"/>
      <c r="D1154" s="22" t="s">
        <v>1759</v>
      </c>
      <c r="E1154" s="23">
        <v>43811</v>
      </c>
      <c r="F1154" s="24" t="s">
        <v>103</v>
      </c>
      <c r="G1154" s="12"/>
      <c r="H1154" s="12"/>
    </row>
    <row r="1155" spans="1:9" hidden="1" x14ac:dyDescent="0.2">
      <c r="A1155" s="4" t="s">
        <v>501</v>
      </c>
      <c r="B1155" s="21">
        <v>43808</v>
      </c>
      <c r="C1155" s="12"/>
      <c r="D1155" s="22" t="s">
        <v>1760</v>
      </c>
      <c r="E1155" s="23">
        <v>43827</v>
      </c>
      <c r="F1155" s="24" t="s">
        <v>1747</v>
      </c>
      <c r="G1155" s="12"/>
      <c r="H1155" s="12"/>
    </row>
    <row r="1156" spans="1:9" hidden="1" x14ac:dyDescent="0.2">
      <c r="A1156" s="4" t="s">
        <v>501</v>
      </c>
      <c r="B1156" s="21">
        <v>43808</v>
      </c>
      <c r="C1156" s="12"/>
      <c r="D1156" s="22" t="s">
        <v>1950</v>
      </c>
      <c r="E1156" s="23">
        <v>43812</v>
      </c>
      <c r="F1156" s="24" t="s">
        <v>103</v>
      </c>
      <c r="G1156" s="12"/>
      <c r="H1156" s="12"/>
    </row>
    <row r="1157" spans="1:9" hidden="1" x14ac:dyDescent="0.2">
      <c r="A1157" s="4" t="s">
        <v>501</v>
      </c>
      <c r="B1157" s="21">
        <v>43808</v>
      </c>
      <c r="C1157" s="12"/>
      <c r="D1157" s="22" t="s">
        <v>1951</v>
      </c>
      <c r="E1157" s="23">
        <v>43816</v>
      </c>
      <c r="F1157" s="24" t="s">
        <v>103</v>
      </c>
      <c r="G1157" s="12"/>
      <c r="H1157" s="12"/>
    </row>
    <row r="1158" spans="1:9" hidden="1" x14ac:dyDescent="0.2">
      <c r="A1158" s="4" t="s">
        <v>501</v>
      </c>
      <c r="B1158" s="21">
        <v>43808</v>
      </c>
      <c r="C1158" s="12"/>
      <c r="D1158" s="22" t="s">
        <v>1955</v>
      </c>
      <c r="E1158" s="23">
        <v>43816</v>
      </c>
      <c r="F1158" s="24" t="s">
        <v>103</v>
      </c>
      <c r="G1158" s="12"/>
      <c r="H1158" s="12"/>
    </row>
    <row r="1159" spans="1:9" hidden="1" x14ac:dyDescent="0.2">
      <c r="A1159" s="4" t="s">
        <v>1996</v>
      </c>
      <c r="B1159" s="21">
        <v>43809</v>
      </c>
      <c r="C1159" s="12">
        <v>1</v>
      </c>
      <c r="D1159" s="22" t="s">
        <v>1654</v>
      </c>
      <c r="E1159" s="23">
        <v>43794</v>
      </c>
      <c r="F1159" s="24" t="s">
        <v>103</v>
      </c>
      <c r="G1159" s="12"/>
      <c r="H1159" s="12"/>
    </row>
    <row r="1160" spans="1:9" hidden="1" x14ac:dyDescent="0.2">
      <c r="A1160" s="4" t="s">
        <v>1996</v>
      </c>
      <c r="B1160" s="21">
        <v>43809</v>
      </c>
      <c r="C1160" s="12">
        <v>2</v>
      </c>
      <c r="D1160" s="22" t="s">
        <v>1622</v>
      </c>
      <c r="E1160" s="23">
        <v>43809</v>
      </c>
      <c r="F1160" s="24" t="s">
        <v>103</v>
      </c>
      <c r="G1160" s="12"/>
      <c r="H1160" s="12"/>
      <c r="I1160" s="4" t="s">
        <v>1623</v>
      </c>
    </row>
    <row r="1161" spans="1:9" hidden="1" x14ac:dyDescent="0.2">
      <c r="A1161" s="4" t="s">
        <v>1996</v>
      </c>
      <c r="B1161" s="21">
        <v>43809</v>
      </c>
      <c r="C1161" s="12">
        <v>3</v>
      </c>
      <c r="D1161" s="22" t="s">
        <v>1750</v>
      </c>
      <c r="E1161" s="23">
        <v>43810</v>
      </c>
      <c r="F1161" s="24" t="s">
        <v>103</v>
      </c>
      <c r="G1161" s="12"/>
      <c r="H1161" s="12"/>
    </row>
    <row r="1162" spans="1:9" hidden="1" x14ac:dyDescent="0.2">
      <c r="A1162" s="4" t="s">
        <v>1996</v>
      </c>
      <c r="B1162" s="21">
        <v>43809</v>
      </c>
      <c r="C1162" s="12">
        <v>4</v>
      </c>
      <c r="D1162" s="22" t="s">
        <v>1935</v>
      </c>
      <c r="E1162" s="23">
        <v>43811</v>
      </c>
      <c r="F1162" s="24" t="s">
        <v>103</v>
      </c>
      <c r="G1162" s="12">
        <v>3</v>
      </c>
      <c r="H1162" s="12"/>
    </row>
    <row r="1163" spans="1:9" hidden="1" x14ac:dyDescent="0.2">
      <c r="A1163" s="4" t="s">
        <v>1996</v>
      </c>
      <c r="B1163" s="21">
        <v>43809</v>
      </c>
      <c r="C1163" s="12">
        <v>5</v>
      </c>
      <c r="D1163" s="22" t="s">
        <v>1945</v>
      </c>
      <c r="E1163" s="23">
        <v>43811</v>
      </c>
      <c r="F1163" s="24" t="s">
        <v>103</v>
      </c>
      <c r="G1163" s="12"/>
      <c r="H1163" s="12"/>
    </row>
    <row r="1164" spans="1:9" hidden="1" x14ac:dyDescent="0.2">
      <c r="A1164" s="4" t="s">
        <v>2009</v>
      </c>
      <c r="B1164" s="21">
        <v>43810</v>
      </c>
      <c r="C1164" s="12">
        <v>1</v>
      </c>
      <c r="D1164" s="22" t="s">
        <v>1470</v>
      </c>
      <c r="E1164" s="23">
        <v>43789</v>
      </c>
      <c r="F1164" s="24" t="s">
        <v>103</v>
      </c>
      <c r="G1164" s="12"/>
      <c r="H1164" s="12"/>
    </row>
    <row r="1165" spans="1:9" hidden="1" x14ac:dyDescent="0.2">
      <c r="A1165" s="4" t="s">
        <v>2009</v>
      </c>
      <c r="B1165" s="21">
        <v>43810</v>
      </c>
      <c r="C1165" s="12">
        <v>2</v>
      </c>
      <c r="D1165" s="22" t="s">
        <v>809</v>
      </c>
      <c r="E1165" s="23">
        <v>43804</v>
      </c>
      <c r="F1165" s="24" t="s">
        <v>103</v>
      </c>
      <c r="G1165" s="12"/>
      <c r="H1165" s="12"/>
    </row>
    <row r="1166" spans="1:9" hidden="1" x14ac:dyDescent="0.2">
      <c r="A1166" s="4" t="s">
        <v>2009</v>
      </c>
      <c r="B1166" s="21">
        <v>43810</v>
      </c>
      <c r="C1166" s="12">
        <v>3</v>
      </c>
      <c r="D1166" s="22" t="s">
        <v>811</v>
      </c>
      <c r="E1166" s="23">
        <v>43804</v>
      </c>
      <c r="F1166" s="24" t="s">
        <v>103</v>
      </c>
      <c r="G1166" s="12"/>
      <c r="H1166" s="12"/>
    </row>
    <row r="1167" spans="1:9" hidden="1" x14ac:dyDescent="0.2">
      <c r="A1167" s="4" t="s">
        <v>2009</v>
      </c>
      <c r="B1167" s="21">
        <v>43810</v>
      </c>
      <c r="C1167" s="12">
        <v>4</v>
      </c>
      <c r="D1167" s="22" t="s">
        <v>1685</v>
      </c>
      <c r="E1167" s="23">
        <v>43805</v>
      </c>
      <c r="F1167" s="24" t="s">
        <v>103</v>
      </c>
      <c r="G1167" s="12"/>
      <c r="H1167" s="12"/>
    </row>
    <row r="1168" spans="1:9" hidden="1" x14ac:dyDescent="0.2">
      <c r="A1168" s="4" t="s">
        <v>2009</v>
      </c>
      <c r="B1168" s="21">
        <v>43810</v>
      </c>
      <c r="C1168" s="12">
        <v>5</v>
      </c>
      <c r="D1168" s="22" t="s">
        <v>1683</v>
      </c>
      <c r="E1168" s="23">
        <v>43807</v>
      </c>
      <c r="F1168" s="24" t="s">
        <v>103</v>
      </c>
      <c r="G1168" s="12"/>
      <c r="H1168" s="12"/>
    </row>
    <row r="1169" spans="1:8" hidden="1" x14ac:dyDescent="0.2">
      <c r="A1169" s="4" t="s">
        <v>2009</v>
      </c>
      <c r="B1169" s="21">
        <v>43810</v>
      </c>
      <c r="C1169" s="12">
        <v>6</v>
      </c>
      <c r="D1169" s="22" t="s">
        <v>814</v>
      </c>
      <c r="E1169" s="23">
        <v>43805</v>
      </c>
      <c r="F1169" s="24" t="s">
        <v>103</v>
      </c>
      <c r="G1169" s="12"/>
      <c r="H1169" s="12"/>
    </row>
    <row r="1170" spans="1:8" hidden="1" x14ac:dyDescent="0.2">
      <c r="A1170" s="4" t="s">
        <v>2009</v>
      </c>
      <c r="B1170" s="21">
        <v>43810</v>
      </c>
      <c r="C1170" s="12">
        <v>7</v>
      </c>
      <c r="D1170" s="22" t="s">
        <v>1684</v>
      </c>
      <c r="E1170" s="23">
        <v>43806</v>
      </c>
      <c r="F1170" s="24" t="s">
        <v>103</v>
      </c>
      <c r="G1170" s="12"/>
      <c r="H1170" s="12"/>
    </row>
    <row r="1171" spans="1:8" hidden="1" x14ac:dyDescent="0.2">
      <c r="A1171" s="4" t="s">
        <v>2009</v>
      </c>
      <c r="B1171" s="21">
        <v>43810</v>
      </c>
      <c r="C1171" s="12">
        <v>8</v>
      </c>
      <c r="D1171" s="22" t="s">
        <v>822</v>
      </c>
      <c r="E1171" s="23">
        <v>43805</v>
      </c>
      <c r="F1171" s="24" t="s">
        <v>259</v>
      </c>
      <c r="G1171" s="12"/>
      <c r="H1171" s="12"/>
    </row>
    <row r="1172" spans="1:8" hidden="1" x14ac:dyDescent="0.2">
      <c r="A1172" s="4" t="s">
        <v>2009</v>
      </c>
      <c r="B1172" s="21">
        <v>43810</v>
      </c>
      <c r="C1172" s="12">
        <v>9</v>
      </c>
      <c r="D1172" s="22" t="s">
        <v>1655</v>
      </c>
      <c r="E1172" s="23">
        <v>43808</v>
      </c>
      <c r="F1172" s="24" t="s">
        <v>103</v>
      </c>
      <c r="G1172" s="12"/>
      <c r="H1172" s="12"/>
    </row>
    <row r="1173" spans="1:8" hidden="1" x14ac:dyDescent="0.2">
      <c r="A1173" s="4" t="s">
        <v>2009</v>
      </c>
      <c r="B1173" s="21">
        <v>43810</v>
      </c>
      <c r="C1173" s="12">
        <v>10</v>
      </c>
      <c r="D1173" s="22" t="s">
        <v>1726</v>
      </c>
      <c r="E1173" s="23">
        <v>43810</v>
      </c>
      <c r="F1173" s="24" t="s">
        <v>103</v>
      </c>
      <c r="G1173" s="12"/>
      <c r="H1173" s="12"/>
    </row>
    <row r="1174" spans="1:8" hidden="1" x14ac:dyDescent="0.2">
      <c r="A1174" s="4" t="s">
        <v>2009</v>
      </c>
      <c r="B1174" s="21">
        <v>43810</v>
      </c>
      <c r="C1174" s="12">
        <v>11</v>
      </c>
      <c r="D1174" s="7" t="s">
        <v>1752</v>
      </c>
      <c r="E1174" s="23">
        <v>43811</v>
      </c>
      <c r="F1174" s="24" t="s">
        <v>103</v>
      </c>
      <c r="G1174" s="12">
        <v>3</v>
      </c>
      <c r="H1174" s="12"/>
    </row>
    <row r="1175" spans="1:8" hidden="1" x14ac:dyDescent="0.2">
      <c r="A1175" s="4" t="s">
        <v>2009</v>
      </c>
      <c r="B1175" s="21">
        <v>43810</v>
      </c>
      <c r="C1175" s="12"/>
      <c r="D1175" s="22" t="s">
        <v>2059</v>
      </c>
      <c r="E1175" s="23">
        <v>43823</v>
      </c>
      <c r="F1175" s="24" t="s">
        <v>2060</v>
      </c>
      <c r="G1175" s="12"/>
      <c r="H1175" s="12"/>
    </row>
    <row r="1176" spans="1:8" hidden="1" x14ac:dyDescent="0.2">
      <c r="A1176" s="4" t="s">
        <v>2141</v>
      </c>
      <c r="B1176" s="21">
        <v>43810</v>
      </c>
      <c r="C1176" s="12">
        <v>1</v>
      </c>
      <c r="D1176" s="22" t="s">
        <v>2145</v>
      </c>
      <c r="E1176" s="23">
        <v>43805</v>
      </c>
      <c r="F1176" s="24" t="s">
        <v>103</v>
      </c>
      <c r="G1176" s="12"/>
      <c r="H1176" s="12"/>
    </row>
    <row r="1177" spans="1:8" hidden="1" x14ac:dyDescent="0.2">
      <c r="A1177" s="4" t="s">
        <v>2141</v>
      </c>
      <c r="B1177" s="21">
        <v>43810</v>
      </c>
      <c r="C1177" s="12">
        <v>2</v>
      </c>
      <c r="D1177" s="22" t="s">
        <v>2146</v>
      </c>
      <c r="E1177" s="23">
        <v>43823</v>
      </c>
      <c r="F1177" s="24" t="s">
        <v>85</v>
      </c>
      <c r="G1177" s="12"/>
      <c r="H1177" s="12"/>
    </row>
    <row r="1178" spans="1:8" hidden="1" x14ac:dyDescent="0.2">
      <c r="A1178" s="4" t="s">
        <v>1768</v>
      </c>
      <c r="B1178" s="21">
        <v>43810</v>
      </c>
      <c r="C1178" s="12">
        <v>1</v>
      </c>
      <c r="D1178" s="22" t="s">
        <v>1628</v>
      </c>
      <c r="E1178" s="23">
        <v>43803</v>
      </c>
      <c r="F1178" s="24" t="s">
        <v>103</v>
      </c>
      <c r="G1178" s="12"/>
      <c r="H1178" s="12"/>
    </row>
    <row r="1179" spans="1:8" hidden="1" x14ac:dyDescent="0.2">
      <c r="A1179" s="4" t="s">
        <v>1768</v>
      </c>
      <c r="B1179" s="21">
        <v>43810</v>
      </c>
      <c r="C1179" s="12">
        <v>2</v>
      </c>
      <c r="D1179" s="22" t="s">
        <v>943</v>
      </c>
      <c r="E1179" s="23">
        <v>43804</v>
      </c>
      <c r="F1179" s="24" t="s">
        <v>103</v>
      </c>
      <c r="G1179" s="12"/>
      <c r="H1179" s="12"/>
    </row>
    <row r="1180" spans="1:8" hidden="1" x14ac:dyDescent="0.2">
      <c r="A1180" s="4" t="s">
        <v>1768</v>
      </c>
      <c r="B1180" s="21">
        <v>43810</v>
      </c>
      <c r="C1180" s="12">
        <v>3</v>
      </c>
      <c r="D1180" s="22" t="s">
        <v>886</v>
      </c>
      <c r="E1180" s="23">
        <v>43805</v>
      </c>
      <c r="F1180" s="24" t="s">
        <v>103</v>
      </c>
      <c r="G1180" s="12"/>
      <c r="H1180" s="12"/>
    </row>
    <row r="1181" spans="1:8" hidden="1" x14ac:dyDescent="0.2">
      <c r="A1181" s="4" t="s">
        <v>1768</v>
      </c>
      <c r="B1181" s="21">
        <v>43810</v>
      </c>
      <c r="C1181" s="12">
        <v>4</v>
      </c>
      <c r="D1181" s="22" t="s">
        <v>1689</v>
      </c>
      <c r="E1181" s="23">
        <v>43805</v>
      </c>
      <c r="F1181" s="24" t="s">
        <v>103</v>
      </c>
      <c r="G1181" s="12"/>
      <c r="H1181" s="12"/>
    </row>
    <row r="1182" spans="1:8" hidden="1" x14ac:dyDescent="0.2">
      <c r="A1182" s="4" t="s">
        <v>1768</v>
      </c>
      <c r="B1182" s="21">
        <v>43810</v>
      </c>
      <c r="C1182" s="12">
        <v>5</v>
      </c>
      <c r="D1182" s="22" t="s">
        <v>1699</v>
      </c>
      <c r="E1182" s="23">
        <v>43808</v>
      </c>
      <c r="F1182" s="24" t="s">
        <v>103</v>
      </c>
      <c r="G1182" s="12"/>
      <c r="H1182" s="12"/>
    </row>
    <row r="1183" spans="1:8" hidden="1" x14ac:dyDescent="0.2">
      <c r="A1183" s="4" t="s">
        <v>1768</v>
      </c>
      <c r="B1183" s="21">
        <v>43810</v>
      </c>
      <c r="C1183" s="12">
        <v>6</v>
      </c>
      <c r="D1183" s="22" t="s">
        <v>1223</v>
      </c>
      <c r="E1183" s="23">
        <v>43807</v>
      </c>
      <c r="F1183" s="24" t="s">
        <v>259</v>
      </c>
      <c r="G1183" s="12"/>
      <c r="H1183" s="12"/>
    </row>
    <row r="1184" spans="1:8" hidden="1" x14ac:dyDescent="0.2">
      <c r="A1184" s="4" t="s">
        <v>1768</v>
      </c>
      <c r="B1184" s="21">
        <v>43810</v>
      </c>
      <c r="C1184" s="12">
        <v>7</v>
      </c>
      <c r="D1184" s="22" t="s">
        <v>1714</v>
      </c>
      <c r="E1184" s="23">
        <v>43810</v>
      </c>
      <c r="F1184" s="24" t="s">
        <v>103</v>
      </c>
      <c r="G1184" s="12"/>
      <c r="H1184" s="12"/>
    </row>
    <row r="1185" spans="1:9" hidden="1" x14ac:dyDescent="0.2">
      <c r="A1185" s="4" t="s">
        <v>1768</v>
      </c>
      <c r="B1185" s="21">
        <v>43810</v>
      </c>
      <c r="C1185" s="12">
        <v>8</v>
      </c>
      <c r="D1185" s="22" t="s">
        <v>894</v>
      </c>
      <c r="E1185" s="23">
        <v>43810</v>
      </c>
      <c r="F1185" s="24" t="s">
        <v>103</v>
      </c>
      <c r="G1185" s="12"/>
      <c r="H1185" s="12"/>
    </row>
    <row r="1186" spans="1:9" hidden="1" x14ac:dyDescent="0.2">
      <c r="A1186" s="4" t="s">
        <v>1762</v>
      </c>
      <c r="B1186" s="21">
        <v>43815</v>
      </c>
      <c r="C1186" s="12">
        <v>1</v>
      </c>
      <c r="D1186" s="22" t="s">
        <v>1587</v>
      </c>
      <c r="E1186" s="23">
        <v>43808</v>
      </c>
      <c r="F1186" s="24" t="s">
        <v>103</v>
      </c>
      <c r="G1186" s="12"/>
      <c r="H1186" s="12"/>
    </row>
    <row r="1187" spans="1:9" hidden="1" x14ac:dyDescent="0.2">
      <c r="A1187" s="4" t="s">
        <v>1762</v>
      </c>
      <c r="B1187" s="21">
        <v>43815</v>
      </c>
      <c r="C1187" s="12">
        <v>2</v>
      </c>
      <c r="D1187" s="22" t="s">
        <v>1754</v>
      </c>
      <c r="E1187" s="23">
        <v>43811</v>
      </c>
      <c r="F1187" s="24" t="s">
        <v>103</v>
      </c>
      <c r="G1187" s="12">
        <v>3</v>
      </c>
      <c r="H1187" s="12"/>
    </row>
    <row r="1188" spans="1:9" hidden="1" x14ac:dyDescent="0.2">
      <c r="A1188" s="4" t="s">
        <v>1762</v>
      </c>
      <c r="B1188" s="21">
        <v>43815</v>
      </c>
      <c r="C1188" s="12">
        <v>3</v>
      </c>
      <c r="D1188" s="22" t="s">
        <v>1781</v>
      </c>
      <c r="E1188" s="23">
        <v>43811</v>
      </c>
      <c r="F1188" s="24" t="s">
        <v>103</v>
      </c>
      <c r="G1188" s="12"/>
      <c r="H1188" s="12"/>
    </row>
    <row r="1189" spans="1:9" hidden="1" x14ac:dyDescent="0.2">
      <c r="A1189" s="4" t="s">
        <v>1762</v>
      </c>
      <c r="B1189" s="21">
        <v>43815</v>
      </c>
      <c r="C1189" s="12">
        <v>4</v>
      </c>
      <c r="D1189" s="22" t="s">
        <v>1966</v>
      </c>
      <c r="E1189" s="23">
        <v>43813</v>
      </c>
      <c r="F1189" s="24" t="s">
        <v>103</v>
      </c>
      <c r="G1189" s="12"/>
      <c r="H1189" s="12"/>
    </row>
    <row r="1190" spans="1:9" hidden="1" x14ac:dyDescent="0.2">
      <c r="A1190" s="4" t="s">
        <v>1762</v>
      </c>
      <c r="B1190" s="21">
        <v>43815</v>
      </c>
      <c r="C1190" s="12">
        <v>5</v>
      </c>
      <c r="D1190" s="22" t="s">
        <v>2022</v>
      </c>
      <c r="E1190" s="23">
        <v>43817</v>
      </c>
      <c r="F1190" s="24" t="s">
        <v>103</v>
      </c>
      <c r="G1190" s="12">
        <v>4</v>
      </c>
      <c r="H1190" s="12"/>
    </row>
    <row r="1191" spans="1:9" hidden="1" x14ac:dyDescent="0.2">
      <c r="A1191" s="4" t="s">
        <v>1762</v>
      </c>
      <c r="B1191" s="21">
        <v>43815</v>
      </c>
      <c r="C1191" s="12">
        <v>6</v>
      </c>
      <c r="D1191" s="22" t="s">
        <v>1553</v>
      </c>
      <c r="E1191" s="23">
        <v>43823</v>
      </c>
      <c r="F1191" s="24" t="s">
        <v>1554</v>
      </c>
      <c r="G1191" s="12"/>
      <c r="H1191" s="12"/>
    </row>
    <row r="1192" spans="1:9" hidden="1" x14ac:dyDescent="0.2">
      <c r="A1192" s="4" t="s">
        <v>500</v>
      </c>
      <c r="B1192" s="21">
        <v>43815</v>
      </c>
      <c r="C1192" s="12">
        <v>0</v>
      </c>
      <c r="D1192" s="22" t="s">
        <v>803</v>
      </c>
      <c r="E1192" s="23">
        <v>43815</v>
      </c>
      <c r="F1192" s="24" t="s">
        <v>259</v>
      </c>
      <c r="G1192" s="12"/>
      <c r="H1192" s="12"/>
      <c r="I1192" s="4" t="s">
        <v>98</v>
      </c>
    </row>
    <row r="1193" spans="1:9" hidden="1" x14ac:dyDescent="0.2">
      <c r="A1193" s="4" t="s">
        <v>500</v>
      </c>
      <c r="B1193" s="21">
        <v>43815</v>
      </c>
      <c r="C1193" s="12">
        <v>1</v>
      </c>
      <c r="D1193" s="22" t="s">
        <v>977</v>
      </c>
      <c r="E1193" s="23">
        <v>43819</v>
      </c>
      <c r="F1193" s="24" t="s">
        <v>259</v>
      </c>
      <c r="G1193" s="12"/>
      <c r="H1193" s="12"/>
      <c r="I1193" s="4" t="s">
        <v>97</v>
      </c>
    </row>
    <row r="1194" spans="1:9" hidden="1" x14ac:dyDescent="0.2">
      <c r="A1194" s="4" t="s">
        <v>500</v>
      </c>
      <c r="B1194" s="21">
        <v>43815</v>
      </c>
      <c r="C1194" s="12">
        <v>2</v>
      </c>
      <c r="D1194" s="22" t="s">
        <v>975</v>
      </c>
      <c r="E1194" s="23">
        <v>43821</v>
      </c>
      <c r="F1194" s="24" t="s">
        <v>103</v>
      </c>
      <c r="G1194" s="12"/>
      <c r="H1194" s="12"/>
      <c r="I1194" s="4" t="s">
        <v>97</v>
      </c>
    </row>
    <row r="1195" spans="1:9" hidden="1" x14ac:dyDescent="0.2">
      <c r="A1195" s="4" t="s">
        <v>500</v>
      </c>
      <c r="B1195" s="21">
        <v>43815</v>
      </c>
      <c r="C1195" s="12">
        <v>3</v>
      </c>
      <c r="D1195" s="22" t="s">
        <v>1494</v>
      </c>
      <c r="E1195" s="23">
        <v>43821</v>
      </c>
      <c r="F1195" s="24" t="s">
        <v>103</v>
      </c>
      <c r="G1195" s="12"/>
      <c r="H1195" s="12"/>
      <c r="I1195" s="4" t="s">
        <v>97</v>
      </c>
    </row>
    <row r="1196" spans="1:9" hidden="1" x14ac:dyDescent="0.2">
      <c r="A1196" s="4" t="s">
        <v>1690</v>
      </c>
      <c r="B1196" s="21">
        <v>43815</v>
      </c>
      <c r="C1196" s="12"/>
      <c r="D1196" s="22" t="s">
        <v>1691</v>
      </c>
      <c r="E1196" s="23">
        <v>43822</v>
      </c>
      <c r="F1196" s="24" t="s">
        <v>259</v>
      </c>
      <c r="G1196" s="12"/>
      <c r="H1196" s="12"/>
    </row>
    <row r="1197" spans="1:9" hidden="1" x14ac:dyDescent="0.2">
      <c r="A1197" s="4" t="s">
        <v>501</v>
      </c>
      <c r="B1197" s="21">
        <v>43815</v>
      </c>
      <c r="C1197" s="12"/>
      <c r="D1197" s="22" t="s">
        <v>2023</v>
      </c>
      <c r="E1197" s="23">
        <v>43823</v>
      </c>
      <c r="F1197" s="24" t="s">
        <v>1975</v>
      </c>
      <c r="G1197" s="12"/>
      <c r="H1197" s="12"/>
    </row>
    <row r="1198" spans="1:9" hidden="1" x14ac:dyDescent="0.2">
      <c r="A1198" s="4" t="s">
        <v>501</v>
      </c>
      <c r="B1198" s="21">
        <v>43815</v>
      </c>
      <c r="C1198" s="12"/>
      <c r="D1198" s="22" t="s">
        <v>2012</v>
      </c>
      <c r="E1198" s="23">
        <v>43818</v>
      </c>
      <c r="F1198" s="24" t="s">
        <v>103</v>
      </c>
      <c r="G1198" s="12"/>
      <c r="H1198" s="12"/>
    </row>
    <row r="1199" spans="1:9" hidden="1" x14ac:dyDescent="0.2">
      <c r="A1199" s="4" t="s">
        <v>501</v>
      </c>
      <c r="B1199" s="21">
        <v>43815</v>
      </c>
      <c r="C1199" s="12"/>
      <c r="D1199" s="22" t="s">
        <v>2016</v>
      </c>
      <c r="E1199" s="23">
        <v>43821</v>
      </c>
      <c r="F1199" s="24" t="s">
        <v>103</v>
      </c>
      <c r="G1199" s="12"/>
      <c r="H1199" s="12"/>
    </row>
    <row r="1200" spans="1:9" hidden="1" x14ac:dyDescent="0.2">
      <c r="A1200" s="4" t="s">
        <v>2062</v>
      </c>
      <c r="B1200" s="21">
        <v>43815</v>
      </c>
      <c r="C1200" s="12"/>
      <c r="D1200" s="22" t="s">
        <v>2063</v>
      </c>
      <c r="E1200" s="23">
        <v>43823</v>
      </c>
      <c r="F1200" s="24" t="s">
        <v>2060</v>
      </c>
      <c r="G1200" s="12"/>
      <c r="H1200" s="12"/>
    </row>
    <row r="1201" spans="1:9" hidden="1" x14ac:dyDescent="0.2">
      <c r="A1201" s="4" t="s">
        <v>2062</v>
      </c>
      <c r="B1201" s="21">
        <v>43815</v>
      </c>
      <c r="C1201" s="12"/>
      <c r="D1201" s="22" t="s">
        <v>2064</v>
      </c>
      <c r="E1201" s="23">
        <v>43819</v>
      </c>
      <c r="F1201" s="24" t="s">
        <v>103</v>
      </c>
      <c r="G1201" s="12"/>
      <c r="H1201" s="12"/>
    </row>
    <row r="1202" spans="1:9" hidden="1" x14ac:dyDescent="0.2">
      <c r="A1202" s="4" t="s">
        <v>501</v>
      </c>
      <c r="B1202" s="21">
        <v>43815</v>
      </c>
      <c r="C1202" s="12"/>
      <c r="D1202" s="22" t="s">
        <v>2079</v>
      </c>
      <c r="E1202" s="23">
        <v>43819</v>
      </c>
      <c r="F1202" s="24" t="s">
        <v>1</v>
      </c>
      <c r="G1202" s="12"/>
      <c r="H1202" s="12"/>
    </row>
    <row r="1203" spans="1:9" hidden="1" x14ac:dyDescent="0.2">
      <c r="A1203" s="4" t="s">
        <v>2005</v>
      </c>
      <c r="B1203" s="21">
        <v>43816</v>
      </c>
      <c r="C1203" s="12">
        <v>1</v>
      </c>
      <c r="D1203" s="22" t="s">
        <v>1296</v>
      </c>
      <c r="E1203" s="23">
        <v>43775</v>
      </c>
      <c r="F1203" s="24" t="s">
        <v>103</v>
      </c>
      <c r="G1203" s="12"/>
      <c r="H1203" s="12"/>
    </row>
    <row r="1204" spans="1:9" hidden="1" x14ac:dyDescent="0.2">
      <c r="A1204" s="4" t="s">
        <v>2005</v>
      </c>
      <c r="B1204" s="21">
        <v>43816</v>
      </c>
      <c r="C1204" s="12">
        <v>2</v>
      </c>
      <c r="D1204" s="4" t="s">
        <v>1779</v>
      </c>
      <c r="E1204" s="23">
        <v>43811</v>
      </c>
      <c r="F1204" s="24" t="s">
        <v>103</v>
      </c>
      <c r="G1204" s="12"/>
      <c r="H1204" s="12"/>
    </row>
    <row r="1205" spans="1:9" hidden="1" x14ac:dyDescent="0.2">
      <c r="A1205" s="4" t="s">
        <v>2005</v>
      </c>
      <c r="B1205" s="21">
        <v>43816</v>
      </c>
      <c r="C1205" s="12">
        <v>3</v>
      </c>
      <c r="D1205" s="22" t="s">
        <v>1782</v>
      </c>
      <c r="E1205" s="23">
        <v>43811</v>
      </c>
      <c r="F1205" s="24" t="s">
        <v>103</v>
      </c>
      <c r="G1205" s="12"/>
      <c r="H1205" s="12"/>
      <c r="I1205" s="4" t="s">
        <v>760</v>
      </c>
    </row>
    <row r="1206" spans="1:9" hidden="1" x14ac:dyDescent="0.2">
      <c r="A1206" s="4" t="s">
        <v>2005</v>
      </c>
      <c r="B1206" s="21">
        <v>43816</v>
      </c>
      <c r="C1206" s="12">
        <v>4</v>
      </c>
      <c r="D1206" s="22" t="s">
        <v>762</v>
      </c>
      <c r="E1206" s="23">
        <v>43811</v>
      </c>
      <c r="F1206" s="24" t="s">
        <v>103</v>
      </c>
      <c r="G1206" s="12"/>
      <c r="H1206" s="12"/>
    </row>
    <row r="1207" spans="1:9" hidden="1" x14ac:dyDescent="0.2">
      <c r="A1207" s="4" t="s">
        <v>2005</v>
      </c>
      <c r="B1207" s="21">
        <v>43816</v>
      </c>
      <c r="C1207" s="12">
        <v>5</v>
      </c>
      <c r="D1207" s="22" t="s">
        <v>1967</v>
      </c>
      <c r="E1207" s="23">
        <v>43815</v>
      </c>
      <c r="F1207" s="24" t="s">
        <v>103</v>
      </c>
      <c r="G1207" s="12"/>
      <c r="H1207" s="12"/>
    </row>
    <row r="1208" spans="1:9" hidden="1" x14ac:dyDescent="0.2">
      <c r="A1208" s="4" t="s">
        <v>2005</v>
      </c>
      <c r="B1208" s="21">
        <v>43816</v>
      </c>
      <c r="C1208" s="12">
        <v>6</v>
      </c>
      <c r="D1208" s="22" t="s">
        <v>2161</v>
      </c>
      <c r="E1208" s="23">
        <v>43823</v>
      </c>
      <c r="F1208" s="24" t="s">
        <v>85</v>
      </c>
      <c r="G1208" s="12"/>
      <c r="H1208" s="12"/>
    </row>
    <row r="1209" spans="1:9" hidden="1" x14ac:dyDescent="0.2">
      <c r="A1209" s="4" t="s">
        <v>2005</v>
      </c>
      <c r="B1209" s="21">
        <v>43816</v>
      </c>
      <c r="C1209" s="12">
        <v>7</v>
      </c>
      <c r="D1209" s="22" t="s">
        <v>2183</v>
      </c>
      <c r="E1209" s="23">
        <v>43823</v>
      </c>
      <c r="F1209" s="24" t="s">
        <v>2165</v>
      </c>
      <c r="G1209" s="12"/>
      <c r="H1209" s="12"/>
    </row>
    <row r="1210" spans="1:9" hidden="1" x14ac:dyDescent="0.2">
      <c r="A1210" s="4" t="s">
        <v>2005</v>
      </c>
      <c r="B1210" s="21">
        <v>43816</v>
      </c>
      <c r="C1210" s="12">
        <v>8</v>
      </c>
      <c r="D1210" s="22" t="s">
        <v>772</v>
      </c>
      <c r="E1210" s="23">
        <v>43826</v>
      </c>
      <c r="F1210" s="24" t="s">
        <v>85</v>
      </c>
      <c r="G1210" s="12"/>
      <c r="H1210" s="12"/>
    </row>
    <row r="1211" spans="1:9" hidden="1" x14ac:dyDescent="0.2">
      <c r="A1211" s="4" t="s">
        <v>2004</v>
      </c>
      <c r="B1211" s="21">
        <v>43816</v>
      </c>
      <c r="C1211" s="12">
        <v>1</v>
      </c>
      <c r="D1211" s="22" t="s">
        <v>1749</v>
      </c>
      <c r="E1211" s="23">
        <v>43810</v>
      </c>
      <c r="F1211" s="24" t="s">
        <v>103</v>
      </c>
      <c r="G1211" s="12"/>
      <c r="H1211" s="12"/>
    </row>
    <row r="1212" spans="1:9" hidden="1" x14ac:dyDescent="0.2">
      <c r="A1212" s="4" t="s">
        <v>2004</v>
      </c>
      <c r="B1212" s="21">
        <v>43816</v>
      </c>
      <c r="C1212" s="12">
        <v>2</v>
      </c>
      <c r="D1212" s="22" t="s">
        <v>1953</v>
      </c>
      <c r="E1212" s="23">
        <v>43812</v>
      </c>
      <c r="F1212" s="24" t="s">
        <v>259</v>
      </c>
      <c r="G1212" s="12">
        <v>2</v>
      </c>
      <c r="H1212" s="12"/>
    </row>
    <row r="1213" spans="1:9" hidden="1" x14ac:dyDescent="0.2">
      <c r="A1213" s="4" t="s">
        <v>2004</v>
      </c>
      <c r="B1213" s="21">
        <v>43816</v>
      </c>
      <c r="C1213" s="12">
        <v>3</v>
      </c>
      <c r="D1213" s="22" t="s">
        <v>1751</v>
      </c>
      <c r="E1213" s="23">
        <v>43813</v>
      </c>
      <c r="F1213" s="24" t="s">
        <v>259</v>
      </c>
      <c r="G1213" s="12"/>
      <c r="H1213" s="12"/>
    </row>
    <row r="1214" spans="1:9" hidden="1" x14ac:dyDescent="0.2">
      <c r="A1214" s="4" t="s">
        <v>2004</v>
      </c>
      <c r="B1214" s="21">
        <v>43816</v>
      </c>
      <c r="C1214" s="12">
        <v>4</v>
      </c>
      <c r="D1214" s="22" t="s">
        <v>1748</v>
      </c>
      <c r="E1214" s="23">
        <v>43815</v>
      </c>
      <c r="F1214" s="24" t="s">
        <v>259</v>
      </c>
      <c r="G1214" s="12"/>
      <c r="H1214" s="12"/>
    </row>
    <row r="1215" spans="1:9" hidden="1" x14ac:dyDescent="0.2">
      <c r="A1215" s="4" t="s">
        <v>2004</v>
      </c>
      <c r="B1215" s="21">
        <v>43816</v>
      </c>
      <c r="C1215" s="12">
        <v>5</v>
      </c>
      <c r="D1215" s="22" t="s">
        <v>1520</v>
      </c>
      <c r="E1215" s="23">
        <v>43816</v>
      </c>
      <c r="F1215" s="24" t="s">
        <v>259</v>
      </c>
      <c r="G1215" s="12"/>
      <c r="H1215" s="12"/>
    </row>
    <row r="1216" spans="1:9" hidden="1" x14ac:dyDescent="0.2">
      <c r="A1216" s="4" t="s">
        <v>1993</v>
      </c>
      <c r="B1216" s="21">
        <v>43817</v>
      </c>
      <c r="C1216" s="12">
        <v>1</v>
      </c>
      <c r="D1216" s="22" t="s">
        <v>1755</v>
      </c>
      <c r="E1216" s="23">
        <v>43810</v>
      </c>
      <c r="F1216" s="24" t="s">
        <v>1</v>
      </c>
      <c r="G1216" s="12"/>
      <c r="H1216" s="12"/>
    </row>
    <row r="1217" spans="1:8" hidden="1" x14ac:dyDescent="0.2">
      <c r="A1217" s="4" t="s">
        <v>1993</v>
      </c>
      <c r="B1217" s="21">
        <v>43817</v>
      </c>
      <c r="C1217" s="12">
        <v>2</v>
      </c>
      <c r="D1217" s="22" t="s">
        <v>1648</v>
      </c>
      <c r="E1217" s="23">
        <v>43804</v>
      </c>
      <c r="F1217" s="24" t="s">
        <v>259</v>
      </c>
      <c r="G1217" s="12"/>
      <c r="H1217" s="12"/>
    </row>
    <row r="1218" spans="1:8" hidden="1" x14ac:dyDescent="0.2">
      <c r="A1218" s="4" t="s">
        <v>1993</v>
      </c>
      <c r="B1218" s="21">
        <v>43817</v>
      </c>
      <c r="C1218" s="12">
        <v>3</v>
      </c>
      <c r="D1218" s="22" t="s">
        <v>1649</v>
      </c>
      <c r="E1218" s="23">
        <v>43816</v>
      </c>
      <c r="F1218" s="24" t="s">
        <v>103</v>
      </c>
      <c r="G1218" s="12"/>
      <c r="H1218" s="12"/>
    </row>
    <row r="1219" spans="1:8" hidden="1" x14ac:dyDescent="0.2">
      <c r="A1219" s="4" t="s">
        <v>1993</v>
      </c>
      <c r="B1219" s="21">
        <v>43817</v>
      </c>
      <c r="C1219" s="12">
        <v>4</v>
      </c>
      <c r="D1219" s="22" t="s">
        <v>2054</v>
      </c>
      <c r="E1219" s="23">
        <v>43819</v>
      </c>
      <c r="F1219" s="24" t="s">
        <v>103</v>
      </c>
      <c r="G1219" s="12"/>
      <c r="H1219" s="12"/>
    </row>
    <row r="1220" spans="1:8" hidden="1" x14ac:dyDescent="0.2">
      <c r="A1220" s="4" t="s">
        <v>1993</v>
      </c>
      <c r="B1220" s="21">
        <v>43817</v>
      </c>
      <c r="C1220" s="12">
        <v>5</v>
      </c>
      <c r="D1220" s="22" t="s">
        <v>2211</v>
      </c>
      <c r="E1220" s="23">
        <v>43823</v>
      </c>
      <c r="F1220" s="24" t="s">
        <v>1647</v>
      </c>
      <c r="G1220" s="12"/>
      <c r="H1220" s="12"/>
    </row>
    <row r="1221" spans="1:8" hidden="1" x14ac:dyDescent="0.2">
      <c r="A1221" s="4" t="s">
        <v>1993</v>
      </c>
      <c r="B1221" s="21">
        <v>43817</v>
      </c>
      <c r="C1221" s="12">
        <v>6</v>
      </c>
      <c r="D1221" s="22" t="s">
        <v>1650</v>
      </c>
      <c r="E1221" s="23">
        <v>43819</v>
      </c>
      <c r="F1221" s="24" t="s">
        <v>103</v>
      </c>
      <c r="G1221" s="12"/>
      <c r="H1221" s="12"/>
    </row>
    <row r="1222" spans="1:8" hidden="1" x14ac:dyDescent="0.2">
      <c r="A1222" s="4" t="s">
        <v>2009</v>
      </c>
      <c r="B1222" s="21">
        <v>43817</v>
      </c>
      <c r="C1222" s="12">
        <v>1</v>
      </c>
      <c r="D1222" s="22" t="s">
        <v>1470</v>
      </c>
      <c r="E1222" s="23">
        <v>43789</v>
      </c>
      <c r="F1222" s="24" t="s">
        <v>103</v>
      </c>
      <c r="G1222" s="12"/>
      <c r="H1222" s="12"/>
    </row>
    <row r="1223" spans="1:8" hidden="1" x14ac:dyDescent="0.2">
      <c r="A1223" s="4" t="s">
        <v>2009</v>
      </c>
      <c r="B1223" s="21">
        <v>43817</v>
      </c>
      <c r="C1223" s="12">
        <v>2</v>
      </c>
      <c r="D1223" s="22" t="s">
        <v>809</v>
      </c>
      <c r="E1223" s="23">
        <v>43810</v>
      </c>
      <c r="F1223" s="24" t="s">
        <v>137</v>
      </c>
      <c r="G1223" s="12"/>
      <c r="H1223" s="12"/>
    </row>
    <row r="1224" spans="1:8" hidden="1" x14ac:dyDescent="0.2">
      <c r="A1224" s="4" t="s">
        <v>2009</v>
      </c>
      <c r="B1224" s="21">
        <v>43817</v>
      </c>
      <c r="C1224" s="12">
        <v>3</v>
      </c>
      <c r="D1224" s="22" t="s">
        <v>811</v>
      </c>
      <c r="E1224" s="23">
        <v>43811</v>
      </c>
      <c r="F1224" s="24" t="s">
        <v>137</v>
      </c>
      <c r="G1224" s="12"/>
      <c r="H1224" s="12"/>
    </row>
    <row r="1225" spans="1:8" hidden="1" x14ac:dyDescent="0.2">
      <c r="A1225" s="4" t="s">
        <v>2009</v>
      </c>
      <c r="B1225" s="21">
        <v>43817</v>
      </c>
      <c r="C1225" s="12">
        <v>4</v>
      </c>
      <c r="D1225" s="22" t="s">
        <v>1388</v>
      </c>
      <c r="E1225" s="23">
        <v>43811</v>
      </c>
      <c r="F1225" s="24" t="s">
        <v>137</v>
      </c>
      <c r="G1225" s="12"/>
      <c r="H1225" s="12"/>
    </row>
    <row r="1226" spans="1:8" hidden="1" x14ac:dyDescent="0.2">
      <c r="A1226" s="4" t="s">
        <v>2009</v>
      </c>
      <c r="B1226" s="21">
        <v>43817</v>
      </c>
      <c r="C1226" s="12">
        <v>5</v>
      </c>
      <c r="D1226" s="22" t="s">
        <v>1695</v>
      </c>
      <c r="E1226" s="23">
        <v>43811</v>
      </c>
      <c r="F1226" s="24" t="s">
        <v>137</v>
      </c>
      <c r="G1226" s="12"/>
      <c r="H1226" s="12"/>
    </row>
    <row r="1227" spans="1:8" hidden="1" x14ac:dyDescent="0.2">
      <c r="A1227" s="4" t="s">
        <v>2009</v>
      </c>
      <c r="B1227" s="21">
        <v>43817</v>
      </c>
      <c r="C1227" s="12">
        <v>6</v>
      </c>
      <c r="D1227" s="22" t="s">
        <v>814</v>
      </c>
      <c r="E1227" s="23">
        <v>43811</v>
      </c>
      <c r="F1227" s="24" t="s">
        <v>137</v>
      </c>
      <c r="G1227" s="12"/>
      <c r="H1227" s="12"/>
    </row>
    <row r="1228" spans="1:8" hidden="1" x14ac:dyDescent="0.2">
      <c r="A1228" s="4" t="s">
        <v>2009</v>
      </c>
      <c r="B1228" s="21">
        <v>43817</v>
      </c>
      <c r="C1228" s="12">
        <v>7</v>
      </c>
      <c r="D1228" s="22" t="s">
        <v>818</v>
      </c>
      <c r="E1228" s="23">
        <v>43811</v>
      </c>
      <c r="F1228" s="24" t="s">
        <v>137</v>
      </c>
      <c r="G1228" s="12"/>
      <c r="H1228" s="12"/>
    </row>
    <row r="1229" spans="1:8" hidden="1" x14ac:dyDescent="0.2">
      <c r="A1229" s="4" t="s">
        <v>2009</v>
      </c>
      <c r="B1229" s="21">
        <v>43817</v>
      </c>
      <c r="C1229" s="12">
        <v>8</v>
      </c>
      <c r="D1229" s="22" t="s">
        <v>822</v>
      </c>
      <c r="E1229" s="23">
        <v>43811</v>
      </c>
      <c r="F1229" s="24" t="s">
        <v>137</v>
      </c>
      <c r="G1229" s="12"/>
      <c r="H1229" s="12"/>
    </row>
    <row r="1230" spans="1:8" hidden="1" x14ac:dyDescent="0.2">
      <c r="A1230" s="4" t="s">
        <v>2009</v>
      </c>
      <c r="B1230" s="21">
        <v>43817</v>
      </c>
      <c r="C1230" s="12">
        <v>9</v>
      </c>
      <c r="D1230" s="22" t="s">
        <v>820</v>
      </c>
      <c r="E1230" s="23">
        <v>43811</v>
      </c>
      <c r="F1230" s="24" t="s">
        <v>137</v>
      </c>
      <c r="G1230" s="12"/>
      <c r="H1230" s="12"/>
    </row>
    <row r="1231" spans="1:8" hidden="1" x14ac:dyDescent="0.2">
      <c r="A1231" s="4" t="s">
        <v>2009</v>
      </c>
      <c r="B1231" s="21">
        <v>43817</v>
      </c>
      <c r="C1231" s="12">
        <v>10</v>
      </c>
      <c r="D1231" s="22" t="s">
        <v>1728</v>
      </c>
      <c r="E1231" s="23">
        <v>43811</v>
      </c>
      <c r="F1231" s="24" t="s">
        <v>137</v>
      </c>
      <c r="G1231" s="12"/>
      <c r="H1231" s="12"/>
    </row>
    <row r="1232" spans="1:8" hidden="1" x14ac:dyDescent="0.2">
      <c r="A1232" s="4" t="s">
        <v>2009</v>
      </c>
      <c r="B1232" s="21">
        <v>43817</v>
      </c>
      <c r="C1232" s="12">
        <v>11</v>
      </c>
      <c r="D1232" s="7" t="s">
        <v>1727</v>
      </c>
      <c r="E1232" s="23">
        <v>43811</v>
      </c>
      <c r="F1232" s="24" t="s">
        <v>137</v>
      </c>
      <c r="G1232" s="12"/>
      <c r="H1232" s="12"/>
    </row>
    <row r="1233" spans="1:8" hidden="1" x14ac:dyDescent="0.2">
      <c r="A1233" s="4" t="s">
        <v>1774</v>
      </c>
      <c r="B1233" s="21">
        <v>43817</v>
      </c>
      <c r="C1233" s="12">
        <v>1</v>
      </c>
      <c r="D1233" s="22" t="s">
        <v>1780</v>
      </c>
      <c r="E1233" s="23">
        <v>43815</v>
      </c>
      <c r="F1233" s="24" t="s">
        <v>103</v>
      </c>
      <c r="G1233" s="12"/>
      <c r="H1233" s="12"/>
    </row>
    <row r="1234" spans="1:8" hidden="1" x14ac:dyDescent="0.2">
      <c r="A1234" s="4" t="s">
        <v>1774</v>
      </c>
      <c r="B1234" s="21">
        <v>43817</v>
      </c>
      <c r="C1234" s="12">
        <v>2</v>
      </c>
      <c r="D1234" s="22" t="s">
        <v>943</v>
      </c>
      <c r="E1234" s="23">
        <v>43815</v>
      </c>
      <c r="F1234" s="24" t="s">
        <v>103</v>
      </c>
      <c r="G1234" s="12"/>
      <c r="H1234" s="12"/>
    </row>
    <row r="1235" spans="1:8" hidden="1" x14ac:dyDescent="0.2">
      <c r="A1235" s="4" t="s">
        <v>1774</v>
      </c>
      <c r="B1235" s="21">
        <v>43817</v>
      </c>
      <c r="C1235" s="12">
        <v>3</v>
      </c>
      <c r="D1235" s="22" t="s">
        <v>1758</v>
      </c>
      <c r="E1235" s="23">
        <v>43815</v>
      </c>
      <c r="F1235" s="24" t="s">
        <v>103</v>
      </c>
      <c r="G1235" s="12"/>
      <c r="H1235" s="12"/>
    </row>
    <row r="1236" spans="1:8" hidden="1" x14ac:dyDescent="0.2">
      <c r="A1236" s="4" t="s">
        <v>1774</v>
      </c>
      <c r="B1236" s="21">
        <v>43817</v>
      </c>
      <c r="C1236" s="12">
        <v>4</v>
      </c>
      <c r="D1236" s="22" t="s">
        <v>888</v>
      </c>
      <c r="E1236" s="23">
        <v>43815</v>
      </c>
      <c r="F1236" s="24" t="s">
        <v>103</v>
      </c>
      <c r="G1236" s="12"/>
      <c r="H1236" s="12"/>
    </row>
    <row r="1237" spans="1:8" hidden="1" x14ac:dyDescent="0.2">
      <c r="A1237" s="4" t="s">
        <v>1774</v>
      </c>
      <c r="B1237" s="21">
        <v>43817</v>
      </c>
      <c r="C1237" s="12">
        <v>5</v>
      </c>
      <c r="D1237" s="22" t="s">
        <v>1980</v>
      </c>
      <c r="E1237" s="23">
        <v>43815</v>
      </c>
      <c r="F1237" s="24" t="s">
        <v>103</v>
      </c>
      <c r="G1237" s="12"/>
      <c r="H1237" s="12"/>
    </row>
    <row r="1238" spans="1:8" hidden="1" x14ac:dyDescent="0.2">
      <c r="A1238" s="4" t="s">
        <v>1774</v>
      </c>
      <c r="B1238" s="21">
        <v>43817</v>
      </c>
      <c r="C1238" s="12">
        <v>6</v>
      </c>
      <c r="D1238" s="22" t="s">
        <v>1988</v>
      </c>
      <c r="E1238" s="23">
        <v>43817</v>
      </c>
      <c r="F1238" s="24" t="s">
        <v>103</v>
      </c>
      <c r="G1238" s="12"/>
      <c r="H1238" s="12"/>
    </row>
    <row r="1239" spans="1:8" hidden="1" x14ac:dyDescent="0.2">
      <c r="A1239" s="4" t="s">
        <v>1774</v>
      </c>
      <c r="B1239" s="21">
        <v>43817</v>
      </c>
      <c r="C1239" s="12">
        <v>7</v>
      </c>
      <c r="D1239" s="22" t="s">
        <v>2017</v>
      </c>
      <c r="E1239" s="23">
        <v>43823</v>
      </c>
      <c r="F1239" s="24" t="s">
        <v>1776</v>
      </c>
      <c r="G1239" s="12"/>
      <c r="H1239" s="12"/>
    </row>
    <row r="1240" spans="1:8" hidden="1" x14ac:dyDescent="0.2">
      <c r="A1240" s="4" t="s">
        <v>1768</v>
      </c>
      <c r="B1240" s="21">
        <v>43817</v>
      </c>
      <c r="C1240" s="12">
        <v>1</v>
      </c>
      <c r="D1240" s="22" t="s">
        <v>1712</v>
      </c>
      <c r="E1240" s="23">
        <v>43809</v>
      </c>
      <c r="F1240" s="24" t="s">
        <v>103</v>
      </c>
      <c r="G1240" s="12"/>
      <c r="H1240" s="12"/>
    </row>
    <row r="1241" spans="1:8" hidden="1" x14ac:dyDescent="0.2">
      <c r="A1241" s="4" t="s">
        <v>1768</v>
      </c>
      <c r="B1241" s="21">
        <v>43817</v>
      </c>
      <c r="C1241" s="12">
        <v>2</v>
      </c>
      <c r="D1241" s="22" t="s">
        <v>943</v>
      </c>
      <c r="E1241" s="23">
        <v>43812</v>
      </c>
      <c r="F1241" s="24" t="s">
        <v>103</v>
      </c>
      <c r="G1241" s="12"/>
      <c r="H1241" s="12"/>
    </row>
    <row r="1242" spans="1:8" hidden="1" x14ac:dyDescent="0.2">
      <c r="A1242" s="4" t="s">
        <v>1768</v>
      </c>
      <c r="B1242" s="21">
        <v>43817</v>
      </c>
      <c r="C1242" s="12">
        <v>3</v>
      </c>
      <c r="D1242" s="22" t="s">
        <v>886</v>
      </c>
      <c r="E1242" s="23">
        <v>43812</v>
      </c>
      <c r="F1242" s="24" t="s">
        <v>103</v>
      </c>
      <c r="G1242" s="12"/>
      <c r="H1242" s="12"/>
    </row>
    <row r="1243" spans="1:8" hidden="1" x14ac:dyDescent="0.2">
      <c r="A1243" s="4" t="s">
        <v>1768</v>
      </c>
      <c r="B1243" s="21">
        <v>43817</v>
      </c>
      <c r="C1243" s="12">
        <v>4</v>
      </c>
      <c r="D1243" s="22" t="s">
        <v>888</v>
      </c>
      <c r="E1243" s="23">
        <v>43812</v>
      </c>
      <c r="F1243" s="24" t="s">
        <v>103</v>
      </c>
      <c r="G1243" s="12"/>
      <c r="H1243" s="12"/>
    </row>
    <row r="1244" spans="1:8" hidden="1" x14ac:dyDescent="0.2">
      <c r="A1244" s="4" t="s">
        <v>1768</v>
      </c>
      <c r="B1244" s="21">
        <v>43817</v>
      </c>
      <c r="C1244" s="12">
        <v>5</v>
      </c>
      <c r="D1244" s="22" t="s">
        <v>890</v>
      </c>
      <c r="E1244" s="23">
        <v>43814</v>
      </c>
      <c r="F1244" s="24" t="s">
        <v>103</v>
      </c>
      <c r="G1244" s="12"/>
      <c r="H1244" s="12"/>
    </row>
    <row r="1245" spans="1:8" hidden="1" x14ac:dyDescent="0.2">
      <c r="A1245" s="4" t="s">
        <v>1768</v>
      </c>
      <c r="B1245" s="21">
        <v>43817</v>
      </c>
      <c r="C1245" s="12">
        <v>7</v>
      </c>
      <c r="D1245" s="22" t="s">
        <v>2071</v>
      </c>
      <c r="E1245" s="23">
        <v>43820</v>
      </c>
      <c r="F1245" s="24" t="s">
        <v>2106</v>
      </c>
      <c r="G1245" s="12">
        <v>5</v>
      </c>
      <c r="H1245" s="12"/>
    </row>
    <row r="1246" spans="1:8" hidden="1" x14ac:dyDescent="0.2">
      <c r="A1246" s="4" t="s">
        <v>1768</v>
      </c>
      <c r="B1246" s="21">
        <v>43817</v>
      </c>
      <c r="C1246" s="12">
        <v>8</v>
      </c>
      <c r="D1246" s="22" t="s">
        <v>894</v>
      </c>
      <c r="E1246" s="23">
        <v>43823</v>
      </c>
      <c r="F1246" s="24" t="s">
        <v>85</v>
      </c>
      <c r="G1246" s="12"/>
      <c r="H1246" s="12"/>
    </row>
    <row r="1247" spans="1:8" hidden="1" x14ac:dyDescent="0.2">
      <c r="A1247" s="4" t="s">
        <v>1773</v>
      </c>
      <c r="B1247" s="21">
        <v>43817</v>
      </c>
      <c r="C1247" s="12">
        <v>1</v>
      </c>
      <c r="D1247" s="22" t="s">
        <v>1723</v>
      </c>
      <c r="E1247" s="23">
        <v>43809</v>
      </c>
      <c r="F1247" s="24" t="s">
        <v>103</v>
      </c>
      <c r="G1247" s="12"/>
      <c r="H1247" s="12"/>
    </row>
    <row r="1248" spans="1:8" hidden="1" x14ac:dyDescent="0.2">
      <c r="A1248" s="4" t="s">
        <v>1773</v>
      </c>
      <c r="B1248" s="21">
        <v>43817</v>
      </c>
      <c r="C1248" s="12">
        <v>2</v>
      </c>
      <c r="D1248" s="22" t="s">
        <v>1939</v>
      </c>
      <c r="E1248" s="23">
        <v>43811</v>
      </c>
      <c r="F1248" s="24" t="s">
        <v>103</v>
      </c>
      <c r="G1248" s="12">
        <v>3</v>
      </c>
      <c r="H1248" s="12"/>
    </row>
    <row r="1249" spans="1:8" hidden="1" x14ac:dyDescent="0.2">
      <c r="A1249" s="4" t="s">
        <v>1773</v>
      </c>
      <c r="B1249" s="21">
        <v>43817</v>
      </c>
      <c r="C1249" s="12">
        <v>3</v>
      </c>
      <c r="D1249" s="22" t="s">
        <v>1941</v>
      </c>
      <c r="E1249" s="23">
        <v>43812</v>
      </c>
      <c r="F1249" s="24" t="s">
        <v>103</v>
      </c>
      <c r="G1249" s="12"/>
      <c r="H1249" s="12"/>
    </row>
    <row r="1250" spans="1:8" hidden="1" x14ac:dyDescent="0.2">
      <c r="A1250" s="4" t="s">
        <v>1773</v>
      </c>
      <c r="B1250" s="21">
        <v>43817</v>
      </c>
      <c r="C1250" s="12">
        <v>4</v>
      </c>
      <c r="D1250" s="22" t="s">
        <v>888</v>
      </c>
      <c r="E1250" s="23">
        <v>43812</v>
      </c>
      <c r="F1250" s="24" t="s">
        <v>103</v>
      </c>
      <c r="G1250" s="12"/>
      <c r="H1250" s="12"/>
    </row>
    <row r="1251" spans="1:8" hidden="1" x14ac:dyDescent="0.2">
      <c r="A1251" s="4" t="s">
        <v>1773</v>
      </c>
      <c r="B1251" s="21">
        <v>43817</v>
      </c>
      <c r="C1251" s="12">
        <v>5</v>
      </c>
      <c r="D1251" s="22" t="s">
        <v>890</v>
      </c>
      <c r="E1251" s="23">
        <v>43812</v>
      </c>
      <c r="F1251" s="24" t="s">
        <v>259</v>
      </c>
      <c r="G1251" s="12"/>
      <c r="H1251" s="12"/>
    </row>
    <row r="1252" spans="1:8" hidden="1" x14ac:dyDescent="0.2">
      <c r="A1252" s="4" t="s">
        <v>1773</v>
      </c>
      <c r="B1252" s="21">
        <v>43817</v>
      </c>
      <c r="C1252" s="12">
        <v>6</v>
      </c>
      <c r="D1252" s="22" t="s">
        <v>1223</v>
      </c>
      <c r="E1252" s="23">
        <v>43812</v>
      </c>
      <c r="F1252" s="24" t="s">
        <v>103</v>
      </c>
      <c r="G1252" s="12"/>
      <c r="H1252" s="12"/>
    </row>
    <row r="1253" spans="1:8" hidden="1" x14ac:dyDescent="0.2">
      <c r="A1253" s="4" t="s">
        <v>1773</v>
      </c>
      <c r="B1253" s="21">
        <v>43817</v>
      </c>
      <c r="C1253" s="12">
        <v>7</v>
      </c>
      <c r="D1253" s="22" t="s">
        <v>2038</v>
      </c>
      <c r="E1253" s="23">
        <v>43818</v>
      </c>
      <c r="F1253" s="24" t="s">
        <v>103</v>
      </c>
      <c r="G1253" s="12"/>
      <c r="H1253" s="12"/>
    </row>
    <row r="1254" spans="1:8" hidden="1" x14ac:dyDescent="0.2">
      <c r="A1254" s="4" t="s">
        <v>1773</v>
      </c>
      <c r="B1254" s="21">
        <v>43817</v>
      </c>
      <c r="C1254" s="12">
        <v>8</v>
      </c>
      <c r="D1254" s="22" t="s">
        <v>894</v>
      </c>
      <c r="E1254" s="23">
        <v>43823</v>
      </c>
      <c r="F1254" s="24" t="s">
        <v>85</v>
      </c>
      <c r="G1254" s="12"/>
      <c r="H1254" s="12"/>
    </row>
    <row r="1255" spans="1:8" hidden="1" x14ac:dyDescent="0.2">
      <c r="A1255" s="4" t="s">
        <v>1761</v>
      </c>
      <c r="B1255" s="21">
        <v>43818</v>
      </c>
      <c r="C1255" s="12">
        <v>1</v>
      </c>
      <c r="D1255" s="22" t="s">
        <v>1718</v>
      </c>
      <c r="E1255" s="23">
        <v>43809</v>
      </c>
      <c r="F1255" s="24" t="s">
        <v>103</v>
      </c>
      <c r="G1255" s="12"/>
      <c r="H1255" s="12"/>
    </row>
    <row r="1256" spans="1:8" hidden="1" x14ac:dyDescent="0.2">
      <c r="A1256" s="4" t="s">
        <v>1761</v>
      </c>
      <c r="B1256" s="21">
        <v>43818</v>
      </c>
      <c r="C1256" s="12">
        <v>2</v>
      </c>
      <c r="D1256" s="22" t="s">
        <v>1969</v>
      </c>
      <c r="E1256" s="23">
        <v>43815</v>
      </c>
      <c r="F1256" s="24" t="s">
        <v>103</v>
      </c>
      <c r="G1256" s="12"/>
      <c r="H1256" s="12"/>
    </row>
    <row r="1257" spans="1:8" hidden="1" x14ac:dyDescent="0.2">
      <c r="A1257" s="4" t="s">
        <v>1761</v>
      </c>
      <c r="B1257" s="21">
        <v>43818</v>
      </c>
      <c r="C1257" s="12">
        <v>3</v>
      </c>
      <c r="D1257" s="22" t="s">
        <v>1972</v>
      </c>
      <c r="E1257" s="23">
        <v>43815</v>
      </c>
      <c r="F1257" s="24" t="s">
        <v>103</v>
      </c>
      <c r="G1257" s="12"/>
      <c r="H1257" s="12"/>
    </row>
    <row r="1258" spans="1:8" hidden="1" x14ac:dyDescent="0.2">
      <c r="A1258" s="4" t="s">
        <v>1761</v>
      </c>
      <c r="B1258" s="21">
        <v>43818</v>
      </c>
      <c r="C1258" s="12">
        <v>4</v>
      </c>
      <c r="D1258" s="22" t="s">
        <v>1987</v>
      </c>
      <c r="E1258" s="23">
        <v>43816</v>
      </c>
      <c r="F1258" s="24" t="s">
        <v>103</v>
      </c>
      <c r="G1258" s="12">
        <v>3</v>
      </c>
      <c r="H1258" s="12"/>
    </row>
    <row r="1259" spans="1:8" hidden="1" x14ac:dyDescent="0.2">
      <c r="A1259" s="4" t="s">
        <v>1761</v>
      </c>
      <c r="B1259" s="21">
        <v>43818</v>
      </c>
      <c r="C1259" s="12">
        <v>5</v>
      </c>
      <c r="D1259" s="22" t="s">
        <v>1290</v>
      </c>
      <c r="E1259" s="23">
        <v>43819</v>
      </c>
      <c r="F1259" s="24" t="s">
        <v>2106</v>
      </c>
      <c r="G1259" s="12"/>
      <c r="H1259" s="12"/>
    </row>
    <row r="1260" spans="1:8" hidden="1" x14ac:dyDescent="0.2">
      <c r="A1260" s="4" t="s">
        <v>1761</v>
      </c>
      <c r="B1260" s="21">
        <v>43818</v>
      </c>
      <c r="C1260" s="12">
        <v>6</v>
      </c>
      <c r="D1260" s="22" t="s">
        <v>1291</v>
      </c>
      <c r="E1260" s="23">
        <v>43823</v>
      </c>
      <c r="F1260" s="24" t="s">
        <v>85</v>
      </c>
      <c r="G1260" s="12"/>
      <c r="H1260" s="12"/>
    </row>
    <row r="1261" spans="1:8" hidden="1" x14ac:dyDescent="0.2">
      <c r="A1261" s="4" t="s">
        <v>1761</v>
      </c>
      <c r="B1261" s="21">
        <v>43818</v>
      </c>
      <c r="C1261" s="12">
        <v>7</v>
      </c>
      <c r="D1261" s="22" t="s">
        <v>1292</v>
      </c>
      <c r="E1261" s="23">
        <v>43823</v>
      </c>
      <c r="F1261" s="24" t="s">
        <v>85</v>
      </c>
      <c r="G1261" s="12"/>
      <c r="H1261" s="12"/>
    </row>
    <row r="1262" spans="1:8" hidden="1" x14ac:dyDescent="0.2">
      <c r="A1262" t="s">
        <v>1997</v>
      </c>
      <c r="B1262" s="21">
        <v>43819</v>
      </c>
      <c r="C1262" s="12">
        <v>1</v>
      </c>
      <c r="D1262" s="22" t="s">
        <v>1961</v>
      </c>
      <c r="E1262" s="23">
        <v>43812</v>
      </c>
      <c r="F1262" s="24" t="s">
        <v>103</v>
      </c>
      <c r="G1262" s="12"/>
      <c r="H1262" s="12"/>
    </row>
    <row r="1263" spans="1:8" hidden="1" x14ac:dyDescent="0.2">
      <c r="A1263" t="s">
        <v>1997</v>
      </c>
      <c r="B1263" s="21">
        <v>43819</v>
      </c>
      <c r="C1263" s="12">
        <v>2</v>
      </c>
      <c r="D1263" s="22" t="s">
        <v>2018</v>
      </c>
      <c r="E1263" s="23">
        <v>43816</v>
      </c>
      <c r="F1263" s="24" t="s">
        <v>103</v>
      </c>
      <c r="G1263" s="12"/>
      <c r="H1263" s="12"/>
    </row>
    <row r="1264" spans="1:8" hidden="1" x14ac:dyDescent="0.2">
      <c r="A1264" t="s">
        <v>1997</v>
      </c>
      <c r="B1264" s="21">
        <v>43819</v>
      </c>
      <c r="C1264" s="12">
        <v>3</v>
      </c>
      <c r="D1264" s="22" t="s">
        <v>2025</v>
      </c>
      <c r="E1264" s="23">
        <v>43819</v>
      </c>
      <c r="F1264" s="24" t="s">
        <v>103</v>
      </c>
      <c r="G1264" s="12"/>
      <c r="H1264" s="12"/>
    </row>
    <row r="1265" spans="1:9" hidden="1" x14ac:dyDescent="0.2">
      <c r="A1265" t="s">
        <v>1997</v>
      </c>
      <c r="B1265" s="21">
        <v>43819</v>
      </c>
      <c r="C1265" s="12">
        <v>4</v>
      </c>
      <c r="D1265" s="22" t="s">
        <v>2198</v>
      </c>
      <c r="E1265" s="23">
        <v>43824</v>
      </c>
      <c r="F1265" s="24" t="s">
        <v>1956</v>
      </c>
      <c r="G1265" s="12"/>
      <c r="H1265" s="12"/>
    </row>
    <row r="1266" spans="1:9" hidden="1" x14ac:dyDescent="0.2">
      <c r="A1266" t="s">
        <v>1997</v>
      </c>
      <c r="B1266" s="21">
        <v>43819</v>
      </c>
      <c r="C1266" s="12">
        <v>5</v>
      </c>
      <c r="D1266" s="22" t="s">
        <v>2107</v>
      </c>
      <c r="E1266" s="23">
        <v>43824</v>
      </c>
      <c r="F1266" s="24" t="s">
        <v>1956</v>
      </c>
      <c r="G1266" s="12"/>
      <c r="H1266" s="12"/>
    </row>
    <row r="1267" spans="1:9" hidden="1" x14ac:dyDescent="0.2">
      <c r="A1267" s="4" t="s">
        <v>2003</v>
      </c>
      <c r="B1267" s="21">
        <v>43819</v>
      </c>
      <c r="C1267" s="12">
        <v>1</v>
      </c>
      <c r="D1267" s="22" t="s">
        <v>1944</v>
      </c>
      <c r="E1267" s="23">
        <v>43812</v>
      </c>
      <c r="F1267" s="24" t="s">
        <v>259</v>
      </c>
      <c r="G1267" s="12"/>
      <c r="H1267" s="12"/>
    </row>
    <row r="1268" spans="1:9" hidden="1" x14ac:dyDescent="0.2">
      <c r="A1268" s="4" t="s">
        <v>2003</v>
      </c>
      <c r="B1268" s="21">
        <v>43819</v>
      </c>
      <c r="C1268" s="12">
        <v>2</v>
      </c>
      <c r="D1268" s="22" t="s">
        <v>1943</v>
      </c>
      <c r="E1268" s="23">
        <v>43812</v>
      </c>
      <c r="F1268" s="24" t="s">
        <v>259</v>
      </c>
      <c r="G1268" s="12"/>
      <c r="H1268" s="12"/>
    </row>
    <row r="1269" spans="1:9" hidden="1" x14ac:dyDescent="0.2">
      <c r="A1269" s="4" t="s">
        <v>2003</v>
      </c>
      <c r="B1269" s="21">
        <v>43819</v>
      </c>
      <c r="C1269" s="12">
        <v>3</v>
      </c>
      <c r="D1269" s="22" t="s">
        <v>1751</v>
      </c>
      <c r="E1269" s="23">
        <v>43812</v>
      </c>
      <c r="F1269" s="24" t="s">
        <v>259</v>
      </c>
      <c r="G1269" s="12"/>
      <c r="H1269" s="12"/>
    </row>
    <row r="1270" spans="1:9" hidden="1" x14ac:dyDescent="0.2">
      <c r="A1270" s="4" t="s">
        <v>2003</v>
      </c>
      <c r="B1270" s="21">
        <v>43819</v>
      </c>
      <c r="C1270" s="12">
        <v>4</v>
      </c>
      <c r="D1270" s="22" t="s">
        <v>1748</v>
      </c>
      <c r="E1270" s="23">
        <v>43812</v>
      </c>
      <c r="F1270" s="24" t="s">
        <v>259</v>
      </c>
      <c r="G1270" s="12"/>
      <c r="H1270" s="12"/>
    </row>
    <row r="1271" spans="1:9" hidden="1" x14ac:dyDescent="0.2">
      <c r="A1271" s="4" t="s">
        <v>2003</v>
      </c>
      <c r="B1271" s="21">
        <v>43819</v>
      </c>
      <c r="C1271" s="12">
        <v>5</v>
      </c>
      <c r="D1271" s="22" t="s">
        <v>1520</v>
      </c>
      <c r="E1271" s="23">
        <v>43812</v>
      </c>
      <c r="F1271" s="24" t="s">
        <v>259</v>
      </c>
      <c r="G1271" s="12"/>
      <c r="H1271" s="12"/>
    </row>
    <row r="1272" spans="1:9" hidden="1" x14ac:dyDescent="0.2">
      <c r="A1272" s="4" t="s">
        <v>2141</v>
      </c>
      <c r="B1272" s="21">
        <v>43819</v>
      </c>
      <c r="C1272" s="12">
        <v>1</v>
      </c>
      <c r="D1272" s="22" t="s">
        <v>2145</v>
      </c>
      <c r="E1272" s="23">
        <v>43819</v>
      </c>
      <c r="F1272" s="24" t="s">
        <v>103</v>
      </c>
      <c r="G1272" s="12"/>
      <c r="H1272" s="12"/>
    </row>
    <row r="1273" spans="1:9" hidden="1" x14ac:dyDescent="0.2">
      <c r="A1273" s="4" t="s">
        <v>2141</v>
      </c>
      <c r="B1273" s="21">
        <v>43819</v>
      </c>
      <c r="C1273" s="12">
        <v>2</v>
      </c>
      <c r="D1273" s="22" t="s">
        <v>2146</v>
      </c>
      <c r="E1273" s="23">
        <v>43823</v>
      </c>
      <c r="F1273" s="24" t="s">
        <v>85</v>
      </c>
      <c r="G1273" s="12"/>
      <c r="H1273" s="12"/>
    </row>
    <row r="1274" spans="1:9" hidden="1" x14ac:dyDescent="0.2">
      <c r="A1274" s="4" t="s">
        <v>500</v>
      </c>
      <c r="B1274" s="21">
        <v>43822</v>
      </c>
      <c r="C1274" s="12">
        <v>0</v>
      </c>
      <c r="D1274" s="22" t="s">
        <v>803</v>
      </c>
      <c r="E1274" s="23">
        <v>43825</v>
      </c>
      <c r="F1274" s="24" t="s">
        <v>85</v>
      </c>
      <c r="G1274" s="12"/>
      <c r="H1274" s="12"/>
      <c r="I1274" s="4" t="s">
        <v>98</v>
      </c>
    </row>
    <row r="1275" spans="1:9" hidden="1" x14ac:dyDescent="0.2">
      <c r="A1275" s="4" t="s">
        <v>500</v>
      </c>
      <c r="B1275" s="21">
        <v>43822</v>
      </c>
      <c r="C1275" s="12">
        <v>1</v>
      </c>
      <c r="D1275" s="22" t="s">
        <v>977</v>
      </c>
      <c r="E1275" s="23">
        <v>43826</v>
      </c>
      <c r="F1275" s="24" t="s">
        <v>85</v>
      </c>
      <c r="G1275" s="12"/>
      <c r="H1275" s="12"/>
      <c r="I1275" s="4" t="s">
        <v>97</v>
      </c>
    </row>
    <row r="1276" spans="1:9" hidden="1" x14ac:dyDescent="0.2">
      <c r="A1276" s="4" t="s">
        <v>500</v>
      </c>
      <c r="B1276" s="21">
        <v>43822</v>
      </c>
      <c r="C1276" s="12">
        <v>2</v>
      </c>
      <c r="D1276" s="22" t="s">
        <v>975</v>
      </c>
      <c r="E1276" s="23">
        <v>43826</v>
      </c>
      <c r="F1276" s="24" t="s">
        <v>85</v>
      </c>
      <c r="G1276" s="12"/>
      <c r="H1276" s="12"/>
      <c r="I1276" s="4" t="s">
        <v>97</v>
      </c>
    </row>
    <row r="1277" spans="1:9" hidden="1" x14ac:dyDescent="0.2">
      <c r="A1277" s="4" t="s">
        <v>500</v>
      </c>
      <c r="B1277" s="21">
        <v>43822</v>
      </c>
      <c r="C1277" s="12">
        <v>3</v>
      </c>
      <c r="D1277" s="22" t="s">
        <v>1494</v>
      </c>
      <c r="E1277" s="23">
        <v>43826</v>
      </c>
      <c r="F1277" s="24" t="s">
        <v>85</v>
      </c>
      <c r="G1277" s="12"/>
      <c r="H1277" s="12"/>
      <c r="I1277" s="4" t="s">
        <v>97</v>
      </c>
    </row>
    <row r="1278" spans="1:9" hidden="1" x14ac:dyDescent="0.2">
      <c r="A1278" s="4" t="s">
        <v>2005</v>
      </c>
      <c r="B1278" s="21">
        <v>43823</v>
      </c>
      <c r="C1278" s="12">
        <v>1</v>
      </c>
      <c r="D1278" s="22" t="s">
        <v>1660</v>
      </c>
      <c r="E1278" s="23">
        <v>43804</v>
      </c>
      <c r="F1278" s="24" t="s">
        <v>103</v>
      </c>
      <c r="G1278" s="12"/>
      <c r="H1278" s="12"/>
    </row>
    <row r="1279" spans="1:9" hidden="1" x14ac:dyDescent="0.2">
      <c r="A1279" s="4" t="s">
        <v>2005</v>
      </c>
      <c r="B1279" s="21">
        <v>43823</v>
      </c>
      <c r="C1279" s="12">
        <v>2</v>
      </c>
      <c r="D1279" s="4" t="s">
        <v>1779</v>
      </c>
      <c r="E1279" s="23">
        <v>43818</v>
      </c>
      <c r="F1279" s="24" t="s">
        <v>103</v>
      </c>
      <c r="G1279" s="12"/>
      <c r="H1279" s="12"/>
    </row>
    <row r="1280" spans="1:9" hidden="1" x14ac:dyDescent="0.2">
      <c r="A1280" s="4" t="s">
        <v>2005</v>
      </c>
      <c r="B1280" s="21">
        <v>43823</v>
      </c>
      <c r="C1280" s="12">
        <v>3</v>
      </c>
      <c r="D1280" s="22" t="s">
        <v>764</v>
      </c>
      <c r="E1280" s="23">
        <v>43818</v>
      </c>
      <c r="F1280" s="24" t="s">
        <v>103</v>
      </c>
      <c r="G1280" s="12"/>
      <c r="H1280" s="12"/>
      <c r="I1280" s="4" t="s">
        <v>760</v>
      </c>
    </row>
    <row r="1281" spans="1:8" hidden="1" x14ac:dyDescent="0.2">
      <c r="A1281" s="4" t="s">
        <v>2005</v>
      </c>
      <c r="B1281" s="21">
        <v>43823</v>
      </c>
      <c r="C1281" s="12">
        <v>4</v>
      </c>
      <c r="D1281" s="22" t="s">
        <v>762</v>
      </c>
      <c r="E1281" s="23">
        <v>43818</v>
      </c>
      <c r="F1281" s="24" t="s">
        <v>103</v>
      </c>
      <c r="G1281" s="12"/>
      <c r="H1281" s="12"/>
    </row>
    <row r="1282" spans="1:8" hidden="1" x14ac:dyDescent="0.2">
      <c r="A1282" s="4" t="s">
        <v>2005</v>
      </c>
      <c r="B1282" s="21">
        <v>43823</v>
      </c>
      <c r="C1282" s="12">
        <v>5</v>
      </c>
      <c r="D1282" s="22" t="s">
        <v>766</v>
      </c>
      <c r="E1282" s="23">
        <v>43821</v>
      </c>
      <c r="F1282" s="24" t="s">
        <v>103</v>
      </c>
      <c r="G1282" s="12"/>
      <c r="H1282" s="12"/>
    </row>
    <row r="1283" spans="1:8" hidden="1" x14ac:dyDescent="0.2">
      <c r="A1283" s="4" t="s">
        <v>2005</v>
      </c>
      <c r="B1283" s="21">
        <v>43823</v>
      </c>
      <c r="C1283" s="12">
        <v>6</v>
      </c>
      <c r="D1283" s="22" t="s">
        <v>2160</v>
      </c>
      <c r="E1283" s="23">
        <v>43823</v>
      </c>
      <c r="F1283" s="24" t="s">
        <v>85</v>
      </c>
      <c r="G1283" s="12"/>
      <c r="H1283" s="12"/>
    </row>
    <row r="1284" spans="1:8" hidden="1" x14ac:dyDescent="0.2">
      <c r="A1284" s="4" t="s">
        <v>2005</v>
      </c>
      <c r="B1284" s="21">
        <v>43823</v>
      </c>
      <c r="C1284" s="12">
        <v>7</v>
      </c>
      <c r="D1284" s="22" t="s">
        <v>772</v>
      </c>
      <c r="E1284" s="23">
        <v>43826</v>
      </c>
      <c r="F1284" s="24" t="s">
        <v>85</v>
      </c>
      <c r="G1284" s="12"/>
      <c r="H1284" s="12"/>
    </row>
    <row r="1285" spans="1:8" hidden="1" x14ac:dyDescent="0.2">
      <c r="A1285" s="4" t="s">
        <v>2004</v>
      </c>
      <c r="B1285" s="21">
        <v>43823</v>
      </c>
      <c r="C1285" s="12">
        <v>1</v>
      </c>
      <c r="D1285" s="22" t="s">
        <v>2081</v>
      </c>
      <c r="E1285" s="23">
        <v>43819</v>
      </c>
      <c r="F1285" s="24" t="s">
        <v>103</v>
      </c>
      <c r="G1285" s="12"/>
      <c r="H1285" s="12"/>
    </row>
    <row r="1286" spans="1:8" hidden="1" x14ac:dyDescent="0.2">
      <c r="A1286" s="4" t="s">
        <v>2004</v>
      </c>
      <c r="B1286" s="21">
        <v>43823</v>
      </c>
      <c r="C1286" s="12">
        <v>2</v>
      </c>
      <c r="D1286" s="22" t="s">
        <v>2182</v>
      </c>
      <c r="E1286" s="23">
        <v>43821</v>
      </c>
      <c r="F1286" s="24" t="s">
        <v>103</v>
      </c>
      <c r="G1286" s="12"/>
      <c r="H1286" s="12"/>
    </row>
    <row r="1287" spans="1:8" hidden="1" x14ac:dyDescent="0.2">
      <c r="A1287" s="4" t="s">
        <v>2004</v>
      </c>
      <c r="B1287" s="21">
        <v>43823</v>
      </c>
      <c r="C1287" s="12">
        <v>3</v>
      </c>
      <c r="D1287" s="22" t="s">
        <v>2193</v>
      </c>
      <c r="E1287" s="23">
        <v>43822</v>
      </c>
      <c r="F1287" s="24" t="s">
        <v>103</v>
      </c>
      <c r="G1287" s="12"/>
      <c r="H1287" s="12"/>
    </row>
    <row r="1288" spans="1:8" hidden="1" x14ac:dyDescent="0.2">
      <c r="A1288" s="4" t="s">
        <v>2004</v>
      </c>
      <c r="B1288" s="21">
        <v>43823</v>
      </c>
      <c r="C1288" s="12">
        <v>4</v>
      </c>
      <c r="D1288" s="22" t="s">
        <v>2240</v>
      </c>
      <c r="E1288" s="23">
        <v>43824</v>
      </c>
      <c r="F1288" s="24" t="s">
        <v>2030</v>
      </c>
      <c r="G1288" s="12"/>
      <c r="H1288" s="12"/>
    </row>
    <row r="1289" spans="1:8" hidden="1" x14ac:dyDescent="0.2">
      <c r="A1289" s="4" t="s">
        <v>2004</v>
      </c>
      <c r="B1289" s="21">
        <v>43823</v>
      </c>
      <c r="C1289" s="12">
        <v>5</v>
      </c>
      <c r="D1289" s="22" t="s">
        <v>2242</v>
      </c>
      <c r="E1289" s="23">
        <v>43824</v>
      </c>
      <c r="F1289" s="24" t="s">
        <v>2030</v>
      </c>
      <c r="G1289" s="12"/>
      <c r="H1289" s="12"/>
    </row>
    <row r="1290" spans="1:8" hidden="1" x14ac:dyDescent="0.2">
      <c r="A1290" s="4" t="s">
        <v>2011</v>
      </c>
      <c r="B1290" s="21">
        <v>43823</v>
      </c>
      <c r="C1290" s="12">
        <v>1</v>
      </c>
      <c r="D1290" s="22" t="s">
        <v>1340</v>
      </c>
      <c r="E1290" s="23">
        <v>43803</v>
      </c>
      <c r="F1290" s="24" t="s">
        <v>103</v>
      </c>
      <c r="G1290" s="12"/>
      <c r="H1290" s="12"/>
    </row>
    <row r="1291" spans="1:8" hidden="1" x14ac:dyDescent="0.2">
      <c r="A1291" s="4" t="s">
        <v>2011</v>
      </c>
      <c r="B1291" s="21">
        <v>43823</v>
      </c>
      <c r="C1291" s="12">
        <v>2</v>
      </c>
      <c r="D1291" s="22" t="s">
        <v>1664</v>
      </c>
      <c r="E1291" s="23">
        <v>43804</v>
      </c>
      <c r="F1291" s="24" t="s">
        <v>1665</v>
      </c>
      <c r="G1291" s="12"/>
      <c r="H1291" s="12"/>
    </row>
    <row r="1292" spans="1:8" hidden="1" x14ac:dyDescent="0.2">
      <c r="A1292" s="4" t="s">
        <v>2011</v>
      </c>
      <c r="B1292" s="21">
        <v>43823</v>
      </c>
      <c r="C1292" s="12">
        <v>3</v>
      </c>
      <c r="D1292" s="22" t="s">
        <v>2069</v>
      </c>
      <c r="E1292" s="23">
        <v>43819</v>
      </c>
      <c r="F1292" s="24" t="s">
        <v>103</v>
      </c>
      <c r="G1292" s="12"/>
      <c r="H1292" s="12"/>
    </row>
    <row r="1293" spans="1:8" hidden="1" x14ac:dyDescent="0.2">
      <c r="A1293" s="4" t="s">
        <v>2011</v>
      </c>
      <c r="B1293" s="21">
        <v>43823</v>
      </c>
      <c r="C1293" s="12">
        <v>4</v>
      </c>
      <c r="D1293" s="22" t="s">
        <v>2070</v>
      </c>
      <c r="E1293" s="23">
        <v>43819</v>
      </c>
      <c r="F1293" s="24" t="s">
        <v>103</v>
      </c>
      <c r="G1293" s="12"/>
      <c r="H1293" s="12"/>
    </row>
    <row r="1294" spans="1:8" hidden="1" x14ac:dyDescent="0.2">
      <c r="A1294" s="4" t="s">
        <v>2011</v>
      </c>
      <c r="B1294" s="21">
        <v>43823</v>
      </c>
      <c r="C1294" s="12">
        <v>5</v>
      </c>
      <c r="D1294" s="22" t="s">
        <v>234</v>
      </c>
      <c r="E1294" s="23">
        <v>43818</v>
      </c>
      <c r="F1294" s="24" t="s">
        <v>103</v>
      </c>
      <c r="G1294" s="12"/>
      <c r="H1294" s="12"/>
    </row>
    <row r="1295" spans="1:8" hidden="1" x14ac:dyDescent="0.2">
      <c r="A1295" s="4" t="s">
        <v>2011</v>
      </c>
      <c r="B1295" s="21">
        <v>43823</v>
      </c>
      <c r="C1295" s="12">
        <v>6</v>
      </c>
      <c r="D1295" s="22" t="s">
        <v>2072</v>
      </c>
      <c r="E1295" s="23">
        <v>43819</v>
      </c>
      <c r="F1295" s="24" t="s">
        <v>103</v>
      </c>
      <c r="G1295" s="12"/>
      <c r="H1295" s="12"/>
    </row>
    <row r="1296" spans="1:8" hidden="1" x14ac:dyDescent="0.2">
      <c r="A1296" s="4" t="s">
        <v>2011</v>
      </c>
      <c r="B1296" s="21">
        <v>43823</v>
      </c>
      <c r="C1296" s="12">
        <v>7</v>
      </c>
      <c r="D1296" s="22" t="s">
        <v>2177</v>
      </c>
      <c r="E1296" s="23">
        <v>43824</v>
      </c>
      <c r="F1296" s="24" t="s">
        <v>85</v>
      </c>
      <c r="G1296" s="12"/>
      <c r="H1296" s="12"/>
    </row>
    <row r="1297" spans="1:8" hidden="1" x14ac:dyDescent="0.2">
      <c r="A1297" s="4" t="s">
        <v>2011</v>
      </c>
      <c r="B1297" s="21">
        <v>43823</v>
      </c>
      <c r="C1297" s="12">
        <v>8</v>
      </c>
      <c r="D1297" s="22" t="s">
        <v>2231</v>
      </c>
      <c r="E1297" s="23">
        <v>43824</v>
      </c>
      <c r="F1297" s="24" t="s">
        <v>85</v>
      </c>
      <c r="G1297" s="12"/>
      <c r="H1297" s="12"/>
    </row>
    <row r="1298" spans="1:8" hidden="1" x14ac:dyDescent="0.2">
      <c r="A1298" s="4" t="s">
        <v>2011</v>
      </c>
      <c r="B1298" s="21">
        <v>43823</v>
      </c>
      <c r="C1298" s="12">
        <v>9</v>
      </c>
      <c r="D1298" s="22" t="s">
        <v>1291</v>
      </c>
      <c r="E1298" s="23">
        <v>43824</v>
      </c>
      <c r="F1298" s="24" t="s">
        <v>85</v>
      </c>
      <c r="G1298" s="12"/>
      <c r="H1298" s="12"/>
    </row>
    <row r="1299" spans="1:8" hidden="1" x14ac:dyDescent="0.2">
      <c r="A1299" s="4" t="s">
        <v>2011</v>
      </c>
      <c r="B1299" s="21">
        <v>43823</v>
      </c>
      <c r="C1299" s="12">
        <v>10</v>
      </c>
      <c r="D1299" s="22" t="s">
        <v>1613</v>
      </c>
      <c r="E1299" s="23">
        <v>43823</v>
      </c>
      <c r="F1299" s="24" t="s">
        <v>85</v>
      </c>
      <c r="G1299" s="12"/>
      <c r="H1299" s="12"/>
    </row>
    <row r="1300" spans="1:8" hidden="1" x14ac:dyDescent="0.2">
      <c r="A1300" s="4" t="s">
        <v>1763</v>
      </c>
      <c r="B1300" s="21">
        <v>43823</v>
      </c>
      <c r="C1300" s="12">
        <v>1</v>
      </c>
      <c r="D1300" s="22" t="s">
        <v>1970</v>
      </c>
      <c r="E1300" s="23">
        <v>43815</v>
      </c>
      <c r="F1300" s="24" t="s">
        <v>103</v>
      </c>
      <c r="G1300" s="12"/>
      <c r="H1300" s="12"/>
    </row>
    <row r="1301" spans="1:8" hidden="1" x14ac:dyDescent="0.2">
      <c r="A1301" s="4" t="s">
        <v>1763</v>
      </c>
      <c r="B1301" s="21">
        <v>43823</v>
      </c>
      <c r="C1301" s="12">
        <v>2</v>
      </c>
      <c r="D1301" s="22" t="s">
        <v>2056</v>
      </c>
      <c r="E1301" s="23">
        <v>43818</v>
      </c>
      <c r="F1301" s="24" t="s">
        <v>103</v>
      </c>
      <c r="G1301" s="12"/>
      <c r="H1301" s="12"/>
    </row>
    <row r="1302" spans="1:8" hidden="1" x14ac:dyDescent="0.2">
      <c r="A1302" s="4" t="s">
        <v>1763</v>
      </c>
      <c r="B1302" s="21">
        <v>43823</v>
      </c>
      <c r="C1302" s="12">
        <v>3</v>
      </c>
      <c r="D1302" s="22" t="s">
        <v>2058</v>
      </c>
      <c r="E1302" s="23">
        <v>43818</v>
      </c>
      <c r="F1302" s="24" t="s">
        <v>103</v>
      </c>
      <c r="G1302" s="12"/>
      <c r="H1302" s="12"/>
    </row>
    <row r="1303" spans="1:8" hidden="1" x14ac:dyDescent="0.2">
      <c r="A1303" s="4" t="s">
        <v>1763</v>
      </c>
      <c r="B1303" s="21">
        <v>43823</v>
      </c>
      <c r="C1303" s="12">
        <v>4</v>
      </c>
      <c r="D1303" s="22" t="s">
        <v>1556</v>
      </c>
      <c r="E1303" s="23">
        <v>43819</v>
      </c>
      <c r="F1303" s="24" t="s">
        <v>103</v>
      </c>
      <c r="G1303" s="12"/>
      <c r="H1303" s="12"/>
    </row>
    <row r="1304" spans="1:8" hidden="1" x14ac:dyDescent="0.2">
      <c r="A1304" s="4" t="s">
        <v>1763</v>
      </c>
      <c r="B1304" s="21">
        <v>43823</v>
      </c>
      <c r="C1304" s="12">
        <v>5</v>
      </c>
      <c r="D1304" s="22" t="s">
        <v>2232</v>
      </c>
      <c r="E1304" s="23">
        <v>43824</v>
      </c>
      <c r="F1304" s="24" t="s">
        <v>85</v>
      </c>
      <c r="G1304" s="12"/>
      <c r="H1304" s="12"/>
    </row>
    <row r="1305" spans="1:8" hidden="1" x14ac:dyDescent="0.2">
      <c r="A1305" s="4" t="s">
        <v>1763</v>
      </c>
      <c r="B1305" s="21">
        <v>43823</v>
      </c>
      <c r="C1305" s="12">
        <v>6</v>
      </c>
      <c r="D1305" s="22" t="s">
        <v>1291</v>
      </c>
      <c r="E1305" s="23">
        <v>43823</v>
      </c>
      <c r="F1305" s="24" t="s">
        <v>259</v>
      </c>
      <c r="G1305" s="12"/>
      <c r="H1305" s="12"/>
    </row>
    <row r="1306" spans="1:8" hidden="1" x14ac:dyDescent="0.2">
      <c r="A1306" s="4" t="s">
        <v>1763</v>
      </c>
      <c r="B1306" s="21">
        <v>43823</v>
      </c>
      <c r="C1306" s="12">
        <v>7</v>
      </c>
      <c r="D1306" s="22" t="s">
        <v>1292</v>
      </c>
      <c r="E1306" s="23">
        <v>43823</v>
      </c>
      <c r="F1306" s="24" t="s">
        <v>85</v>
      </c>
      <c r="G1306" s="12"/>
      <c r="H1306" s="12"/>
    </row>
    <row r="1307" spans="1:8" hidden="1" x14ac:dyDescent="0.2">
      <c r="A1307" s="4" t="s">
        <v>2009</v>
      </c>
      <c r="B1307" s="21">
        <v>43824</v>
      </c>
      <c r="C1307" s="12">
        <v>1</v>
      </c>
      <c r="D1307" s="22" t="s">
        <v>1470</v>
      </c>
      <c r="E1307" s="23">
        <v>43789</v>
      </c>
      <c r="F1307" s="24" t="s">
        <v>103</v>
      </c>
      <c r="G1307" s="12"/>
      <c r="H1307" s="12"/>
    </row>
    <row r="1308" spans="1:8" hidden="1" x14ac:dyDescent="0.2">
      <c r="A1308" s="4" t="s">
        <v>2009</v>
      </c>
      <c r="B1308" s="21">
        <v>43824</v>
      </c>
      <c r="C1308" s="12">
        <v>2</v>
      </c>
      <c r="D1308" s="22" t="s">
        <v>2061</v>
      </c>
      <c r="E1308" s="23">
        <v>43818</v>
      </c>
      <c r="F1308" s="24" t="s">
        <v>103</v>
      </c>
      <c r="G1308" s="12"/>
      <c r="H1308" s="12"/>
    </row>
    <row r="1309" spans="1:8" hidden="1" x14ac:dyDescent="0.2">
      <c r="A1309" s="4" t="s">
        <v>2009</v>
      </c>
      <c r="B1309" s="21">
        <v>43824</v>
      </c>
      <c r="C1309" s="12">
        <v>3</v>
      </c>
      <c r="D1309" s="22" t="s">
        <v>811</v>
      </c>
      <c r="E1309" s="23">
        <v>43819</v>
      </c>
      <c r="F1309" s="24" t="s">
        <v>103</v>
      </c>
      <c r="G1309" s="12"/>
      <c r="H1309" s="12"/>
    </row>
    <row r="1310" spans="1:8" hidden="1" x14ac:dyDescent="0.2">
      <c r="A1310" s="4" t="s">
        <v>2009</v>
      </c>
      <c r="B1310" s="21">
        <v>43824</v>
      </c>
      <c r="C1310" s="12">
        <v>4</v>
      </c>
      <c r="D1310" s="22" t="s">
        <v>2087</v>
      </c>
      <c r="E1310" s="23">
        <v>43820</v>
      </c>
      <c r="F1310" s="24" t="s">
        <v>103</v>
      </c>
      <c r="G1310" s="12"/>
      <c r="H1310" s="12"/>
    </row>
    <row r="1311" spans="1:8" hidden="1" x14ac:dyDescent="0.2">
      <c r="A1311" s="4" t="s">
        <v>2009</v>
      </c>
      <c r="B1311" s="21">
        <v>43824</v>
      </c>
      <c r="C1311" s="12">
        <v>5</v>
      </c>
      <c r="D1311" s="22" t="s">
        <v>2084</v>
      </c>
      <c r="E1311" s="23">
        <v>43821</v>
      </c>
      <c r="F1311" s="24" t="s">
        <v>103</v>
      </c>
      <c r="G1311" s="12"/>
      <c r="H1311" s="12"/>
    </row>
    <row r="1312" spans="1:8" hidden="1" x14ac:dyDescent="0.2">
      <c r="A1312" s="4" t="s">
        <v>2009</v>
      </c>
      <c r="B1312" s="21">
        <v>43824</v>
      </c>
      <c r="C1312" s="12">
        <v>6</v>
      </c>
      <c r="D1312" s="22" t="s">
        <v>814</v>
      </c>
      <c r="E1312" s="23">
        <v>43819</v>
      </c>
      <c r="F1312" s="24" t="s">
        <v>103</v>
      </c>
      <c r="G1312" s="12"/>
      <c r="H1312" s="12"/>
    </row>
    <row r="1313" spans="1:8" hidden="1" x14ac:dyDescent="0.2">
      <c r="A1313" s="4" t="s">
        <v>2009</v>
      </c>
      <c r="B1313" s="21">
        <v>43824</v>
      </c>
      <c r="C1313" s="12">
        <v>7</v>
      </c>
      <c r="D1313" s="22" t="s">
        <v>818</v>
      </c>
      <c r="E1313" s="23">
        <v>43819</v>
      </c>
      <c r="F1313" s="24" t="s">
        <v>103</v>
      </c>
      <c r="G1313" s="12"/>
      <c r="H1313" s="12"/>
    </row>
    <row r="1314" spans="1:8" hidden="1" x14ac:dyDescent="0.2">
      <c r="A1314" s="4" t="s">
        <v>2009</v>
      </c>
      <c r="B1314" s="21">
        <v>43824</v>
      </c>
      <c r="C1314" s="12">
        <v>8</v>
      </c>
      <c r="D1314" s="22" t="s">
        <v>822</v>
      </c>
      <c r="E1314" s="23">
        <v>43819</v>
      </c>
      <c r="F1314" s="24" t="s">
        <v>259</v>
      </c>
      <c r="G1314" s="12"/>
      <c r="H1314" s="12"/>
    </row>
    <row r="1315" spans="1:8" hidden="1" x14ac:dyDescent="0.2">
      <c r="A1315" s="4" t="s">
        <v>2009</v>
      </c>
      <c r="B1315" s="21">
        <v>43824</v>
      </c>
      <c r="C1315" s="12">
        <v>9</v>
      </c>
      <c r="D1315" s="22" t="s">
        <v>2234</v>
      </c>
      <c r="E1315" s="23">
        <v>43820</v>
      </c>
      <c r="F1315" s="24" t="s">
        <v>103</v>
      </c>
      <c r="G1315" s="12"/>
      <c r="H1315" s="12"/>
    </row>
    <row r="1316" spans="1:8" hidden="1" x14ac:dyDescent="0.2">
      <c r="A1316" s="4" t="s">
        <v>2009</v>
      </c>
      <c r="B1316" s="21">
        <v>43824</v>
      </c>
      <c r="C1316" s="12">
        <v>10</v>
      </c>
      <c r="D1316" s="22" t="s">
        <v>2108</v>
      </c>
      <c r="E1316" s="23">
        <v>43823</v>
      </c>
      <c r="F1316" s="24" t="s">
        <v>86</v>
      </c>
      <c r="G1316" s="12"/>
      <c r="H1316" s="12"/>
    </row>
    <row r="1317" spans="1:8" hidden="1" x14ac:dyDescent="0.2">
      <c r="A1317" s="4" t="s">
        <v>2009</v>
      </c>
      <c r="B1317" s="21">
        <v>43824</v>
      </c>
      <c r="C1317" s="12">
        <v>11</v>
      </c>
      <c r="D1317" s="7" t="s">
        <v>826</v>
      </c>
      <c r="E1317" s="23">
        <v>43824</v>
      </c>
      <c r="F1317" s="24" t="s">
        <v>86</v>
      </c>
      <c r="G1317" s="12"/>
      <c r="H1317" s="12"/>
    </row>
    <row r="1318" spans="1:8" hidden="1" x14ac:dyDescent="0.2">
      <c r="A1318" s="4" t="s">
        <v>1947</v>
      </c>
      <c r="B1318" s="21">
        <v>43824</v>
      </c>
      <c r="C1318" s="12">
        <v>1</v>
      </c>
      <c r="D1318" s="22" t="s">
        <v>1948</v>
      </c>
      <c r="E1318" s="23">
        <v>43819</v>
      </c>
      <c r="F1318" s="24" t="s">
        <v>103</v>
      </c>
      <c r="G1318" s="12"/>
      <c r="H1318" s="12"/>
    </row>
    <row r="1319" spans="1:8" hidden="1" x14ac:dyDescent="0.2">
      <c r="A1319" s="4" t="s">
        <v>1947</v>
      </c>
      <c r="B1319" s="21">
        <v>43824</v>
      </c>
      <c r="C1319" s="12">
        <v>2</v>
      </c>
      <c r="D1319" s="22" t="s">
        <v>2080</v>
      </c>
      <c r="E1319" s="23">
        <v>43819</v>
      </c>
      <c r="F1319" s="24" t="s">
        <v>103</v>
      </c>
      <c r="G1319" s="12"/>
      <c r="H1319" s="12"/>
    </row>
    <row r="1320" spans="1:8" hidden="1" x14ac:dyDescent="0.2">
      <c r="A1320" s="4" t="s">
        <v>1947</v>
      </c>
      <c r="B1320" s="21">
        <v>43824</v>
      </c>
      <c r="C1320" s="12">
        <v>3</v>
      </c>
      <c r="D1320" s="22" t="s">
        <v>2109</v>
      </c>
      <c r="E1320" s="23">
        <v>43823</v>
      </c>
      <c r="F1320" s="24" t="s">
        <v>85</v>
      </c>
      <c r="G1320" s="12"/>
      <c r="H1320" s="12"/>
    </row>
    <row r="1321" spans="1:8" hidden="1" x14ac:dyDescent="0.2">
      <c r="A1321" s="4" t="s">
        <v>1947</v>
      </c>
      <c r="B1321" s="21">
        <v>43824</v>
      </c>
      <c r="C1321" s="12">
        <v>4</v>
      </c>
      <c r="D1321" s="22" t="s">
        <v>2083</v>
      </c>
      <c r="E1321" s="23">
        <v>43819</v>
      </c>
      <c r="F1321" s="24" t="s">
        <v>103</v>
      </c>
      <c r="G1321" s="12"/>
      <c r="H1321" s="12"/>
    </row>
    <row r="1322" spans="1:8" hidden="1" x14ac:dyDescent="0.2">
      <c r="A1322" s="4" t="s">
        <v>1947</v>
      </c>
      <c r="B1322" s="21">
        <v>43824</v>
      </c>
      <c r="C1322" s="12">
        <v>5</v>
      </c>
      <c r="D1322" s="22" t="s">
        <v>2110</v>
      </c>
      <c r="E1322" s="23">
        <v>43821</v>
      </c>
      <c r="F1322" s="24" t="s">
        <v>103</v>
      </c>
      <c r="G1322" s="12"/>
      <c r="H1322" s="12"/>
    </row>
    <row r="1323" spans="1:8" hidden="1" x14ac:dyDescent="0.2">
      <c r="A1323" s="4" t="s">
        <v>1947</v>
      </c>
      <c r="B1323" s="21">
        <v>43824</v>
      </c>
      <c r="C1323" s="12">
        <v>7</v>
      </c>
      <c r="D1323" s="22" t="s">
        <v>2235</v>
      </c>
      <c r="E1323" s="23">
        <v>43824</v>
      </c>
      <c r="F1323" s="24" t="s">
        <v>85</v>
      </c>
      <c r="G1323" s="12"/>
      <c r="H1323" s="12"/>
    </row>
    <row r="1324" spans="1:8" hidden="1" x14ac:dyDescent="0.2">
      <c r="A1324" s="4" t="s">
        <v>1947</v>
      </c>
      <c r="B1324" s="21">
        <v>43824</v>
      </c>
      <c r="C1324" s="12">
        <v>8</v>
      </c>
      <c r="D1324" s="22" t="s">
        <v>894</v>
      </c>
      <c r="E1324" s="23">
        <v>43823</v>
      </c>
      <c r="F1324" s="24" t="s">
        <v>85</v>
      </c>
      <c r="G1324" s="12"/>
      <c r="H1324" s="12"/>
    </row>
    <row r="1325" spans="1:8" hidden="1" x14ac:dyDescent="0.2">
      <c r="A1325" s="4" t="s">
        <v>2154</v>
      </c>
      <c r="B1325" s="21">
        <v>43824</v>
      </c>
      <c r="C1325" s="12">
        <v>1</v>
      </c>
      <c r="D1325" s="22" t="s">
        <v>2155</v>
      </c>
      <c r="E1325" s="23">
        <v>43819</v>
      </c>
      <c r="F1325" s="24" t="s">
        <v>2156</v>
      </c>
      <c r="G1325" s="12"/>
      <c r="H1325" s="12"/>
    </row>
    <row r="1326" spans="1:8" hidden="1" x14ac:dyDescent="0.2">
      <c r="A1326" s="4" t="s">
        <v>2154</v>
      </c>
      <c r="B1326" s="21">
        <v>43824</v>
      </c>
      <c r="C1326" s="12">
        <v>2</v>
      </c>
      <c r="D1326" s="22" t="s">
        <v>943</v>
      </c>
      <c r="E1326" s="23">
        <v>43819</v>
      </c>
      <c r="F1326" s="24" t="s">
        <v>2156</v>
      </c>
      <c r="G1326" s="12"/>
      <c r="H1326" s="12"/>
    </row>
    <row r="1327" spans="1:8" hidden="1" x14ac:dyDescent="0.2">
      <c r="A1327" s="4" t="s">
        <v>2154</v>
      </c>
      <c r="B1327" s="21">
        <v>43824</v>
      </c>
      <c r="C1327" s="12">
        <v>3</v>
      </c>
      <c r="D1327" s="22" t="s">
        <v>2157</v>
      </c>
      <c r="E1327" s="23">
        <v>43819</v>
      </c>
      <c r="F1327" s="24" t="s">
        <v>2156</v>
      </c>
      <c r="G1327" s="12"/>
      <c r="H1327" s="12"/>
    </row>
    <row r="1328" spans="1:8" hidden="1" x14ac:dyDescent="0.2">
      <c r="A1328" s="4" t="s">
        <v>2154</v>
      </c>
      <c r="B1328" s="21">
        <v>43824</v>
      </c>
      <c r="C1328" s="12">
        <v>4</v>
      </c>
      <c r="D1328" s="22" t="s">
        <v>888</v>
      </c>
      <c r="E1328" s="23">
        <v>43819</v>
      </c>
      <c r="F1328" s="24" t="s">
        <v>2156</v>
      </c>
      <c r="G1328" s="12"/>
      <c r="H1328" s="12"/>
    </row>
    <row r="1329" spans="1:8" hidden="1" x14ac:dyDescent="0.2">
      <c r="A1329" s="4" t="s">
        <v>2154</v>
      </c>
      <c r="B1329" s="21">
        <v>43824</v>
      </c>
      <c r="C1329" s="12">
        <v>5</v>
      </c>
      <c r="D1329" s="22" t="s">
        <v>2236</v>
      </c>
      <c r="E1329" s="23">
        <v>43822</v>
      </c>
      <c r="F1329" s="24" t="s">
        <v>103</v>
      </c>
      <c r="G1329" s="12"/>
      <c r="H1329" s="12"/>
    </row>
    <row r="1330" spans="1:8" hidden="1" x14ac:dyDescent="0.2">
      <c r="A1330" s="4" t="s">
        <v>2154</v>
      </c>
      <c r="B1330" s="21">
        <v>43824</v>
      </c>
      <c r="C1330" s="12">
        <v>6</v>
      </c>
      <c r="D1330" s="22" t="s">
        <v>2235</v>
      </c>
      <c r="E1330" s="23">
        <v>43824</v>
      </c>
      <c r="F1330" s="24" t="s">
        <v>85</v>
      </c>
      <c r="G1330" s="12"/>
      <c r="H1330" s="12"/>
    </row>
    <row r="1331" spans="1:8" hidden="1" x14ac:dyDescent="0.2">
      <c r="A1331" s="4" t="s">
        <v>2154</v>
      </c>
      <c r="B1331" s="21">
        <v>43824</v>
      </c>
      <c r="C1331" s="12">
        <v>7</v>
      </c>
      <c r="D1331" s="22" t="s">
        <v>894</v>
      </c>
      <c r="E1331" s="23">
        <v>43823</v>
      </c>
      <c r="F1331" s="24" t="s">
        <v>85</v>
      </c>
      <c r="G1331" s="12"/>
      <c r="H1331" s="12"/>
    </row>
    <row r="1332" spans="1:8" hidden="1" x14ac:dyDescent="0.2">
      <c r="A1332" s="4" t="s">
        <v>1940</v>
      </c>
      <c r="B1332" s="21">
        <v>43824</v>
      </c>
      <c r="C1332" s="12">
        <v>1</v>
      </c>
      <c r="D1332" s="22" t="s">
        <v>1992</v>
      </c>
      <c r="E1332" s="23">
        <v>43816</v>
      </c>
      <c r="F1332" s="24" t="s">
        <v>103</v>
      </c>
      <c r="G1332" s="12"/>
      <c r="H1332" s="12"/>
    </row>
    <row r="1333" spans="1:8" hidden="1" x14ac:dyDescent="0.2">
      <c r="A1333" s="4" t="s">
        <v>1940</v>
      </c>
      <c r="B1333" s="21">
        <v>43824</v>
      </c>
      <c r="C1333" s="12">
        <v>2</v>
      </c>
      <c r="D1333" s="22" t="s">
        <v>2077</v>
      </c>
      <c r="E1333" s="23">
        <v>43819</v>
      </c>
      <c r="F1333" s="24" t="s">
        <v>103</v>
      </c>
      <c r="G1333" s="12"/>
      <c r="H1333" s="12"/>
    </row>
    <row r="1334" spans="1:8" hidden="1" x14ac:dyDescent="0.2">
      <c r="A1334" s="4" t="s">
        <v>1940</v>
      </c>
      <c r="B1334" s="21">
        <v>43824</v>
      </c>
      <c r="C1334" s="12">
        <v>3</v>
      </c>
      <c r="D1334" s="22" t="s">
        <v>2111</v>
      </c>
      <c r="E1334" s="23">
        <v>43821</v>
      </c>
      <c r="F1334" s="24" t="s">
        <v>103</v>
      </c>
      <c r="G1334" s="12"/>
      <c r="H1334" s="12"/>
    </row>
    <row r="1335" spans="1:8" hidden="1" x14ac:dyDescent="0.2">
      <c r="A1335" s="4" t="s">
        <v>1940</v>
      </c>
      <c r="B1335" s="21">
        <v>43824</v>
      </c>
      <c r="C1335" s="12">
        <v>4</v>
      </c>
      <c r="D1335" s="22" t="s">
        <v>888</v>
      </c>
      <c r="E1335" s="23">
        <v>43822</v>
      </c>
      <c r="F1335" s="24" t="s">
        <v>103</v>
      </c>
      <c r="G1335" s="12"/>
      <c r="H1335" s="12"/>
    </row>
    <row r="1336" spans="1:8" hidden="1" x14ac:dyDescent="0.2">
      <c r="A1336" s="4" t="s">
        <v>1940</v>
      </c>
      <c r="B1336" s="21">
        <v>43824</v>
      </c>
      <c r="C1336" s="12">
        <v>5</v>
      </c>
      <c r="D1336" s="22" t="s">
        <v>890</v>
      </c>
      <c r="E1336" s="23">
        <v>43822</v>
      </c>
      <c r="F1336" s="24" t="s">
        <v>259</v>
      </c>
      <c r="G1336" s="12"/>
      <c r="H1336" s="12"/>
    </row>
    <row r="1337" spans="1:8" hidden="1" x14ac:dyDescent="0.2">
      <c r="A1337" s="4" t="s">
        <v>1940</v>
      </c>
      <c r="B1337" s="21">
        <v>43824</v>
      </c>
      <c r="C1337" s="12">
        <v>6</v>
      </c>
      <c r="D1337" s="22" t="s">
        <v>2237</v>
      </c>
      <c r="E1337" s="23">
        <v>43823</v>
      </c>
      <c r="F1337" s="24" t="s">
        <v>85</v>
      </c>
      <c r="G1337" s="12"/>
      <c r="H1337" s="12"/>
    </row>
    <row r="1338" spans="1:8" hidden="1" x14ac:dyDescent="0.2">
      <c r="A1338" s="4" t="s">
        <v>1940</v>
      </c>
      <c r="B1338" s="21">
        <v>43824</v>
      </c>
      <c r="C1338" s="12">
        <v>7</v>
      </c>
      <c r="D1338" s="22" t="s">
        <v>2238</v>
      </c>
      <c r="E1338" s="23">
        <v>43825</v>
      </c>
      <c r="F1338" s="24" t="s">
        <v>85</v>
      </c>
      <c r="G1338" s="12"/>
      <c r="H1338" s="12"/>
    </row>
    <row r="1339" spans="1:8" hidden="1" x14ac:dyDescent="0.2">
      <c r="A1339" s="4" t="s">
        <v>1940</v>
      </c>
      <c r="B1339" s="21">
        <v>43824</v>
      </c>
      <c r="C1339" s="12">
        <v>8</v>
      </c>
      <c r="D1339" s="22" t="s">
        <v>894</v>
      </c>
      <c r="E1339" s="23">
        <v>43823</v>
      </c>
      <c r="F1339" s="24" t="s">
        <v>85</v>
      </c>
      <c r="G1339" s="12"/>
      <c r="H1339" s="12"/>
    </row>
    <row r="1340" spans="1:8" hidden="1" x14ac:dyDescent="0.2">
      <c r="A1340" s="4" t="s">
        <v>2098</v>
      </c>
      <c r="B1340" s="21">
        <v>43830</v>
      </c>
      <c r="C1340" s="12">
        <v>1</v>
      </c>
      <c r="D1340" s="22" t="s">
        <v>2239</v>
      </c>
      <c r="E1340" s="23">
        <v>43822</v>
      </c>
      <c r="F1340" s="24" t="s">
        <v>103</v>
      </c>
      <c r="G1340" s="12"/>
      <c r="H1340" s="12"/>
    </row>
    <row r="1341" spans="1:8" hidden="1" x14ac:dyDescent="0.2">
      <c r="A1341" s="4" t="s">
        <v>2098</v>
      </c>
      <c r="B1341" s="21">
        <v>43830</v>
      </c>
      <c r="C1341" s="12">
        <v>2</v>
      </c>
      <c r="D1341" s="22" t="s">
        <v>2216</v>
      </c>
      <c r="E1341" s="23">
        <v>43825</v>
      </c>
      <c r="F1341" s="24" t="s">
        <v>2102</v>
      </c>
      <c r="G1341" s="12"/>
      <c r="H1341" s="12"/>
    </row>
    <row r="1342" spans="1:8" hidden="1" x14ac:dyDescent="0.2">
      <c r="A1342" s="4" t="s">
        <v>2098</v>
      </c>
      <c r="B1342" s="21">
        <v>43830</v>
      </c>
      <c r="C1342" s="12">
        <v>3</v>
      </c>
      <c r="D1342" s="22" t="s">
        <v>2099</v>
      </c>
      <c r="E1342" s="23">
        <v>43825</v>
      </c>
      <c r="F1342" s="24" t="s">
        <v>2102</v>
      </c>
      <c r="G1342" s="12"/>
      <c r="H1342" s="12"/>
    </row>
    <row r="1343" spans="1:8" hidden="1" x14ac:dyDescent="0.2">
      <c r="A1343" s="4" t="s">
        <v>2098</v>
      </c>
      <c r="B1343" s="21">
        <v>43830</v>
      </c>
      <c r="C1343" s="12">
        <v>4</v>
      </c>
      <c r="D1343" s="22" t="s">
        <v>2100</v>
      </c>
      <c r="E1343" s="23">
        <v>43825</v>
      </c>
      <c r="F1343" s="24" t="s">
        <v>2102</v>
      </c>
      <c r="G1343" s="12"/>
      <c r="H1343" s="12"/>
    </row>
    <row r="1344" spans="1:8" hidden="1" x14ac:dyDescent="0.2">
      <c r="A1344" s="4" t="s">
        <v>2098</v>
      </c>
      <c r="B1344" s="21">
        <v>43830</v>
      </c>
      <c r="C1344" s="12">
        <v>5</v>
      </c>
      <c r="D1344" s="22" t="s">
        <v>2101</v>
      </c>
      <c r="E1344" s="23">
        <v>43825</v>
      </c>
      <c r="F1344" s="24" t="s">
        <v>2102</v>
      </c>
      <c r="G1344" s="12"/>
      <c r="H1344" s="12"/>
    </row>
    <row r="1345" spans="1:8" hidden="1" x14ac:dyDescent="0.2">
      <c r="A1345" s="4" t="s">
        <v>1769</v>
      </c>
      <c r="B1345" s="21">
        <v>43828</v>
      </c>
      <c r="C1345" s="12">
        <v>1</v>
      </c>
      <c r="D1345" s="22" t="s">
        <v>2135</v>
      </c>
      <c r="E1345" s="23">
        <v>43821</v>
      </c>
      <c r="F1345" s="24" t="s">
        <v>103</v>
      </c>
      <c r="G1345" s="12"/>
      <c r="H1345" s="12"/>
    </row>
    <row r="1346" spans="1:8" hidden="1" x14ac:dyDescent="0.2">
      <c r="A1346" s="4" t="s">
        <v>1769</v>
      </c>
      <c r="B1346" s="21">
        <v>43828</v>
      </c>
      <c r="C1346" s="12">
        <v>2</v>
      </c>
      <c r="D1346" s="22" t="s">
        <v>943</v>
      </c>
      <c r="E1346" s="23">
        <v>43822</v>
      </c>
      <c r="F1346" s="24" t="s">
        <v>103</v>
      </c>
      <c r="G1346" s="12"/>
      <c r="H1346" s="12"/>
    </row>
    <row r="1347" spans="1:8" hidden="1" x14ac:dyDescent="0.2">
      <c r="A1347" s="4" t="s">
        <v>1769</v>
      </c>
      <c r="B1347" s="21">
        <v>43828</v>
      </c>
      <c r="C1347" s="12">
        <v>3</v>
      </c>
      <c r="D1347" s="22" t="s">
        <v>2131</v>
      </c>
      <c r="E1347" s="23">
        <v>43823</v>
      </c>
      <c r="F1347" s="24" t="s">
        <v>85</v>
      </c>
      <c r="G1347" s="12"/>
      <c r="H1347" s="12"/>
    </row>
    <row r="1348" spans="1:8" hidden="1" x14ac:dyDescent="0.2">
      <c r="A1348" s="4" t="s">
        <v>1769</v>
      </c>
      <c r="B1348" s="21">
        <v>43828</v>
      </c>
      <c r="C1348" s="12">
        <v>4</v>
      </c>
      <c r="D1348" s="22" t="s">
        <v>888</v>
      </c>
      <c r="E1348" s="23">
        <v>43824</v>
      </c>
      <c r="F1348" s="24" t="s">
        <v>85</v>
      </c>
      <c r="G1348" s="12"/>
      <c r="H1348" s="12"/>
    </row>
    <row r="1349" spans="1:8" hidden="1" x14ac:dyDescent="0.2">
      <c r="A1349" s="4" t="s">
        <v>1769</v>
      </c>
      <c r="B1349" s="21">
        <v>43828</v>
      </c>
      <c r="C1349" s="12">
        <v>5</v>
      </c>
      <c r="D1349" s="22" t="s">
        <v>2133</v>
      </c>
      <c r="E1349" s="23">
        <v>43824</v>
      </c>
      <c r="F1349" s="24" t="s">
        <v>85</v>
      </c>
      <c r="G1349" s="12"/>
      <c r="H1349" s="12"/>
    </row>
    <row r="1350" spans="1:8" hidden="1" x14ac:dyDescent="0.2">
      <c r="A1350" s="4" t="s">
        <v>1769</v>
      </c>
      <c r="B1350" s="21">
        <v>43828</v>
      </c>
      <c r="C1350" s="12">
        <v>6</v>
      </c>
      <c r="D1350" s="22" t="s">
        <v>892</v>
      </c>
      <c r="E1350" s="23">
        <v>43824</v>
      </c>
      <c r="F1350" s="24" t="s">
        <v>85</v>
      </c>
      <c r="G1350" s="12"/>
      <c r="H1350" s="12"/>
    </row>
    <row r="1351" spans="1:8" hidden="1" x14ac:dyDescent="0.2">
      <c r="A1351" s="4" t="s">
        <v>1769</v>
      </c>
      <c r="B1351" s="21">
        <v>43828</v>
      </c>
      <c r="C1351" s="12">
        <v>7</v>
      </c>
      <c r="D1351" s="22" t="s">
        <v>894</v>
      </c>
      <c r="E1351" s="23">
        <v>43827</v>
      </c>
      <c r="F1351" s="24" t="s">
        <v>85</v>
      </c>
      <c r="G1351" s="12"/>
      <c r="H1351" s="12"/>
    </row>
    <row r="1352" spans="1:8" hidden="1" x14ac:dyDescent="0.2">
      <c r="A1352" s="4" t="s">
        <v>2148</v>
      </c>
      <c r="B1352" s="21">
        <v>43829</v>
      </c>
      <c r="C1352" s="12">
        <v>1</v>
      </c>
      <c r="D1352" s="22" t="s">
        <v>2151</v>
      </c>
      <c r="E1352" s="23">
        <v>43821</v>
      </c>
      <c r="F1352" s="24" t="s">
        <v>103</v>
      </c>
      <c r="G1352" s="12"/>
      <c r="H1352" s="12"/>
    </row>
    <row r="1353" spans="1:8" hidden="1" x14ac:dyDescent="0.2">
      <c r="A1353" s="4" t="s">
        <v>2148</v>
      </c>
      <c r="B1353" s="21">
        <v>43829</v>
      </c>
      <c r="C1353" s="12">
        <v>2</v>
      </c>
      <c r="D1353" s="22" t="s">
        <v>2181</v>
      </c>
      <c r="E1353" s="23">
        <v>43822</v>
      </c>
      <c r="F1353" s="24" t="s">
        <v>103</v>
      </c>
      <c r="G1353" s="12"/>
      <c r="H1353" s="12"/>
    </row>
    <row r="1354" spans="1:8" hidden="1" x14ac:dyDescent="0.2">
      <c r="A1354" s="4" t="s">
        <v>2148</v>
      </c>
      <c r="B1354" s="21">
        <v>43829</v>
      </c>
      <c r="C1354" s="12">
        <v>3</v>
      </c>
      <c r="D1354" s="22" t="s">
        <v>1205</v>
      </c>
      <c r="E1354" s="23">
        <v>43823</v>
      </c>
      <c r="F1354" s="24" t="s">
        <v>103</v>
      </c>
      <c r="G1354" s="12"/>
      <c r="H1354" s="12"/>
    </row>
    <row r="1355" spans="1:8" hidden="1" x14ac:dyDescent="0.2">
      <c r="A1355" s="4" t="s">
        <v>2148</v>
      </c>
      <c r="B1355" s="21">
        <v>43829</v>
      </c>
      <c r="C1355" s="12">
        <v>4</v>
      </c>
      <c r="D1355" s="22" t="s">
        <v>889</v>
      </c>
      <c r="E1355" s="23">
        <v>43825</v>
      </c>
      <c r="F1355" s="24" t="s">
        <v>86</v>
      </c>
      <c r="G1355" s="12"/>
      <c r="H1355" s="12"/>
    </row>
    <row r="1356" spans="1:8" hidden="1" x14ac:dyDescent="0.2">
      <c r="A1356" s="4" t="s">
        <v>2148</v>
      </c>
      <c r="B1356" s="21">
        <v>43829</v>
      </c>
      <c r="C1356" s="12">
        <v>5</v>
      </c>
      <c r="D1356" s="22" t="s">
        <v>2134</v>
      </c>
      <c r="E1356" s="23">
        <v>43825</v>
      </c>
      <c r="F1356" s="24" t="s">
        <v>86</v>
      </c>
      <c r="G1356" s="12"/>
      <c r="H1356" s="12"/>
    </row>
    <row r="1357" spans="1:8" hidden="1" x14ac:dyDescent="0.2">
      <c r="A1357" s="4" t="s">
        <v>2148</v>
      </c>
      <c r="B1357" s="21">
        <v>43829</v>
      </c>
      <c r="C1357" s="12">
        <v>6</v>
      </c>
      <c r="D1357" s="22" t="s">
        <v>893</v>
      </c>
      <c r="E1357" s="23">
        <v>43825</v>
      </c>
      <c r="F1357" s="24" t="s">
        <v>86</v>
      </c>
      <c r="G1357" s="12"/>
      <c r="H1357" s="12"/>
    </row>
    <row r="1358" spans="1:8" hidden="1" x14ac:dyDescent="0.2">
      <c r="A1358" s="4" t="s">
        <v>2148</v>
      </c>
      <c r="B1358" s="21">
        <v>43829</v>
      </c>
      <c r="C1358" s="12">
        <v>7</v>
      </c>
      <c r="D1358" s="22" t="s">
        <v>895</v>
      </c>
      <c r="E1358" s="23">
        <v>43827</v>
      </c>
      <c r="F1358" s="24" t="s">
        <v>86</v>
      </c>
      <c r="G1358" s="12"/>
      <c r="H1358" s="12"/>
    </row>
    <row r="1359" spans="1:8" hidden="1" x14ac:dyDescent="0.2">
      <c r="A1359" s="4" t="s">
        <v>2005</v>
      </c>
      <c r="B1359" s="21">
        <v>43830</v>
      </c>
      <c r="C1359" s="12">
        <v>1</v>
      </c>
      <c r="D1359" s="22" t="s">
        <v>1660</v>
      </c>
      <c r="E1359" s="23">
        <v>43804</v>
      </c>
      <c r="F1359" s="24" t="s">
        <v>103</v>
      </c>
      <c r="G1359" s="12"/>
      <c r="H1359" s="12"/>
    </row>
    <row r="1360" spans="1:8" hidden="1" x14ac:dyDescent="0.2">
      <c r="A1360" s="4" t="s">
        <v>2005</v>
      </c>
      <c r="B1360" s="21">
        <v>43830</v>
      </c>
      <c r="C1360" s="12">
        <v>2</v>
      </c>
      <c r="D1360" s="4" t="s">
        <v>1779</v>
      </c>
      <c r="E1360" s="23">
        <v>43824</v>
      </c>
      <c r="F1360" s="24" t="s">
        <v>85</v>
      </c>
      <c r="G1360" s="12"/>
      <c r="H1360" s="12"/>
    </row>
    <row r="1361" spans="1:9" hidden="1" x14ac:dyDescent="0.2">
      <c r="A1361" s="4" t="s">
        <v>2005</v>
      </c>
      <c r="B1361" s="21">
        <v>43830</v>
      </c>
      <c r="C1361" s="12">
        <v>3</v>
      </c>
      <c r="D1361" s="22" t="s">
        <v>764</v>
      </c>
      <c r="E1361" s="23">
        <v>43825</v>
      </c>
      <c r="F1361" s="24" t="s">
        <v>85</v>
      </c>
      <c r="G1361" s="12"/>
      <c r="H1361" s="12"/>
      <c r="I1361" s="4" t="s">
        <v>760</v>
      </c>
    </row>
    <row r="1362" spans="1:9" hidden="1" x14ac:dyDescent="0.2">
      <c r="A1362" s="4" t="s">
        <v>2005</v>
      </c>
      <c r="B1362" s="21">
        <v>43830</v>
      </c>
      <c r="C1362" s="12">
        <v>4</v>
      </c>
      <c r="D1362" s="22" t="s">
        <v>762</v>
      </c>
      <c r="E1362" s="23">
        <v>43825</v>
      </c>
      <c r="F1362" s="24" t="s">
        <v>85</v>
      </c>
      <c r="G1362" s="12"/>
      <c r="H1362" s="12"/>
    </row>
    <row r="1363" spans="1:9" hidden="1" x14ac:dyDescent="0.2">
      <c r="A1363" s="4" t="s">
        <v>2005</v>
      </c>
      <c r="B1363" s="21">
        <v>43830</v>
      </c>
      <c r="C1363" s="12">
        <v>5</v>
      </c>
      <c r="D1363" s="22" t="s">
        <v>766</v>
      </c>
      <c r="E1363" s="23">
        <v>43825</v>
      </c>
      <c r="F1363" s="24" t="s">
        <v>85</v>
      </c>
      <c r="G1363" s="12"/>
      <c r="H1363" s="12"/>
    </row>
    <row r="1364" spans="1:9" hidden="1" x14ac:dyDescent="0.2">
      <c r="A1364" s="4" t="s">
        <v>2005</v>
      </c>
      <c r="B1364" s="21">
        <v>43830</v>
      </c>
      <c r="C1364" s="12">
        <v>6</v>
      </c>
      <c r="D1364" s="22" t="s">
        <v>768</v>
      </c>
      <c r="E1364" s="23">
        <v>43825</v>
      </c>
      <c r="F1364" s="24" t="s">
        <v>85</v>
      </c>
      <c r="G1364" s="12"/>
      <c r="H1364" s="12"/>
    </row>
    <row r="1365" spans="1:9" hidden="1" x14ac:dyDescent="0.2">
      <c r="A1365" s="4" t="s">
        <v>2005</v>
      </c>
      <c r="B1365" s="21">
        <v>43830</v>
      </c>
      <c r="C1365" s="12">
        <v>7</v>
      </c>
      <c r="D1365" s="22" t="s">
        <v>772</v>
      </c>
      <c r="E1365" s="23">
        <v>43825</v>
      </c>
      <c r="F1365" s="24" t="s">
        <v>85</v>
      </c>
      <c r="G1365" s="12"/>
      <c r="H1365" s="12"/>
    </row>
    <row r="1366" spans="1:9" hidden="1" x14ac:dyDescent="0.2">
      <c r="A1366" s="4" t="s">
        <v>2076</v>
      </c>
      <c r="B1366" s="21">
        <v>43831</v>
      </c>
      <c r="C1366" s="12">
        <v>1</v>
      </c>
      <c r="D1366" s="22" t="s">
        <v>2075</v>
      </c>
      <c r="E1366" s="23">
        <v>43823</v>
      </c>
      <c r="F1366" s="24" t="s">
        <v>85</v>
      </c>
      <c r="G1366" s="12"/>
      <c r="H1366" s="12"/>
    </row>
    <row r="1367" spans="1:9" hidden="1" x14ac:dyDescent="0.2">
      <c r="A1367" s="4" t="s">
        <v>2076</v>
      </c>
      <c r="B1367" s="21">
        <v>43831</v>
      </c>
      <c r="C1367" s="12">
        <v>2</v>
      </c>
      <c r="D1367" s="22" t="s">
        <v>943</v>
      </c>
      <c r="E1367" s="23">
        <v>43825</v>
      </c>
      <c r="F1367" s="24" t="s">
        <v>85</v>
      </c>
      <c r="G1367" s="12"/>
      <c r="H1367" s="12"/>
    </row>
    <row r="1368" spans="1:9" hidden="1" x14ac:dyDescent="0.2">
      <c r="A1368" s="4" t="s">
        <v>2076</v>
      </c>
      <c r="B1368" s="21">
        <v>43831</v>
      </c>
      <c r="C1368" s="12">
        <v>3</v>
      </c>
      <c r="D1368" s="22" t="s">
        <v>886</v>
      </c>
      <c r="E1368" s="23">
        <v>43825</v>
      </c>
      <c r="F1368" s="24" t="s">
        <v>85</v>
      </c>
      <c r="G1368" s="12"/>
      <c r="H1368" s="12"/>
    </row>
    <row r="1369" spans="1:9" hidden="1" x14ac:dyDescent="0.2">
      <c r="A1369" s="4" t="s">
        <v>2076</v>
      </c>
      <c r="B1369" s="21">
        <v>43831</v>
      </c>
      <c r="C1369" s="12">
        <v>4</v>
      </c>
      <c r="D1369" s="22" t="s">
        <v>888</v>
      </c>
      <c r="E1369" s="23">
        <v>43826</v>
      </c>
      <c r="F1369" s="24" t="s">
        <v>85</v>
      </c>
      <c r="G1369" s="12"/>
      <c r="H1369" s="12"/>
    </row>
    <row r="1370" spans="1:9" hidden="1" x14ac:dyDescent="0.2">
      <c r="A1370" s="4" t="s">
        <v>2076</v>
      </c>
      <c r="B1370" s="21">
        <v>43831</v>
      </c>
      <c r="C1370" s="12">
        <v>5</v>
      </c>
      <c r="D1370" s="22" t="s">
        <v>890</v>
      </c>
      <c r="E1370" s="23">
        <v>43828</v>
      </c>
      <c r="F1370" s="24" t="s">
        <v>85</v>
      </c>
      <c r="G1370" s="12"/>
      <c r="H1370" s="12"/>
    </row>
    <row r="1371" spans="1:9" hidden="1" x14ac:dyDescent="0.2">
      <c r="A1371" s="4" t="s">
        <v>2076</v>
      </c>
      <c r="B1371" s="21">
        <v>43831</v>
      </c>
      <c r="C1371" s="12">
        <v>7</v>
      </c>
      <c r="D1371" s="22" t="s">
        <v>892</v>
      </c>
      <c r="E1371" s="23">
        <v>43828</v>
      </c>
      <c r="F1371" s="24" t="s">
        <v>85</v>
      </c>
      <c r="G1371" s="12"/>
      <c r="H1371" s="12"/>
    </row>
    <row r="1372" spans="1:9" hidden="1" x14ac:dyDescent="0.2">
      <c r="A1372" s="4" t="s">
        <v>2076</v>
      </c>
      <c r="B1372" s="21">
        <v>43831</v>
      </c>
      <c r="C1372" s="12">
        <v>8</v>
      </c>
      <c r="D1372" s="22" t="s">
        <v>894</v>
      </c>
      <c r="E1372" s="23">
        <v>43828</v>
      </c>
      <c r="F1372" s="24" t="s">
        <v>85</v>
      </c>
      <c r="G1372" s="12"/>
      <c r="H1372" s="12"/>
    </row>
    <row r="1373" spans="1:9" hidden="1" x14ac:dyDescent="0.2">
      <c r="A1373" s="4" t="s">
        <v>2074</v>
      </c>
      <c r="B1373" s="21">
        <v>43831</v>
      </c>
      <c r="C1373" s="12">
        <v>1</v>
      </c>
      <c r="D1373" s="22" t="s">
        <v>2075</v>
      </c>
      <c r="E1373" s="23">
        <v>43823</v>
      </c>
      <c r="F1373" s="24" t="s">
        <v>85</v>
      </c>
      <c r="G1373" s="12"/>
      <c r="H1373" s="12"/>
    </row>
    <row r="1374" spans="1:9" hidden="1" x14ac:dyDescent="0.2">
      <c r="A1374" s="4" t="s">
        <v>2074</v>
      </c>
      <c r="B1374" s="21">
        <v>43831</v>
      </c>
      <c r="C1374" s="12">
        <v>2</v>
      </c>
      <c r="D1374" s="22" t="s">
        <v>943</v>
      </c>
      <c r="E1374" s="23">
        <v>43825</v>
      </c>
      <c r="F1374" s="24" t="s">
        <v>85</v>
      </c>
      <c r="G1374" s="12"/>
      <c r="H1374" s="12"/>
    </row>
    <row r="1375" spans="1:9" hidden="1" x14ac:dyDescent="0.2">
      <c r="A1375" s="4" t="s">
        <v>2074</v>
      </c>
      <c r="B1375" s="21">
        <v>43831</v>
      </c>
      <c r="C1375" s="12">
        <v>3</v>
      </c>
      <c r="D1375" s="22" t="s">
        <v>2157</v>
      </c>
      <c r="E1375" s="23">
        <v>43825</v>
      </c>
      <c r="F1375" s="24" t="s">
        <v>85</v>
      </c>
      <c r="G1375" s="12"/>
      <c r="H1375" s="12"/>
    </row>
    <row r="1376" spans="1:9" hidden="1" x14ac:dyDescent="0.2">
      <c r="A1376" s="4" t="s">
        <v>2074</v>
      </c>
      <c r="B1376" s="21">
        <v>43831</v>
      </c>
      <c r="C1376" s="12">
        <v>4</v>
      </c>
      <c r="D1376" s="22" t="s">
        <v>888</v>
      </c>
      <c r="E1376" s="23">
        <v>43826</v>
      </c>
      <c r="F1376" s="24" t="s">
        <v>85</v>
      </c>
      <c r="G1376" s="12"/>
      <c r="H1376" s="12"/>
    </row>
    <row r="1377" spans="1:8" hidden="1" x14ac:dyDescent="0.2">
      <c r="A1377" s="4" t="s">
        <v>2074</v>
      </c>
      <c r="B1377" s="21">
        <v>43831</v>
      </c>
      <c r="C1377" s="12">
        <v>6</v>
      </c>
      <c r="D1377" s="22" t="s">
        <v>1223</v>
      </c>
      <c r="E1377" s="23">
        <v>43826</v>
      </c>
      <c r="F1377" s="24" t="s">
        <v>85</v>
      </c>
      <c r="G1377" s="12"/>
      <c r="H1377" s="12"/>
    </row>
    <row r="1378" spans="1:8" hidden="1" x14ac:dyDescent="0.2">
      <c r="A1378" s="4" t="s">
        <v>2074</v>
      </c>
      <c r="B1378" s="21">
        <v>43831</v>
      </c>
      <c r="C1378" s="12">
        <v>7</v>
      </c>
      <c r="D1378" s="22" t="s">
        <v>892</v>
      </c>
      <c r="E1378" s="23">
        <v>43826</v>
      </c>
      <c r="F1378" s="24" t="s">
        <v>85</v>
      </c>
      <c r="G1378" s="12"/>
      <c r="H1378" s="12"/>
    </row>
    <row r="1379" spans="1:8" hidden="1" x14ac:dyDescent="0.2">
      <c r="A1379" s="4" t="s">
        <v>2074</v>
      </c>
      <c r="B1379" s="21">
        <v>43831</v>
      </c>
      <c r="C1379" s="12">
        <v>8</v>
      </c>
      <c r="D1379" s="22" t="s">
        <v>894</v>
      </c>
      <c r="E1379" s="23">
        <v>43827</v>
      </c>
      <c r="F1379" s="24" t="s">
        <v>85</v>
      </c>
      <c r="G1379" s="12"/>
      <c r="H1379" s="12"/>
    </row>
    <row r="1380" spans="1:8" hidden="1" x14ac:dyDescent="0.2">
      <c r="A1380" s="4" t="s">
        <v>1764</v>
      </c>
      <c r="B1380" s="21">
        <v>43831</v>
      </c>
      <c r="C1380" s="12">
        <v>1</v>
      </c>
      <c r="D1380" s="22" t="s">
        <v>2152</v>
      </c>
      <c r="E1380" s="23">
        <v>43821</v>
      </c>
      <c r="F1380" s="24" t="s">
        <v>103</v>
      </c>
      <c r="G1380" s="12"/>
      <c r="H1380" s="12"/>
    </row>
    <row r="1381" spans="1:8" hidden="1" x14ac:dyDescent="0.2">
      <c r="A1381" s="4" t="s">
        <v>1764</v>
      </c>
      <c r="B1381" s="21">
        <v>43831</v>
      </c>
      <c r="C1381" s="12">
        <v>2</v>
      </c>
      <c r="D1381" s="22" t="s">
        <v>943</v>
      </c>
      <c r="E1381" s="23">
        <v>43823</v>
      </c>
      <c r="F1381" s="24" t="s">
        <v>85</v>
      </c>
      <c r="G1381" s="12"/>
      <c r="H1381" s="12"/>
    </row>
    <row r="1382" spans="1:8" hidden="1" x14ac:dyDescent="0.2">
      <c r="A1382" s="4" t="s">
        <v>1764</v>
      </c>
      <c r="B1382" s="21">
        <v>43831</v>
      </c>
      <c r="C1382" s="12">
        <v>3</v>
      </c>
      <c r="D1382" s="22" t="s">
        <v>2149</v>
      </c>
      <c r="E1382" s="23">
        <v>43823</v>
      </c>
      <c r="F1382" s="24" t="s">
        <v>85</v>
      </c>
      <c r="G1382" s="12"/>
      <c r="H1382" s="12"/>
    </row>
    <row r="1383" spans="1:8" hidden="1" x14ac:dyDescent="0.2">
      <c r="A1383" s="4" t="s">
        <v>1764</v>
      </c>
      <c r="B1383" s="21">
        <v>43831</v>
      </c>
      <c r="C1383" s="12">
        <v>4</v>
      </c>
      <c r="D1383" s="22" t="s">
        <v>888</v>
      </c>
      <c r="E1383" s="23">
        <v>43826</v>
      </c>
      <c r="F1383" s="24" t="s">
        <v>85</v>
      </c>
      <c r="G1383" s="12"/>
      <c r="H1383" s="12"/>
    </row>
    <row r="1384" spans="1:8" hidden="1" x14ac:dyDescent="0.2">
      <c r="A1384" s="4" t="s">
        <v>1764</v>
      </c>
      <c r="B1384" s="21">
        <v>43831</v>
      </c>
      <c r="C1384" s="12">
        <v>5</v>
      </c>
      <c r="D1384" s="22" t="s">
        <v>2133</v>
      </c>
      <c r="E1384" s="23">
        <v>43827</v>
      </c>
      <c r="F1384" s="24" t="s">
        <v>85</v>
      </c>
      <c r="G1384" s="12"/>
      <c r="H1384" s="12"/>
    </row>
    <row r="1385" spans="1:8" hidden="1" x14ac:dyDescent="0.2">
      <c r="A1385" s="4" t="s">
        <v>1764</v>
      </c>
      <c r="B1385" s="21">
        <v>43831</v>
      </c>
      <c r="C1385" s="12">
        <v>6</v>
      </c>
      <c r="D1385" s="22" t="s">
        <v>892</v>
      </c>
      <c r="E1385" s="23">
        <v>43828</v>
      </c>
      <c r="F1385" s="24" t="s">
        <v>85</v>
      </c>
      <c r="G1385" s="12"/>
      <c r="H1385" s="12"/>
    </row>
    <row r="1386" spans="1:8" hidden="1" x14ac:dyDescent="0.2">
      <c r="A1386" s="4" t="s">
        <v>1764</v>
      </c>
      <c r="B1386" s="21">
        <v>43831</v>
      </c>
      <c r="C1386" s="12">
        <v>7</v>
      </c>
      <c r="D1386" s="22" t="s">
        <v>894</v>
      </c>
      <c r="E1386" s="23">
        <v>43828</v>
      </c>
      <c r="F1386" s="24" t="s">
        <v>85</v>
      </c>
      <c r="G1386" s="12"/>
      <c r="H1386" s="12"/>
    </row>
    <row r="1387" spans="1:8" hidden="1" x14ac:dyDescent="0.2">
      <c r="A1387" s="4" t="s">
        <v>2159</v>
      </c>
      <c r="B1387" s="21">
        <v>43831</v>
      </c>
      <c r="C1387" s="12">
        <v>1</v>
      </c>
      <c r="D1387" s="22" t="s">
        <v>2150</v>
      </c>
      <c r="E1387" s="23">
        <v>43823</v>
      </c>
      <c r="F1387" s="24" t="s">
        <v>85</v>
      </c>
      <c r="G1387" s="12"/>
      <c r="H1387" s="12"/>
    </row>
    <row r="1388" spans="1:8" hidden="1" x14ac:dyDescent="0.2">
      <c r="A1388" s="4" t="s">
        <v>2159</v>
      </c>
      <c r="B1388" s="21">
        <v>43831</v>
      </c>
      <c r="C1388" s="12">
        <v>2</v>
      </c>
      <c r="D1388" s="22" t="s">
        <v>943</v>
      </c>
      <c r="E1388" s="23">
        <v>43825</v>
      </c>
      <c r="F1388" s="24" t="s">
        <v>85</v>
      </c>
      <c r="G1388" s="12"/>
      <c r="H1388" s="12"/>
    </row>
    <row r="1389" spans="1:8" hidden="1" x14ac:dyDescent="0.2">
      <c r="A1389" s="4" t="s">
        <v>2159</v>
      </c>
      <c r="B1389" s="21">
        <v>43831</v>
      </c>
      <c r="C1389" s="12">
        <v>3</v>
      </c>
      <c r="D1389" s="22" t="s">
        <v>886</v>
      </c>
      <c r="E1389" s="23">
        <v>43825</v>
      </c>
      <c r="F1389" s="24" t="s">
        <v>85</v>
      </c>
      <c r="G1389" s="12"/>
      <c r="H1389" s="12"/>
    </row>
    <row r="1390" spans="1:8" hidden="1" x14ac:dyDescent="0.2">
      <c r="A1390" s="4" t="s">
        <v>2159</v>
      </c>
      <c r="B1390" s="21">
        <v>43831</v>
      </c>
      <c r="C1390" s="12">
        <v>4</v>
      </c>
      <c r="D1390" s="22" t="s">
        <v>888</v>
      </c>
      <c r="E1390" s="23">
        <v>43826</v>
      </c>
      <c r="F1390" s="24" t="s">
        <v>85</v>
      </c>
      <c r="G1390" s="12"/>
      <c r="H1390" s="12"/>
    </row>
    <row r="1391" spans="1:8" hidden="1" x14ac:dyDescent="0.2">
      <c r="A1391" s="4" t="s">
        <v>2159</v>
      </c>
      <c r="B1391" s="21">
        <v>43831</v>
      </c>
      <c r="C1391" s="12">
        <v>5</v>
      </c>
      <c r="D1391" s="22" t="s">
        <v>2133</v>
      </c>
      <c r="E1391" s="23">
        <v>43826</v>
      </c>
      <c r="F1391" s="24" t="s">
        <v>85</v>
      </c>
      <c r="G1391" s="12"/>
      <c r="H1391" s="12"/>
    </row>
    <row r="1392" spans="1:8" hidden="1" x14ac:dyDescent="0.2">
      <c r="A1392" s="4" t="s">
        <v>2159</v>
      </c>
      <c r="B1392" s="21">
        <v>43831</v>
      </c>
      <c r="C1392" s="12">
        <v>6</v>
      </c>
      <c r="D1392" s="22" t="s">
        <v>892</v>
      </c>
      <c r="E1392" s="23">
        <v>43826</v>
      </c>
      <c r="F1392" s="24" t="s">
        <v>85</v>
      </c>
      <c r="G1392" s="12"/>
      <c r="H1392" s="12"/>
    </row>
    <row r="1393" spans="1:8" hidden="1" x14ac:dyDescent="0.2">
      <c r="A1393" s="4" t="s">
        <v>2159</v>
      </c>
      <c r="B1393" s="21">
        <v>43831</v>
      </c>
      <c r="C1393" s="12">
        <v>7</v>
      </c>
      <c r="D1393" s="22" t="s">
        <v>894</v>
      </c>
      <c r="E1393" s="23">
        <v>43827</v>
      </c>
      <c r="F1393" s="24" t="s">
        <v>85</v>
      </c>
      <c r="G1393" s="12"/>
      <c r="H1393" s="12"/>
    </row>
    <row r="1394" spans="1:8" hidden="1" x14ac:dyDescent="0.2">
      <c r="A1394" s="4" t="s">
        <v>2138</v>
      </c>
      <c r="B1394" s="21">
        <v>43831</v>
      </c>
      <c r="C1394" s="12">
        <v>1</v>
      </c>
      <c r="D1394" s="22" t="s">
        <v>2139</v>
      </c>
      <c r="E1394" s="23">
        <v>43823</v>
      </c>
      <c r="F1394" s="24" t="s">
        <v>85</v>
      </c>
      <c r="G1394" s="12"/>
      <c r="H1394" s="12"/>
    </row>
    <row r="1395" spans="1:8" hidden="1" x14ac:dyDescent="0.2">
      <c r="A1395" s="4" t="s">
        <v>2138</v>
      </c>
      <c r="B1395" s="21">
        <v>43831</v>
      </c>
      <c r="C1395" s="12">
        <v>2</v>
      </c>
      <c r="D1395" s="22" t="s">
        <v>943</v>
      </c>
      <c r="E1395" s="23">
        <v>43825</v>
      </c>
      <c r="F1395" s="24" t="s">
        <v>85</v>
      </c>
      <c r="G1395" s="12"/>
      <c r="H1395" s="12"/>
    </row>
    <row r="1396" spans="1:8" hidden="1" x14ac:dyDescent="0.2">
      <c r="A1396" s="4" t="s">
        <v>2138</v>
      </c>
      <c r="B1396" s="21">
        <v>43831</v>
      </c>
      <c r="C1396" s="12">
        <v>3</v>
      </c>
      <c r="D1396" s="22" t="s">
        <v>2140</v>
      </c>
      <c r="E1396" s="23">
        <v>43826</v>
      </c>
      <c r="F1396" s="24" t="s">
        <v>85</v>
      </c>
      <c r="G1396" s="12"/>
      <c r="H1396" s="12"/>
    </row>
    <row r="1397" spans="1:8" hidden="1" x14ac:dyDescent="0.2">
      <c r="A1397" s="4" t="s">
        <v>2138</v>
      </c>
      <c r="B1397" s="21">
        <v>43831</v>
      </c>
      <c r="C1397" s="12">
        <v>4</v>
      </c>
      <c r="D1397" s="22" t="s">
        <v>888</v>
      </c>
      <c r="E1397" s="23">
        <v>43826</v>
      </c>
      <c r="F1397" s="24" t="s">
        <v>85</v>
      </c>
      <c r="G1397" s="12"/>
      <c r="H1397" s="12"/>
    </row>
    <row r="1398" spans="1:8" hidden="1" x14ac:dyDescent="0.2">
      <c r="A1398" s="4" t="s">
        <v>2138</v>
      </c>
      <c r="B1398" s="21">
        <v>43831</v>
      </c>
      <c r="C1398" s="12">
        <v>5</v>
      </c>
      <c r="D1398" s="22" t="s">
        <v>2133</v>
      </c>
      <c r="E1398" s="23">
        <v>43827</v>
      </c>
      <c r="F1398" s="24" t="s">
        <v>85</v>
      </c>
      <c r="G1398" s="12"/>
      <c r="H1398" s="12"/>
    </row>
    <row r="1399" spans="1:8" hidden="1" x14ac:dyDescent="0.2">
      <c r="A1399" s="4" t="s">
        <v>2138</v>
      </c>
      <c r="B1399" s="21">
        <v>43831</v>
      </c>
      <c r="C1399" s="12">
        <v>6</v>
      </c>
      <c r="D1399" s="22" t="s">
        <v>892</v>
      </c>
      <c r="E1399" s="23">
        <v>43826</v>
      </c>
      <c r="F1399" s="24" t="s">
        <v>85</v>
      </c>
      <c r="G1399" s="12"/>
      <c r="H1399" s="12"/>
    </row>
    <row r="1400" spans="1:8" hidden="1" x14ac:dyDescent="0.2">
      <c r="A1400" s="4" t="s">
        <v>2138</v>
      </c>
      <c r="B1400" s="21">
        <v>43831</v>
      </c>
      <c r="C1400" s="12">
        <v>7</v>
      </c>
      <c r="D1400" s="22" t="s">
        <v>894</v>
      </c>
      <c r="E1400" s="23">
        <v>43827</v>
      </c>
      <c r="F1400" s="24" t="s">
        <v>85</v>
      </c>
      <c r="G1400" s="12"/>
      <c r="H1400" s="12"/>
    </row>
    <row r="1401" spans="1:8" hidden="1" x14ac:dyDescent="0.2">
      <c r="A1401" s="4" t="s">
        <v>2158</v>
      </c>
      <c r="B1401" s="21">
        <v>43831</v>
      </c>
      <c r="C1401" s="12">
        <v>1</v>
      </c>
      <c r="D1401" s="22" t="s">
        <v>2150</v>
      </c>
      <c r="E1401" s="23">
        <v>43823</v>
      </c>
      <c r="F1401" s="24" t="s">
        <v>85</v>
      </c>
      <c r="G1401" s="12"/>
      <c r="H1401" s="12"/>
    </row>
    <row r="1402" spans="1:8" hidden="1" x14ac:dyDescent="0.2">
      <c r="A1402" s="4" t="s">
        <v>2158</v>
      </c>
      <c r="B1402" s="21">
        <v>43831</v>
      </c>
      <c r="C1402" s="12">
        <v>2</v>
      </c>
      <c r="D1402" s="22" t="s">
        <v>943</v>
      </c>
      <c r="E1402" s="23">
        <v>43825</v>
      </c>
      <c r="F1402" s="24" t="s">
        <v>85</v>
      </c>
      <c r="G1402" s="12"/>
      <c r="H1402" s="12"/>
    </row>
    <row r="1403" spans="1:8" hidden="1" x14ac:dyDescent="0.2">
      <c r="A1403" s="4" t="s">
        <v>2158</v>
      </c>
      <c r="B1403" s="21">
        <v>43831</v>
      </c>
      <c r="C1403" s="12">
        <v>3</v>
      </c>
      <c r="D1403" s="22" t="s">
        <v>886</v>
      </c>
      <c r="E1403" s="23">
        <v>43825</v>
      </c>
      <c r="F1403" s="24" t="s">
        <v>85</v>
      </c>
      <c r="G1403" s="12"/>
      <c r="H1403" s="12"/>
    </row>
    <row r="1404" spans="1:8" hidden="1" x14ac:dyDescent="0.2">
      <c r="A1404" s="4" t="s">
        <v>2158</v>
      </c>
      <c r="B1404" s="21">
        <v>43831</v>
      </c>
      <c r="C1404" s="12">
        <v>4</v>
      </c>
      <c r="D1404" s="22" t="s">
        <v>888</v>
      </c>
      <c r="E1404" s="23">
        <v>43826</v>
      </c>
      <c r="F1404" s="24" t="s">
        <v>85</v>
      </c>
      <c r="G1404" s="12"/>
      <c r="H1404" s="12"/>
    </row>
    <row r="1405" spans="1:8" hidden="1" x14ac:dyDescent="0.2">
      <c r="A1405" s="4" t="s">
        <v>2158</v>
      </c>
      <c r="B1405" s="21">
        <v>43831</v>
      </c>
      <c r="C1405" s="12">
        <v>5</v>
      </c>
      <c r="D1405" s="22" t="s">
        <v>2133</v>
      </c>
      <c r="E1405" s="23">
        <v>43826</v>
      </c>
      <c r="F1405" s="24" t="s">
        <v>85</v>
      </c>
      <c r="G1405" s="12"/>
      <c r="H1405" s="12"/>
    </row>
    <row r="1406" spans="1:8" hidden="1" x14ac:dyDescent="0.2">
      <c r="A1406" s="4" t="s">
        <v>2158</v>
      </c>
      <c r="B1406" s="21">
        <v>43831</v>
      </c>
      <c r="C1406" s="12">
        <v>6</v>
      </c>
      <c r="D1406" s="22" t="s">
        <v>892</v>
      </c>
      <c r="E1406" s="23">
        <v>43826</v>
      </c>
      <c r="F1406" s="24" t="s">
        <v>85</v>
      </c>
      <c r="G1406" s="12"/>
      <c r="H1406" s="12"/>
    </row>
    <row r="1407" spans="1:8" hidden="1" x14ac:dyDescent="0.2">
      <c r="A1407" s="4" t="s">
        <v>2158</v>
      </c>
      <c r="B1407" s="21">
        <v>43831</v>
      </c>
      <c r="C1407" s="12">
        <v>7</v>
      </c>
      <c r="D1407" s="22" t="s">
        <v>894</v>
      </c>
      <c r="E1407" s="23">
        <v>43827</v>
      </c>
      <c r="F1407" s="24" t="s">
        <v>85</v>
      </c>
      <c r="G1407" s="12"/>
      <c r="H1407" s="12"/>
    </row>
    <row r="1408" spans="1:8" hidden="1" x14ac:dyDescent="0.2">
      <c r="A1408" s="4" t="s">
        <v>2089</v>
      </c>
      <c r="B1408" s="21">
        <v>43835</v>
      </c>
      <c r="C1408" s="12">
        <v>1</v>
      </c>
      <c r="D1408" s="22" t="s">
        <v>2163</v>
      </c>
      <c r="E1408" s="23">
        <v>43819</v>
      </c>
      <c r="F1408" s="24" t="s">
        <v>2156</v>
      </c>
      <c r="G1408" s="12"/>
      <c r="H1408" s="12"/>
    </row>
    <row r="1409" spans="1:9" hidden="1" x14ac:dyDescent="0.2">
      <c r="A1409" s="4" t="s">
        <v>2089</v>
      </c>
      <c r="B1409" s="21">
        <v>43835</v>
      </c>
      <c r="C1409" s="12">
        <v>2</v>
      </c>
      <c r="D1409" s="22" t="s">
        <v>2164</v>
      </c>
      <c r="E1409" s="23">
        <v>43822</v>
      </c>
      <c r="F1409" s="24" t="s">
        <v>2156</v>
      </c>
      <c r="G1409" s="12"/>
      <c r="H1409" s="12"/>
    </row>
    <row r="1410" spans="1:9" hidden="1" x14ac:dyDescent="0.2">
      <c r="A1410" s="4" t="s">
        <v>2089</v>
      </c>
      <c r="B1410" s="21">
        <v>43835</v>
      </c>
      <c r="C1410" s="12">
        <v>3</v>
      </c>
      <c r="D1410" s="22" t="s">
        <v>2167</v>
      </c>
      <c r="E1410" s="23">
        <v>43826</v>
      </c>
      <c r="F1410" s="24" t="s">
        <v>2165</v>
      </c>
      <c r="G1410" s="12"/>
      <c r="H1410" s="12"/>
    </row>
    <row r="1411" spans="1:9" hidden="1" x14ac:dyDescent="0.2">
      <c r="A1411" s="4" t="s">
        <v>2089</v>
      </c>
      <c r="B1411" s="21">
        <v>43835</v>
      </c>
      <c r="C1411" s="12">
        <v>4</v>
      </c>
      <c r="D1411" s="22" t="s">
        <v>2169</v>
      </c>
      <c r="E1411" s="23">
        <v>43830</v>
      </c>
      <c r="F1411" s="24" t="s">
        <v>2165</v>
      </c>
      <c r="G1411" s="12"/>
      <c r="H1411" s="12"/>
    </row>
    <row r="1412" spans="1:9" hidden="1" x14ac:dyDescent="0.2">
      <c r="A1412" s="4" t="s">
        <v>2089</v>
      </c>
      <c r="B1412" s="21">
        <v>43835</v>
      </c>
      <c r="C1412" s="12">
        <v>5</v>
      </c>
      <c r="D1412" s="22" t="s">
        <v>2171</v>
      </c>
      <c r="E1412" s="23">
        <v>43833</v>
      </c>
      <c r="F1412" s="24" t="s">
        <v>2165</v>
      </c>
      <c r="G1412" s="12"/>
      <c r="H1412" s="12"/>
    </row>
    <row r="1413" spans="1:9" hidden="1" x14ac:dyDescent="0.2">
      <c r="A1413" s="4" t="s">
        <v>2089</v>
      </c>
      <c r="B1413" s="21">
        <v>43835</v>
      </c>
      <c r="C1413" s="12">
        <v>6</v>
      </c>
      <c r="D1413" s="22" t="s">
        <v>2172</v>
      </c>
      <c r="E1413" s="23">
        <v>43834</v>
      </c>
      <c r="F1413" s="24" t="s">
        <v>2165</v>
      </c>
      <c r="G1413" s="12"/>
      <c r="H1413" s="12"/>
    </row>
    <row r="1414" spans="1:9" hidden="1" x14ac:dyDescent="0.2">
      <c r="A1414" s="4" t="s">
        <v>2089</v>
      </c>
      <c r="B1414" s="21">
        <v>43835</v>
      </c>
      <c r="C1414" s="12">
        <v>7</v>
      </c>
      <c r="D1414" s="22" t="s">
        <v>2174</v>
      </c>
      <c r="E1414" s="23">
        <v>43834</v>
      </c>
      <c r="F1414" s="24" t="s">
        <v>2165</v>
      </c>
      <c r="G1414" s="12"/>
      <c r="H1414" s="12"/>
    </row>
    <row r="1415" spans="1:9" hidden="1" x14ac:dyDescent="0.2">
      <c r="A1415" s="4" t="s">
        <v>2005</v>
      </c>
      <c r="B1415" s="21">
        <v>43837</v>
      </c>
      <c r="C1415" s="12">
        <v>1</v>
      </c>
      <c r="D1415" s="22" t="s">
        <v>1659</v>
      </c>
      <c r="E1415" s="23">
        <v>43808</v>
      </c>
      <c r="F1415" s="24" t="s">
        <v>1705</v>
      </c>
      <c r="G1415" s="12"/>
      <c r="H1415" s="12"/>
    </row>
    <row r="1416" spans="1:9" hidden="1" x14ac:dyDescent="0.2">
      <c r="A1416" s="4" t="s">
        <v>2005</v>
      </c>
      <c r="B1416" s="21">
        <v>43837</v>
      </c>
      <c r="C1416" s="12">
        <v>2</v>
      </c>
      <c r="D1416" s="22" t="s">
        <v>759</v>
      </c>
      <c r="E1416" s="23">
        <v>43831</v>
      </c>
      <c r="F1416" s="24" t="s">
        <v>1705</v>
      </c>
      <c r="G1416" s="12"/>
      <c r="H1416" s="12"/>
    </row>
    <row r="1417" spans="1:9" hidden="1" x14ac:dyDescent="0.2">
      <c r="A1417" s="4" t="s">
        <v>2005</v>
      </c>
      <c r="B1417" s="21">
        <v>43837</v>
      </c>
      <c r="C1417" s="12">
        <v>3</v>
      </c>
      <c r="D1417" s="22" t="s">
        <v>764</v>
      </c>
      <c r="E1417" s="23">
        <v>43832</v>
      </c>
      <c r="F1417" s="24" t="s">
        <v>1705</v>
      </c>
      <c r="G1417" s="12"/>
      <c r="H1417" s="12"/>
      <c r="I1417" s="4" t="s">
        <v>760</v>
      </c>
    </row>
    <row r="1418" spans="1:9" hidden="1" x14ac:dyDescent="0.2">
      <c r="A1418" s="4" t="s">
        <v>2005</v>
      </c>
      <c r="B1418" s="21">
        <v>43837</v>
      </c>
      <c r="C1418" s="12">
        <v>4</v>
      </c>
      <c r="D1418" s="22" t="s">
        <v>762</v>
      </c>
      <c r="E1418" s="23">
        <v>43832</v>
      </c>
      <c r="F1418" s="24" t="s">
        <v>1705</v>
      </c>
      <c r="G1418" s="12"/>
      <c r="H1418" s="12"/>
    </row>
    <row r="1419" spans="1:9" hidden="1" x14ac:dyDescent="0.2">
      <c r="A1419" s="4" t="s">
        <v>2005</v>
      </c>
      <c r="B1419" s="21">
        <v>43837</v>
      </c>
      <c r="C1419" s="12">
        <v>5</v>
      </c>
      <c r="D1419" s="22" t="s">
        <v>766</v>
      </c>
      <c r="E1419" s="23">
        <v>43832</v>
      </c>
      <c r="F1419" s="24" t="s">
        <v>1705</v>
      </c>
      <c r="G1419" s="12"/>
      <c r="H1419" s="12"/>
    </row>
    <row r="1420" spans="1:9" hidden="1" x14ac:dyDescent="0.2">
      <c r="A1420" s="4" t="s">
        <v>2005</v>
      </c>
      <c r="B1420" s="21">
        <v>43837</v>
      </c>
      <c r="C1420" s="12">
        <v>6</v>
      </c>
      <c r="D1420" s="22" t="s">
        <v>768</v>
      </c>
      <c r="E1420" s="23">
        <v>43832</v>
      </c>
      <c r="F1420" s="24" t="s">
        <v>1705</v>
      </c>
      <c r="G1420" s="12"/>
      <c r="H1420" s="12"/>
    </row>
    <row r="1421" spans="1:9" hidden="1" x14ac:dyDescent="0.2">
      <c r="A1421" s="4" t="s">
        <v>2005</v>
      </c>
      <c r="B1421" s="21">
        <v>43837</v>
      </c>
      <c r="C1421" s="12">
        <v>7</v>
      </c>
      <c r="D1421" s="22" t="s">
        <v>772</v>
      </c>
      <c r="E1421" s="23">
        <v>43832</v>
      </c>
      <c r="F1421" s="24" t="s">
        <v>1705</v>
      </c>
      <c r="G1421" s="12"/>
      <c r="H1421" s="12"/>
    </row>
    <row r="1422" spans="1:9" hidden="1" x14ac:dyDescent="0.2">
      <c r="A1422" s="4" t="s">
        <v>2010</v>
      </c>
      <c r="B1422" s="21">
        <v>43837</v>
      </c>
      <c r="C1422" s="12">
        <v>1</v>
      </c>
      <c r="D1422" s="22" t="s">
        <v>1340</v>
      </c>
      <c r="E1422" s="23">
        <v>43818</v>
      </c>
      <c r="F1422" s="24" t="s">
        <v>2052</v>
      </c>
      <c r="G1422" s="12"/>
      <c r="H1422" s="12"/>
    </row>
    <row r="1423" spans="1:9" hidden="1" x14ac:dyDescent="0.2">
      <c r="A1423" s="4" t="s">
        <v>2010</v>
      </c>
      <c r="B1423" s="21">
        <v>43837</v>
      </c>
      <c r="C1423" s="12">
        <v>2</v>
      </c>
      <c r="D1423" s="22" t="s">
        <v>2049</v>
      </c>
      <c r="E1423" s="23">
        <v>43829</v>
      </c>
      <c r="F1423" s="24" t="s">
        <v>85</v>
      </c>
      <c r="G1423" s="12"/>
      <c r="H1423" s="12"/>
      <c r="I1423" s="4" t="s">
        <v>2053</v>
      </c>
    </row>
    <row r="1424" spans="1:9" hidden="1" x14ac:dyDescent="0.2">
      <c r="A1424" s="4" t="s">
        <v>2010</v>
      </c>
      <c r="B1424" s="21">
        <v>43837</v>
      </c>
      <c r="C1424" s="12">
        <v>3</v>
      </c>
      <c r="D1424" s="22" t="s">
        <v>2050</v>
      </c>
      <c r="E1424" s="23">
        <v>43829</v>
      </c>
      <c r="F1424" s="24" t="s">
        <v>85</v>
      </c>
      <c r="G1424" s="12"/>
      <c r="H1424" s="12"/>
    </row>
    <row r="1425" spans="1:8" hidden="1" x14ac:dyDescent="0.2">
      <c r="A1425" s="4" t="s">
        <v>2010</v>
      </c>
      <c r="B1425" s="21">
        <v>43837</v>
      </c>
      <c r="C1425" s="12">
        <v>4</v>
      </c>
      <c r="D1425" s="22" t="s">
        <v>2051</v>
      </c>
      <c r="E1425" s="23">
        <v>43829</v>
      </c>
      <c r="F1425" s="24" t="s">
        <v>85</v>
      </c>
      <c r="G1425" s="12"/>
      <c r="H1425" s="12"/>
    </row>
    <row r="1426" spans="1:8" hidden="1" x14ac:dyDescent="0.2">
      <c r="A1426" s="4" t="s">
        <v>2010</v>
      </c>
      <c r="B1426" s="21">
        <v>43837</v>
      </c>
      <c r="C1426" s="12">
        <v>5</v>
      </c>
      <c r="D1426" s="22" t="s">
        <v>234</v>
      </c>
      <c r="E1426" s="23">
        <v>43830</v>
      </c>
      <c r="F1426" s="24" t="s">
        <v>85</v>
      </c>
      <c r="G1426" s="12"/>
      <c r="H1426" s="12"/>
    </row>
    <row r="1427" spans="1:8" hidden="1" x14ac:dyDescent="0.2">
      <c r="A1427" s="4" t="s">
        <v>2010</v>
      </c>
      <c r="B1427" s="21">
        <v>43837</v>
      </c>
      <c r="C1427" s="12">
        <v>6</v>
      </c>
      <c r="D1427" s="22" t="s">
        <v>1639</v>
      </c>
      <c r="E1427" s="23">
        <v>43830</v>
      </c>
      <c r="F1427" s="24" t="s">
        <v>85</v>
      </c>
      <c r="G1427" s="12"/>
      <c r="H1427" s="12"/>
    </row>
    <row r="1428" spans="1:8" hidden="1" x14ac:dyDescent="0.2">
      <c r="A1428" s="4" t="s">
        <v>2010</v>
      </c>
      <c r="B1428" s="21">
        <v>43837</v>
      </c>
      <c r="C1428" s="12">
        <v>7</v>
      </c>
      <c r="D1428" s="22" t="s">
        <v>1640</v>
      </c>
      <c r="E1428" s="23">
        <v>43830</v>
      </c>
      <c r="F1428" s="24" t="s">
        <v>85</v>
      </c>
      <c r="G1428" s="12"/>
      <c r="H1428" s="12"/>
    </row>
    <row r="1429" spans="1:8" hidden="1" x14ac:dyDescent="0.2">
      <c r="A1429" s="4" t="s">
        <v>2010</v>
      </c>
      <c r="B1429" s="21">
        <v>43837</v>
      </c>
      <c r="C1429" s="12">
        <v>8</v>
      </c>
      <c r="D1429" s="22" t="s">
        <v>1641</v>
      </c>
      <c r="E1429" s="23">
        <v>43830</v>
      </c>
      <c r="F1429" s="24" t="s">
        <v>85</v>
      </c>
      <c r="G1429" s="12"/>
      <c r="H1429" s="12"/>
    </row>
    <row r="1430" spans="1:8" hidden="1" x14ac:dyDescent="0.2">
      <c r="A1430" s="4" t="s">
        <v>2010</v>
      </c>
      <c r="B1430" s="21">
        <v>43837</v>
      </c>
      <c r="C1430" s="12">
        <v>9</v>
      </c>
      <c r="D1430" s="22" t="s">
        <v>1291</v>
      </c>
      <c r="E1430" s="23">
        <v>43830</v>
      </c>
      <c r="F1430" s="24" t="s">
        <v>85</v>
      </c>
      <c r="G1430" s="12"/>
      <c r="H1430" s="12"/>
    </row>
    <row r="1431" spans="1:8" hidden="1" x14ac:dyDescent="0.2">
      <c r="A1431" s="4" t="s">
        <v>2010</v>
      </c>
      <c r="B1431" s="21">
        <v>43837</v>
      </c>
      <c r="C1431" s="12">
        <v>10</v>
      </c>
      <c r="D1431" s="22" t="s">
        <v>1613</v>
      </c>
      <c r="E1431" s="23">
        <v>43830</v>
      </c>
      <c r="F1431" s="24" t="s">
        <v>85</v>
      </c>
      <c r="G1431" s="12"/>
      <c r="H1431" s="12"/>
    </row>
    <row r="1432" spans="1:8" hidden="1" x14ac:dyDescent="0.2">
      <c r="A1432" s="4" t="s">
        <v>1766</v>
      </c>
      <c r="B1432" s="21">
        <v>43837</v>
      </c>
      <c r="C1432" s="12">
        <v>1</v>
      </c>
      <c r="D1432" s="22" t="s">
        <v>2162</v>
      </c>
      <c r="E1432" s="23">
        <v>43818</v>
      </c>
      <c r="F1432" s="24" t="s">
        <v>2156</v>
      </c>
      <c r="G1432" s="12"/>
      <c r="H1432" s="12"/>
    </row>
    <row r="1433" spans="1:8" hidden="1" x14ac:dyDescent="0.2">
      <c r="A1433" s="4" t="s">
        <v>1766</v>
      </c>
      <c r="B1433" s="21">
        <v>43837</v>
      </c>
      <c r="C1433" s="12">
        <v>2</v>
      </c>
      <c r="D1433" s="22" t="s">
        <v>2175</v>
      </c>
      <c r="E1433" s="23">
        <v>43823</v>
      </c>
      <c r="F1433" s="24" t="s">
        <v>2165</v>
      </c>
      <c r="G1433" s="12"/>
      <c r="H1433" s="12"/>
    </row>
    <row r="1434" spans="1:8" hidden="1" x14ac:dyDescent="0.2">
      <c r="A1434" s="4" t="s">
        <v>1766</v>
      </c>
      <c r="B1434" s="21">
        <v>43837</v>
      </c>
      <c r="C1434" s="12">
        <v>3</v>
      </c>
      <c r="D1434" s="22" t="s">
        <v>2166</v>
      </c>
      <c r="E1434" s="23">
        <v>43823</v>
      </c>
      <c r="F1434" s="24" t="s">
        <v>2165</v>
      </c>
      <c r="G1434" s="12"/>
      <c r="H1434" s="12"/>
    </row>
    <row r="1435" spans="1:8" hidden="1" x14ac:dyDescent="0.2">
      <c r="A1435" s="4" t="s">
        <v>1766</v>
      </c>
      <c r="B1435" s="21">
        <v>43837</v>
      </c>
      <c r="C1435" s="12">
        <v>4</v>
      </c>
      <c r="D1435" s="22" t="s">
        <v>2168</v>
      </c>
      <c r="E1435" s="23">
        <v>43823</v>
      </c>
      <c r="F1435" s="24" t="s">
        <v>2165</v>
      </c>
      <c r="G1435" s="12"/>
      <c r="H1435" s="12"/>
    </row>
    <row r="1436" spans="1:8" hidden="1" x14ac:dyDescent="0.2">
      <c r="A1436" s="4" t="s">
        <v>1766</v>
      </c>
      <c r="B1436" s="21">
        <v>43837</v>
      </c>
      <c r="C1436" s="12">
        <v>5</v>
      </c>
      <c r="D1436" s="22" t="s">
        <v>2170</v>
      </c>
      <c r="E1436" s="23">
        <v>43823</v>
      </c>
      <c r="F1436" s="24" t="s">
        <v>2165</v>
      </c>
      <c r="G1436" s="12"/>
      <c r="H1436" s="12"/>
    </row>
    <row r="1437" spans="1:8" hidden="1" x14ac:dyDescent="0.2">
      <c r="A1437" s="4" t="s">
        <v>1766</v>
      </c>
      <c r="B1437" s="21">
        <v>43837</v>
      </c>
      <c r="C1437" s="12">
        <v>6</v>
      </c>
      <c r="D1437" s="22" t="s">
        <v>1641</v>
      </c>
      <c r="E1437" s="23">
        <v>43823</v>
      </c>
      <c r="F1437" s="24" t="s">
        <v>2165</v>
      </c>
      <c r="G1437" s="12"/>
      <c r="H1437" s="12"/>
    </row>
    <row r="1438" spans="1:8" hidden="1" x14ac:dyDescent="0.2">
      <c r="A1438" s="4" t="s">
        <v>1766</v>
      </c>
      <c r="B1438" s="21">
        <v>43837</v>
      </c>
      <c r="C1438" s="12">
        <v>7</v>
      </c>
      <c r="D1438" s="22" t="s">
        <v>2173</v>
      </c>
      <c r="E1438" s="23">
        <v>43823</v>
      </c>
      <c r="F1438" s="24" t="s">
        <v>2165</v>
      </c>
      <c r="G1438" s="12"/>
      <c r="H1438" s="12"/>
    </row>
    <row r="1439" spans="1:8" hidden="1" x14ac:dyDescent="0.2">
      <c r="A1439" s="4" t="s">
        <v>2126</v>
      </c>
      <c r="B1439" s="21">
        <v>43842</v>
      </c>
      <c r="C1439" s="12">
        <v>1</v>
      </c>
      <c r="D1439" s="22" t="s">
        <v>2127</v>
      </c>
      <c r="E1439" s="23">
        <v>43823</v>
      </c>
      <c r="F1439" s="24" t="s">
        <v>85</v>
      </c>
      <c r="G1439" s="12"/>
      <c r="H1439" s="12"/>
    </row>
    <row r="1440" spans="1:8" hidden="1" x14ac:dyDescent="0.2">
      <c r="A1440" s="4" t="s">
        <v>2126</v>
      </c>
      <c r="B1440" s="21">
        <v>43842</v>
      </c>
      <c r="C1440" s="12">
        <v>2</v>
      </c>
      <c r="D1440" s="22" t="s">
        <v>1418</v>
      </c>
      <c r="E1440" s="23">
        <v>43827</v>
      </c>
      <c r="F1440" s="24" t="s">
        <v>85</v>
      </c>
      <c r="G1440" s="12"/>
      <c r="H1440" s="12"/>
    </row>
    <row r="1441" spans="1:9" hidden="1" x14ac:dyDescent="0.2">
      <c r="A1441" s="4" t="s">
        <v>2126</v>
      </c>
      <c r="B1441" s="21">
        <v>43842</v>
      </c>
      <c r="C1441" s="12">
        <v>3</v>
      </c>
      <c r="D1441" s="22" t="s">
        <v>2120</v>
      </c>
      <c r="E1441" s="23">
        <v>43838</v>
      </c>
      <c r="F1441" s="24" t="s">
        <v>85</v>
      </c>
      <c r="G1441" s="12"/>
      <c r="H1441" s="12"/>
    </row>
    <row r="1442" spans="1:9" hidden="1" x14ac:dyDescent="0.2">
      <c r="A1442" s="4" t="s">
        <v>2126</v>
      </c>
      <c r="B1442" s="21">
        <v>43842</v>
      </c>
      <c r="C1442" s="12">
        <v>4</v>
      </c>
      <c r="D1442" s="22" t="s">
        <v>1420</v>
      </c>
      <c r="E1442" s="23">
        <v>43838</v>
      </c>
      <c r="F1442" s="24" t="s">
        <v>85</v>
      </c>
      <c r="G1442" s="12"/>
      <c r="H1442" s="12"/>
    </row>
    <row r="1443" spans="1:9" hidden="1" x14ac:dyDescent="0.2">
      <c r="A1443" s="4" t="s">
        <v>2126</v>
      </c>
      <c r="B1443" s="21">
        <v>43842</v>
      </c>
      <c r="C1443" s="12">
        <v>5</v>
      </c>
      <c r="D1443" s="22" t="s">
        <v>699</v>
      </c>
      <c r="E1443" s="23">
        <v>43838</v>
      </c>
      <c r="F1443" s="24" t="s">
        <v>85</v>
      </c>
      <c r="G1443" s="12"/>
      <c r="H1443" s="12"/>
    </row>
    <row r="1444" spans="1:9" hidden="1" x14ac:dyDescent="0.2">
      <c r="A1444" s="4" t="s">
        <v>2126</v>
      </c>
      <c r="B1444" s="21">
        <v>43842</v>
      </c>
      <c r="C1444" s="12">
        <v>6</v>
      </c>
      <c r="D1444" s="22" t="s">
        <v>694</v>
      </c>
      <c r="E1444" s="23">
        <v>43838</v>
      </c>
      <c r="F1444" s="24" t="s">
        <v>85</v>
      </c>
      <c r="G1444" s="12"/>
      <c r="H1444" s="12"/>
    </row>
    <row r="1445" spans="1:9" hidden="1" x14ac:dyDescent="0.2">
      <c r="A1445" s="4" t="s">
        <v>2126</v>
      </c>
      <c r="B1445" s="21">
        <v>43842</v>
      </c>
      <c r="C1445" s="12">
        <v>7</v>
      </c>
      <c r="D1445" s="22" t="s">
        <v>700</v>
      </c>
      <c r="E1445" s="23">
        <v>43838</v>
      </c>
      <c r="F1445" s="24" t="s">
        <v>85</v>
      </c>
      <c r="G1445" s="12"/>
      <c r="H1445" s="12"/>
    </row>
    <row r="1446" spans="1:9" hidden="1" x14ac:dyDescent="0.2">
      <c r="A1446" s="4" t="s">
        <v>2126</v>
      </c>
      <c r="B1446" s="21">
        <v>43842</v>
      </c>
      <c r="C1446" s="12">
        <v>8</v>
      </c>
      <c r="D1446" s="22" t="s">
        <v>2121</v>
      </c>
      <c r="E1446" s="23">
        <v>43838</v>
      </c>
      <c r="F1446" s="24" t="s">
        <v>85</v>
      </c>
      <c r="G1446" s="12"/>
      <c r="H1446" s="12"/>
    </row>
    <row r="1447" spans="1:9" hidden="1" x14ac:dyDescent="0.2">
      <c r="A1447" s="4" t="s">
        <v>2126</v>
      </c>
      <c r="B1447" s="21">
        <v>43842</v>
      </c>
      <c r="C1447" s="12">
        <v>9</v>
      </c>
      <c r="D1447" s="22" t="s">
        <v>2122</v>
      </c>
      <c r="E1447" s="23">
        <v>43838</v>
      </c>
      <c r="F1447" s="24" t="s">
        <v>85</v>
      </c>
      <c r="G1447" s="12"/>
      <c r="H1447" s="12"/>
    </row>
    <row r="1448" spans="1:9" hidden="1" x14ac:dyDescent="0.2">
      <c r="A1448" s="4" t="s">
        <v>2126</v>
      </c>
      <c r="B1448" s="21">
        <v>43842</v>
      </c>
      <c r="C1448" s="12">
        <v>10</v>
      </c>
      <c r="D1448" s="22" t="s">
        <v>2123</v>
      </c>
      <c r="E1448" s="23">
        <v>43838</v>
      </c>
      <c r="F1448" s="24" t="s">
        <v>85</v>
      </c>
      <c r="G1448" s="12"/>
      <c r="H1448" s="12"/>
    </row>
    <row r="1449" spans="1:9" hidden="1" x14ac:dyDescent="0.2">
      <c r="A1449" s="4" t="s">
        <v>2126</v>
      </c>
      <c r="B1449" s="21">
        <v>43842</v>
      </c>
      <c r="C1449" s="12">
        <v>11</v>
      </c>
      <c r="D1449" s="22" t="s">
        <v>2124</v>
      </c>
      <c r="E1449" s="23">
        <v>43838</v>
      </c>
      <c r="F1449" s="24" t="s">
        <v>85</v>
      </c>
      <c r="G1449" s="12"/>
      <c r="H1449" s="12"/>
    </row>
    <row r="1450" spans="1:9" hidden="1" x14ac:dyDescent="0.2">
      <c r="A1450" s="4" t="s">
        <v>2126</v>
      </c>
      <c r="B1450" s="21">
        <v>43842</v>
      </c>
      <c r="C1450" s="12">
        <v>12</v>
      </c>
      <c r="D1450" s="22" t="s">
        <v>2125</v>
      </c>
      <c r="E1450" s="23">
        <v>43838</v>
      </c>
      <c r="F1450" s="24" t="s">
        <v>85</v>
      </c>
      <c r="G1450" s="12"/>
      <c r="H1450" s="12"/>
    </row>
    <row r="1451" spans="1:9" hidden="1" x14ac:dyDescent="0.2">
      <c r="A1451" s="4" t="s">
        <v>2005</v>
      </c>
      <c r="B1451" s="21">
        <v>43844</v>
      </c>
      <c r="C1451" s="12">
        <v>1</v>
      </c>
      <c r="D1451" s="22" t="s">
        <v>1659</v>
      </c>
      <c r="E1451" s="23">
        <v>43808</v>
      </c>
      <c r="F1451" s="24" t="s">
        <v>1705</v>
      </c>
      <c r="G1451" s="12"/>
      <c r="H1451" s="12"/>
    </row>
    <row r="1452" spans="1:9" hidden="1" x14ac:dyDescent="0.2">
      <c r="A1452" s="4" t="s">
        <v>2005</v>
      </c>
      <c r="B1452" s="21">
        <v>43844</v>
      </c>
      <c r="C1452" s="12">
        <v>2</v>
      </c>
      <c r="D1452" s="22" t="s">
        <v>759</v>
      </c>
      <c r="E1452" s="23">
        <v>43838</v>
      </c>
      <c r="F1452" s="24" t="s">
        <v>1705</v>
      </c>
      <c r="G1452" s="12"/>
      <c r="H1452" s="12"/>
    </row>
    <row r="1453" spans="1:9" hidden="1" x14ac:dyDescent="0.2">
      <c r="A1453" s="4" t="s">
        <v>2005</v>
      </c>
      <c r="B1453" s="21">
        <v>43844</v>
      </c>
      <c r="C1453" s="12">
        <v>3</v>
      </c>
      <c r="D1453" s="22" t="s">
        <v>764</v>
      </c>
      <c r="E1453" s="23">
        <v>43839</v>
      </c>
      <c r="F1453" s="24" t="s">
        <v>1705</v>
      </c>
      <c r="G1453" s="12"/>
      <c r="H1453" s="12"/>
      <c r="I1453" s="4" t="s">
        <v>760</v>
      </c>
    </row>
    <row r="1454" spans="1:9" hidden="1" x14ac:dyDescent="0.2">
      <c r="A1454" s="4" t="s">
        <v>2005</v>
      </c>
      <c r="B1454" s="21">
        <v>43844</v>
      </c>
      <c r="C1454" s="12">
        <v>4</v>
      </c>
      <c r="D1454" s="22" t="s">
        <v>762</v>
      </c>
      <c r="E1454" s="23">
        <v>43839</v>
      </c>
      <c r="F1454" s="24" t="s">
        <v>1705</v>
      </c>
      <c r="G1454" s="12"/>
      <c r="H1454" s="12"/>
    </row>
    <row r="1455" spans="1:9" hidden="1" x14ac:dyDescent="0.2">
      <c r="A1455" s="4" t="s">
        <v>2005</v>
      </c>
      <c r="B1455" s="21">
        <v>43844</v>
      </c>
      <c r="C1455" s="12">
        <v>5</v>
      </c>
      <c r="D1455" s="22" t="s">
        <v>766</v>
      </c>
      <c r="E1455" s="23">
        <v>43839</v>
      </c>
      <c r="F1455" s="24" t="s">
        <v>1705</v>
      </c>
      <c r="G1455" s="12"/>
      <c r="H1455" s="12"/>
    </row>
    <row r="1456" spans="1:9" hidden="1" x14ac:dyDescent="0.2">
      <c r="A1456" s="4" t="s">
        <v>2005</v>
      </c>
      <c r="B1456" s="21">
        <v>43844</v>
      </c>
      <c r="C1456" s="12">
        <v>6</v>
      </c>
      <c r="D1456" s="22" t="s">
        <v>768</v>
      </c>
      <c r="E1456" s="23">
        <v>43839</v>
      </c>
      <c r="F1456" s="24" t="s">
        <v>1705</v>
      </c>
      <c r="G1456" s="12"/>
      <c r="H1456" s="12"/>
    </row>
    <row r="1457" spans="1:8" hidden="1" x14ac:dyDescent="0.2">
      <c r="A1457" s="4" t="s">
        <v>2005</v>
      </c>
      <c r="B1457" s="21">
        <v>43844</v>
      </c>
      <c r="C1457" s="12">
        <v>7</v>
      </c>
      <c r="D1457" s="22" t="s">
        <v>772</v>
      </c>
      <c r="E1457" s="23">
        <v>43839</v>
      </c>
      <c r="F1457" s="24" t="s">
        <v>1705</v>
      </c>
      <c r="G1457" s="12"/>
      <c r="H1457" s="12"/>
    </row>
    <row r="1458" spans="1:8" hidden="1" x14ac:dyDescent="0.2">
      <c r="A1458" s="4" t="s">
        <v>2117</v>
      </c>
      <c r="B1458" s="21">
        <v>43851</v>
      </c>
      <c r="C1458" s="12">
        <v>1</v>
      </c>
      <c r="D1458" s="22" t="s">
        <v>2118</v>
      </c>
      <c r="E1458" s="23">
        <v>43822</v>
      </c>
      <c r="F1458" s="24" t="s">
        <v>85</v>
      </c>
      <c r="G1458" s="12"/>
      <c r="H1458" s="12"/>
    </row>
    <row r="1459" spans="1:8" hidden="1" x14ac:dyDescent="0.2">
      <c r="A1459" s="4" t="s">
        <v>2117</v>
      </c>
      <c r="B1459" s="21">
        <v>43851</v>
      </c>
      <c r="C1459" s="12">
        <v>2</v>
      </c>
      <c r="D1459" s="22" t="s">
        <v>2116</v>
      </c>
      <c r="E1459" s="23">
        <v>43843</v>
      </c>
      <c r="F1459" s="24" t="s">
        <v>85</v>
      </c>
      <c r="G1459" s="12"/>
      <c r="H1459" s="12"/>
    </row>
    <row r="1460" spans="1:8" hidden="1" x14ac:dyDescent="0.2">
      <c r="A1460" s="4" t="s">
        <v>2117</v>
      </c>
      <c r="B1460" s="21">
        <v>43851</v>
      </c>
      <c r="C1460" s="12">
        <v>3</v>
      </c>
      <c r="D1460" s="22" t="s">
        <v>764</v>
      </c>
      <c r="E1460" s="23">
        <v>43843</v>
      </c>
      <c r="F1460" s="24" t="s">
        <v>85</v>
      </c>
      <c r="G1460" s="12"/>
      <c r="H1460" s="12"/>
    </row>
    <row r="1461" spans="1:8" hidden="1" x14ac:dyDescent="0.2">
      <c r="A1461" s="4" t="s">
        <v>2117</v>
      </c>
      <c r="B1461" s="21">
        <v>43851</v>
      </c>
      <c r="C1461" s="12">
        <v>4</v>
      </c>
      <c r="D1461" s="22" t="s">
        <v>762</v>
      </c>
      <c r="E1461" s="23">
        <v>43843</v>
      </c>
      <c r="F1461" s="24" t="s">
        <v>85</v>
      </c>
      <c r="G1461" s="12"/>
      <c r="H1461" s="12"/>
    </row>
    <row r="1462" spans="1:8" hidden="1" x14ac:dyDescent="0.2">
      <c r="A1462" s="4" t="s">
        <v>2117</v>
      </c>
      <c r="B1462" s="21">
        <v>43851</v>
      </c>
      <c r="C1462" s="12">
        <v>5</v>
      </c>
      <c r="D1462" s="22" t="s">
        <v>766</v>
      </c>
      <c r="E1462" s="23">
        <v>43843</v>
      </c>
      <c r="F1462" s="24" t="s">
        <v>85</v>
      </c>
      <c r="G1462" s="12"/>
      <c r="H1462" s="12"/>
    </row>
    <row r="1463" spans="1:8" hidden="1" x14ac:dyDescent="0.2">
      <c r="A1463" s="4" t="s">
        <v>2117</v>
      </c>
      <c r="B1463" s="21">
        <v>43851</v>
      </c>
      <c r="C1463" s="12">
        <v>6</v>
      </c>
      <c r="D1463" s="22" t="s">
        <v>768</v>
      </c>
      <c r="E1463" s="23">
        <v>43843</v>
      </c>
      <c r="F1463" s="24" t="s">
        <v>85</v>
      </c>
      <c r="G1463" s="12"/>
      <c r="H1463" s="12"/>
    </row>
    <row r="1464" spans="1:8" hidden="1" x14ac:dyDescent="0.2">
      <c r="A1464" s="4" t="s">
        <v>2117</v>
      </c>
      <c r="B1464" s="21">
        <v>43851</v>
      </c>
      <c r="C1464" s="12">
        <v>7</v>
      </c>
      <c r="D1464" s="22" t="s">
        <v>772</v>
      </c>
      <c r="E1464" s="23">
        <v>43843</v>
      </c>
      <c r="F1464" s="24" t="s">
        <v>85</v>
      </c>
      <c r="G1464" s="12"/>
      <c r="H1464" s="12"/>
    </row>
    <row r="1465" spans="1:8" hidden="1" x14ac:dyDescent="0.2">
      <c r="A1465" s="4" t="s">
        <v>2117</v>
      </c>
      <c r="B1465" s="21">
        <v>43858</v>
      </c>
      <c r="C1465" s="12">
        <v>1</v>
      </c>
      <c r="D1465" s="22" t="s">
        <v>2118</v>
      </c>
      <c r="E1465" s="23">
        <v>43822</v>
      </c>
      <c r="F1465" s="24" t="s">
        <v>85</v>
      </c>
      <c r="G1465" s="12"/>
      <c r="H1465" s="12"/>
    </row>
    <row r="1466" spans="1:8" hidden="1" x14ac:dyDescent="0.2">
      <c r="A1466" s="4" t="s">
        <v>2117</v>
      </c>
      <c r="B1466" s="21">
        <v>43858</v>
      </c>
      <c r="C1466" s="12">
        <v>2</v>
      </c>
      <c r="D1466" s="22" t="s">
        <v>2116</v>
      </c>
      <c r="E1466" s="23">
        <v>43850</v>
      </c>
      <c r="F1466" s="24" t="s">
        <v>85</v>
      </c>
      <c r="G1466" s="12"/>
      <c r="H1466" s="12"/>
    </row>
    <row r="1467" spans="1:8" hidden="1" x14ac:dyDescent="0.2">
      <c r="A1467" s="4" t="s">
        <v>2117</v>
      </c>
      <c r="B1467" s="21">
        <v>43858</v>
      </c>
      <c r="C1467" s="12">
        <v>3</v>
      </c>
      <c r="D1467" s="22" t="s">
        <v>764</v>
      </c>
      <c r="E1467" s="23">
        <v>43850</v>
      </c>
      <c r="F1467" s="24" t="s">
        <v>85</v>
      </c>
      <c r="G1467" s="12"/>
      <c r="H1467" s="12"/>
    </row>
    <row r="1468" spans="1:8" hidden="1" x14ac:dyDescent="0.2">
      <c r="A1468" s="4" t="s">
        <v>2117</v>
      </c>
      <c r="B1468" s="21">
        <v>43858</v>
      </c>
      <c r="C1468" s="12">
        <v>4</v>
      </c>
      <c r="D1468" s="22" t="s">
        <v>762</v>
      </c>
      <c r="E1468" s="23">
        <v>43850</v>
      </c>
      <c r="F1468" s="24" t="s">
        <v>85</v>
      </c>
      <c r="G1468" s="12"/>
      <c r="H1468" s="12"/>
    </row>
    <row r="1469" spans="1:8" hidden="1" x14ac:dyDescent="0.2">
      <c r="A1469" s="4" t="s">
        <v>2117</v>
      </c>
      <c r="B1469" s="21">
        <v>43858</v>
      </c>
      <c r="C1469" s="12">
        <v>5</v>
      </c>
      <c r="D1469" s="22" t="s">
        <v>766</v>
      </c>
      <c r="E1469" s="23">
        <v>43850</v>
      </c>
      <c r="F1469" s="24" t="s">
        <v>85</v>
      </c>
      <c r="G1469" s="12"/>
      <c r="H1469" s="12"/>
    </row>
    <row r="1470" spans="1:8" hidden="1" x14ac:dyDescent="0.2">
      <c r="A1470" s="4" t="s">
        <v>2117</v>
      </c>
      <c r="B1470" s="21">
        <v>43858</v>
      </c>
      <c r="C1470" s="12">
        <v>6</v>
      </c>
      <c r="D1470" s="22" t="s">
        <v>768</v>
      </c>
      <c r="E1470" s="23">
        <v>43850</v>
      </c>
      <c r="F1470" s="24" t="s">
        <v>85</v>
      </c>
      <c r="G1470" s="12"/>
      <c r="H1470" s="12"/>
    </row>
    <row r="1471" spans="1:8" hidden="1" x14ac:dyDescent="0.2">
      <c r="A1471" s="4" t="s">
        <v>2117</v>
      </c>
      <c r="B1471" s="21">
        <v>43858</v>
      </c>
      <c r="C1471" s="12">
        <v>7</v>
      </c>
      <c r="D1471" s="22" t="s">
        <v>772</v>
      </c>
      <c r="E1471" s="23">
        <v>43850</v>
      </c>
      <c r="F1471" s="24" t="s">
        <v>85</v>
      </c>
      <c r="G1471" s="12"/>
      <c r="H1471" s="12"/>
    </row>
    <row r="1472" spans="1:8" hidden="1" x14ac:dyDescent="0.2">
      <c r="A1472" s="4" t="s">
        <v>2117</v>
      </c>
      <c r="B1472" s="21">
        <v>43865</v>
      </c>
      <c r="C1472" s="12">
        <v>1</v>
      </c>
      <c r="D1472" s="22" t="s">
        <v>2118</v>
      </c>
      <c r="E1472" s="23">
        <v>43822</v>
      </c>
      <c r="F1472" s="24" t="s">
        <v>85</v>
      </c>
      <c r="G1472" s="12"/>
      <c r="H1472" s="12"/>
    </row>
    <row r="1473" spans="1:8" hidden="1" x14ac:dyDescent="0.2">
      <c r="A1473" s="4" t="s">
        <v>2117</v>
      </c>
      <c r="B1473" s="21">
        <v>43865</v>
      </c>
      <c r="C1473" s="12">
        <v>2</v>
      </c>
      <c r="D1473" s="22" t="s">
        <v>2116</v>
      </c>
      <c r="E1473" s="23">
        <v>43857</v>
      </c>
      <c r="F1473" s="24" t="s">
        <v>85</v>
      </c>
      <c r="G1473" s="12"/>
      <c r="H1473" s="12"/>
    </row>
    <row r="1474" spans="1:8" hidden="1" x14ac:dyDescent="0.2">
      <c r="A1474" s="4" t="s">
        <v>2117</v>
      </c>
      <c r="B1474" s="21">
        <v>43865</v>
      </c>
      <c r="C1474" s="12">
        <v>3</v>
      </c>
      <c r="D1474" s="22" t="s">
        <v>764</v>
      </c>
      <c r="E1474" s="23">
        <v>43857</v>
      </c>
      <c r="F1474" s="24" t="s">
        <v>85</v>
      </c>
      <c r="G1474" s="12"/>
      <c r="H1474" s="12"/>
    </row>
    <row r="1475" spans="1:8" hidden="1" x14ac:dyDescent="0.2">
      <c r="A1475" s="4" t="s">
        <v>2117</v>
      </c>
      <c r="B1475" s="21">
        <v>43865</v>
      </c>
      <c r="C1475" s="12">
        <v>4</v>
      </c>
      <c r="D1475" s="22" t="s">
        <v>762</v>
      </c>
      <c r="E1475" s="23">
        <v>43857</v>
      </c>
      <c r="F1475" s="24" t="s">
        <v>85</v>
      </c>
      <c r="G1475" s="12"/>
      <c r="H1475" s="12"/>
    </row>
    <row r="1476" spans="1:8" hidden="1" x14ac:dyDescent="0.2">
      <c r="A1476" s="4" t="s">
        <v>2117</v>
      </c>
      <c r="B1476" s="21">
        <v>43865</v>
      </c>
      <c r="C1476" s="12">
        <v>5</v>
      </c>
      <c r="D1476" s="22" t="s">
        <v>766</v>
      </c>
      <c r="E1476" s="23">
        <v>43857</v>
      </c>
      <c r="F1476" s="24" t="s">
        <v>85</v>
      </c>
      <c r="G1476" s="12"/>
      <c r="H1476" s="12"/>
    </row>
    <row r="1477" spans="1:8" hidden="1" x14ac:dyDescent="0.2">
      <c r="A1477" s="4" t="s">
        <v>2117</v>
      </c>
      <c r="B1477" s="21">
        <v>43865</v>
      </c>
      <c r="C1477" s="12">
        <v>6</v>
      </c>
      <c r="D1477" s="22" t="s">
        <v>768</v>
      </c>
      <c r="E1477" s="23">
        <v>43857</v>
      </c>
      <c r="F1477" s="24" t="s">
        <v>85</v>
      </c>
      <c r="G1477" s="12"/>
      <c r="H1477" s="12"/>
    </row>
    <row r="1478" spans="1:8" hidden="1" x14ac:dyDescent="0.2">
      <c r="A1478" s="4" t="s">
        <v>2117</v>
      </c>
      <c r="B1478" s="21">
        <v>43865</v>
      </c>
      <c r="C1478" s="12">
        <v>7</v>
      </c>
      <c r="D1478" s="22" t="s">
        <v>772</v>
      </c>
      <c r="E1478" s="23">
        <v>43857</v>
      </c>
      <c r="F1478" s="24" t="s">
        <v>85</v>
      </c>
      <c r="G1478" s="12"/>
      <c r="H1478" s="12"/>
    </row>
    <row r="1479" spans="1:8" hidden="1" x14ac:dyDescent="0.2">
      <c r="A1479" s="4" t="s">
        <v>2117</v>
      </c>
      <c r="B1479" s="21">
        <v>43872</v>
      </c>
      <c r="C1479" s="12">
        <v>1</v>
      </c>
      <c r="D1479" s="22" t="s">
        <v>2118</v>
      </c>
      <c r="E1479" s="23">
        <v>43822</v>
      </c>
      <c r="F1479" s="24" t="s">
        <v>85</v>
      </c>
      <c r="G1479" s="12"/>
      <c r="H1479" s="12"/>
    </row>
    <row r="1480" spans="1:8" hidden="1" x14ac:dyDescent="0.2">
      <c r="A1480" s="4" t="s">
        <v>2117</v>
      </c>
      <c r="B1480" s="21">
        <v>43872</v>
      </c>
      <c r="C1480" s="12">
        <v>2</v>
      </c>
      <c r="D1480" s="22" t="s">
        <v>2116</v>
      </c>
      <c r="E1480" s="23">
        <v>43864</v>
      </c>
      <c r="F1480" s="24" t="s">
        <v>85</v>
      </c>
      <c r="G1480" s="12"/>
      <c r="H1480" s="12"/>
    </row>
    <row r="1481" spans="1:8" hidden="1" x14ac:dyDescent="0.2">
      <c r="A1481" s="4" t="s">
        <v>2117</v>
      </c>
      <c r="B1481" s="21">
        <v>43872</v>
      </c>
      <c r="C1481" s="12">
        <v>3</v>
      </c>
      <c r="D1481" s="22" t="s">
        <v>764</v>
      </c>
      <c r="E1481" s="23">
        <v>43864</v>
      </c>
      <c r="F1481" s="24" t="s">
        <v>85</v>
      </c>
      <c r="G1481" s="12"/>
      <c r="H1481" s="12"/>
    </row>
    <row r="1482" spans="1:8" hidden="1" x14ac:dyDescent="0.2">
      <c r="A1482" s="4" t="s">
        <v>2117</v>
      </c>
      <c r="B1482" s="21">
        <v>43872</v>
      </c>
      <c r="C1482" s="12">
        <v>4</v>
      </c>
      <c r="D1482" s="22" t="s">
        <v>762</v>
      </c>
      <c r="E1482" s="23">
        <v>43864</v>
      </c>
      <c r="F1482" s="24" t="s">
        <v>85</v>
      </c>
      <c r="G1482" s="12"/>
      <c r="H1482" s="12"/>
    </row>
    <row r="1483" spans="1:8" hidden="1" x14ac:dyDescent="0.2">
      <c r="A1483" s="4" t="s">
        <v>2117</v>
      </c>
      <c r="B1483" s="21">
        <v>43872</v>
      </c>
      <c r="C1483" s="12">
        <v>5</v>
      </c>
      <c r="D1483" s="22" t="s">
        <v>766</v>
      </c>
      <c r="E1483" s="23">
        <v>43864</v>
      </c>
      <c r="F1483" s="24" t="s">
        <v>85</v>
      </c>
      <c r="G1483" s="12"/>
      <c r="H1483" s="12"/>
    </row>
    <row r="1484" spans="1:8" hidden="1" x14ac:dyDescent="0.2">
      <c r="A1484" s="4" t="s">
        <v>2117</v>
      </c>
      <c r="B1484" s="21">
        <v>43872</v>
      </c>
      <c r="C1484" s="12">
        <v>6</v>
      </c>
      <c r="D1484" s="22" t="s">
        <v>768</v>
      </c>
      <c r="E1484" s="23">
        <v>43864</v>
      </c>
      <c r="F1484" s="24" t="s">
        <v>85</v>
      </c>
      <c r="G1484" s="12"/>
      <c r="H1484" s="12"/>
    </row>
    <row r="1485" spans="1:8" hidden="1" x14ac:dyDescent="0.2">
      <c r="A1485" s="4" t="s">
        <v>2117</v>
      </c>
      <c r="B1485" s="21">
        <v>43872</v>
      </c>
      <c r="C1485" s="12">
        <v>7</v>
      </c>
      <c r="D1485" s="22" t="s">
        <v>772</v>
      </c>
      <c r="E1485" s="23">
        <v>43864</v>
      </c>
      <c r="F1485" s="24" t="s">
        <v>85</v>
      </c>
      <c r="G1485" s="12"/>
      <c r="H1485" s="12"/>
    </row>
    <row r="1486" spans="1:8" hidden="1" x14ac:dyDescent="0.2">
      <c r="A1486" s="4" t="s">
        <v>2185</v>
      </c>
      <c r="B1486" s="21">
        <v>43822</v>
      </c>
      <c r="C1486" s="12"/>
      <c r="D1486" s="22" t="s">
        <v>2186</v>
      </c>
      <c r="E1486" s="23">
        <v>43822</v>
      </c>
      <c r="F1486" s="24" t="s">
        <v>2165</v>
      </c>
      <c r="G1486" s="12"/>
      <c r="H1486" s="12"/>
    </row>
    <row r="1487" spans="1:8" hidden="1" x14ac:dyDescent="0.2">
      <c r="A1487" s="4" t="s">
        <v>501</v>
      </c>
      <c r="B1487" s="21">
        <v>43822</v>
      </c>
      <c r="C1487" s="12"/>
      <c r="D1487" s="22" t="s">
        <v>2190</v>
      </c>
      <c r="E1487" s="23">
        <v>43823</v>
      </c>
      <c r="F1487" s="24" t="s">
        <v>2191</v>
      </c>
      <c r="G1487" s="12"/>
      <c r="H1487" s="12"/>
    </row>
    <row r="1488" spans="1:8" hidden="1" x14ac:dyDescent="0.2">
      <c r="A1488" s="4" t="s">
        <v>501</v>
      </c>
      <c r="B1488" s="21">
        <v>43822</v>
      </c>
      <c r="C1488" s="12"/>
      <c r="D1488" s="22" t="s">
        <v>2195</v>
      </c>
      <c r="E1488" s="23">
        <v>43823</v>
      </c>
      <c r="F1488" s="24" t="s">
        <v>2196</v>
      </c>
      <c r="G1488" s="12"/>
      <c r="H1488" s="12"/>
    </row>
    <row r="1489" spans="1:9" hidden="1" x14ac:dyDescent="0.2">
      <c r="A1489" t="s">
        <v>1997</v>
      </c>
      <c r="B1489" s="21">
        <v>43819</v>
      </c>
      <c r="C1489" s="12">
        <v>6</v>
      </c>
      <c r="D1489" s="22" t="s">
        <v>2197</v>
      </c>
      <c r="E1489" s="23">
        <v>43823</v>
      </c>
      <c r="F1489" s="24" t="s">
        <v>2196</v>
      </c>
      <c r="G1489" s="12"/>
      <c r="H1489" s="12"/>
    </row>
    <row r="1490" spans="1:9" hidden="1" x14ac:dyDescent="0.2">
      <c r="A1490" s="4" t="s">
        <v>1769</v>
      </c>
      <c r="B1490" s="21">
        <v>43835</v>
      </c>
      <c r="C1490" s="12">
        <v>1</v>
      </c>
      <c r="D1490" s="22" t="s">
        <v>2201</v>
      </c>
      <c r="E1490" s="23">
        <v>43824</v>
      </c>
      <c r="F1490" s="24" t="s">
        <v>85</v>
      </c>
      <c r="G1490" s="12"/>
      <c r="H1490" s="12"/>
    </row>
    <row r="1491" spans="1:9" hidden="1" x14ac:dyDescent="0.2">
      <c r="A1491" s="4" t="s">
        <v>1769</v>
      </c>
      <c r="B1491" s="21">
        <v>43835</v>
      </c>
      <c r="C1491" s="12">
        <v>2</v>
      </c>
      <c r="D1491" s="22" t="s">
        <v>943</v>
      </c>
      <c r="E1491" s="23">
        <v>43826</v>
      </c>
      <c r="F1491" s="24" t="s">
        <v>85</v>
      </c>
      <c r="G1491" s="12"/>
      <c r="H1491" s="12"/>
      <c r="I1491" s="4" t="s">
        <v>2218</v>
      </c>
    </row>
    <row r="1492" spans="1:9" hidden="1" x14ac:dyDescent="0.2">
      <c r="A1492" s="4" t="s">
        <v>1769</v>
      </c>
      <c r="B1492" s="21">
        <v>43835</v>
      </c>
      <c r="C1492" s="12">
        <v>3</v>
      </c>
      <c r="D1492" s="22" t="s">
        <v>2131</v>
      </c>
      <c r="E1492" s="23">
        <v>43829</v>
      </c>
      <c r="F1492" s="24" t="s">
        <v>85</v>
      </c>
      <c r="G1492" s="12"/>
      <c r="H1492" s="12"/>
    </row>
    <row r="1493" spans="1:9" hidden="1" x14ac:dyDescent="0.2">
      <c r="A1493" s="4" t="s">
        <v>1769</v>
      </c>
      <c r="B1493" s="21">
        <v>43835</v>
      </c>
      <c r="C1493" s="12">
        <v>4</v>
      </c>
      <c r="D1493" s="22" t="s">
        <v>888</v>
      </c>
      <c r="E1493" s="23">
        <v>43829</v>
      </c>
      <c r="F1493" s="24" t="s">
        <v>85</v>
      </c>
      <c r="G1493" s="12"/>
      <c r="H1493" s="12"/>
    </row>
    <row r="1494" spans="1:9" hidden="1" x14ac:dyDescent="0.2">
      <c r="A1494" s="4" t="s">
        <v>1769</v>
      </c>
      <c r="B1494" s="21">
        <v>43835</v>
      </c>
      <c r="C1494" s="12">
        <v>5</v>
      </c>
      <c r="D1494" s="22" t="s">
        <v>2133</v>
      </c>
      <c r="E1494" s="23">
        <v>43829</v>
      </c>
      <c r="F1494" s="24" t="s">
        <v>85</v>
      </c>
      <c r="G1494" s="12"/>
      <c r="H1494" s="12"/>
    </row>
    <row r="1495" spans="1:9" hidden="1" x14ac:dyDescent="0.2">
      <c r="A1495" s="4" t="s">
        <v>1769</v>
      </c>
      <c r="B1495" s="21">
        <v>43835</v>
      </c>
      <c r="C1495" s="12">
        <v>6</v>
      </c>
      <c r="D1495" s="22" t="s">
        <v>892</v>
      </c>
      <c r="E1495" s="23">
        <v>43829</v>
      </c>
      <c r="F1495" s="24" t="s">
        <v>85</v>
      </c>
      <c r="G1495" s="12"/>
      <c r="H1495" s="12"/>
    </row>
    <row r="1496" spans="1:9" hidden="1" x14ac:dyDescent="0.2">
      <c r="A1496" s="4" t="s">
        <v>1769</v>
      </c>
      <c r="B1496" s="21">
        <v>43835</v>
      </c>
      <c r="C1496" s="12">
        <v>7</v>
      </c>
      <c r="D1496" s="22" t="s">
        <v>894</v>
      </c>
      <c r="E1496" s="23">
        <v>43834</v>
      </c>
      <c r="F1496" s="24" t="s">
        <v>85</v>
      </c>
      <c r="G1496" s="12"/>
      <c r="H1496" s="12"/>
    </row>
    <row r="1497" spans="1:9" hidden="1" x14ac:dyDescent="0.2">
      <c r="A1497" s="4" t="s">
        <v>2202</v>
      </c>
      <c r="B1497" s="21">
        <v>43837</v>
      </c>
      <c r="C1497" s="12">
        <v>1</v>
      </c>
      <c r="D1497" s="22" t="s">
        <v>2206</v>
      </c>
      <c r="E1497" s="23">
        <v>43829</v>
      </c>
      <c r="F1497" s="24" t="s">
        <v>2205</v>
      </c>
      <c r="G1497" s="12"/>
      <c r="H1497" s="12"/>
    </row>
    <row r="1498" spans="1:9" hidden="1" x14ac:dyDescent="0.2">
      <c r="A1498" s="4" t="s">
        <v>2202</v>
      </c>
      <c r="B1498" s="21">
        <v>43837</v>
      </c>
      <c r="C1498" s="12">
        <v>2</v>
      </c>
      <c r="D1498" s="22" t="s">
        <v>2207</v>
      </c>
      <c r="E1498" s="23">
        <v>43830</v>
      </c>
      <c r="F1498" s="24" t="s">
        <v>2205</v>
      </c>
      <c r="G1498" s="12"/>
      <c r="H1498" s="12"/>
    </row>
    <row r="1499" spans="1:9" hidden="1" x14ac:dyDescent="0.2">
      <c r="A1499" s="4" t="s">
        <v>2202</v>
      </c>
      <c r="B1499" s="21">
        <v>43837</v>
      </c>
      <c r="C1499" s="12">
        <v>3</v>
      </c>
      <c r="D1499" s="22" t="s">
        <v>2208</v>
      </c>
      <c r="E1499" s="23">
        <v>43830</v>
      </c>
      <c r="F1499" s="24" t="s">
        <v>2205</v>
      </c>
      <c r="G1499" s="12"/>
      <c r="H1499" s="12"/>
    </row>
    <row r="1500" spans="1:9" hidden="1" x14ac:dyDescent="0.2">
      <c r="A1500" s="4" t="s">
        <v>2202</v>
      </c>
      <c r="B1500" s="21">
        <v>43837</v>
      </c>
      <c r="C1500" s="12">
        <v>4</v>
      </c>
      <c r="D1500" s="22" t="s">
        <v>2209</v>
      </c>
      <c r="E1500" s="23">
        <v>43830</v>
      </c>
      <c r="F1500" s="24" t="s">
        <v>2205</v>
      </c>
      <c r="G1500" s="12"/>
      <c r="H1500" s="12"/>
    </row>
    <row r="1501" spans="1:9" hidden="1" x14ac:dyDescent="0.2">
      <c r="A1501" s="4" t="s">
        <v>2202</v>
      </c>
      <c r="B1501" s="21">
        <v>43837</v>
      </c>
      <c r="C1501" s="12">
        <v>5</v>
      </c>
      <c r="D1501" s="22" t="s">
        <v>2210</v>
      </c>
      <c r="E1501" s="23">
        <v>43830</v>
      </c>
      <c r="F1501" s="24" t="s">
        <v>2205</v>
      </c>
      <c r="G1501" s="12"/>
      <c r="H1501" s="12"/>
    </row>
    <row r="1502" spans="1:9" hidden="1" x14ac:dyDescent="0.2">
      <c r="A1502" s="4" t="s">
        <v>2202</v>
      </c>
      <c r="B1502" s="21">
        <v>43837</v>
      </c>
      <c r="C1502" s="12">
        <v>6</v>
      </c>
      <c r="D1502" s="22" t="s">
        <v>894</v>
      </c>
      <c r="E1502" s="23">
        <v>43835</v>
      </c>
      <c r="F1502" s="24" t="s">
        <v>2205</v>
      </c>
      <c r="G1502" s="12"/>
      <c r="H1502" s="12"/>
    </row>
    <row r="1503" spans="1:9" x14ac:dyDescent="0.2">
      <c r="A1503" t="s">
        <v>1996</v>
      </c>
      <c r="B1503" s="5">
        <v>43837</v>
      </c>
      <c r="C1503" s="12">
        <v>1</v>
      </c>
      <c r="D1503" s="22" t="s">
        <v>2217</v>
      </c>
      <c r="E1503" s="23">
        <v>43823</v>
      </c>
      <c r="F1503" s="24" t="s">
        <v>86</v>
      </c>
      <c r="G1503" s="12"/>
      <c r="H1503" s="12"/>
    </row>
    <row r="1504" spans="1:9" x14ac:dyDescent="0.2">
      <c r="A1504" t="s">
        <v>1996</v>
      </c>
      <c r="B1504" s="5">
        <v>43837</v>
      </c>
      <c r="C1504" s="12">
        <v>2</v>
      </c>
      <c r="D1504" s="22" t="s">
        <v>2229</v>
      </c>
      <c r="E1504" s="23">
        <v>43829</v>
      </c>
      <c r="F1504" s="24" t="s">
        <v>86</v>
      </c>
      <c r="G1504" s="12"/>
      <c r="H1504" s="12"/>
    </row>
    <row r="1505" spans="1:8" x14ac:dyDescent="0.2">
      <c r="A1505" t="s">
        <v>1996</v>
      </c>
      <c r="B1505" s="5">
        <v>43837</v>
      </c>
      <c r="C1505" s="12">
        <v>3</v>
      </c>
      <c r="D1505" s="22" t="s">
        <v>2099</v>
      </c>
      <c r="E1505" s="23">
        <v>43829</v>
      </c>
      <c r="F1505" s="24" t="s">
        <v>86</v>
      </c>
      <c r="G1505" s="12"/>
      <c r="H1505" s="12"/>
    </row>
    <row r="1506" spans="1:8" x14ac:dyDescent="0.2">
      <c r="A1506" t="s">
        <v>1996</v>
      </c>
      <c r="B1506" s="5">
        <v>43837</v>
      </c>
      <c r="C1506" s="12">
        <v>4</v>
      </c>
      <c r="D1506" s="22" t="s">
        <v>2100</v>
      </c>
      <c r="E1506" s="23">
        <v>43829</v>
      </c>
      <c r="F1506" s="24" t="s">
        <v>86</v>
      </c>
      <c r="G1506" s="12"/>
      <c r="H1506" s="12"/>
    </row>
    <row r="1507" spans="1:8" x14ac:dyDescent="0.2">
      <c r="A1507" t="s">
        <v>1996</v>
      </c>
      <c r="B1507" s="5">
        <v>43837</v>
      </c>
      <c r="C1507" s="12">
        <v>5</v>
      </c>
      <c r="D1507" s="22" t="s">
        <v>2101</v>
      </c>
      <c r="E1507" s="23">
        <v>43829</v>
      </c>
      <c r="F1507" s="24" t="s">
        <v>86</v>
      </c>
      <c r="G1507" s="12"/>
      <c r="H1507" s="12"/>
    </row>
    <row r="1508" spans="1:8" hidden="1" x14ac:dyDescent="0.2">
      <c r="A1508" s="4" t="s">
        <v>501</v>
      </c>
      <c r="B1508" s="21">
        <v>43822</v>
      </c>
      <c r="C1508" s="12"/>
      <c r="D1508" s="22" t="s">
        <v>2243</v>
      </c>
      <c r="E1508" s="23">
        <v>43823</v>
      </c>
      <c r="F1508" s="24" t="s">
        <v>2244</v>
      </c>
      <c r="G1508" s="12"/>
      <c r="H1508" s="12"/>
    </row>
    <row r="1509" spans="1:8" hidden="1" x14ac:dyDescent="0.2">
      <c r="A1509" s="4" t="s">
        <v>501</v>
      </c>
      <c r="B1509" s="21">
        <v>43822</v>
      </c>
      <c r="C1509" s="12"/>
      <c r="D1509" s="22" t="s">
        <v>2246</v>
      </c>
      <c r="E1509" s="23">
        <v>43823</v>
      </c>
      <c r="F1509" s="24" t="s">
        <v>2244</v>
      </c>
      <c r="G1509" s="12"/>
      <c r="H1509" s="12"/>
    </row>
    <row r="1510" spans="1:8" hidden="1" x14ac:dyDescent="0.2">
      <c r="A1510" s="4" t="s">
        <v>501</v>
      </c>
      <c r="B1510" s="21">
        <v>43822</v>
      </c>
      <c r="C1510" s="12"/>
      <c r="D1510" s="22" t="s">
        <v>2247</v>
      </c>
      <c r="E1510" s="23">
        <v>43824</v>
      </c>
      <c r="F1510" s="24" t="s">
        <v>2244</v>
      </c>
      <c r="G1510" s="12"/>
      <c r="H1510" s="12"/>
    </row>
    <row r="1511" spans="1:8" x14ac:dyDescent="0.2">
      <c r="A1511" s="4" t="s">
        <v>2248</v>
      </c>
      <c r="B1511" s="21">
        <v>44194</v>
      </c>
      <c r="C1511" s="12">
        <v>1</v>
      </c>
      <c r="D1511" s="22" t="s">
        <v>2251</v>
      </c>
      <c r="E1511" s="23">
        <v>43824</v>
      </c>
      <c r="F1511" s="24" t="s">
        <v>86</v>
      </c>
      <c r="G1511" s="12"/>
      <c r="H1511" s="12"/>
    </row>
    <row r="1512" spans="1:8" x14ac:dyDescent="0.2">
      <c r="A1512" s="4" t="s">
        <v>2248</v>
      </c>
      <c r="B1512" s="21">
        <v>44194</v>
      </c>
      <c r="C1512" s="12">
        <v>2</v>
      </c>
      <c r="D1512" s="22" t="s">
        <v>2252</v>
      </c>
      <c r="E1512" s="23">
        <v>43824</v>
      </c>
      <c r="F1512" s="24" t="s">
        <v>86</v>
      </c>
      <c r="G1512" s="12"/>
      <c r="H1512" s="12"/>
    </row>
    <row r="1513" spans="1:8" x14ac:dyDescent="0.2">
      <c r="A1513" s="4" t="s">
        <v>2248</v>
      </c>
      <c r="B1513" s="21">
        <v>44194</v>
      </c>
      <c r="C1513" s="12">
        <v>3</v>
      </c>
      <c r="D1513" s="22" t="s">
        <v>2253</v>
      </c>
      <c r="E1513" s="23">
        <v>43825</v>
      </c>
      <c r="F1513" s="24" t="s">
        <v>86</v>
      </c>
      <c r="G1513" s="12"/>
      <c r="H1513" s="12"/>
    </row>
    <row r="1514" spans="1:8" x14ac:dyDescent="0.2">
      <c r="A1514" s="4" t="s">
        <v>2248</v>
      </c>
      <c r="B1514" s="21">
        <v>44194</v>
      </c>
      <c r="C1514" s="12">
        <v>4</v>
      </c>
      <c r="D1514" s="22" t="s">
        <v>2250</v>
      </c>
      <c r="E1514" s="23">
        <v>43825</v>
      </c>
      <c r="F1514" s="24" t="s">
        <v>86</v>
      </c>
      <c r="G1514" s="12"/>
      <c r="H1514" s="12"/>
    </row>
    <row r="1515" spans="1:8" x14ac:dyDescent="0.2">
      <c r="A1515" s="4" t="s">
        <v>2248</v>
      </c>
      <c r="B1515" s="21">
        <v>44194</v>
      </c>
      <c r="C1515" s="12">
        <v>5</v>
      </c>
      <c r="D1515" s="22" t="s">
        <v>2254</v>
      </c>
      <c r="E1515" s="23">
        <v>43825</v>
      </c>
      <c r="F1515" s="24" t="s">
        <v>86</v>
      </c>
      <c r="G1515" s="12"/>
      <c r="H1515" s="12"/>
    </row>
  </sheetData>
  <dataConsolidate/>
  <phoneticPr fontId="1" type="noConversion"/>
  <conditionalFormatting sqref="E2:E1515">
    <cfRule type="timePeriod" dxfId="77" priority="2" stopIfTrue="1" timePeriod="today">
      <formula>FLOOR(E2,1)=TODAY()</formula>
    </cfRule>
  </conditionalFormatting>
  <conditionalFormatting sqref="E1:E1515">
    <cfRule type="timePeriod" dxfId="76" priority="1" stopIfTrue="1" timePeriod="tomorrow">
      <formula>FLOOR(E1,1)=TODAY()+1</formula>
    </cfRule>
  </conditionalFormatting>
  <dataValidations count="2">
    <dataValidation type="list" showInputMessage="1" showErrorMessage="1" sqref="F2:F1515" xr:uid="{00000000-0002-0000-0200-000000000000}">
      <formula1>"计划,OK,取消"</formula1>
    </dataValidation>
    <dataValidation type="date" operator="greaterThan" showInputMessage="1" showErrorMessage="1" sqref="E2:E1515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172"/>
  <sheetViews>
    <sheetView showGridLines="0" workbookViewId="0">
      <pane xSplit="2" topLeftCell="C1" activePane="topRight" state="frozen"/>
      <selection pane="topRight" activeCell="L190" sqref="L190"/>
    </sheetView>
  </sheetViews>
  <sheetFormatPr defaultRowHeight="14.25" x14ac:dyDescent="0.2"/>
  <cols>
    <col min="1" max="1" width="1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61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4</v>
      </c>
      <c r="B1" s="10" t="s">
        <v>5</v>
      </c>
      <c r="C1" s="10" t="s">
        <v>159</v>
      </c>
      <c r="D1" s="10" t="s">
        <v>160</v>
      </c>
      <c r="E1" s="10" t="s">
        <v>158</v>
      </c>
      <c r="F1" s="10" t="s">
        <v>189</v>
      </c>
      <c r="G1" s="10" t="s">
        <v>1783</v>
      </c>
      <c r="H1" s="10" t="s">
        <v>245</v>
      </c>
      <c r="I1" s="10" t="s">
        <v>151</v>
      </c>
      <c r="J1" s="60" t="s">
        <v>190</v>
      </c>
      <c r="K1" s="10" t="s">
        <v>188</v>
      </c>
      <c r="L1" s="10" t="s">
        <v>194</v>
      </c>
      <c r="M1" s="10" t="s">
        <v>639</v>
      </c>
      <c r="N1" s="10" t="s">
        <v>640</v>
      </c>
      <c r="O1" s="10" t="s">
        <v>1934</v>
      </c>
      <c r="P1" s="10" t="s">
        <v>551</v>
      </c>
    </row>
    <row r="2" spans="1:16" hidden="1" x14ac:dyDescent="0.2">
      <c r="A2" t="s">
        <v>2004</v>
      </c>
      <c r="B2" s="5">
        <v>43739</v>
      </c>
      <c r="C2" s="9">
        <v>0</v>
      </c>
      <c r="D2" s="9">
        <v>0</v>
      </c>
      <c r="E2" s="9">
        <v>0</v>
      </c>
      <c r="F2" s="3" t="s">
        <v>641</v>
      </c>
      <c r="G2" s="3"/>
      <c r="H2" s="17" t="s">
        <v>539</v>
      </c>
      <c r="I2" s="17" t="s">
        <v>540</v>
      </c>
      <c r="J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" s="8" t="s">
        <v>542</v>
      </c>
      <c r="L2" s="2" t="s">
        <v>541</v>
      </c>
      <c r="M2" s="35"/>
      <c r="N2" s="35"/>
      <c r="O2" s="35"/>
      <c r="P2" t="s">
        <v>1615</v>
      </c>
    </row>
    <row r="3" spans="1:16" hidden="1" x14ac:dyDescent="0.2">
      <c r="A3" t="s">
        <v>1766</v>
      </c>
      <c r="B3" s="5">
        <v>43739</v>
      </c>
      <c r="C3" s="9">
        <v>1</v>
      </c>
      <c r="D3" s="9"/>
      <c r="E3" s="9"/>
      <c r="F3" s="3"/>
      <c r="G3" s="3" t="s">
        <v>1803</v>
      </c>
      <c r="H3" s="17" t="s">
        <v>1904</v>
      </c>
      <c r="I3" s="17" t="s">
        <v>1905</v>
      </c>
      <c r="J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V.939W</v>
      </c>
      <c r="K3" s="8" t="s">
        <v>1906</v>
      </c>
      <c r="L3" s="2" t="s">
        <v>1907</v>
      </c>
      <c r="M3" s="35"/>
      <c r="N3" s="35">
        <v>43732</v>
      </c>
      <c r="O3" s="35" t="s">
        <v>1870</v>
      </c>
    </row>
    <row r="4" spans="1:16" hidden="1" x14ac:dyDescent="0.2">
      <c r="A4" t="s">
        <v>2011</v>
      </c>
      <c r="B4" s="5">
        <v>43740</v>
      </c>
      <c r="C4" s="9">
        <v>1</v>
      </c>
      <c r="D4" s="9">
        <v>0</v>
      </c>
      <c r="E4" s="9">
        <v>0</v>
      </c>
      <c r="F4" s="3" t="s">
        <v>205</v>
      </c>
      <c r="G4" s="3"/>
      <c r="H4" s="17" t="s">
        <v>450</v>
      </c>
      <c r="I4" s="17" t="s">
        <v>454</v>
      </c>
      <c r="J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4" s="8" t="s">
        <v>453</v>
      </c>
      <c r="L4" s="2" t="s">
        <v>452</v>
      </c>
      <c r="M4" s="35">
        <v>43765</v>
      </c>
      <c r="N4" s="35">
        <v>43765</v>
      </c>
      <c r="O4" s="35"/>
      <c r="P4" t="s">
        <v>667</v>
      </c>
    </row>
    <row r="5" spans="1:16" hidden="1" x14ac:dyDescent="0.2">
      <c r="A5" t="s">
        <v>1768</v>
      </c>
      <c r="B5" s="5">
        <v>43740</v>
      </c>
      <c r="C5" s="9">
        <v>1</v>
      </c>
      <c r="D5" s="9">
        <v>0</v>
      </c>
      <c r="E5" s="9">
        <v>1</v>
      </c>
      <c r="F5" s="3" t="s">
        <v>192</v>
      </c>
      <c r="G5" s="3"/>
      <c r="H5" s="17" t="s">
        <v>248</v>
      </c>
      <c r="I5" s="17" t="s">
        <v>529</v>
      </c>
      <c r="J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5" s="8" t="s">
        <v>564</v>
      </c>
      <c r="L5" s="2" t="s">
        <v>530</v>
      </c>
      <c r="M5" s="35">
        <v>43737</v>
      </c>
      <c r="N5" s="35">
        <v>43737</v>
      </c>
      <c r="O5" s="35"/>
      <c r="P5" t="s">
        <v>665</v>
      </c>
    </row>
    <row r="6" spans="1:16" hidden="1" x14ac:dyDescent="0.2">
      <c r="A6" t="s">
        <v>1771</v>
      </c>
      <c r="B6" s="5">
        <v>43740</v>
      </c>
      <c r="C6" s="9"/>
      <c r="D6" s="9">
        <v>3</v>
      </c>
      <c r="E6" s="9"/>
      <c r="F6" s="3"/>
      <c r="G6" s="3" t="s">
        <v>1792</v>
      </c>
      <c r="H6" s="17" t="s">
        <v>248</v>
      </c>
      <c r="I6" s="17" t="s">
        <v>529</v>
      </c>
      <c r="J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6" s="8" t="s">
        <v>1894</v>
      </c>
      <c r="L6" s="2" t="s">
        <v>1895</v>
      </c>
      <c r="M6" s="35"/>
      <c r="N6" s="35">
        <v>43738</v>
      </c>
      <c r="O6" s="35" t="s">
        <v>1793</v>
      </c>
    </row>
    <row r="7" spans="1:16" hidden="1" x14ac:dyDescent="0.2">
      <c r="A7" t="s">
        <v>1773</v>
      </c>
      <c r="B7" s="5">
        <v>43740</v>
      </c>
      <c r="C7" s="9">
        <v>0</v>
      </c>
      <c r="D7" s="9">
        <v>2</v>
      </c>
      <c r="E7" s="9">
        <v>0</v>
      </c>
      <c r="F7" s="3" t="s">
        <v>191</v>
      </c>
      <c r="G7" s="3"/>
      <c r="H7" s="17" t="s">
        <v>450</v>
      </c>
      <c r="I7" s="17" t="s">
        <v>454</v>
      </c>
      <c r="J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7" s="8" t="s">
        <v>565</v>
      </c>
      <c r="L7" s="2" t="s">
        <v>480</v>
      </c>
      <c r="M7" s="35">
        <v>43735</v>
      </c>
      <c r="N7" s="35">
        <v>43735</v>
      </c>
      <c r="O7" s="35"/>
      <c r="P7" t="s">
        <v>686</v>
      </c>
    </row>
    <row r="8" spans="1:16" hidden="1" x14ac:dyDescent="0.2">
      <c r="A8" t="s">
        <v>1761</v>
      </c>
      <c r="B8" s="5">
        <v>43741</v>
      </c>
      <c r="C8" s="9">
        <v>0</v>
      </c>
      <c r="D8" s="9">
        <v>1</v>
      </c>
      <c r="E8" s="9">
        <v>0</v>
      </c>
      <c r="F8" s="3" t="s">
        <v>312</v>
      </c>
      <c r="G8" s="3"/>
      <c r="H8" s="17" t="s">
        <v>544</v>
      </c>
      <c r="I8" s="17" t="s">
        <v>545</v>
      </c>
      <c r="J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8" s="8" t="s">
        <v>618</v>
      </c>
      <c r="L8" s="2" t="s">
        <v>546</v>
      </c>
      <c r="M8" s="35">
        <v>43738</v>
      </c>
      <c r="N8" s="35">
        <v>43738</v>
      </c>
      <c r="O8" s="35"/>
      <c r="P8" t="s">
        <v>664</v>
      </c>
    </row>
    <row r="9" spans="1:16" hidden="1" x14ac:dyDescent="0.2">
      <c r="A9" t="s">
        <v>1761</v>
      </c>
      <c r="B9" s="5">
        <v>43741</v>
      </c>
      <c r="C9" s="9">
        <v>1</v>
      </c>
      <c r="D9" s="9">
        <v>2</v>
      </c>
      <c r="E9" s="9">
        <v>0</v>
      </c>
      <c r="F9" s="3" t="s">
        <v>312</v>
      </c>
      <c r="G9" s="3"/>
      <c r="H9" s="17" t="s">
        <v>544</v>
      </c>
      <c r="I9" s="17" t="s">
        <v>545</v>
      </c>
      <c r="J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9" s="8" t="s">
        <v>619</v>
      </c>
      <c r="L9" s="2" t="s">
        <v>547</v>
      </c>
      <c r="M9" s="35">
        <v>43738</v>
      </c>
      <c r="N9" s="35">
        <v>43738</v>
      </c>
      <c r="O9" s="35"/>
      <c r="P9" t="s">
        <v>647</v>
      </c>
    </row>
    <row r="10" spans="1:16" hidden="1" x14ac:dyDescent="0.2">
      <c r="A10" t="s">
        <v>2009</v>
      </c>
      <c r="B10" s="5">
        <v>43742</v>
      </c>
      <c r="C10" s="9">
        <v>0</v>
      </c>
      <c r="D10" s="9">
        <v>1</v>
      </c>
      <c r="E10" s="9">
        <v>0</v>
      </c>
      <c r="F10" s="3" t="s">
        <v>193</v>
      </c>
      <c r="G10" s="3"/>
      <c r="H10" s="17" t="s">
        <v>590</v>
      </c>
      <c r="I10" s="17" t="s">
        <v>591</v>
      </c>
      <c r="J1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10" s="8" t="s">
        <v>628</v>
      </c>
      <c r="L10" s="2" t="s">
        <v>648</v>
      </c>
      <c r="M10" s="35">
        <v>43738.666666666664</v>
      </c>
      <c r="N10" s="35">
        <v>43738</v>
      </c>
      <c r="O10" s="35"/>
      <c r="P10" t="s">
        <v>666</v>
      </c>
    </row>
    <row r="11" spans="1:16" hidden="1" x14ac:dyDescent="0.2">
      <c r="A11" t="s">
        <v>2005</v>
      </c>
      <c r="B11" s="5">
        <v>43744</v>
      </c>
      <c r="C11" s="9">
        <v>0</v>
      </c>
      <c r="D11" s="9">
        <v>0</v>
      </c>
      <c r="E11" s="9">
        <v>2</v>
      </c>
      <c r="F11" s="3" t="s">
        <v>202</v>
      </c>
      <c r="G11" s="3"/>
      <c r="H11" s="17" t="s">
        <v>455</v>
      </c>
      <c r="I11" s="17" t="s">
        <v>456</v>
      </c>
      <c r="J1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11" s="8" t="s">
        <v>458</v>
      </c>
      <c r="L11" s="2">
        <v>585806678</v>
      </c>
      <c r="M11" s="35"/>
      <c r="N11" s="35"/>
      <c r="O11" s="35"/>
    </row>
    <row r="12" spans="1:16" hidden="1" x14ac:dyDescent="0.2">
      <c r="A12" t="s">
        <v>1769</v>
      </c>
      <c r="B12" s="5">
        <v>43744</v>
      </c>
      <c r="C12" s="9"/>
      <c r="D12" s="9">
        <v>4</v>
      </c>
      <c r="E12" s="9"/>
      <c r="F12" s="3"/>
      <c r="G12" s="3" t="s">
        <v>1816</v>
      </c>
      <c r="H12" s="17" t="s">
        <v>1822</v>
      </c>
      <c r="I12" s="17" t="s">
        <v>1823</v>
      </c>
      <c r="J1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12" s="8" t="s">
        <v>1824</v>
      </c>
      <c r="L12" s="2" t="s">
        <v>1825</v>
      </c>
      <c r="M12" s="35"/>
      <c r="N12" s="35">
        <v>43738</v>
      </c>
      <c r="O12" s="35" t="s">
        <v>1821</v>
      </c>
    </row>
    <row r="13" spans="1:16" hidden="1" x14ac:dyDescent="0.2">
      <c r="A13" t="s">
        <v>1773</v>
      </c>
      <c r="B13" s="5">
        <v>43747</v>
      </c>
      <c r="C13" s="9">
        <v>0</v>
      </c>
      <c r="D13" s="9">
        <v>1</v>
      </c>
      <c r="E13" s="9">
        <v>0</v>
      </c>
      <c r="F13" s="3" t="s">
        <v>734</v>
      </c>
      <c r="G13" s="3"/>
      <c r="H13" s="17" t="s">
        <v>568</v>
      </c>
      <c r="I13" s="17" t="s">
        <v>569</v>
      </c>
      <c r="J1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13" s="8" t="s">
        <v>581</v>
      </c>
      <c r="L13" s="2" t="s">
        <v>649</v>
      </c>
      <c r="M13" s="35">
        <v>43742.5</v>
      </c>
      <c r="N13" s="35">
        <v>43738</v>
      </c>
      <c r="O13" s="35"/>
      <c r="P13" t="s">
        <v>679</v>
      </c>
    </row>
    <row r="14" spans="1:16" hidden="1" x14ac:dyDescent="0.2">
      <c r="A14" t="s">
        <v>1999</v>
      </c>
      <c r="B14" s="5">
        <v>43749</v>
      </c>
      <c r="C14" s="9">
        <v>0</v>
      </c>
      <c r="D14" s="9">
        <v>0</v>
      </c>
      <c r="E14" s="9">
        <v>0</v>
      </c>
      <c r="F14" s="3" t="s">
        <v>641</v>
      </c>
      <c r="G14" s="3"/>
      <c r="H14" s="17" t="s">
        <v>681</v>
      </c>
      <c r="I14" s="17" t="s">
        <v>682</v>
      </c>
      <c r="J1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14" s="8" t="s">
        <v>642</v>
      </c>
      <c r="L14" s="2" t="s">
        <v>680</v>
      </c>
      <c r="M14" s="35"/>
      <c r="N14" s="35"/>
      <c r="O14" s="35"/>
      <c r="P14" t="s">
        <v>1616</v>
      </c>
    </row>
    <row r="15" spans="1:16" hidden="1" x14ac:dyDescent="0.2">
      <c r="A15" t="s">
        <v>2009</v>
      </c>
      <c r="B15" s="5">
        <v>43749</v>
      </c>
      <c r="C15" s="9">
        <v>0</v>
      </c>
      <c r="D15" s="9">
        <v>2</v>
      </c>
      <c r="E15" s="9">
        <v>0</v>
      </c>
      <c r="F15" s="3" t="s">
        <v>193</v>
      </c>
      <c r="G15" s="3"/>
      <c r="H15" s="17" t="s">
        <v>247</v>
      </c>
      <c r="I15" s="17" t="s">
        <v>638</v>
      </c>
      <c r="J1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15" s="8" t="s">
        <v>636</v>
      </c>
      <c r="L15" s="2" t="s">
        <v>637</v>
      </c>
      <c r="M15" s="35"/>
      <c r="N15" s="35"/>
      <c r="O15" s="35"/>
      <c r="P15" s="9" t="s">
        <v>137</v>
      </c>
    </row>
    <row r="16" spans="1:16" hidden="1" x14ac:dyDescent="0.2">
      <c r="A16" t="s">
        <v>1769</v>
      </c>
      <c r="B16" s="5">
        <v>43751</v>
      </c>
      <c r="C16" s="9"/>
      <c r="D16" s="9">
        <v>21</v>
      </c>
      <c r="E16" s="9"/>
      <c r="F16" s="3"/>
      <c r="G16" s="3" t="s">
        <v>1816</v>
      </c>
      <c r="H16" s="17" t="s">
        <v>1855</v>
      </c>
      <c r="I16" s="17" t="s">
        <v>1733</v>
      </c>
      <c r="J1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16" s="8" t="s">
        <v>1856</v>
      </c>
      <c r="L16" s="2" t="s">
        <v>1857</v>
      </c>
      <c r="M16" s="35"/>
      <c r="N16" s="35">
        <v>43747</v>
      </c>
      <c r="O16" s="35" t="s">
        <v>1821</v>
      </c>
    </row>
    <row r="17" spans="1:16" hidden="1" x14ac:dyDescent="0.2">
      <c r="A17" t="s">
        <v>2091</v>
      </c>
      <c r="B17" s="5">
        <v>43751</v>
      </c>
      <c r="C17" s="9"/>
      <c r="D17" s="9">
        <v>1</v>
      </c>
      <c r="E17" s="9"/>
      <c r="F17" s="3"/>
      <c r="G17" s="3" t="s">
        <v>1816</v>
      </c>
      <c r="H17" s="17" t="s">
        <v>1855</v>
      </c>
      <c r="I17" s="17" t="s">
        <v>1733</v>
      </c>
      <c r="J1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17" s="8" t="s">
        <v>1858</v>
      </c>
      <c r="L17" s="2" t="s">
        <v>2093</v>
      </c>
      <c r="M17" s="35"/>
      <c r="N17" s="35">
        <v>43746</v>
      </c>
      <c r="O17" s="35" t="s">
        <v>1821</v>
      </c>
    </row>
    <row r="18" spans="1:16" hidden="1" x14ac:dyDescent="0.2">
      <c r="A18" t="s">
        <v>1766</v>
      </c>
      <c r="B18" s="5">
        <v>43753</v>
      </c>
      <c r="C18" s="9">
        <v>1</v>
      </c>
      <c r="D18" s="9"/>
      <c r="E18" s="9"/>
      <c r="F18" s="3"/>
      <c r="G18" s="3" t="s">
        <v>1803</v>
      </c>
      <c r="H18" s="17" t="s">
        <v>1900</v>
      </c>
      <c r="I18" s="17" t="s">
        <v>1901</v>
      </c>
      <c r="J1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18" s="8" t="s">
        <v>1902</v>
      </c>
      <c r="L18" s="2" t="s">
        <v>1903</v>
      </c>
      <c r="M18" s="35"/>
      <c r="N18" s="35">
        <v>43747</v>
      </c>
      <c r="O18" s="35" t="s">
        <v>1870</v>
      </c>
    </row>
    <row r="19" spans="1:16" hidden="1" x14ac:dyDescent="0.2">
      <c r="A19" t="s">
        <v>2009</v>
      </c>
      <c r="B19" s="5">
        <v>43754</v>
      </c>
      <c r="C19" s="9">
        <v>0</v>
      </c>
      <c r="D19" s="9">
        <v>1</v>
      </c>
      <c r="E19" s="9">
        <v>0</v>
      </c>
      <c r="F19" s="3" t="s">
        <v>193</v>
      </c>
      <c r="G19" s="3"/>
      <c r="H19" s="17" t="s">
        <v>273</v>
      </c>
      <c r="I19" s="17" t="s">
        <v>713</v>
      </c>
      <c r="J1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19" s="8" t="s">
        <v>753</v>
      </c>
      <c r="L19" s="2" t="s">
        <v>745</v>
      </c>
      <c r="M19" s="35">
        <v>43745.416666666664</v>
      </c>
      <c r="N19" s="35">
        <v>43750</v>
      </c>
      <c r="O19" s="35"/>
      <c r="P19" t="s">
        <v>755</v>
      </c>
    </row>
    <row r="20" spans="1:16" hidden="1" x14ac:dyDescent="0.2">
      <c r="A20" t="s">
        <v>1768</v>
      </c>
      <c r="B20" s="5">
        <v>43754</v>
      </c>
      <c r="C20" s="9">
        <v>0</v>
      </c>
      <c r="D20" s="9">
        <v>0</v>
      </c>
      <c r="E20" s="9">
        <v>1</v>
      </c>
      <c r="F20" s="3" t="s">
        <v>192</v>
      </c>
      <c r="G20" s="3"/>
      <c r="H20" s="17" t="s">
        <v>738</v>
      </c>
      <c r="I20" s="17" t="s">
        <v>711</v>
      </c>
      <c r="J2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0" s="8" t="s">
        <v>709</v>
      </c>
      <c r="L20" s="2" t="s">
        <v>712</v>
      </c>
      <c r="M20" s="35">
        <v>43752.25</v>
      </c>
      <c r="N20" s="35">
        <v>43752</v>
      </c>
      <c r="O20" s="35"/>
      <c r="P20" t="s">
        <v>923</v>
      </c>
    </row>
    <row r="21" spans="1:16" hidden="1" x14ac:dyDescent="0.2">
      <c r="A21" t="s">
        <v>1784</v>
      </c>
      <c r="B21" s="5">
        <v>43754</v>
      </c>
      <c r="C21" s="9">
        <v>1</v>
      </c>
      <c r="D21" s="9"/>
      <c r="E21" s="9"/>
      <c r="F21" s="3"/>
      <c r="G21" s="3" t="s">
        <v>1785</v>
      </c>
      <c r="H21" s="17" t="s">
        <v>273</v>
      </c>
      <c r="I21" s="17" t="s">
        <v>713</v>
      </c>
      <c r="J2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1" s="8" t="s">
        <v>1883</v>
      </c>
      <c r="L21" s="2" t="s">
        <v>1884</v>
      </c>
      <c r="M21" s="35"/>
      <c r="N21" s="35">
        <v>43749</v>
      </c>
      <c r="O21" s="35" t="s">
        <v>1885</v>
      </c>
    </row>
    <row r="22" spans="1:16" hidden="1" x14ac:dyDescent="0.2">
      <c r="A22" t="s">
        <v>1771</v>
      </c>
      <c r="B22" s="5">
        <v>43754</v>
      </c>
      <c r="C22" s="9">
        <v>1</v>
      </c>
      <c r="D22" s="9">
        <v>2</v>
      </c>
      <c r="E22" s="9"/>
      <c r="F22" s="3"/>
      <c r="G22" s="3" t="s">
        <v>1792</v>
      </c>
      <c r="H22" s="17" t="s">
        <v>1886</v>
      </c>
      <c r="I22" s="17" t="s">
        <v>1887</v>
      </c>
      <c r="J2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2" s="8" t="s">
        <v>1888</v>
      </c>
      <c r="L22" s="2" t="s">
        <v>1889</v>
      </c>
      <c r="M22" s="35"/>
      <c r="N22" s="35">
        <v>43752</v>
      </c>
      <c r="O22" s="35" t="s">
        <v>1793</v>
      </c>
    </row>
    <row r="23" spans="1:16" hidden="1" x14ac:dyDescent="0.2">
      <c r="A23" t="s">
        <v>1773</v>
      </c>
      <c r="B23" s="5">
        <v>43754</v>
      </c>
      <c r="C23" s="9">
        <v>0</v>
      </c>
      <c r="D23" s="9">
        <v>2</v>
      </c>
      <c r="E23" s="9">
        <v>0</v>
      </c>
      <c r="F23" s="3" t="s">
        <v>734</v>
      </c>
      <c r="G23" s="3"/>
      <c r="H23" s="17" t="s">
        <v>716</v>
      </c>
      <c r="I23" s="17" t="s">
        <v>717</v>
      </c>
      <c r="J2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3" s="8" t="s">
        <v>704</v>
      </c>
      <c r="L23" s="2">
        <v>586764298</v>
      </c>
      <c r="M23" s="35">
        <v>43750.583333333336</v>
      </c>
      <c r="N23" s="35">
        <v>43750</v>
      </c>
      <c r="O23" s="35"/>
      <c r="P23" t="s">
        <v>833</v>
      </c>
    </row>
    <row r="24" spans="1:16" hidden="1" x14ac:dyDescent="0.2">
      <c r="A24" t="s">
        <v>2005</v>
      </c>
      <c r="B24" s="5">
        <v>43755</v>
      </c>
      <c r="C24" s="9">
        <v>0</v>
      </c>
      <c r="D24" s="9">
        <v>0</v>
      </c>
      <c r="E24" s="9">
        <v>1</v>
      </c>
      <c r="F24" s="3" t="s">
        <v>202</v>
      </c>
      <c r="G24" s="3"/>
      <c r="H24" s="17" t="s">
        <v>567</v>
      </c>
      <c r="I24" s="17" t="s">
        <v>742</v>
      </c>
      <c r="J2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4" s="8" t="s">
        <v>459</v>
      </c>
      <c r="L24" s="2">
        <v>585806875</v>
      </c>
      <c r="M24" s="35">
        <v>43750.666666666664</v>
      </c>
      <c r="N24" s="35">
        <v>43750</v>
      </c>
      <c r="O24" s="35"/>
      <c r="P24" t="s">
        <v>710</v>
      </c>
    </row>
    <row r="25" spans="1:16" hidden="1" x14ac:dyDescent="0.2">
      <c r="A25" t="s">
        <v>1761</v>
      </c>
      <c r="B25" s="5">
        <v>43755</v>
      </c>
      <c r="C25" s="9">
        <v>0</v>
      </c>
      <c r="D25" s="9">
        <v>2</v>
      </c>
      <c r="E25" s="9">
        <v>0</v>
      </c>
      <c r="F25" s="3" t="s">
        <v>312</v>
      </c>
      <c r="G25" s="3"/>
      <c r="H25" s="17" t="s">
        <v>720</v>
      </c>
      <c r="I25" s="17" t="s">
        <v>721</v>
      </c>
      <c r="J2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5" s="8" t="s">
        <v>854</v>
      </c>
      <c r="L25" s="2" t="s">
        <v>722</v>
      </c>
      <c r="M25" s="35">
        <v>43751.416666666664</v>
      </c>
      <c r="N25" s="35">
        <v>43753</v>
      </c>
      <c r="O25" s="35"/>
      <c r="P25" t="s">
        <v>855</v>
      </c>
    </row>
    <row r="26" spans="1:16" hidden="1" x14ac:dyDescent="0.2">
      <c r="A26" t="s">
        <v>1761</v>
      </c>
      <c r="B26" s="5">
        <v>43755</v>
      </c>
      <c r="C26" s="9">
        <v>0</v>
      </c>
      <c r="D26" s="9">
        <v>5</v>
      </c>
      <c r="E26" s="9">
        <v>0</v>
      </c>
      <c r="F26" s="3" t="s">
        <v>312</v>
      </c>
      <c r="G26" s="3"/>
      <c r="H26" s="17" t="s">
        <v>720</v>
      </c>
      <c r="I26" s="17" t="s">
        <v>721</v>
      </c>
      <c r="J2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6" s="8" t="s">
        <v>724</v>
      </c>
      <c r="L26" s="2" t="s">
        <v>723</v>
      </c>
      <c r="M26" s="35">
        <v>43751.416666666664</v>
      </c>
      <c r="N26" s="35">
        <v>43753</v>
      </c>
      <c r="O26" s="35"/>
      <c r="P26" t="s">
        <v>986</v>
      </c>
    </row>
    <row r="27" spans="1:16" hidden="1" x14ac:dyDescent="0.2">
      <c r="A27" t="s">
        <v>1998</v>
      </c>
      <c r="B27" s="5">
        <v>43756</v>
      </c>
      <c r="C27" s="9">
        <v>0</v>
      </c>
      <c r="D27" s="9">
        <v>0</v>
      </c>
      <c r="E27" s="9">
        <v>0</v>
      </c>
      <c r="F27" s="3" t="s">
        <v>881</v>
      </c>
      <c r="G27" s="3"/>
      <c r="H27" s="17" t="s">
        <v>927</v>
      </c>
      <c r="I27" s="17" t="s">
        <v>928</v>
      </c>
      <c r="J2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7" s="8" t="s">
        <v>905</v>
      </c>
      <c r="L27" s="2" t="s">
        <v>941</v>
      </c>
      <c r="M27" s="35"/>
      <c r="N27" s="35"/>
      <c r="O27" s="35"/>
      <c r="P27" t="s">
        <v>1617</v>
      </c>
    </row>
    <row r="28" spans="1:16" hidden="1" x14ac:dyDescent="0.2">
      <c r="A28" t="s">
        <v>2009</v>
      </c>
      <c r="B28" s="5">
        <v>43756</v>
      </c>
      <c r="C28" s="9">
        <v>0</v>
      </c>
      <c r="D28" s="9">
        <v>2</v>
      </c>
      <c r="E28" s="9">
        <v>0</v>
      </c>
      <c r="F28" s="3" t="s">
        <v>193</v>
      </c>
      <c r="G28" s="3"/>
      <c r="H28" s="17" t="s">
        <v>250</v>
      </c>
      <c r="I28" s="17" t="s">
        <v>835</v>
      </c>
      <c r="J2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8" s="8" t="s">
        <v>744</v>
      </c>
      <c r="L28" s="2" t="s">
        <v>834</v>
      </c>
      <c r="M28" s="35">
        <v>43752.666666666664</v>
      </c>
      <c r="N28" s="35">
        <v>43753</v>
      </c>
      <c r="O28" s="35"/>
      <c r="P28" t="s">
        <v>987</v>
      </c>
    </row>
    <row r="29" spans="1:16" hidden="1" x14ac:dyDescent="0.2">
      <c r="A29" t="s">
        <v>1764</v>
      </c>
      <c r="B29" s="5">
        <v>43756</v>
      </c>
      <c r="C29" s="9"/>
      <c r="D29" s="9">
        <v>1</v>
      </c>
      <c r="E29" s="9"/>
      <c r="F29" s="3"/>
      <c r="G29" s="3" t="s">
        <v>1785</v>
      </c>
      <c r="H29" s="17" t="s">
        <v>1851</v>
      </c>
      <c r="I29" s="17" t="s">
        <v>1852</v>
      </c>
      <c r="J2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" s="8" t="s">
        <v>1853</v>
      </c>
      <c r="L29" s="2" t="s">
        <v>1854</v>
      </c>
      <c r="M29" s="35"/>
      <c r="N29" s="35">
        <v>43753</v>
      </c>
      <c r="O29" s="35" t="s">
        <v>1802</v>
      </c>
    </row>
    <row r="30" spans="1:16" hidden="1" x14ac:dyDescent="0.2">
      <c r="A30" t="s">
        <v>2007</v>
      </c>
      <c r="B30" s="5">
        <v>43758</v>
      </c>
      <c r="C30" s="9">
        <v>0</v>
      </c>
      <c r="D30" s="9">
        <v>0</v>
      </c>
      <c r="E30" s="9">
        <v>0</v>
      </c>
      <c r="F30" s="3" t="s">
        <v>1002</v>
      </c>
      <c r="G30" s="3"/>
      <c r="H30" s="17" t="s">
        <v>1003</v>
      </c>
      <c r="I30" s="17" t="s">
        <v>1004</v>
      </c>
      <c r="J3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30" s="8" t="s">
        <v>1005</v>
      </c>
      <c r="L30" s="2" t="s">
        <v>1142</v>
      </c>
      <c r="M30" s="35"/>
      <c r="N30" s="35"/>
      <c r="O30" s="35"/>
      <c r="P30" t="s">
        <v>1007</v>
      </c>
    </row>
    <row r="31" spans="1:16" hidden="1" x14ac:dyDescent="0.2">
      <c r="A31" t="s">
        <v>2000</v>
      </c>
      <c r="B31" s="5">
        <v>43758</v>
      </c>
      <c r="C31" s="9">
        <v>0</v>
      </c>
      <c r="D31" s="9">
        <v>0</v>
      </c>
      <c r="E31" s="9">
        <v>0</v>
      </c>
      <c r="F31" s="3" t="s">
        <v>876</v>
      </c>
      <c r="G31" s="3"/>
      <c r="H31" s="17"/>
      <c r="I31" s="17"/>
      <c r="J3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1" s="8" t="s">
        <v>919</v>
      </c>
      <c r="L31" s="2"/>
      <c r="M31" s="35"/>
      <c r="N31" s="35"/>
      <c r="O31" s="35"/>
      <c r="P31" t="s">
        <v>1618</v>
      </c>
    </row>
    <row r="32" spans="1:16" hidden="1" x14ac:dyDescent="0.2">
      <c r="A32" t="s">
        <v>2004</v>
      </c>
      <c r="B32" s="5">
        <v>43758</v>
      </c>
      <c r="C32" s="9">
        <v>0</v>
      </c>
      <c r="D32" s="9">
        <v>0</v>
      </c>
      <c r="E32" s="9">
        <v>0</v>
      </c>
      <c r="F32" s="3" t="s">
        <v>837</v>
      </c>
      <c r="G32" s="3"/>
      <c r="H32" s="17" t="s">
        <v>912</v>
      </c>
      <c r="I32" s="17" t="s">
        <v>913</v>
      </c>
      <c r="J3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2" s="8" t="s">
        <v>838</v>
      </c>
      <c r="L32" s="2" t="s">
        <v>914</v>
      </c>
      <c r="M32" s="35"/>
      <c r="N32" s="35"/>
      <c r="O32" s="35"/>
      <c r="P32" t="s">
        <v>1965</v>
      </c>
    </row>
    <row r="33" spans="1:16" hidden="1" x14ac:dyDescent="0.2">
      <c r="A33" t="s">
        <v>2091</v>
      </c>
      <c r="B33" s="5">
        <v>43758</v>
      </c>
      <c r="C33" s="9"/>
      <c r="D33" s="9">
        <v>1</v>
      </c>
      <c r="E33" s="9"/>
      <c r="F33" s="3"/>
      <c r="G33" s="3" t="s">
        <v>1816</v>
      </c>
      <c r="H33" s="17" t="s">
        <v>1826</v>
      </c>
      <c r="I33" s="17" t="s">
        <v>1823</v>
      </c>
      <c r="J3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3" s="8" t="s">
        <v>1827</v>
      </c>
      <c r="L33" s="2" t="s">
        <v>2094</v>
      </c>
      <c r="M33" s="35"/>
      <c r="N33" s="35">
        <v>43753</v>
      </c>
      <c r="O33" s="35" t="s">
        <v>1821</v>
      </c>
    </row>
    <row r="34" spans="1:16" hidden="1" x14ac:dyDescent="0.2">
      <c r="A34" t="s">
        <v>1769</v>
      </c>
      <c r="B34" s="5">
        <v>43758</v>
      </c>
      <c r="C34" s="9"/>
      <c r="D34" s="9">
        <v>16</v>
      </c>
      <c r="E34" s="9"/>
      <c r="F34" s="3"/>
      <c r="G34" s="3" t="s">
        <v>1816</v>
      </c>
      <c r="H34" s="17" t="s">
        <v>1826</v>
      </c>
      <c r="I34" s="17" t="s">
        <v>1823</v>
      </c>
      <c r="J3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4" s="8" t="s">
        <v>1828</v>
      </c>
      <c r="L34" s="2" t="s">
        <v>1829</v>
      </c>
      <c r="M34" s="35"/>
      <c r="N34" s="35">
        <v>43754</v>
      </c>
      <c r="O34" s="35" t="s">
        <v>1821</v>
      </c>
    </row>
    <row r="35" spans="1:16" hidden="1" x14ac:dyDescent="0.2">
      <c r="A35" t="s">
        <v>2011</v>
      </c>
      <c r="B35" s="5">
        <v>43760</v>
      </c>
      <c r="C35" s="9">
        <v>1</v>
      </c>
      <c r="D35" s="9">
        <v>0</v>
      </c>
      <c r="E35" s="9">
        <v>0</v>
      </c>
      <c r="F35" s="3" t="s">
        <v>205</v>
      </c>
      <c r="G35" s="3"/>
      <c r="H35" s="17" t="s">
        <v>395</v>
      </c>
      <c r="I35" s="17" t="s">
        <v>457</v>
      </c>
      <c r="J3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5" s="8" t="s">
        <v>472</v>
      </c>
      <c r="L35" s="2" t="s">
        <v>471</v>
      </c>
      <c r="M35" s="35">
        <v>43756.458333333336</v>
      </c>
      <c r="N35" s="35">
        <v>43756</v>
      </c>
      <c r="O35" s="35"/>
      <c r="P35" t="s">
        <v>829</v>
      </c>
    </row>
    <row r="36" spans="1:16" hidden="1" x14ac:dyDescent="0.2">
      <c r="A36" t="s">
        <v>1766</v>
      </c>
      <c r="B36" s="5">
        <v>43760</v>
      </c>
      <c r="C36" s="9">
        <v>1</v>
      </c>
      <c r="D36" s="9"/>
      <c r="E36" s="9"/>
      <c r="F36" s="3"/>
      <c r="G36" s="3" t="s">
        <v>1803</v>
      </c>
      <c r="H36" s="17" t="s">
        <v>1908</v>
      </c>
      <c r="I36" s="17" t="s">
        <v>1909</v>
      </c>
      <c r="J3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V.942W</v>
      </c>
      <c r="K36" s="8" t="s">
        <v>1910</v>
      </c>
      <c r="L36" s="2" t="s">
        <v>1911</v>
      </c>
      <c r="M36" s="35"/>
      <c r="N36" s="35">
        <v>43753</v>
      </c>
      <c r="O36" s="35" t="s">
        <v>1870</v>
      </c>
    </row>
    <row r="37" spans="1:16" hidden="1" x14ac:dyDescent="0.2">
      <c r="A37" t="s">
        <v>2009</v>
      </c>
      <c r="B37" s="5">
        <v>43761</v>
      </c>
      <c r="C37" s="9">
        <v>0</v>
      </c>
      <c r="D37" s="9">
        <v>1</v>
      </c>
      <c r="E37" s="9">
        <v>0</v>
      </c>
      <c r="F37" s="3" t="s">
        <v>193</v>
      </c>
      <c r="G37" s="3"/>
      <c r="H37" s="17" t="s">
        <v>827</v>
      </c>
      <c r="I37" s="17" t="s">
        <v>828</v>
      </c>
      <c r="J3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7" s="8" t="s">
        <v>947</v>
      </c>
      <c r="L37" s="2" t="s">
        <v>932</v>
      </c>
      <c r="M37" s="35">
        <v>43758.416666666664</v>
      </c>
      <c r="N37" s="35">
        <v>43756</v>
      </c>
      <c r="O37" s="35"/>
      <c r="P37" t="s">
        <v>988</v>
      </c>
    </row>
    <row r="38" spans="1:16" hidden="1" x14ac:dyDescent="0.2">
      <c r="A38" t="s">
        <v>1773</v>
      </c>
      <c r="B38" s="5">
        <v>43761</v>
      </c>
      <c r="C38" s="9">
        <v>0</v>
      </c>
      <c r="D38" s="9">
        <v>2</v>
      </c>
      <c r="E38" s="9">
        <v>0</v>
      </c>
      <c r="F38" s="3" t="s">
        <v>734</v>
      </c>
      <c r="G38" s="3"/>
      <c r="H38" s="17" t="s">
        <v>883</v>
      </c>
      <c r="I38" s="17" t="s">
        <v>457</v>
      </c>
      <c r="J3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8" s="8" t="s">
        <v>934</v>
      </c>
      <c r="L38" s="2">
        <v>969720156</v>
      </c>
      <c r="M38" s="35">
        <v>43757.583333333336</v>
      </c>
      <c r="N38" s="35">
        <v>43756</v>
      </c>
      <c r="O38" s="35"/>
      <c r="P38" t="s">
        <v>1027</v>
      </c>
    </row>
    <row r="39" spans="1:16" hidden="1" x14ac:dyDescent="0.2">
      <c r="A39" t="s">
        <v>1784</v>
      </c>
      <c r="B39" s="5">
        <v>43762</v>
      </c>
      <c r="C39" s="9">
        <v>1</v>
      </c>
      <c r="D39" s="9"/>
      <c r="E39" s="9"/>
      <c r="F39" s="3"/>
      <c r="G39" s="3" t="s">
        <v>1785</v>
      </c>
      <c r="H39" s="17" t="s">
        <v>1786</v>
      </c>
      <c r="I39" s="17" t="s">
        <v>1787</v>
      </c>
      <c r="J3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9" s="8" t="s">
        <v>1788</v>
      </c>
      <c r="L39" s="2" t="s">
        <v>1789</v>
      </c>
      <c r="M39" s="35"/>
      <c r="N39" s="35">
        <v>43738</v>
      </c>
      <c r="O39" s="35" t="s">
        <v>1790</v>
      </c>
      <c r="P39" t="s">
        <v>1791</v>
      </c>
    </row>
    <row r="40" spans="1:16" hidden="1" x14ac:dyDescent="0.2">
      <c r="A40" t="s">
        <v>1994</v>
      </c>
      <c r="B40" s="5">
        <v>43763</v>
      </c>
      <c r="C40" s="9">
        <v>1</v>
      </c>
      <c r="D40" s="9">
        <v>0</v>
      </c>
      <c r="E40" s="9">
        <v>0</v>
      </c>
      <c r="F40" s="3" t="s">
        <v>1082</v>
      </c>
      <c r="G40" s="3"/>
      <c r="H40" s="17" t="s">
        <v>681</v>
      </c>
      <c r="I40" s="17" t="s">
        <v>1038</v>
      </c>
      <c r="J4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40" s="8" t="s">
        <v>1083</v>
      </c>
      <c r="L40" s="2" t="s">
        <v>1084</v>
      </c>
      <c r="M40" s="35">
        <v>43759.958333333336</v>
      </c>
      <c r="N40" s="35">
        <v>43761</v>
      </c>
      <c r="O40" s="35"/>
    </row>
    <row r="41" spans="1:16" hidden="1" x14ac:dyDescent="0.2">
      <c r="A41" s="4" t="s">
        <v>2002</v>
      </c>
      <c r="B41" s="5">
        <v>43763</v>
      </c>
      <c r="C41" s="9">
        <v>0</v>
      </c>
      <c r="D41" s="9">
        <v>0</v>
      </c>
      <c r="E41" s="9">
        <v>0</v>
      </c>
      <c r="F41" s="3" t="s">
        <v>980</v>
      </c>
      <c r="G41" s="3"/>
      <c r="H41" s="17" t="s">
        <v>681</v>
      </c>
      <c r="I41" s="17" t="s">
        <v>1038</v>
      </c>
      <c r="J4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41" s="8" t="s">
        <v>979</v>
      </c>
      <c r="L41" s="2" t="s">
        <v>1039</v>
      </c>
      <c r="M41" s="35"/>
      <c r="N41" s="35"/>
      <c r="O41" s="35"/>
    </row>
    <row r="42" spans="1:16" hidden="1" x14ac:dyDescent="0.2">
      <c r="A42" t="s">
        <v>2009</v>
      </c>
      <c r="B42" s="5">
        <v>43763</v>
      </c>
      <c r="C42" s="9">
        <v>0</v>
      </c>
      <c r="D42" s="9">
        <v>1</v>
      </c>
      <c r="E42" s="9">
        <v>0</v>
      </c>
      <c r="F42" s="3" t="s">
        <v>193</v>
      </c>
      <c r="G42" s="3"/>
      <c r="H42" s="17" t="s">
        <v>212</v>
      </c>
      <c r="I42" s="17" t="s">
        <v>990</v>
      </c>
      <c r="J4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42" s="8" t="s">
        <v>901</v>
      </c>
      <c r="L42" s="2" t="s">
        <v>900</v>
      </c>
      <c r="M42" s="35">
        <v>43759.666666666664</v>
      </c>
      <c r="N42" s="35">
        <v>43760</v>
      </c>
      <c r="O42" s="35"/>
      <c r="P42" t="s">
        <v>1040</v>
      </c>
    </row>
    <row r="43" spans="1:16" hidden="1" x14ac:dyDescent="0.2">
      <c r="A43" t="s">
        <v>1764</v>
      </c>
      <c r="B43" s="5">
        <v>43763</v>
      </c>
      <c r="C43" s="9"/>
      <c r="D43" s="9">
        <v>1</v>
      </c>
      <c r="E43" s="9"/>
      <c r="F43" s="3"/>
      <c r="G43" s="3" t="s">
        <v>1785</v>
      </c>
      <c r="H43" s="17" t="s">
        <v>1808</v>
      </c>
      <c r="I43" s="17" t="s">
        <v>1809</v>
      </c>
      <c r="J4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43" s="8" t="s">
        <v>1810</v>
      </c>
      <c r="L43" s="2" t="s">
        <v>1811</v>
      </c>
      <c r="M43" s="35"/>
      <c r="N43" s="35">
        <v>43760</v>
      </c>
      <c r="O43" s="35" t="s">
        <v>1802</v>
      </c>
    </row>
    <row r="44" spans="1:16" hidden="1" x14ac:dyDescent="0.2">
      <c r="A44" t="s">
        <v>1768</v>
      </c>
      <c r="B44" s="5">
        <v>43764</v>
      </c>
      <c r="C44" s="9">
        <v>1</v>
      </c>
      <c r="D44" s="9">
        <v>0</v>
      </c>
      <c r="E44" s="9">
        <v>0</v>
      </c>
      <c r="F44" s="3" t="s">
        <v>192</v>
      </c>
      <c r="G44" s="3"/>
      <c r="H44" s="17" t="s">
        <v>907</v>
      </c>
      <c r="I44" s="17" t="s">
        <v>908</v>
      </c>
      <c r="J4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44" s="8" t="s">
        <v>949</v>
      </c>
      <c r="L44" s="2">
        <v>586920371</v>
      </c>
      <c r="M44" s="35">
        <v>43760.5</v>
      </c>
      <c r="N44" s="35">
        <v>43760</v>
      </c>
      <c r="O44" s="35"/>
    </row>
    <row r="45" spans="1:16" hidden="1" x14ac:dyDescent="0.2">
      <c r="A45" t="s">
        <v>1771</v>
      </c>
      <c r="B45" s="5">
        <v>43764</v>
      </c>
      <c r="C45" s="9"/>
      <c r="D45" s="9">
        <v>2</v>
      </c>
      <c r="E45" s="9"/>
      <c r="F45" s="3"/>
      <c r="G45" s="3" t="s">
        <v>1794</v>
      </c>
      <c r="H45" s="17" t="s">
        <v>907</v>
      </c>
      <c r="I45" s="17" t="s">
        <v>1909</v>
      </c>
      <c r="J4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45" s="8" t="s">
        <v>1929</v>
      </c>
      <c r="L45" s="2">
        <v>586980395</v>
      </c>
      <c r="M45" s="35"/>
      <c r="N45" s="35">
        <v>43760</v>
      </c>
      <c r="O45" s="35" t="s">
        <v>1797</v>
      </c>
    </row>
    <row r="46" spans="1:16" hidden="1" x14ac:dyDescent="0.2">
      <c r="A46" t="s">
        <v>1769</v>
      </c>
      <c r="B46" s="5">
        <v>43765</v>
      </c>
      <c r="C46" s="9">
        <v>1</v>
      </c>
      <c r="D46" s="9">
        <v>18</v>
      </c>
      <c r="E46" s="9"/>
      <c r="F46" s="3"/>
      <c r="G46" s="3" t="s">
        <v>1816</v>
      </c>
      <c r="H46" s="17" t="s">
        <v>1817</v>
      </c>
      <c r="I46" s="17" t="s">
        <v>1818</v>
      </c>
      <c r="J4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46" s="8" t="s">
        <v>1819</v>
      </c>
      <c r="L46" s="2" t="s">
        <v>1820</v>
      </c>
      <c r="M46" s="35"/>
      <c r="N46" s="35">
        <v>43761</v>
      </c>
      <c r="O46" s="35" t="s">
        <v>1821</v>
      </c>
    </row>
    <row r="47" spans="1:16" hidden="1" x14ac:dyDescent="0.2">
      <c r="A47" t="s">
        <v>2005</v>
      </c>
      <c r="B47" s="5">
        <v>43766</v>
      </c>
      <c r="C47" s="9">
        <v>0</v>
      </c>
      <c r="D47" s="9">
        <v>0</v>
      </c>
      <c r="E47" s="9">
        <v>1</v>
      </c>
      <c r="F47" s="3" t="s">
        <v>202</v>
      </c>
      <c r="G47" s="3"/>
      <c r="H47" s="17" t="s">
        <v>751</v>
      </c>
      <c r="I47" s="17" t="s">
        <v>982</v>
      </c>
      <c r="J4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7" s="8" t="s">
        <v>460</v>
      </c>
      <c r="L47" s="2">
        <v>585806958</v>
      </c>
      <c r="M47" s="35"/>
      <c r="N47" s="35">
        <v>43762</v>
      </c>
      <c r="O47" s="35"/>
      <c r="P47" t="s">
        <v>1184</v>
      </c>
    </row>
    <row r="48" spans="1:16" hidden="1" x14ac:dyDescent="0.2">
      <c r="A48" t="s">
        <v>2005</v>
      </c>
      <c r="B48" s="5">
        <v>43766</v>
      </c>
      <c r="C48" s="9">
        <v>0</v>
      </c>
      <c r="D48" s="9">
        <v>0</v>
      </c>
      <c r="E48" s="9">
        <v>4</v>
      </c>
      <c r="F48" s="3" t="s">
        <v>202</v>
      </c>
      <c r="G48" s="3"/>
      <c r="H48" s="17" t="s">
        <v>751</v>
      </c>
      <c r="I48" s="17" t="s">
        <v>982</v>
      </c>
      <c r="J4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8" s="8" t="s">
        <v>1080</v>
      </c>
      <c r="L48" s="2">
        <v>586916934</v>
      </c>
      <c r="M48" s="35"/>
      <c r="N48" s="35">
        <v>43762</v>
      </c>
      <c r="O48" s="35"/>
      <c r="P48" t="s">
        <v>1184</v>
      </c>
    </row>
    <row r="49" spans="1:16" hidden="1" x14ac:dyDescent="0.2">
      <c r="A49" t="s">
        <v>2006</v>
      </c>
      <c r="B49" s="5">
        <v>43766</v>
      </c>
      <c r="C49" s="9">
        <v>0</v>
      </c>
      <c r="D49" s="9">
        <v>0</v>
      </c>
      <c r="E49" s="9">
        <v>1</v>
      </c>
      <c r="F49" s="3" t="s">
        <v>690</v>
      </c>
      <c r="G49" s="3"/>
      <c r="H49" s="17" t="s">
        <v>751</v>
      </c>
      <c r="I49" s="17" t="s">
        <v>981</v>
      </c>
      <c r="J4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49" s="8" t="s">
        <v>918</v>
      </c>
      <c r="L49" s="2">
        <v>586741664</v>
      </c>
      <c r="M49" s="35"/>
      <c r="N49" s="35">
        <v>43762</v>
      </c>
      <c r="O49" s="35"/>
      <c r="P49" t="s">
        <v>1185</v>
      </c>
    </row>
    <row r="50" spans="1:16" hidden="1" x14ac:dyDescent="0.2">
      <c r="A50" t="s">
        <v>1766</v>
      </c>
      <c r="B50" s="5">
        <v>43767</v>
      </c>
      <c r="C50" s="9">
        <v>1</v>
      </c>
      <c r="D50" s="9"/>
      <c r="E50" s="9"/>
      <c r="F50" s="3"/>
      <c r="G50" s="3" t="s">
        <v>1803</v>
      </c>
      <c r="H50" s="17" t="s">
        <v>1912</v>
      </c>
      <c r="I50" s="17" t="s">
        <v>1913</v>
      </c>
      <c r="J5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V.FI943A</v>
      </c>
      <c r="K50" s="8" t="s">
        <v>1914</v>
      </c>
      <c r="L50" s="2" t="s">
        <v>1915</v>
      </c>
      <c r="M50" s="35"/>
      <c r="N50" s="35">
        <v>43760</v>
      </c>
      <c r="O50" s="35" t="s">
        <v>1870</v>
      </c>
    </row>
    <row r="51" spans="1:16" hidden="1" x14ac:dyDescent="0.2">
      <c r="A51" t="s">
        <v>2009</v>
      </c>
      <c r="B51" s="5">
        <v>43768</v>
      </c>
      <c r="C51" s="9">
        <v>0</v>
      </c>
      <c r="D51" s="9">
        <v>1</v>
      </c>
      <c r="E51" s="9">
        <v>0</v>
      </c>
      <c r="F51" s="3" t="s">
        <v>193</v>
      </c>
      <c r="G51" s="3"/>
      <c r="H51" s="17" t="s">
        <v>1021</v>
      </c>
      <c r="I51" s="17" t="s">
        <v>1022</v>
      </c>
      <c r="J5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51" s="8" t="s">
        <v>1023</v>
      </c>
      <c r="L51" s="2" t="s">
        <v>1078</v>
      </c>
      <c r="M51" s="35"/>
      <c r="N51" s="35"/>
      <c r="O51" s="35"/>
      <c r="P51" t="s">
        <v>137</v>
      </c>
    </row>
    <row r="52" spans="1:16" hidden="1" x14ac:dyDescent="0.2">
      <c r="A52" t="s">
        <v>1768</v>
      </c>
      <c r="B52" s="5">
        <v>43768</v>
      </c>
      <c r="C52" s="9">
        <v>1</v>
      </c>
      <c r="D52" s="9">
        <v>0</v>
      </c>
      <c r="E52" s="9">
        <v>0</v>
      </c>
      <c r="F52" s="3" t="s">
        <v>192</v>
      </c>
      <c r="G52" s="3"/>
      <c r="H52" s="17" t="s">
        <v>1121</v>
      </c>
      <c r="I52" s="17" t="s">
        <v>253</v>
      </c>
      <c r="J5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52" s="8" t="s">
        <v>1111</v>
      </c>
      <c r="L52" s="2" t="s">
        <v>1057</v>
      </c>
      <c r="M52" s="35">
        <v>43765.375</v>
      </c>
      <c r="N52" s="35">
        <v>43765</v>
      </c>
      <c r="O52" s="35"/>
      <c r="P52" t="s">
        <v>1433</v>
      </c>
    </row>
    <row r="53" spans="1:16" hidden="1" x14ac:dyDescent="0.2">
      <c r="A53" t="s">
        <v>1771</v>
      </c>
      <c r="B53" s="5">
        <v>43768</v>
      </c>
      <c r="C53" s="9"/>
      <c r="D53" s="9">
        <v>4</v>
      </c>
      <c r="E53" s="9"/>
      <c r="F53" s="3"/>
      <c r="G53" s="3" t="s">
        <v>1792</v>
      </c>
      <c r="H53" s="17" t="s">
        <v>1571</v>
      </c>
      <c r="I53" s="17" t="s">
        <v>253</v>
      </c>
      <c r="J5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53" s="8" t="s">
        <v>1890</v>
      </c>
      <c r="L53" s="2" t="s">
        <v>1891</v>
      </c>
      <c r="M53" s="35"/>
      <c r="N53" s="35">
        <v>43765</v>
      </c>
      <c r="O53" s="35" t="s">
        <v>1793</v>
      </c>
    </row>
    <row r="54" spans="1:16" hidden="1" x14ac:dyDescent="0.2">
      <c r="A54" t="s">
        <v>1773</v>
      </c>
      <c r="B54" s="5">
        <v>43768</v>
      </c>
      <c r="C54" s="9">
        <v>1</v>
      </c>
      <c r="D54" s="9">
        <v>1</v>
      </c>
      <c r="E54" s="9">
        <v>0</v>
      </c>
      <c r="F54" s="3" t="s">
        <v>734</v>
      </c>
      <c r="G54" s="3"/>
      <c r="H54" s="17" t="s">
        <v>1088</v>
      </c>
      <c r="I54" s="17" t="s">
        <v>1089</v>
      </c>
      <c r="J5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54" s="8" t="s">
        <v>1092</v>
      </c>
      <c r="L54" s="2" t="s">
        <v>1087</v>
      </c>
      <c r="M54" s="35">
        <v>43763.583333333336</v>
      </c>
      <c r="N54" s="35">
        <v>43763</v>
      </c>
      <c r="O54" s="35"/>
      <c r="P54" t="s">
        <v>1441</v>
      </c>
    </row>
    <row r="55" spans="1:16" hidden="1" x14ac:dyDescent="0.2">
      <c r="A55" t="s">
        <v>2009</v>
      </c>
      <c r="B55" s="5">
        <v>43770</v>
      </c>
      <c r="C55" s="9">
        <v>0</v>
      </c>
      <c r="D55" s="9">
        <v>1</v>
      </c>
      <c r="E55" s="9">
        <v>0</v>
      </c>
      <c r="F55" s="3" t="s">
        <v>193</v>
      </c>
      <c r="G55" s="3"/>
      <c r="H55" s="17" t="s">
        <v>242</v>
      </c>
      <c r="I55" s="17" t="s">
        <v>1156</v>
      </c>
      <c r="J5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55" s="8" t="s">
        <v>1155</v>
      </c>
      <c r="L55" s="2" t="s">
        <v>1157</v>
      </c>
      <c r="M55" s="35">
        <v>43766.583333333336</v>
      </c>
      <c r="N55" s="35">
        <v>43767</v>
      </c>
      <c r="O55" s="35"/>
      <c r="P55" t="s">
        <v>1497</v>
      </c>
    </row>
    <row r="56" spans="1:16" hidden="1" x14ac:dyDescent="0.2">
      <c r="A56" t="s">
        <v>1764</v>
      </c>
      <c r="B56" s="5">
        <v>43770</v>
      </c>
      <c r="C56" s="9">
        <v>1</v>
      </c>
      <c r="D56" s="9">
        <v>1</v>
      </c>
      <c r="E56" s="9"/>
      <c r="F56" s="3"/>
      <c r="G56" s="3" t="s">
        <v>1785</v>
      </c>
      <c r="H56" s="17" t="s">
        <v>1804</v>
      </c>
      <c r="I56" s="17" t="s">
        <v>1805</v>
      </c>
      <c r="J5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56" s="8" t="s">
        <v>1806</v>
      </c>
      <c r="L56" s="2" t="s">
        <v>1807</v>
      </c>
      <c r="M56" s="35"/>
      <c r="N56" s="35">
        <v>1029</v>
      </c>
      <c r="O56" s="35" t="s">
        <v>1802</v>
      </c>
    </row>
    <row r="57" spans="1:16" hidden="1" x14ac:dyDescent="0.2">
      <c r="A57" t="s">
        <v>2005</v>
      </c>
      <c r="B57" s="5">
        <v>43772</v>
      </c>
      <c r="C57" s="9">
        <v>0</v>
      </c>
      <c r="D57" s="9">
        <v>0</v>
      </c>
      <c r="E57" s="9">
        <v>3</v>
      </c>
      <c r="F57" s="3" t="s">
        <v>202</v>
      </c>
      <c r="G57" s="3"/>
      <c r="H57" s="17" t="s">
        <v>311</v>
      </c>
      <c r="I57" s="17" t="s">
        <v>733</v>
      </c>
      <c r="J5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57" s="8"/>
      <c r="L57" s="2">
        <v>586916950</v>
      </c>
      <c r="M57" s="35"/>
      <c r="N57" s="35">
        <v>43770</v>
      </c>
      <c r="O57" s="35"/>
      <c r="P57" t="s">
        <v>1183</v>
      </c>
    </row>
    <row r="58" spans="1:16" hidden="1" x14ac:dyDescent="0.2">
      <c r="A58" t="s">
        <v>2001</v>
      </c>
      <c r="B58" s="5">
        <v>43772</v>
      </c>
      <c r="C58" s="9">
        <v>0</v>
      </c>
      <c r="D58" s="9">
        <v>0</v>
      </c>
      <c r="E58" s="9">
        <v>0</v>
      </c>
      <c r="F58" s="3" t="s">
        <v>641</v>
      </c>
      <c r="G58" s="3"/>
      <c r="H58" s="17" t="s">
        <v>912</v>
      </c>
      <c r="I58" s="17" t="s">
        <v>1219</v>
      </c>
      <c r="J5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58" s="8" t="s">
        <v>1199</v>
      </c>
      <c r="L58" s="2" t="s">
        <v>1218</v>
      </c>
      <c r="M58" s="35"/>
      <c r="N58" s="35"/>
      <c r="O58" s="35"/>
      <c r="P58" t="s">
        <v>1619</v>
      </c>
    </row>
    <row r="59" spans="1:16" hidden="1" x14ac:dyDescent="0.2">
      <c r="A59" t="s">
        <v>1769</v>
      </c>
      <c r="B59" s="5">
        <v>43772</v>
      </c>
      <c r="C59" s="9"/>
      <c r="D59" s="9">
        <v>19</v>
      </c>
      <c r="E59" s="9"/>
      <c r="F59" s="3"/>
      <c r="G59" s="3" t="s">
        <v>1816</v>
      </c>
      <c r="H59" s="17" t="s">
        <v>1830</v>
      </c>
      <c r="I59" s="17" t="s">
        <v>1818</v>
      </c>
      <c r="J5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59" s="8" t="s">
        <v>1831</v>
      </c>
      <c r="L59" s="2" t="s">
        <v>1832</v>
      </c>
      <c r="M59" s="35"/>
      <c r="N59" s="35">
        <v>43768</v>
      </c>
      <c r="O59" s="35" t="s">
        <v>1821</v>
      </c>
    </row>
    <row r="60" spans="1:16" hidden="1" x14ac:dyDescent="0.2">
      <c r="A60" t="s">
        <v>2091</v>
      </c>
      <c r="B60" s="5">
        <v>43772</v>
      </c>
      <c r="C60" s="9"/>
      <c r="D60" s="9">
        <v>1</v>
      </c>
      <c r="E60" s="9"/>
      <c r="F60" s="3"/>
      <c r="G60" s="3" t="s">
        <v>1816</v>
      </c>
      <c r="H60" s="17" t="s">
        <v>1830</v>
      </c>
      <c r="I60" s="17" t="s">
        <v>1818</v>
      </c>
      <c r="J6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60" s="8" t="s">
        <v>1833</v>
      </c>
      <c r="L60" s="2" t="s">
        <v>2095</v>
      </c>
      <c r="M60" s="35"/>
      <c r="N60" s="35">
        <v>43767</v>
      </c>
      <c r="O60" s="35" t="s">
        <v>1821</v>
      </c>
    </row>
    <row r="61" spans="1:16" hidden="1" x14ac:dyDescent="0.2">
      <c r="A61" t="s">
        <v>2011</v>
      </c>
      <c r="B61" s="5">
        <v>43774</v>
      </c>
      <c r="C61" s="9">
        <v>1</v>
      </c>
      <c r="D61" s="9">
        <v>0</v>
      </c>
      <c r="E61" s="9">
        <v>0</v>
      </c>
      <c r="F61" s="3" t="s">
        <v>205</v>
      </c>
      <c r="G61" s="3"/>
      <c r="H61" s="17" t="s">
        <v>417</v>
      </c>
      <c r="I61" s="17" t="s">
        <v>733</v>
      </c>
      <c r="J6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61" s="8" t="s">
        <v>740</v>
      </c>
      <c r="L61" s="2" t="s">
        <v>739</v>
      </c>
      <c r="M61" s="35">
        <v>43770</v>
      </c>
      <c r="N61" s="35">
        <v>43770</v>
      </c>
      <c r="O61" s="35"/>
      <c r="P61" t="s">
        <v>1209</v>
      </c>
    </row>
    <row r="62" spans="1:16" hidden="1" x14ac:dyDescent="0.2">
      <c r="A62" t="s">
        <v>1766</v>
      </c>
      <c r="B62" s="5">
        <v>43774</v>
      </c>
      <c r="C62" s="9"/>
      <c r="D62" s="9">
        <v>1</v>
      </c>
      <c r="E62" s="9"/>
      <c r="F62" s="3"/>
      <c r="G62" s="3" t="s">
        <v>1803</v>
      </c>
      <c r="H62" s="17" t="s">
        <v>1926</v>
      </c>
      <c r="I62" s="17" t="s">
        <v>1795</v>
      </c>
      <c r="J6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V.944W</v>
      </c>
      <c r="K62" s="8" t="s">
        <v>1927</v>
      </c>
      <c r="L62" s="2" t="s">
        <v>1928</v>
      </c>
      <c r="M62" s="35"/>
      <c r="N62" s="35">
        <v>43768</v>
      </c>
      <c r="O62" s="35" t="s">
        <v>1870</v>
      </c>
    </row>
    <row r="63" spans="1:16" hidden="1" x14ac:dyDescent="0.2">
      <c r="A63" t="s">
        <v>2009</v>
      </c>
      <c r="B63" s="5">
        <v>43775</v>
      </c>
      <c r="C63" s="9">
        <v>0</v>
      </c>
      <c r="D63" s="9">
        <v>1</v>
      </c>
      <c r="E63" s="9">
        <v>0</v>
      </c>
      <c r="F63" s="3" t="s">
        <v>193</v>
      </c>
      <c r="G63" s="3"/>
      <c r="H63" s="17" t="s">
        <v>251</v>
      </c>
      <c r="I63" s="17" t="s">
        <v>1170</v>
      </c>
      <c r="J6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63" s="8" t="s">
        <v>1172</v>
      </c>
      <c r="L63" s="2" t="s">
        <v>1173</v>
      </c>
      <c r="M63" s="35"/>
      <c r="N63" s="35"/>
      <c r="O63" s="35"/>
      <c r="P63" t="s">
        <v>1207</v>
      </c>
    </row>
    <row r="64" spans="1:16" hidden="1" x14ac:dyDescent="0.2">
      <c r="A64" t="s">
        <v>1768</v>
      </c>
      <c r="B64" s="5">
        <v>43775</v>
      </c>
      <c r="C64" s="9">
        <v>0</v>
      </c>
      <c r="D64" s="9">
        <v>0</v>
      </c>
      <c r="E64" s="9">
        <v>2</v>
      </c>
      <c r="F64" s="3" t="s">
        <v>192</v>
      </c>
      <c r="G64" s="3"/>
      <c r="H64" s="17" t="s">
        <v>1233</v>
      </c>
      <c r="I64" s="17" t="s">
        <v>1196</v>
      </c>
      <c r="J6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64" s="8" t="s">
        <v>1213</v>
      </c>
      <c r="L64" s="42" t="s">
        <v>1197</v>
      </c>
      <c r="M64" s="35">
        <v>43771.583333333336</v>
      </c>
      <c r="N64" s="35">
        <v>43772</v>
      </c>
      <c r="O64" s="35"/>
      <c r="P64" t="s">
        <v>1297</v>
      </c>
    </row>
    <row r="65" spans="1:16" hidden="1" x14ac:dyDescent="0.2">
      <c r="A65" t="s">
        <v>1771</v>
      </c>
      <c r="B65" s="5">
        <v>43775</v>
      </c>
      <c r="C65" s="9"/>
      <c r="D65" s="9">
        <v>3</v>
      </c>
      <c r="E65" s="9"/>
      <c r="F65" s="3"/>
      <c r="G65" s="3" t="s">
        <v>1792</v>
      </c>
      <c r="H65" s="17" t="s">
        <v>248</v>
      </c>
      <c r="I65" s="17" t="s">
        <v>1196</v>
      </c>
      <c r="J6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65" s="8" t="s">
        <v>1896</v>
      </c>
      <c r="L65" s="2" t="s">
        <v>1897</v>
      </c>
      <c r="M65" s="35"/>
      <c r="N65" s="35">
        <v>43772</v>
      </c>
      <c r="O65" s="35" t="s">
        <v>1793</v>
      </c>
    </row>
    <row r="66" spans="1:16" hidden="1" x14ac:dyDescent="0.2">
      <c r="A66" t="s">
        <v>1773</v>
      </c>
      <c r="B66" s="5">
        <v>43775</v>
      </c>
      <c r="C66" s="9">
        <v>0</v>
      </c>
      <c r="D66" s="9">
        <v>2</v>
      </c>
      <c r="E66" s="9">
        <v>0</v>
      </c>
      <c r="F66" s="3" t="s">
        <v>734</v>
      </c>
      <c r="G66" s="3"/>
      <c r="H66" s="17" t="s">
        <v>417</v>
      </c>
      <c r="I66" s="17" t="s">
        <v>733</v>
      </c>
      <c r="J6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66" s="8" t="s">
        <v>1214</v>
      </c>
      <c r="L66" s="42" t="s">
        <v>1189</v>
      </c>
      <c r="M66" s="35">
        <v>43770</v>
      </c>
      <c r="N66" s="35">
        <v>43770</v>
      </c>
      <c r="O66" s="35"/>
      <c r="P66" t="s">
        <v>1298</v>
      </c>
    </row>
    <row r="67" spans="1:16" hidden="1" x14ac:dyDescent="0.2">
      <c r="A67" t="s">
        <v>1761</v>
      </c>
      <c r="B67" s="5">
        <v>43776</v>
      </c>
      <c r="C67" s="9">
        <v>1</v>
      </c>
      <c r="D67" s="9">
        <v>2</v>
      </c>
      <c r="E67" s="9">
        <v>0</v>
      </c>
      <c r="F67" s="3" t="s">
        <v>312</v>
      </c>
      <c r="G67" s="3"/>
      <c r="H67" s="17" t="s">
        <v>1129</v>
      </c>
      <c r="I67" s="17" t="s">
        <v>1130</v>
      </c>
      <c r="J6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7" s="8" t="s">
        <v>1137</v>
      </c>
      <c r="L67" s="2" t="s">
        <v>1132</v>
      </c>
      <c r="M67" s="35">
        <v>43769.416666666664</v>
      </c>
      <c r="N67" s="35">
        <v>43774</v>
      </c>
      <c r="O67" s="35"/>
      <c r="P67" t="s">
        <v>1323</v>
      </c>
    </row>
    <row r="68" spans="1:16" hidden="1" x14ac:dyDescent="0.2">
      <c r="A68" t="s">
        <v>1761</v>
      </c>
      <c r="B68" s="5">
        <v>43776</v>
      </c>
      <c r="C68" s="9">
        <v>0</v>
      </c>
      <c r="D68" s="9">
        <v>2</v>
      </c>
      <c r="E68" s="9">
        <v>0</v>
      </c>
      <c r="F68" s="3" t="s">
        <v>312</v>
      </c>
      <c r="G68" s="3"/>
      <c r="H68" s="17" t="s">
        <v>1129</v>
      </c>
      <c r="I68" s="17" t="s">
        <v>1130</v>
      </c>
      <c r="J6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8" s="8" t="s">
        <v>1251</v>
      </c>
      <c r="L68" s="2" t="s">
        <v>1134</v>
      </c>
      <c r="M68" s="35">
        <v>43769.416666666664</v>
      </c>
      <c r="N68" s="35">
        <v>43774</v>
      </c>
      <c r="O68" s="35"/>
      <c r="P68" t="s">
        <v>972</v>
      </c>
    </row>
    <row r="69" spans="1:16" hidden="1" x14ac:dyDescent="0.2">
      <c r="A69" t="s">
        <v>1761</v>
      </c>
      <c r="B69" s="5">
        <v>43776</v>
      </c>
      <c r="C69" s="9">
        <v>1</v>
      </c>
      <c r="D69" s="9">
        <v>2</v>
      </c>
      <c r="E69" s="9">
        <v>1</v>
      </c>
      <c r="F69" s="3" t="s">
        <v>312</v>
      </c>
      <c r="G69" s="3"/>
      <c r="H69" s="17" t="s">
        <v>1129</v>
      </c>
      <c r="I69" s="17" t="s">
        <v>1130</v>
      </c>
      <c r="J6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69" s="8" t="s">
        <v>1261</v>
      </c>
      <c r="L69" s="2" t="s">
        <v>1136</v>
      </c>
      <c r="M69" s="35">
        <v>43769.416666666664</v>
      </c>
      <c r="N69" s="35">
        <v>43774</v>
      </c>
      <c r="O69" s="35"/>
      <c r="P69" t="s">
        <v>1324</v>
      </c>
    </row>
    <row r="70" spans="1:16" hidden="1" x14ac:dyDescent="0.2">
      <c r="A70" t="s">
        <v>2009</v>
      </c>
      <c r="B70" s="5">
        <v>43777</v>
      </c>
      <c r="C70" s="9">
        <v>0</v>
      </c>
      <c r="D70" s="9">
        <v>1</v>
      </c>
      <c r="E70" s="9">
        <v>0</v>
      </c>
      <c r="F70" s="3" t="s">
        <v>193</v>
      </c>
      <c r="G70" s="3"/>
      <c r="H70" s="17" t="s">
        <v>252</v>
      </c>
      <c r="I70" s="17" t="s">
        <v>1171</v>
      </c>
      <c r="J7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70" s="8" t="s">
        <v>1266</v>
      </c>
      <c r="L70" s="2" t="s">
        <v>1181</v>
      </c>
      <c r="M70" s="35">
        <v>43773.583333333336</v>
      </c>
      <c r="N70" s="35">
        <v>43774</v>
      </c>
      <c r="O70" s="35"/>
      <c r="P70" t="s">
        <v>1498</v>
      </c>
    </row>
    <row r="71" spans="1:16" hidden="1" x14ac:dyDescent="0.2">
      <c r="A71" t="s">
        <v>1764</v>
      </c>
      <c r="B71" s="5">
        <v>43777</v>
      </c>
      <c r="C71" s="9"/>
      <c r="D71" s="9">
        <v>2</v>
      </c>
      <c r="E71" s="9"/>
      <c r="F71" s="3"/>
      <c r="G71" s="3" t="s">
        <v>1785</v>
      </c>
      <c r="H71" s="17" t="s">
        <v>1798</v>
      </c>
      <c r="I71" s="17" t="s">
        <v>1799</v>
      </c>
      <c r="J7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71" s="8" t="s">
        <v>1800</v>
      </c>
      <c r="L71" s="2" t="s">
        <v>1801</v>
      </c>
      <c r="M71" s="35"/>
      <c r="N71" s="35">
        <v>43774</v>
      </c>
      <c r="O71" s="35" t="s">
        <v>1802</v>
      </c>
    </row>
    <row r="72" spans="1:16" hidden="1" x14ac:dyDescent="0.2">
      <c r="A72" t="s">
        <v>1768</v>
      </c>
      <c r="B72" s="5">
        <v>43778</v>
      </c>
      <c r="C72" s="9">
        <v>0</v>
      </c>
      <c r="D72" s="9">
        <v>0</v>
      </c>
      <c r="E72" s="9">
        <v>1</v>
      </c>
      <c r="F72" s="3" t="s">
        <v>192</v>
      </c>
      <c r="G72" s="3"/>
      <c r="H72" s="17" t="s">
        <v>1200</v>
      </c>
      <c r="I72" s="17" t="s">
        <v>1201</v>
      </c>
      <c r="J7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72" s="8" t="s">
        <v>1258</v>
      </c>
      <c r="L72" s="42">
        <v>587346262</v>
      </c>
      <c r="M72" s="35">
        <v>43775</v>
      </c>
      <c r="N72" s="35">
        <v>43775</v>
      </c>
      <c r="O72" s="35"/>
      <c r="P72" t="s">
        <v>1338</v>
      </c>
    </row>
    <row r="73" spans="1:16" hidden="1" x14ac:dyDescent="0.2">
      <c r="A73" t="s">
        <v>1771</v>
      </c>
      <c r="B73" s="5">
        <v>43778</v>
      </c>
      <c r="C73" s="9">
        <v>1</v>
      </c>
      <c r="D73" s="9">
        <v>1</v>
      </c>
      <c r="E73" s="9"/>
      <c r="F73" s="3"/>
      <c r="G73" s="3" t="s">
        <v>1794</v>
      </c>
      <c r="H73" s="17" t="s">
        <v>1200</v>
      </c>
      <c r="I73" s="17" t="s">
        <v>1795</v>
      </c>
      <c r="J7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73" s="8" t="s">
        <v>1796</v>
      </c>
      <c r="L73" s="2">
        <v>587345863</v>
      </c>
      <c r="M73" s="35"/>
      <c r="N73" s="35">
        <v>43775</v>
      </c>
      <c r="O73" s="35" t="s">
        <v>1797</v>
      </c>
    </row>
    <row r="74" spans="1:16" hidden="1" x14ac:dyDescent="0.2">
      <c r="A74" t="s">
        <v>2005</v>
      </c>
      <c r="B74" s="5">
        <v>43779</v>
      </c>
      <c r="C74" s="9">
        <v>0</v>
      </c>
      <c r="D74" s="9">
        <v>0</v>
      </c>
      <c r="E74" s="9">
        <v>3</v>
      </c>
      <c r="F74" s="3" t="s">
        <v>202</v>
      </c>
      <c r="G74" s="3"/>
      <c r="H74" s="17" t="s">
        <v>372</v>
      </c>
      <c r="I74" s="17" t="s">
        <v>752</v>
      </c>
      <c r="J7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74" s="8"/>
      <c r="L74" s="2">
        <v>586916962</v>
      </c>
      <c r="M74" s="35"/>
      <c r="N74" s="35"/>
      <c r="O74" s="35"/>
      <c r="P74" t="s">
        <v>1009</v>
      </c>
    </row>
    <row r="75" spans="1:16" hidden="1" x14ac:dyDescent="0.2">
      <c r="A75" t="s">
        <v>1769</v>
      </c>
      <c r="B75" s="5">
        <v>43779</v>
      </c>
      <c r="C75" s="9"/>
      <c r="D75" s="9">
        <v>20</v>
      </c>
      <c r="E75" s="9"/>
      <c r="F75" s="3"/>
      <c r="G75" s="3" t="s">
        <v>1816</v>
      </c>
      <c r="H75" s="17" t="s">
        <v>1843</v>
      </c>
      <c r="I75" s="17" t="s">
        <v>1835</v>
      </c>
      <c r="J7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75" s="8" t="s">
        <v>1844</v>
      </c>
      <c r="L75" s="2" t="s">
        <v>1845</v>
      </c>
      <c r="M75" s="35"/>
      <c r="N75" s="35">
        <v>43775</v>
      </c>
      <c r="O75" s="35" t="s">
        <v>1821</v>
      </c>
    </row>
    <row r="76" spans="1:16" hidden="1" x14ac:dyDescent="0.2">
      <c r="A76" t="s">
        <v>2009</v>
      </c>
      <c r="B76" s="5">
        <v>43782</v>
      </c>
      <c r="C76" s="9">
        <v>0</v>
      </c>
      <c r="D76" s="9">
        <v>1</v>
      </c>
      <c r="E76" s="9">
        <v>0</v>
      </c>
      <c r="F76" s="3" t="s">
        <v>193</v>
      </c>
      <c r="G76" s="3"/>
      <c r="H76" s="17" t="s">
        <v>1274</v>
      </c>
      <c r="I76" s="17" t="s">
        <v>828</v>
      </c>
      <c r="J7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76" s="8" t="s">
        <v>1320</v>
      </c>
      <c r="L76" s="2" t="s">
        <v>1277</v>
      </c>
      <c r="M76" s="35">
        <v>43779.541666666664</v>
      </c>
      <c r="N76" s="35">
        <v>43777</v>
      </c>
      <c r="O76" s="35"/>
      <c r="P76" t="s">
        <v>1499</v>
      </c>
    </row>
    <row r="77" spans="1:16" hidden="1" x14ac:dyDescent="0.2">
      <c r="A77" t="s">
        <v>1766</v>
      </c>
      <c r="B77" s="5">
        <v>43782</v>
      </c>
      <c r="C77" s="9"/>
      <c r="D77" s="9">
        <v>1</v>
      </c>
      <c r="E77" s="9"/>
      <c r="F77" s="3"/>
      <c r="G77" s="3" t="s">
        <v>1803</v>
      </c>
      <c r="H77" s="17" t="s">
        <v>1866</v>
      </c>
      <c r="I77" s="17" t="s">
        <v>1867</v>
      </c>
      <c r="J7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V.945W</v>
      </c>
      <c r="K77" s="8" t="s">
        <v>1868</v>
      </c>
      <c r="L77" s="2" t="s">
        <v>1869</v>
      </c>
      <c r="M77" s="35"/>
      <c r="N77" s="35">
        <v>43774</v>
      </c>
      <c r="O77" s="35" t="s">
        <v>1870</v>
      </c>
    </row>
    <row r="78" spans="1:16" hidden="1" x14ac:dyDescent="0.2">
      <c r="A78" t="s">
        <v>1773</v>
      </c>
      <c r="B78" s="5">
        <v>43782</v>
      </c>
      <c r="C78" s="9">
        <v>0</v>
      </c>
      <c r="D78" s="9">
        <v>2</v>
      </c>
      <c r="E78" s="9">
        <v>0</v>
      </c>
      <c r="F78" s="3" t="s">
        <v>734</v>
      </c>
      <c r="G78" s="3"/>
      <c r="H78" s="17" t="s">
        <v>246</v>
      </c>
      <c r="I78" s="17" t="s">
        <v>752</v>
      </c>
      <c r="J7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78" s="8" t="s">
        <v>1304</v>
      </c>
      <c r="L78" s="2" t="s">
        <v>1440</v>
      </c>
      <c r="M78" s="35">
        <v>43778.208333333336</v>
      </c>
      <c r="N78" s="35">
        <v>43777</v>
      </c>
      <c r="O78" s="35"/>
      <c r="P78" t="s">
        <v>1434</v>
      </c>
    </row>
    <row r="79" spans="1:16" hidden="1" x14ac:dyDescent="0.2">
      <c r="A79" t="s">
        <v>2009</v>
      </c>
      <c r="B79" s="5">
        <v>43784</v>
      </c>
      <c r="C79" s="9">
        <v>0</v>
      </c>
      <c r="D79" s="9">
        <v>1</v>
      </c>
      <c r="E79" s="9">
        <v>0</v>
      </c>
      <c r="F79" s="3" t="s">
        <v>193</v>
      </c>
      <c r="G79" s="3"/>
      <c r="H79" s="17" t="s">
        <v>274</v>
      </c>
      <c r="I79" s="17" t="s">
        <v>1275</v>
      </c>
      <c r="J7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79" s="8" t="s">
        <v>1278</v>
      </c>
      <c r="L79" s="2" t="s">
        <v>1280</v>
      </c>
      <c r="M79" s="35"/>
      <c r="N79" s="35"/>
      <c r="O79" s="35"/>
      <c r="P79" t="s">
        <v>1339</v>
      </c>
    </row>
    <row r="80" spans="1:16" hidden="1" x14ac:dyDescent="0.2">
      <c r="A80" t="s">
        <v>1764</v>
      </c>
      <c r="B80" s="5">
        <v>43784</v>
      </c>
      <c r="C80" s="9">
        <v>1</v>
      </c>
      <c r="D80" s="9"/>
      <c r="E80" s="9"/>
      <c r="F80" s="3"/>
      <c r="G80" s="3" t="s">
        <v>1785</v>
      </c>
      <c r="H80" s="17" t="s">
        <v>1812</v>
      </c>
      <c r="I80" s="17" t="s">
        <v>1813</v>
      </c>
      <c r="J8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80" s="8" t="s">
        <v>1814</v>
      </c>
      <c r="L80" s="2" t="s">
        <v>1815</v>
      </c>
      <c r="M80" s="35"/>
      <c r="N80" s="35">
        <v>43781</v>
      </c>
      <c r="O80" s="35" t="s">
        <v>1802</v>
      </c>
    </row>
    <row r="81" spans="1:16" hidden="1" x14ac:dyDescent="0.2">
      <c r="A81" t="s">
        <v>2005</v>
      </c>
      <c r="B81" s="5">
        <v>43786</v>
      </c>
      <c r="C81" s="9">
        <v>0</v>
      </c>
      <c r="D81" s="9">
        <v>0</v>
      </c>
      <c r="E81" s="9">
        <v>2</v>
      </c>
      <c r="F81" s="3" t="s">
        <v>202</v>
      </c>
      <c r="G81" s="3"/>
      <c r="H81" s="17" t="s">
        <v>409</v>
      </c>
      <c r="I81" s="17" t="s">
        <v>1011</v>
      </c>
      <c r="J8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81" s="8" t="s">
        <v>1365</v>
      </c>
      <c r="L81" s="2">
        <v>586916982</v>
      </c>
      <c r="M81" s="35">
        <v>43782.666666666664</v>
      </c>
      <c r="N81" s="35">
        <v>43784</v>
      </c>
      <c r="O81" s="35"/>
    </row>
    <row r="82" spans="1:16" hidden="1" x14ac:dyDescent="0.2">
      <c r="A82" t="s">
        <v>1769</v>
      </c>
      <c r="B82" s="5">
        <v>43786</v>
      </c>
      <c r="C82" s="9"/>
      <c r="D82" s="9">
        <v>21</v>
      </c>
      <c r="E82" s="9"/>
      <c r="F82" s="3"/>
      <c r="G82" s="3" t="s">
        <v>1816</v>
      </c>
      <c r="H82" s="17" t="s">
        <v>1834</v>
      </c>
      <c r="I82" s="17" t="s">
        <v>1835</v>
      </c>
      <c r="J8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82" s="8" t="s">
        <v>1836</v>
      </c>
      <c r="L82" s="2" t="s">
        <v>1837</v>
      </c>
      <c r="M82" s="35"/>
      <c r="N82" s="35">
        <v>43782</v>
      </c>
      <c r="O82" s="35" t="s">
        <v>1821</v>
      </c>
    </row>
    <row r="83" spans="1:16" hidden="1" x14ac:dyDescent="0.2">
      <c r="A83" t="s">
        <v>2091</v>
      </c>
      <c r="B83" s="5">
        <v>43786</v>
      </c>
      <c r="C83" s="9"/>
      <c r="D83" s="9">
        <v>1</v>
      </c>
      <c r="E83" s="9"/>
      <c r="F83" s="3"/>
      <c r="G83" s="3" t="s">
        <v>1816</v>
      </c>
      <c r="H83" s="17" t="s">
        <v>1834</v>
      </c>
      <c r="I83" s="17" t="s">
        <v>1835</v>
      </c>
      <c r="J8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83" s="8" t="s">
        <v>1838</v>
      </c>
      <c r="L83" s="2" t="s">
        <v>2096</v>
      </c>
      <c r="M83" s="35"/>
      <c r="N83" s="35">
        <v>43781</v>
      </c>
      <c r="O83" s="35" t="s">
        <v>1821</v>
      </c>
    </row>
    <row r="84" spans="1:16" hidden="1" x14ac:dyDescent="0.2">
      <c r="A84" t="s">
        <v>1762</v>
      </c>
      <c r="B84" s="5">
        <v>43787</v>
      </c>
      <c r="C84" s="9">
        <v>0</v>
      </c>
      <c r="D84" s="9">
        <v>0</v>
      </c>
      <c r="E84" s="9">
        <v>8</v>
      </c>
      <c r="F84" s="3" t="s">
        <v>1319</v>
      </c>
      <c r="G84" s="3"/>
      <c r="H84" s="17" t="s">
        <v>1350</v>
      </c>
      <c r="I84" s="17" t="s">
        <v>1329</v>
      </c>
      <c r="J8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84" s="8" t="s">
        <v>1393</v>
      </c>
      <c r="L84" s="2" t="s">
        <v>1530</v>
      </c>
      <c r="M84" s="35">
        <v>43785.333333333336</v>
      </c>
      <c r="N84" s="35">
        <v>43784</v>
      </c>
      <c r="O84" s="35"/>
      <c r="P84" t="s">
        <v>1430</v>
      </c>
    </row>
    <row r="85" spans="1:16" hidden="1" x14ac:dyDescent="0.2">
      <c r="A85" t="s">
        <v>1766</v>
      </c>
      <c r="B85" s="5">
        <v>43788</v>
      </c>
      <c r="C85" s="9"/>
      <c r="D85" s="9">
        <v>1</v>
      </c>
      <c r="E85" s="9"/>
      <c r="F85" s="3"/>
      <c r="G85" s="3" t="s">
        <v>1803</v>
      </c>
      <c r="H85" s="17" t="s">
        <v>1922</v>
      </c>
      <c r="I85" s="17" t="s">
        <v>1923</v>
      </c>
      <c r="J8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V.FI946A</v>
      </c>
      <c r="K85" s="8" t="s">
        <v>1924</v>
      </c>
      <c r="L85" s="2" t="s">
        <v>1925</v>
      </c>
      <c r="M85" s="35"/>
      <c r="N85" s="35">
        <v>43788</v>
      </c>
      <c r="O85" s="35" t="s">
        <v>1870</v>
      </c>
    </row>
    <row r="86" spans="1:16" hidden="1" x14ac:dyDescent="0.2">
      <c r="A86" t="s">
        <v>2009</v>
      </c>
      <c r="B86" s="5">
        <v>43789</v>
      </c>
      <c r="C86" s="9">
        <v>1</v>
      </c>
      <c r="D86" s="9">
        <v>1</v>
      </c>
      <c r="E86" s="9">
        <v>0</v>
      </c>
      <c r="F86" s="3" t="s">
        <v>193</v>
      </c>
      <c r="G86" s="3"/>
      <c r="H86" s="17" t="s">
        <v>1351</v>
      </c>
      <c r="I86" s="17" t="s">
        <v>1352</v>
      </c>
      <c r="J8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86" s="8" t="s">
        <v>1375</v>
      </c>
      <c r="L86" s="2" t="s">
        <v>1366</v>
      </c>
      <c r="M86" s="35">
        <v>43785.916666666664</v>
      </c>
      <c r="N86" s="35">
        <v>43783</v>
      </c>
      <c r="O86" s="35"/>
      <c r="P86" t="s">
        <v>1416</v>
      </c>
    </row>
    <row r="87" spans="1:16" hidden="1" x14ac:dyDescent="0.2">
      <c r="A87" t="s">
        <v>2011</v>
      </c>
      <c r="B87" s="5">
        <v>43789</v>
      </c>
      <c r="C87" s="9">
        <v>1</v>
      </c>
      <c r="D87" s="9">
        <v>0</v>
      </c>
      <c r="E87" s="9">
        <v>0</v>
      </c>
      <c r="F87" s="3" t="s">
        <v>205</v>
      </c>
      <c r="G87" s="3"/>
      <c r="H87" s="17" t="s">
        <v>249</v>
      </c>
      <c r="I87" s="17" t="s">
        <v>1220</v>
      </c>
      <c r="J8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87" s="8" t="s">
        <v>1286</v>
      </c>
      <c r="L87" s="2" t="s">
        <v>1285</v>
      </c>
      <c r="M87" s="35">
        <v>43784.625</v>
      </c>
      <c r="N87" s="35">
        <v>43784</v>
      </c>
      <c r="O87" s="35"/>
      <c r="P87" t="s">
        <v>1382</v>
      </c>
    </row>
    <row r="88" spans="1:16" hidden="1" x14ac:dyDescent="0.2">
      <c r="A88" t="s">
        <v>1768</v>
      </c>
      <c r="B88" s="5">
        <v>43789</v>
      </c>
      <c r="C88" s="9">
        <v>1</v>
      </c>
      <c r="D88" s="9">
        <v>0</v>
      </c>
      <c r="E88" s="9">
        <v>0</v>
      </c>
      <c r="F88" s="3" t="s">
        <v>192</v>
      </c>
      <c r="G88" s="3"/>
      <c r="H88" s="17" t="s">
        <v>1355</v>
      </c>
      <c r="I88" s="17" t="s">
        <v>1477</v>
      </c>
      <c r="J8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88" s="8" t="s">
        <v>1403</v>
      </c>
      <c r="L88" s="2" t="s">
        <v>1356</v>
      </c>
      <c r="M88" s="35">
        <v>43786.166666666664</v>
      </c>
      <c r="N88" s="35">
        <v>43786</v>
      </c>
      <c r="O88" s="35"/>
      <c r="P88" t="s">
        <v>1476</v>
      </c>
    </row>
    <row r="89" spans="1:16" hidden="1" x14ac:dyDescent="0.2">
      <c r="A89" t="s">
        <v>1771</v>
      </c>
      <c r="B89" s="5">
        <v>43789</v>
      </c>
      <c r="C89" s="9"/>
      <c r="D89" s="9">
        <v>5</v>
      </c>
      <c r="E89" s="9"/>
      <c r="F89" s="3"/>
      <c r="G89" s="3" t="s">
        <v>1792</v>
      </c>
      <c r="H89" s="17" t="s">
        <v>1875</v>
      </c>
      <c r="I89" s="17" t="s">
        <v>1876</v>
      </c>
      <c r="J8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89" s="8" t="s">
        <v>1877</v>
      </c>
      <c r="L89" s="2" t="s">
        <v>1878</v>
      </c>
      <c r="M89" s="35"/>
      <c r="N89" s="35">
        <v>43786</v>
      </c>
      <c r="O89" s="35" t="s">
        <v>1793</v>
      </c>
    </row>
    <row r="90" spans="1:16" hidden="1" x14ac:dyDescent="0.2">
      <c r="A90" t="s">
        <v>1773</v>
      </c>
      <c r="B90" s="5">
        <v>43789</v>
      </c>
      <c r="C90" s="9">
        <v>0</v>
      </c>
      <c r="D90" s="9">
        <v>1</v>
      </c>
      <c r="E90" s="9">
        <v>0</v>
      </c>
      <c r="F90" s="3" t="s">
        <v>1319</v>
      </c>
      <c r="G90" s="3"/>
      <c r="H90" s="17" t="s">
        <v>249</v>
      </c>
      <c r="I90" s="17" t="s">
        <v>1220</v>
      </c>
      <c r="J9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90" s="8" t="s">
        <v>1390</v>
      </c>
      <c r="L90" s="2" t="s">
        <v>1481</v>
      </c>
      <c r="M90" s="35">
        <v>43785.125</v>
      </c>
      <c r="N90" s="35">
        <v>43784</v>
      </c>
      <c r="O90" s="35"/>
      <c r="P90" t="s">
        <v>1482</v>
      </c>
    </row>
    <row r="91" spans="1:16" hidden="1" x14ac:dyDescent="0.2">
      <c r="A91" t="s">
        <v>1761</v>
      </c>
      <c r="B91" s="5">
        <v>43790</v>
      </c>
      <c r="C91" s="9">
        <v>0</v>
      </c>
      <c r="D91" s="9">
        <v>1</v>
      </c>
      <c r="E91" s="9">
        <v>0</v>
      </c>
      <c r="F91" s="3" t="s">
        <v>312</v>
      </c>
      <c r="G91" s="3"/>
      <c r="H91" s="17" t="s">
        <v>1300</v>
      </c>
      <c r="I91" s="17" t="s">
        <v>1301</v>
      </c>
      <c r="J9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91" s="8" t="s">
        <v>1417</v>
      </c>
      <c r="L91" s="2" t="s">
        <v>1302</v>
      </c>
      <c r="M91" s="35">
        <v>43786.416666666664</v>
      </c>
      <c r="N91" s="35">
        <v>43787</v>
      </c>
      <c r="O91" s="35"/>
      <c r="P91" t="s">
        <v>855</v>
      </c>
    </row>
    <row r="92" spans="1:16" hidden="1" x14ac:dyDescent="0.2">
      <c r="A92" t="s">
        <v>2005</v>
      </c>
      <c r="B92" s="5">
        <v>43793</v>
      </c>
      <c r="C92" s="9">
        <v>0</v>
      </c>
      <c r="D92" s="9">
        <v>0</v>
      </c>
      <c r="E92" s="9">
        <v>2</v>
      </c>
      <c r="F92" s="3" t="s">
        <v>202</v>
      </c>
      <c r="G92" s="3"/>
      <c r="H92" s="17" t="s">
        <v>408</v>
      </c>
      <c r="I92" s="17" t="s">
        <v>1438</v>
      </c>
      <c r="J9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92" s="8" t="s">
        <v>1486</v>
      </c>
      <c r="L92" s="2">
        <v>587895625</v>
      </c>
      <c r="M92" s="35">
        <v>43790.583333333336</v>
      </c>
      <c r="N92" s="35">
        <v>43790</v>
      </c>
      <c r="O92" s="35"/>
    </row>
    <row r="93" spans="1:16" hidden="1" x14ac:dyDescent="0.2">
      <c r="A93" t="s">
        <v>1769</v>
      </c>
      <c r="B93" s="5">
        <v>43793</v>
      </c>
      <c r="C93" s="9">
        <v>1</v>
      </c>
      <c r="D93" s="9">
        <v>19</v>
      </c>
      <c r="E93" s="9"/>
      <c r="F93" s="3"/>
      <c r="G93" s="3" t="s">
        <v>1816</v>
      </c>
      <c r="H93" s="17" t="s">
        <v>1863</v>
      </c>
      <c r="I93" s="17" t="s">
        <v>1860</v>
      </c>
      <c r="J9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93" s="8" t="s">
        <v>1864</v>
      </c>
      <c r="L93" s="2" t="s">
        <v>1865</v>
      </c>
      <c r="M93" s="35"/>
      <c r="N93" s="35">
        <v>43789</v>
      </c>
      <c r="O93" s="35" t="s">
        <v>1821</v>
      </c>
    </row>
    <row r="94" spans="1:16" hidden="1" x14ac:dyDescent="0.2">
      <c r="A94" t="s">
        <v>1764</v>
      </c>
      <c r="B94" s="5">
        <v>43794</v>
      </c>
      <c r="C94" s="9">
        <v>1</v>
      </c>
      <c r="D94" s="9">
        <v>1</v>
      </c>
      <c r="E94" s="9"/>
      <c r="F94" s="3"/>
      <c r="G94" s="3" t="s">
        <v>1794</v>
      </c>
      <c r="H94" s="17" t="s">
        <v>1916</v>
      </c>
      <c r="I94" s="17" t="s">
        <v>1872</v>
      </c>
      <c r="J9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94" s="8" t="s">
        <v>1917</v>
      </c>
      <c r="L94" s="2">
        <v>969818557</v>
      </c>
      <c r="M94" s="35"/>
      <c r="N94" s="35">
        <v>43789</v>
      </c>
      <c r="O94" s="35" t="s">
        <v>1802</v>
      </c>
    </row>
    <row r="95" spans="1:16" hidden="1" x14ac:dyDescent="0.2">
      <c r="A95" t="s">
        <v>1766</v>
      </c>
      <c r="B95" s="5">
        <v>43795</v>
      </c>
      <c r="C95" s="9"/>
      <c r="D95" s="9">
        <v>1</v>
      </c>
      <c r="E95" s="9"/>
      <c r="F95" s="3"/>
      <c r="G95" s="3" t="s">
        <v>1803</v>
      </c>
      <c r="H95" s="17" t="s">
        <v>1871</v>
      </c>
      <c r="I95" s="17" t="s">
        <v>1872</v>
      </c>
      <c r="J9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V.947W</v>
      </c>
      <c r="K95" s="8" t="s">
        <v>1873</v>
      </c>
      <c r="L95" s="2" t="s">
        <v>1874</v>
      </c>
      <c r="M95" s="35"/>
      <c r="N95" s="35">
        <v>43788</v>
      </c>
      <c r="O95" s="35" t="s">
        <v>1870</v>
      </c>
    </row>
    <row r="96" spans="1:16" hidden="1" x14ac:dyDescent="0.2">
      <c r="A96" t="s">
        <v>2009</v>
      </c>
      <c r="B96" s="5">
        <v>43796</v>
      </c>
      <c r="C96" s="9">
        <v>0</v>
      </c>
      <c r="D96" s="9">
        <v>1</v>
      </c>
      <c r="E96" s="9">
        <v>0</v>
      </c>
      <c r="F96" s="3" t="s">
        <v>193</v>
      </c>
      <c r="G96" s="3"/>
      <c r="H96" s="17" t="s">
        <v>1454</v>
      </c>
      <c r="I96" s="17" t="s">
        <v>1455</v>
      </c>
      <c r="J9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96" s="8" t="s">
        <v>1465</v>
      </c>
      <c r="L96" s="2" t="s">
        <v>1471</v>
      </c>
      <c r="M96" s="35"/>
      <c r="N96" s="35"/>
      <c r="O96" s="35"/>
      <c r="P96" t="s">
        <v>137</v>
      </c>
    </row>
    <row r="97" spans="1:16" hidden="1" x14ac:dyDescent="0.2">
      <c r="A97" t="s">
        <v>1764</v>
      </c>
      <c r="B97" s="5">
        <v>43796</v>
      </c>
      <c r="C97" s="9">
        <v>1</v>
      </c>
      <c r="D97" s="9">
        <v>1</v>
      </c>
      <c r="E97" s="9"/>
      <c r="F97" s="3"/>
      <c r="G97" s="3" t="s">
        <v>1785</v>
      </c>
      <c r="H97" s="17" t="s">
        <v>1839</v>
      </c>
      <c r="I97" s="17" t="s">
        <v>1840</v>
      </c>
      <c r="J9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97" s="8" t="s">
        <v>1841</v>
      </c>
      <c r="L97" s="2" t="s">
        <v>1842</v>
      </c>
      <c r="M97" s="35"/>
      <c r="N97" s="35">
        <v>43794</v>
      </c>
      <c r="O97" s="35" t="s">
        <v>1802</v>
      </c>
    </row>
    <row r="98" spans="1:16" hidden="1" x14ac:dyDescent="0.2">
      <c r="A98" t="s">
        <v>1768</v>
      </c>
      <c r="B98" s="5">
        <v>43796</v>
      </c>
      <c r="C98" s="9">
        <v>1</v>
      </c>
      <c r="D98" s="9">
        <v>0</v>
      </c>
      <c r="E98" s="9">
        <v>2</v>
      </c>
      <c r="F98" s="3" t="s">
        <v>192</v>
      </c>
      <c r="G98" s="3"/>
      <c r="H98" s="17" t="s">
        <v>1512</v>
      </c>
      <c r="I98" s="17" t="s">
        <v>1473</v>
      </c>
      <c r="J9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98" s="8" t="s">
        <v>1487</v>
      </c>
      <c r="L98" s="2" t="s">
        <v>1474</v>
      </c>
      <c r="M98" s="35">
        <v>43792.958333333336</v>
      </c>
      <c r="N98" s="35">
        <v>43791</v>
      </c>
      <c r="O98" s="35"/>
      <c r="P98" t="s">
        <v>1532</v>
      </c>
    </row>
    <row r="99" spans="1:16" hidden="1" x14ac:dyDescent="0.2">
      <c r="A99" t="s">
        <v>1771</v>
      </c>
      <c r="B99" s="5">
        <v>43796</v>
      </c>
      <c r="C99" s="9"/>
      <c r="D99" s="9">
        <v>4</v>
      </c>
      <c r="E99" s="9"/>
      <c r="F99" s="3"/>
      <c r="G99" s="3" t="s">
        <v>1792</v>
      </c>
      <c r="H99" s="17" t="s">
        <v>1879</v>
      </c>
      <c r="I99" s="17" t="s">
        <v>1880</v>
      </c>
      <c r="J9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99" s="8" t="s">
        <v>1881</v>
      </c>
      <c r="L99" s="2" t="s">
        <v>1882</v>
      </c>
      <c r="M99" s="35"/>
      <c r="N99" s="35">
        <v>43791</v>
      </c>
      <c r="O99" s="35" t="s">
        <v>1793</v>
      </c>
    </row>
    <row r="100" spans="1:16" hidden="1" x14ac:dyDescent="0.2">
      <c r="A100" t="s">
        <v>1773</v>
      </c>
      <c r="B100" s="5">
        <v>43796</v>
      </c>
      <c r="C100" s="9">
        <v>0</v>
      </c>
      <c r="D100" s="9">
        <v>1</v>
      </c>
      <c r="E100" s="9">
        <v>0</v>
      </c>
      <c r="F100" s="3" t="s">
        <v>1319</v>
      </c>
      <c r="G100" s="3"/>
      <c r="H100" s="17" t="s">
        <v>1502</v>
      </c>
      <c r="I100" s="17" t="s">
        <v>1503</v>
      </c>
      <c r="J10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100" s="8" t="s">
        <v>1505</v>
      </c>
      <c r="L100" s="2" t="s">
        <v>1504</v>
      </c>
      <c r="M100" s="35">
        <v>43792.458333333336</v>
      </c>
      <c r="N100" s="35">
        <v>43793</v>
      </c>
      <c r="O100" s="35"/>
      <c r="P100" t="s">
        <v>1533</v>
      </c>
    </row>
    <row r="101" spans="1:16" hidden="1" x14ac:dyDescent="0.2">
      <c r="A101" t="s">
        <v>1761</v>
      </c>
      <c r="B101" s="5">
        <v>43797</v>
      </c>
      <c r="C101" s="9">
        <v>1</v>
      </c>
      <c r="D101" s="9">
        <v>5</v>
      </c>
      <c r="E101" s="9">
        <v>0</v>
      </c>
      <c r="F101" s="3" t="s">
        <v>312</v>
      </c>
      <c r="G101" s="3"/>
      <c r="H101" s="17" t="s">
        <v>1426</v>
      </c>
      <c r="I101" s="17" t="s">
        <v>1427</v>
      </c>
      <c r="J10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101" s="8" t="s">
        <v>1521</v>
      </c>
      <c r="L101" s="2" t="s">
        <v>1526</v>
      </c>
      <c r="M101" s="35">
        <v>43792</v>
      </c>
      <c r="N101" s="35">
        <v>43794</v>
      </c>
      <c r="O101" s="35"/>
      <c r="P101" t="s">
        <v>1558</v>
      </c>
    </row>
    <row r="102" spans="1:16" hidden="1" x14ac:dyDescent="0.2">
      <c r="A102" t="s">
        <v>1761</v>
      </c>
      <c r="B102" s="5">
        <v>43797</v>
      </c>
      <c r="C102" s="9">
        <v>1</v>
      </c>
      <c r="D102" s="9">
        <v>2</v>
      </c>
      <c r="E102" s="9">
        <v>0</v>
      </c>
      <c r="F102" s="3" t="s">
        <v>312</v>
      </c>
      <c r="G102" s="3"/>
      <c r="H102" s="17" t="s">
        <v>1426</v>
      </c>
      <c r="I102" s="17" t="s">
        <v>1427</v>
      </c>
      <c r="J10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102" s="8" t="s">
        <v>1515</v>
      </c>
      <c r="L102" s="2" t="s">
        <v>1518</v>
      </c>
      <c r="M102" s="35">
        <v>43792</v>
      </c>
      <c r="N102" s="35">
        <v>43794</v>
      </c>
      <c r="O102" s="35"/>
      <c r="P102" t="s">
        <v>855</v>
      </c>
    </row>
    <row r="103" spans="1:16" hidden="1" x14ac:dyDescent="0.2">
      <c r="A103" t="s">
        <v>1999</v>
      </c>
      <c r="B103" s="5">
        <v>43798</v>
      </c>
      <c r="C103" s="9">
        <v>0</v>
      </c>
      <c r="D103" s="9">
        <v>0</v>
      </c>
      <c r="E103" s="9">
        <v>0</v>
      </c>
      <c r="F103" s="3" t="s">
        <v>1442</v>
      </c>
      <c r="G103" s="3"/>
      <c r="H103" s="17" t="s">
        <v>681</v>
      </c>
      <c r="I103" s="17" t="s">
        <v>1561</v>
      </c>
      <c r="J10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103" s="8" t="s">
        <v>1443</v>
      </c>
      <c r="L103" s="2" t="s">
        <v>1577</v>
      </c>
      <c r="M103" s="35"/>
      <c r="N103" s="35">
        <v>43795</v>
      </c>
      <c r="O103" s="35"/>
      <c r="P103" t="s">
        <v>1620</v>
      </c>
    </row>
    <row r="104" spans="1:16" hidden="1" x14ac:dyDescent="0.2">
      <c r="A104" t="s">
        <v>2009</v>
      </c>
      <c r="B104" s="5">
        <v>43798</v>
      </c>
      <c r="C104" s="9">
        <v>0</v>
      </c>
      <c r="D104" s="9">
        <v>1</v>
      </c>
      <c r="E104" s="9">
        <v>0</v>
      </c>
      <c r="F104" s="3" t="s">
        <v>193</v>
      </c>
      <c r="G104" s="3"/>
      <c r="H104" s="17" t="s">
        <v>1456</v>
      </c>
      <c r="I104" s="17" t="s">
        <v>1457</v>
      </c>
      <c r="J10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104" s="8" t="s">
        <v>1466</v>
      </c>
      <c r="L104" s="2" t="s">
        <v>1517</v>
      </c>
      <c r="M104" s="35"/>
      <c r="N104" s="35"/>
      <c r="O104" s="35"/>
      <c r="P104" t="s">
        <v>137</v>
      </c>
    </row>
    <row r="105" spans="1:16" hidden="1" x14ac:dyDescent="0.2">
      <c r="A105" t="s">
        <v>1769</v>
      </c>
      <c r="B105" s="5">
        <v>43800</v>
      </c>
      <c r="C105" s="9"/>
      <c r="D105" s="9">
        <v>21</v>
      </c>
      <c r="E105" s="9"/>
      <c r="F105" s="3"/>
      <c r="G105" s="3" t="s">
        <v>1816</v>
      </c>
      <c r="H105" s="17" t="s">
        <v>1846</v>
      </c>
      <c r="I105" s="17" t="s">
        <v>1847</v>
      </c>
      <c r="J10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105" s="8" t="s">
        <v>1848</v>
      </c>
      <c r="L105" s="2" t="s">
        <v>1849</v>
      </c>
      <c r="M105" s="35"/>
      <c r="N105" s="35">
        <v>43796</v>
      </c>
      <c r="O105" s="35" t="s">
        <v>1821</v>
      </c>
    </row>
    <row r="106" spans="1:16" hidden="1" x14ac:dyDescent="0.2">
      <c r="A106" t="s">
        <v>2091</v>
      </c>
      <c r="B106" s="5">
        <v>43800</v>
      </c>
      <c r="C106" s="9"/>
      <c r="D106" s="9">
        <v>1</v>
      </c>
      <c r="E106" s="9"/>
      <c r="F106" s="3"/>
      <c r="G106" s="3" t="s">
        <v>1816</v>
      </c>
      <c r="H106" s="17" t="s">
        <v>1846</v>
      </c>
      <c r="I106" s="17" t="s">
        <v>1847</v>
      </c>
      <c r="J10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106" s="8" t="s">
        <v>1850</v>
      </c>
      <c r="L106" s="2" t="s">
        <v>2097</v>
      </c>
      <c r="M106" s="35"/>
      <c r="N106" s="35">
        <v>43795</v>
      </c>
      <c r="O106" s="35" t="s">
        <v>1821</v>
      </c>
    </row>
    <row r="107" spans="1:16" hidden="1" x14ac:dyDescent="0.2">
      <c r="A107" t="s">
        <v>2005</v>
      </c>
      <c r="B107" s="5">
        <v>43802</v>
      </c>
      <c r="C107" s="9">
        <v>0</v>
      </c>
      <c r="D107" s="9">
        <v>0</v>
      </c>
      <c r="E107" s="9">
        <v>3</v>
      </c>
      <c r="F107" s="3" t="s">
        <v>202</v>
      </c>
      <c r="G107" s="3"/>
      <c r="H107" s="17" t="s">
        <v>406</v>
      </c>
      <c r="I107" s="17" t="s">
        <v>1293</v>
      </c>
      <c r="J10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107" s="8" t="s">
        <v>1565</v>
      </c>
      <c r="L107" s="2">
        <v>587895639</v>
      </c>
      <c r="M107" s="35">
        <v>43797.666666666664</v>
      </c>
      <c r="N107" s="35">
        <v>43798</v>
      </c>
      <c r="O107" s="35"/>
    </row>
    <row r="108" spans="1:16" hidden="1" x14ac:dyDescent="0.2">
      <c r="A108" t="s">
        <v>2006</v>
      </c>
      <c r="B108" s="5">
        <v>43802</v>
      </c>
      <c r="C108" s="9">
        <v>0</v>
      </c>
      <c r="D108" s="9">
        <v>0</v>
      </c>
      <c r="E108" s="9">
        <v>1</v>
      </c>
      <c r="F108" s="3" t="s">
        <v>202</v>
      </c>
      <c r="G108" s="3"/>
      <c r="H108" s="17" t="s">
        <v>406</v>
      </c>
      <c r="I108" s="17" t="s">
        <v>1293</v>
      </c>
      <c r="J10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108" s="8" t="s">
        <v>1566</v>
      </c>
      <c r="L108" s="2">
        <v>588429806</v>
      </c>
      <c r="M108" s="35">
        <v>43797.666666666664</v>
      </c>
      <c r="N108" s="35">
        <v>43797</v>
      </c>
      <c r="O108" s="35"/>
    </row>
    <row r="109" spans="1:16" hidden="1" x14ac:dyDescent="0.2">
      <c r="A109" t="s">
        <v>1766</v>
      </c>
      <c r="B109" s="5">
        <v>43802</v>
      </c>
      <c r="C109" s="9"/>
      <c r="D109" s="9">
        <v>1</v>
      </c>
      <c r="E109" s="9"/>
      <c r="F109" s="3"/>
      <c r="G109" s="3" t="s">
        <v>1803</v>
      </c>
      <c r="H109" s="17" t="s">
        <v>1930</v>
      </c>
      <c r="I109" s="17" t="s">
        <v>1931</v>
      </c>
      <c r="J10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109" s="8" t="s">
        <v>1932</v>
      </c>
      <c r="L109" s="2" t="s">
        <v>1933</v>
      </c>
      <c r="M109" s="35"/>
      <c r="N109" s="35">
        <v>43795</v>
      </c>
      <c r="O109" s="35" t="s">
        <v>1870</v>
      </c>
    </row>
    <row r="110" spans="1:16" hidden="1" x14ac:dyDescent="0.2">
      <c r="A110" t="s">
        <v>2009</v>
      </c>
      <c r="B110" s="5">
        <v>43803</v>
      </c>
      <c r="C110" s="9">
        <v>0</v>
      </c>
      <c r="D110" s="9">
        <v>1</v>
      </c>
      <c r="E110" s="9">
        <v>0</v>
      </c>
      <c r="F110" s="3" t="s">
        <v>193</v>
      </c>
      <c r="G110" s="3"/>
      <c r="H110" s="17" t="s">
        <v>827</v>
      </c>
      <c r="I110" s="17" t="s">
        <v>1458</v>
      </c>
      <c r="J11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110" s="8" t="s">
        <v>1467</v>
      </c>
      <c r="L110" s="2" t="s">
        <v>1462</v>
      </c>
      <c r="M110" s="35"/>
      <c r="N110" s="35"/>
      <c r="O110" s="35"/>
      <c r="P110" t="s">
        <v>1568</v>
      </c>
    </row>
    <row r="111" spans="1:16" hidden="1" x14ac:dyDescent="0.2">
      <c r="A111" t="s">
        <v>2011</v>
      </c>
      <c r="B111" s="5">
        <v>43803</v>
      </c>
      <c r="C111" s="9">
        <v>1</v>
      </c>
      <c r="D111" s="9">
        <v>0</v>
      </c>
      <c r="E111" s="9">
        <v>0</v>
      </c>
      <c r="F111" s="3" t="s">
        <v>205</v>
      </c>
      <c r="G111" s="3"/>
      <c r="H111" s="17" t="s">
        <v>346</v>
      </c>
      <c r="I111" s="17" t="s">
        <v>1342</v>
      </c>
      <c r="J11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111" s="8" t="s">
        <v>1392</v>
      </c>
      <c r="L111" s="2" t="s">
        <v>1573</v>
      </c>
      <c r="M111" s="35">
        <v>43799.5</v>
      </c>
      <c r="N111" s="35">
        <v>43798</v>
      </c>
      <c r="O111" s="35"/>
      <c r="P111" t="s">
        <v>1681</v>
      </c>
    </row>
    <row r="112" spans="1:16" hidden="1" x14ac:dyDescent="0.2">
      <c r="A112" t="s">
        <v>1768</v>
      </c>
      <c r="B112" s="5">
        <v>43803</v>
      </c>
      <c r="C112" s="9">
        <v>0</v>
      </c>
      <c r="D112" s="9">
        <v>0</v>
      </c>
      <c r="E112" s="9">
        <v>1</v>
      </c>
      <c r="F112" s="3" t="s">
        <v>192</v>
      </c>
      <c r="G112" s="3"/>
      <c r="H112" s="17" t="s">
        <v>1571</v>
      </c>
      <c r="I112" s="17" t="s">
        <v>1535</v>
      </c>
      <c r="J11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112" s="8" t="s">
        <v>1570</v>
      </c>
      <c r="L112" s="2" t="s">
        <v>1583</v>
      </c>
      <c r="M112" s="35">
        <v>43800.333333333336</v>
      </c>
      <c r="N112" s="35">
        <v>43798</v>
      </c>
      <c r="O112" s="35"/>
      <c r="P112" t="s">
        <v>1661</v>
      </c>
    </row>
    <row r="113" spans="1:16" hidden="1" x14ac:dyDescent="0.2">
      <c r="A113" t="s">
        <v>1771</v>
      </c>
      <c r="B113" s="5">
        <v>43803</v>
      </c>
      <c r="C113" s="9"/>
      <c r="D113" s="9">
        <v>2</v>
      </c>
      <c r="E113" s="9"/>
      <c r="F113" s="3"/>
      <c r="G113" s="3" t="s">
        <v>1792</v>
      </c>
      <c r="H113" s="17" t="s">
        <v>1571</v>
      </c>
      <c r="I113" s="17" t="s">
        <v>1535</v>
      </c>
      <c r="J11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113" s="8" t="s">
        <v>1892</v>
      </c>
      <c r="L113" s="2" t="s">
        <v>1893</v>
      </c>
      <c r="M113" s="35"/>
      <c r="N113" s="35">
        <v>43798</v>
      </c>
      <c r="O113" s="35" t="s">
        <v>1793</v>
      </c>
    </row>
    <row r="114" spans="1:16" hidden="1" x14ac:dyDescent="0.2">
      <c r="A114" t="s">
        <v>1773</v>
      </c>
      <c r="B114" s="5">
        <v>43803</v>
      </c>
      <c r="C114" s="9">
        <v>1</v>
      </c>
      <c r="D114" s="9">
        <v>1</v>
      </c>
      <c r="E114" s="9">
        <v>0</v>
      </c>
      <c r="F114" s="3" t="s">
        <v>1319</v>
      </c>
      <c r="G114" s="3"/>
      <c r="H114" s="17" t="s">
        <v>1488</v>
      </c>
      <c r="I114" s="17" t="s">
        <v>1293</v>
      </c>
      <c r="J11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114" s="8" t="s">
        <v>1572</v>
      </c>
      <c r="L114" s="2" t="s">
        <v>1585</v>
      </c>
      <c r="M114" s="35">
        <v>43799.5</v>
      </c>
      <c r="N114" s="35">
        <v>43798</v>
      </c>
      <c r="O114" s="35"/>
      <c r="P114" t="s">
        <v>1662</v>
      </c>
    </row>
    <row r="115" spans="1:16" hidden="1" x14ac:dyDescent="0.2">
      <c r="A115" t="s">
        <v>2005</v>
      </c>
      <c r="B115" s="5">
        <v>43807</v>
      </c>
      <c r="C115" s="9">
        <v>0</v>
      </c>
      <c r="D115" s="9">
        <v>0</v>
      </c>
      <c r="E115" s="9">
        <v>2</v>
      </c>
      <c r="F115" s="3" t="s">
        <v>202</v>
      </c>
      <c r="G115" s="3"/>
      <c r="H115" s="17" t="s">
        <v>405</v>
      </c>
      <c r="I115" s="17" t="s">
        <v>1294</v>
      </c>
      <c r="J11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115" s="8" t="s">
        <v>1688</v>
      </c>
      <c r="L115" s="16">
        <v>587895659</v>
      </c>
      <c r="M115" s="35">
        <v>43805.583333333336</v>
      </c>
      <c r="N115" s="35">
        <v>43805</v>
      </c>
      <c r="O115" s="35"/>
    </row>
    <row r="116" spans="1:16" hidden="1" x14ac:dyDescent="0.2">
      <c r="A116" t="s">
        <v>1769</v>
      </c>
      <c r="B116" s="5">
        <v>43807</v>
      </c>
      <c r="C116" s="9"/>
      <c r="D116" s="9">
        <v>21</v>
      </c>
      <c r="E116" s="9"/>
      <c r="F116" s="3"/>
      <c r="G116" s="3" t="s">
        <v>1816</v>
      </c>
      <c r="H116" s="17" t="s">
        <v>1859</v>
      </c>
      <c r="I116" s="17" t="s">
        <v>1860</v>
      </c>
      <c r="J11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116" s="8" t="s">
        <v>1861</v>
      </c>
      <c r="L116" s="2" t="s">
        <v>1862</v>
      </c>
      <c r="M116" s="35"/>
      <c r="N116" s="35">
        <v>43803</v>
      </c>
      <c r="O116" s="35" t="s">
        <v>1821</v>
      </c>
    </row>
    <row r="117" spans="1:16" hidden="1" x14ac:dyDescent="0.2">
      <c r="A117" t="s">
        <v>1996</v>
      </c>
      <c r="B117" s="5">
        <v>43809</v>
      </c>
      <c r="C117" s="9">
        <v>0</v>
      </c>
      <c r="D117" s="9">
        <v>0</v>
      </c>
      <c r="E117" s="9">
        <v>0</v>
      </c>
      <c r="F117" s="3" t="s">
        <v>641</v>
      </c>
      <c r="G117" s="3"/>
      <c r="H117" s="17" t="s">
        <v>1706</v>
      </c>
      <c r="I117" s="17" t="s">
        <v>1707</v>
      </c>
      <c r="J11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117" s="8" t="s">
        <v>1519</v>
      </c>
      <c r="L117" s="2" t="s">
        <v>1708</v>
      </c>
      <c r="M117" s="35">
        <v>43805.916666666664</v>
      </c>
      <c r="N117" s="35"/>
      <c r="O117" s="35"/>
      <c r="P117" t="s">
        <v>1621</v>
      </c>
    </row>
    <row r="118" spans="1:16" hidden="1" x14ac:dyDescent="0.2">
      <c r="A118" t="s">
        <v>1766</v>
      </c>
      <c r="B118" s="5">
        <v>43809</v>
      </c>
      <c r="C118" s="9">
        <v>1</v>
      </c>
      <c r="D118" s="9"/>
      <c r="E118" s="9"/>
      <c r="F118" s="3"/>
      <c r="G118" s="3" t="s">
        <v>1803</v>
      </c>
      <c r="H118" s="17" t="s">
        <v>1918</v>
      </c>
      <c r="I118" s="17" t="s">
        <v>1919</v>
      </c>
      <c r="J11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118" s="8" t="s">
        <v>1920</v>
      </c>
      <c r="L118" s="2" t="s">
        <v>1921</v>
      </c>
      <c r="M118" s="35"/>
      <c r="N118" s="35">
        <v>43802</v>
      </c>
      <c r="O118" s="35" t="s">
        <v>1870</v>
      </c>
    </row>
    <row r="119" spans="1:16" hidden="1" x14ac:dyDescent="0.2">
      <c r="A119" t="s">
        <v>2009</v>
      </c>
      <c r="B119" s="5">
        <v>43810</v>
      </c>
      <c r="C119" s="9">
        <v>0</v>
      </c>
      <c r="D119" s="9">
        <v>1</v>
      </c>
      <c r="E119" s="9">
        <v>0</v>
      </c>
      <c r="F119" s="3" t="s">
        <v>193</v>
      </c>
      <c r="G119" s="3"/>
      <c r="H119" s="17" t="s">
        <v>1021</v>
      </c>
      <c r="I119" s="17" t="s">
        <v>1459</v>
      </c>
      <c r="J11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119" s="8" t="s">
        <v>1666</v>
      </c>
      <c r="L119" s="2" t="s">
        <v>1463</v>
      </c>
      <c r="M119" s="35">
        <v>43806.916666666664</v>
      </c>
      <c r="N119" s="35">
        <v>43805</v>
      </c>
      <c r="O119" s="35"/>
      <c r="P119" t="s">
        <v>1692</v>
      </c>
    </row>
    <row r="120" spans="1:16" hidden="1" x14ac:dyDescent="0.2">
      <c r="A120" t="s">
        <v>1768</v>
      </c>
      <c r="B120" s="5">
        <v>43810</v>
      </c>
      <c r="C120" s="9">
        <v>1</v>
      </c>
      <c r="D120" s="9">
        <v>0</v>
      </c>
      <c r="E120" s="9">
        <v>0</v>
      </c>
      <c r="F120" s="3" t="s">
        <v>192</v>
      </c>
      <c r="G120" s="3"/>
      <c r="H120" s="17" t="s">
        <v>1629</v>
      </c>
      <c r="I120" s="17" t="s">
        <v>1630</v>
      </c>
      <c r="J12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120" s="8" t="s">
        <v>1634</v>
      </c>
      <c r="L120" s="2" t="s">
        <v>1631</v>
      </c>
      <c r="M120" s="35">
        <v>43806.916666666664</v>
      </c>
      <c r="N120" s="35">
        <v>43805</v>
      </c>
      <c r="O120" s="35"/>
      <c r="P120" t="s">
        <v>1724</v>
      </c>
    </row>
    <row r="121" spans="1:16" hidden="1" x14ac:dyDescent="0.2">
      <c r="A121" t="s">
        <v>1771</v>
      </c>
      <c r="B121" s="5">
        <v>43810</v>
      </c>
      <c r="C121" s="9"/>
      <c r="D121" s="9">
        <v>3</v>
      </c>
      <c r="E121" s="9"/>
      <c r="F121" s="3"/>
      <c r="G121" s="3" t="s">
        <v>1792</v>
      </c>
      <c r="H121" s="17" t="s">
        <v>1629</v>
      </c>
      <c r="I121" s="17" t="s">
        <v>1630</v>
      </c>
      <c r="J12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121" s="8" t="s">
        <v>1898</v>
      </c>
      <c r="L121" s="2" t="s">
        <v>1899</v>
      </c>
      <c r="M121" s="35">
        <v>43806.916666666664</v>
      </c>
      <c r="N121" s="35">
        <v>43807</v>
      </c>
      <c r="O121" s="35" t="s">
        <v>1793</v>
      </c>
    </row>
    <row r="122" spans="1:16" hidden="1" x14ac:dyDescent="0.2">
      <c r="A122" t="s">
        <v>2141</v>
      </c>
      <c r="B122" s="5">
        <v>43810</v>
      </c>
      <c r="C122" s="9">
        <v>0</v>
      </c>
      <c r="D122" s="9">
        <v>0</v>
      </c>
      <c r="E122" s="9">
        <v>0</v>
      </c>
      <c r="F122" s="3"/>
      <c r="G122" s="3"/>
      <c r="H122" s="17"/>
      <c r="I122" s="17"/>
      <c r="J12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22" s="8"/>
      <c r="L122" s="2"/>
      <c r="M122" s="35"/>
      <c r="N122" s="35"/>
      <c r="O122" s="35"/>
      <c r="P122" t="s">
        <v>2142</v>
      </c>
    </row>
    <row r="123" spans="1:16" hidden="1" x14ac:dyDescent="0.2">
      <c r="A123" t="s">
        <v>1770</v>
      </c>
      <c r="B123" s="5">
        <v>43814</v>
      </c>
      <c r="C123" s="9">
        <v>0</v>
      </c>
      <c r="D123" s="9">
        <v>19</v>
      </c>
      <c r="E123" s="9">
        <v>0</v>
      </c>
      <c r="F123" s="3" t="s">
        <v>1732</v>
      </c>
      <c r="G123" s="3"/>
      <c r="H123" s="17" t="s">
        <v>1740</v>
      </c>
      <c r="I123" s="17" t="s">
        <v>1741</v>
      </c>
      <c r="J12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123" s="8"/>
      <c r="L123" s="2" t="s">
        <v>1742</v>
      </c>
      <c r="M123" s="35">
        <v>43810.5</v>
      </c>
      <c r="N123" s="35">
        <v>43810</v>
      </c>
      <c r="O123" s="35"/>
    </row>
    <row r="124" spans="1:16" hidden="1" x14ac:dyDescent="0.2">
      <c r="A124" t="s">
        <v>1762</v>
      </c>
      <c r="B124" s="5">
        <v>43815</v>
      </c>
      <c r="C124" s="9">
        <v>0</v>
      </c>
      <c r="D124" s="9">
        <v>0</v>
      </c>
      <c r="E124" s="9">
        <v>3</v>
      </c>
      <c r="F124" s="3" t="s">
        <v>192</v>
      </c>
      <c r="G124" s="3" t="s">
        <v>2199</v>
      </c>
      <c r="H124" s="17" t="s">
        <v>1350</v>
      </c>
      <c r="I124" s="17" t="s">
        <v>1586</v>
      </c>
      <c r="J12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124" s="8" t="s">
        <v>1753</v>
      </c>
      <c r="L124" s="2" t="s">
        <v>2194</v>
      </c>
      <c r="M124" s="35">
        <v>43813.583333333336</v>
      </c>
      <c r="N124" s="35">
        <v>43812</v>
      </c>
      <c r="O124" s="35"/>
      <c r="P124" t="s">
        <v>1982</v>
      </c>
    </row>
    <row r="125" spans="1:16" hidden="1" x14ac:dyDescent="0.2">
      <c r="A125" t="s">
        <v>2005</v>
      </c>
      <c r="B125" s="5">
        <v>43816</v>
      </c>
      <c r="C125" s="9">
        <v>0</v>
      </c>
      <c r="D125" s="9">
        <v>0</v>
      </c>
      <c r="E125" s="9">
        <v>2</v>
      </c>
      <c r="F125" s="3" t="s">
        <v>202</v>
      </c>
      <c r="G125" s="3"/>
      <c r="H125" s="17" t="s">
        <v>341</v>
      </c>
      <c r="I125" s="17" t="s">
        <v>1295</v>
      </c>
      <c r="J12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ALBERT MAERSK 950E</v>
      </c>
      <c r="K125" s="8" t="s">
        <v>1777</v>
      </c>
      <c r="L125" s="2">
        <v>587895676</v>
      </c>
      <c r="M125" s="35"/>
      <c r="N125" s="35">
        <v>43812</v>
      </c>
      <c r="O125" s="35"/>
    </row>
    <row r="126" spans="1:16" hidden="1" x14ac:dyDescent="0.2">
      <c r="A126" t="s">
        <v>2004</v>
      </c>
      <c r="B126" s="5">
        <v>43816</v>
      </c>
      <c r="C126" s="9">
        <v>0</v>
      </c>
      <c r="D126" s="9">
        <v>0</v>
      </c>
      <c r="E126" s="9">
        <v>0</v>
      </c>
      <c r="F126" s="3" t="s">
        <v>1745</v>
      </c>
      <c r="G126" s="3"/>
      <c r="H126" s="17"/>
      <c r="I126" s="17"/>
      <c r="J12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26" s="8" t="s">
        <v>1746</v>
      </c>
      <c r="L126" s="2"/>
      <c r="M126" s="35"/>
      <c r="N126" s="35"/>
      <c r="O126" s="35"/>
      <c r="P126" t="s">
        <v>1959</v>
      </c>
    </row>
    <row r="127" spans="1:16" hidden="1" x14ac:dyDescent="0.2">
      <c r="A127" t="s">
        <v>1767</v>
      </c>
      <c r="B127" s="5">
        <v>43816</v>
      </c>
      <c r="C127" s="9">
        <v>0</v>
      </c>
      <c r="D127" s="9">
        <v>1</v>
      </c>
      <c r="E127" s="9">
        <v>0</v>
      </c>
      <c r="F127" s="3" t="s">
        <v>192</v>
      </c>
      <c r="G127" s="3"/>
      <c r="H127" s="17" t="s">
        <v>1737</v>
      </c>
      <c r="I127" s="17" t="s">
        <v>1738</v>
      </c>
      <c r="J12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127" s="8" t="s">
        <v>1937</v>
      </c>
      <c r="L127" s="2" t="s">
        <v>1739</v>
      </c>
      <c r="M127" s="35"/>
      <c r="N127" s="35">
        <v>43809</v>
      </c>
      <c r="O127" s="35"/>
      <c r="P127" t="s">
        <v>2192</v>
      </c>
    </row>
    <row r="128" spans="1:16" hidden="1" x14ac:dyDescent="0.2">
      <c r="A128" t="s">
        <v>1994</v>
      </c>
      <c r="B128" s="5">
        <v>43817</v>
      </c>
      <c r="C128" s="9">
        <v>1</v>
      </c>
      <c r="D128" s="9">
        <v>0</v>
      </c>
      <c r="E128" s="9">
        <v>0</v>
      </c>
      <c r="F128" s="3" t="s">
        <v>1642</v>
      </c>
      <c r="G128" s="3"/>
      <c r="H128" s="17" t="s">
        <v>1643</v>
      </c>
      <c r="I128" s="17" t="s">
        <v>1644</v>
      </c>
      <c r="J12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128" s="8" t="s">
        <v>1646</v>
      </c>
      <c r="L128" s="2" t="s">
        <v>1645</v>
      </c>
      <c r="M128" s="35"/>
      <c r="N128" s="35">
        <v>43815</v>
      </c>
      <c r="O128" s="35"/>
      <c r="P128" t="s">
        <v>2055</v>
      </c>
    </row>
    <row r="129" spans="1:16" hidden="1" x14ac:dyDescent="0.2">
      <c r="A129" t="s">
        <v>2009</v>
      </c>
      <c r="B129" s="5">
        <v>43817</v>
      </c>
      <c r="C129" s="9">
        <v>0</v>
      </c>
      <c r="D129" s="9">
        <v>1</v>
      </c>
      <c r="E129" s="9">
        <v>0</v>
      </c>
      <c r="F129" s="3" t="s">
        <v>193</v>
      </c>
      <c r="G129" s="3"/>
      <c r="H129" s="17" t="s">
        <v>1460</v>
      </c>
      <c r="I129" s="17" t="s">
        <v>1459</v>
      </c>
      <c r="J12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129" s="8" t="s">
        <v>1469</v>
      </c>
      <c r="L129" s="2" t="s">
        <v>1464</v>
      </c>
      <c r="M129" s="35"/>
      <c r="N129" s="35"/>
      <c r="O129" s="35"/>
      <c r="P129" t="s">
        <v>1743</v>
      </c>
    </row>
    <row r="130" spans="1:16" ht="156.75" hidden="1" x14ac:dyDescent="0.2">
      <c r="A130" t="s">
        <v>1765</v>
      </c>
      <c r="B130" s="5">
        <v>43817</v>
      </c>
      <c r="C130" s="9">
        <v>0</v>
      </c>
      <c r="D130" s="9">
        <v>1</v>
      </c>
      <c r="E130" s="9">
        <v>0</v>
      </c>
      <c r="F130" s="3" t="s">
        <v>1732</v>
      </c>
      <c r="G130" s="3"/>
      <c r="H130" s="17" t="s">
        <v>1734</v>
      </c>
      <c r="I130" s="17" t="s">
        <v>1735</v>
      </c>
      <c r="J13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130" s="8" t="s">
        <v>1957</v>
      </c>
      <c r="L130" s="2" t="s">
        <v>1736</v>
      </c>
      <c r="M130" s="35"/>
      <c r="N130" s="35">
        <v>43814</v>
      </c>
      <c r="O130" s="35"/>
      <c r="P130" s="59" t="s">
        <v>2189</v>
      </c>
    </row>
    <row r="131" spans="1:16" hidden="1" x14ac:dyDescent="0.2">
      <c r="A131" t="s">
        <v>1768</v>
      </c>
      <c r="B131" s="5">
        <v>43817</v>
      </c>
      <c r="C131" s="9">
        <v>1</v>
      </c>
      <c r="D131" s="9">
        <v>0</v>
      </c>
      <c r="E131" s="9">
        <v>0</v>
      </c>
      <c r="F131" s="3" t="s">
        <v>192</v>
      </c>
      <c r="G131" s="3"/>
      <c r="H131" s="17" t="s">
        <v>1710</v>
      </c>
      <c r="I131" s="17" t="s">
        <v>1711</v>
      </c>
      <c r="J13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131" s="8" t="s">
        <v>1757</v>
      </c>
      <c r="L131" s="2" t="s">
        <v>1709</v>
      </c>
      <c r="M131" s="35">
        <v>43814.416666666664</v>
      </c>
      <c r="N131" s="35">
        <v>43814</v>
      </c>
      <c r="O131" s="35"/>
      <c r="P131" t="s">
        <v>1775</v>
      </c>
    </row>
    <row r="132" spans="1:16" hidden="1" x14ac:dyDescent="0.2">
      <c r="A132" t="s">
        <v>1772</v>
      </c>
      <c r="B132" s="5">
        <v>43817</v>
      </c>
      <c r="C132" s="9">
        <v>1</v>
      </c>
      <c r="D132" s="9">
        <v>3</v>
      </c>
      <c r="E132" s="9">
        <v>0</v>
      </c>
      <c r="F132" s="3" t="s">
        <v>192</v>
      </c>
      <c r="G132" s="3" t="s">
        <v>1936</v>
      </c>
      <c r="H132" s="17" t="s">
        <v>1710</v>
      </c>
      <c r="I132" s="17" t="s">
        <v>1711</v>
      </c>
      <c r="J13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132" s="8" t="s">
        <v>1958</v>
      </c>
      <c r="L132" s="2" t="s">
        <v>1731</v>
      </c>
      <c r="M132" s="35"/>
      <c r="N132" s="35">
        <v>43814</v>
      </c>
      <c r="O132" s="35"/>
      <c r="P132" t="s">
        <v>1775</v>
      </c>
    </row>
    <row r="133" spans="1:16" hidden="1" x14ac:dyDescent="0.2">
      <c r="A133" t="s">
        <v>1773</v>
      </c>
      <c r="B133" s="5">
        <v>43817</v>
      </c>
      <c r="C133" s="9">
        <v>1</v>
      </c>
      <c r="D133" s="9">
        <v>1</v>
      </c>
      <c r="E133" s="9">
        <v>0</v>
      </c>
      <c r="F133" s="3" t="s">
        <v>1319</v>
      </c>
      <c r="G133" s="3"/>
      <c r="H133" s="17" t="s">
        <v>1721</v>
      </c>
      <c r="I133" s="17" t="s">
        <v>1295</v>
      </c>
      <c r="J13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133" s="8" t="s">
        <v>1756</v>
      </c>
      <c r="L133" s="2" t="s">
        <v>1722</v>
      </c>
      <c r="M133" s="35">
        <v>43813.416666666664</v>
      </c>
      <c r="N133" s="35">
        <v>43812</v>
      </c>
      <c r="O133" s="35" t="s">
        <v>1938</v>
      </c>
      <c r="P133" t="s">
        <v>1968</v>
      </c>
    </row>
    <row r="134" spans="1:16" hidden="1" x14ac:dyDescent="0.2">
      <c r="A134" t="s">
        <v>1761</v>
      </c>
      <c r="B134" s="5">
        <v>43818</v>
      </c>
      <c r="C134" s="9">
        <v>0</v>
      </c>
      <c r="D134" s="9">
        <v>1</v>
      </c>
      <c r="E134" s="9">
        <v>0</v>
      </c>
      <c r="F134" s="3" t="s">
        <v>312</v>
      </c>
      <c r="G134" s="3"/>
      <c r="H134" s="17" t="s">
        <v>1715</v>
      </c>
      <c r="I134" s="17" t="s">
        <v>1716</v>
      </c>
      <c r="J13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134" s="8" t="s">
        <v>1719</v>
      </c>
      <c r="L134" s="2" t="s">
        <v>1717</v>
      </c>
      <c r="M134" s="35">
        <v>43814.416666666664</v>
      </c>
      <c r="N134" s="35">
        <v>43815</v>
      </c>
      <c r="O134" s="35"/>
      <c r="P134" t="s">
        <v>972</v>
      </c>
    </row>
    <row r="135" spans="1:16" hidden="1" x14ac:dyDescent="0.2">
      <c r="A135" t="s">
        <v>1997</v>
      </c>
      <c r="B135" s="5">
        <v>43819</v>
      </c>
      <c r="C135" s="9">
        <v>0</v>
      </c>
      <c r="D135" s="9">
        <v>0</v>
      </c>
      <c r="E135" s="9">
        <v>0</v>
      </c>
      <c r="F135" s="3" t="s">
        <v>1960</v>
      </c>
      <c r="G135" s="3"/>
      <c r="H135" s="17" t="s">
        <v>681</v>
      </c>
      <c r="I135" s="17" t="s">
        <v>2024</v>
      </c>
      <c r="J13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135" s="8" t="s">
        <v>1962</v>
      </c>
      <c r="L135" s="2" t="s">
        <v>2082</v>
      </c>
      <c r="M135" s="35"/>
      <c r="N135" s="35"/>
      <c r="O135" s="35"/>
      <c r="P135" t="s">
        <v>2180</v>
      </c>
    </row>
    <row r="136" spans="1:16" hidden="1" x14ac:dyDescent="0.2">
      <c r="A136" t="s">
        <v>2003</v>
      </c>
      <c r="B136" s="5">
        <v>43819</v>
      </c>
      <c r="C136" s="9" t="s">
        <v>2179</v>
      </c>
      <c r="D136" s="9">
        <v>0</v>
      </c>
      <c r="E136" s="9">
        <v>0</v>
      </c>
      <c r="F136" s="3" t="s">
        <v>1942</v>
      </c>
      <c r="G136" s="3"/>
      <c r="H136" s="17"/>
      <c r="I136" s="17"/>
      <c r="J13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6" s="8"/>
      <c r="L136" s="2"/>
      <c r="M136" s="35"/>
      <c r="N136" s="35"/>
      <c r="O136" s="35"/>
      <c r="P136" t="s">
        <v>1954</v>
      </c>
    </row>
    <row r="137" spans="1:16" hidden="1" x14ac:dyDescent="0.2">
      <c r="A137" t="s">
        <v>2141</v>
      </c>
      <c r="B137" s="5">
        <v>43819</v>
      </c>
      <c r="C137" s="9">
        <v>0</v>
      </c>
      <c r="D137" s="9">
        <v>0</v>
      </c>
      <c r="E137" s="9">
        <v>0</v>
      </c>
      <c r="F137" s="3"/>
      <c r="G137" s="3"/>
      <c r="H137" s="17"/>
      <c r="I137" s="17"/>
      <c r="J13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7" s="8"/>
      <c r="L137" s="2"/>
      <c r="M137" s="35"/>
      <c r="N137" s="35"/>
      <c r="O137" s="35"/>
      <c r="P137" t="s">
        <v>2142</v>
      </c>
    </row>
    <row r="138" spans="1:16" hidden="1" x14ac:dyDescent="0.2">
      <c r="A138" t="s">
        <v>2141</v>
      </c>
      <c r="B138" s="5">
        <v>43819</v>
      </c>
      <c r="C138" s="9">
        <v>0</v>
      </c>
      <c r="D138" s="9">
        <v>0</v>
      </c>
      <c r="E138" s="9">
        <v>0</v>
      </c>
      <c r="F138" s="3"/>
      <c r="G138" s="3"/>
      <c r="H138" s="17"/>
      <c r="I138" s="17"/>
      <c r="J13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8" s="8"/>
      <c r="L138" s="2"/>
      <c r="M138" s="35"/>
      <c r="N138" s="35"/>
      <c r="O138" s="35"/>
      <c r="P138" t="s">
        <v>2143</v>
      </c>
    </row>
    <row r="139" spans="1:16" hidden="1" x14ac:dyDescent="0.2">
      <c r="A139" t="s">
        <v>2141</v>
      </c>
      <c r="B139" s="5">
        <v>43819</v>
      </c>
      <c r="C139" s="9">
        <v>0</v>
      </c>
      <c r="D139" s="9">
        <v>0</v>
      </c>
      <c r="E139" s="9">
        <v>0</v>
      </c>
      <c r="F139" s="3"/>
      <c r="G139" s="3"/>
      <c r="H139" s="17"/>
      <c r="I139" s="17"/>
      <c r="J13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39" s="8"/>
      <c r="L139" s="2"/>
      <c r="M139" s="35"/>
      <c r="N139" s="35"/>
      <c r="O139" s="35"/>
      <c r="P139" t="s">
        <v>2144</v>
      </c>
    </row>
    <row r="140" spans="1:16" hidden="1" x14ac:dyDescent="0.2">
      <c r="A140" t="s">
        <v>1769</v>
      </c>
      <c r="B140" s="5">
        <v>43821</v>
      </c>
      <c r="C140" s="9">
        <v>0</v>
      </c>
      <c r="D140" s="9">
        <v>22</v>
      </c>
      <c r="E140" s="9">
        <v>0</v>
      </c>
      <c r="F140" s="3" t="s">
        <v>1732</v>
      </c>
      <c r="G140" s="3" t="s">
        <v>1816</v>
      </c>
      <c r="H140" s="17" t="s">
        <v>1822</v>
      </c>
      <c r="I140" s="17" t="s">
        <v>1733</v>
      </c>
      <c r="J14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140" s="8" t="s">
        <v>1974</v>
      </c>
      <c r="L140" s="2" t="s">
        <v>2245</v>
      </c>
      <c r="M140" s="35">
        <v>43817.5</v>
      </c>
      <c r="N140" s="35">
        <v>43817</v>
      </c>
      <c r="O140" s="35" t="s">
        <v>1821</v>
      </c>
      <c r="P140" t="s">
        <v>2033</v>
      </c>
    </row>
    <row r="141" spans="1:16" hidden="1" x14ac:dyDescent="0.2">
      <c r="A141" t="s">
        <v>2091</v>
      </c>
      <c r="B141" s="5">
        <v>43821</v>
      </c>
      <c r="C141" s="9">
        <v>0</v>
      </c>
      <c r="D141" s="9">
        <v>1</v>
      </c>
      <c r="E141" s="9">
        <v>0</v>
      </c>
      <c r="F141" s="3" t="s">
        <v>1732</v>
      </c>
      <c r="G141" s="3"/>
      <c r="H141" s="17" t="s">
        <v>1952</v>
      </c>
      <c r="I141" s="17" t="s">
        <v>1733</v>
      </c>
      <c r="J14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141" s="8" t="s">
        <v>2026</v>
      </c>
      <c r="L141" s="2" t="s">
        <v>2092</v>
      </c>
      <c r="M141" s="35">
        <v>43817.5</v>
      </c>
      <c r="N141" s="35">
        <v>43816</v>
      </c>
      <c r="O141" s="35"/>
      <c r="P141" t="s">
        <v>1981</v>
      </c>
    </row>
    <row r="142" spans="1:16" hidden="1" x14ac:dyDescent="0.2">
      <c r="A142" t="s">
        <v>2005</v>
      </c>
      <c r="B142" s="5">
        <v>43823</v>
      </c>
      <c r="C142" s="9">
        <v>0</v>
      </c>
      <c r="D142" s="9">
        <v>0</v>
      </c>
      <c r="E142" s="9">
        <v>3</v>
      </c>
      <c r="F142" s="3" t="s">
        <v>202</v>
      </c>
      <c r="G142" s="3"/>
      <c r="H142" s="17" t="s">
        <v>455</v>
      </c>
      <c r="I142" s="17" t="s">
        <v>1680</v>
      </c>
      <c r="J14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142" s="8" t="s">
        <v>2046</v>
      </c>
      <c r="L142" s="2">
        <v>589113713</v>
      </c>
      <c r="M142" s="35">
        <v>43819.583333333336</v>
      </c>
      <c r="N142" s="35">
        <v>43819</v>
      </c>
      <c r="O142" s="35"/>
    </row>
    <row r="143" spans="1:16" hidden="1" x14ac:dyDescent="0.2">
      <c r="A143" t="s">
        <v>2004</v>
      </c>
      <c r="B143" s="5">
        <v>43823</v>
      </c>
      <c r="C143" s="9">
        <v>0</v>
      </c>
      <c r="D143" s="9">
        <v>0</v>
      </c>
      <c r="E143" s="9">
        <v>0</v>
      </c>
      <c r="F143" s="3" t="s">
        <v>2029</v>
      </c>
      <c r="G143" s="3"/>
      <c r="H143" s="17" t="s">
        <v>1706</v>
      </c>
      <c r="I143" s="17" t="s">
        <v>2176</v>
      </c>
      <c r="J14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8222E</v>
      </c>
      <c r="K143" s="8" t="s">
        <v>1746</v>
      </c>
      <c r="L143" s="2" t="s">
        <v>2230</v>
      </c>
      <c r="M143" s="35">
        <v>43819.875</v>
      </c>
      <c r="N143" s="35"/>
      <c r="O143" s="35"/>
      <c r="P143" t="s">
        <v>2241</v>
      </c>
    </row>
    <row r="144" spans="1:16" hidden="1" x14ac:dyDescent="0.2">
      <c r="A144" t="s">
        <v>2011</v>
      </c>
      <c r="B144" s="5">
        <v>43823</v>
      </c>
      <c r="C144" s="9">
        <v>1</v>
      </c>
      <c r="D144" s="9">
        <v>0</v>
      </c>
      <c r="E144" s="9">
        <v>0</v>
      </c>
      <c r="F144" s="3" t="s">
        <v>205</v>
      </c>
      <c r="G144" s="3"/>
      <c r="H144" s="17" t="s">
        <v>568</v>
      </c>
      <c r="I144" s="17" t="s">
        <v>1663</v>
      </c>
      <c r="J14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144" s="8" t="s">
        <v>1686</v>
      </c>
      <c r="L144" s="2" t="s">
        <v>1687</v>
      </c>
      <c r="M144" s="35">
        <v>43820.416666666664</v>
      </c>
      <c r="N144" s="35">
        <v>43819</v>
      </c>
      <c r="O144" s="35"/>
      <c r="P144" t="s">
        <v>2073</v>
      </c>
    </row>
    <row r="145" spans="1:16" hidden="1" x14ac:dyDescent="0.2">
      <c r="A145" t="s">
        <v>1763</v>
      </c>
      <c r="B145" s="5">
        <v>43823</v>
      </c>
      <c r="C145" s="9">
        <v>0</v>
      </c>
      <c r="D145" s="9">
        <v>1</v>
      </c>
      <c r="E145" s="9">
        <v>0</v>
      </c>
      <c r="F145" s="3" t="s">
        <v>192</v>
      </c>
      <c r="G145" s="3" t="s">
        <v>1803</v>
      </c>
      <c r="H145" s="17" t="s">
        <v>1637</v>
      </c>
      <c r="I145" s="17" t="s">
        <v>1638</v>
      </c>
      <c r="J14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145" s="8" t="s">
        <v>2043</v>
      </c>
      <c r="L145" s="2" t="s">
        <v>2057</v>
      </c>
      <c r="M145" s="35">
        <v>43818.458333333336</v>
      </c>
      <c r="N145" s="35">
        <v>43818</v>
      </c>
      <c r="O145" s="35" t="s">
        <v>1971</v>
      </c>
      <c r="P145" t="s">
        <v>2032</v>
      </c>
    </row>
    <row r="146" spans="1:16" hidden="1" x14ac:dyDescent="0.2">
      <c r="A146" t="s">
        <v>1767</v>
      </c>
      <c r="B146" s="5">
        <v>43823</v>
      </c>
      <c r="C146" s="9">
        <v>0</v>
      </c>
      <c r="D146" s="9">
        <v>1</v>
      </c>
      <c r="E146" s="9">
        <v>0</v>
      </c>
      <c r="F146" s="3" t="s">
        <v>192</v>
      </c>
      <c r="G146" s="3"/>
      <c r="H146" s="17" t="s">
        <v>1729</v>
      </c>
      <c r="I146" s="17" t="s">
        <v>1730</v>
      </c>
      <c r="J14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146" s="8" t="s">
        <v>2047</v>
      </c>
      <c r="L146" s="2" t="s">
        <v>2037</v>
      </c>
      <c r="M146" s="35">
        <v>43819.5</v>
      </c>
      <c r="N146" s="35"/>
      <c r="O146" s="35" t="s">
        <v>1870</v>
      </c>
      <c r="P146" t="s">
        <v>1981</v>
      </c>
    </row>
    <row r="147" spans="1:16" hidden="1" x14ac:dyDescent="0.2">
      <c r="A147" t="s">
        <v>2009</v>
      </c>
      <c r="B147" s="5">
        <v>43824</v>
      </c>
      <c r="C147" s="9">
        <v>0</v>
      </c>
      <c r="D147" s="9">
        <v>1</v>
      </c>
      <c r="E147" s="9">
        <v>0</v>
      </c>
      <c r="F147" s="3" t="s">
        <v>193</v>
      </c>
      <c r="G147" s="3"/>
      <c r="H147" s="17" t="s">
        <v>1461</v>
      </c>
      <c r="I147" s="17" t="s">
        <v>1458</v>
      </c>
      <c r="J14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147" s="8" t="s">
        <v>2086</v>
      </c>
      <c r="L147" s="2" t="s">
        <v>2048</v>
      </c>
      <c r="M147" s="35">
        <v>43820.958333333336</v>
      </c>
      <c r="N147" s="35">
        <v>43819</v>
      </c>
      <c r="O147" s="35"/>
      <c r="P147" t="s">
        <v>2233</v>
      </c>
    </row>
    <row r="148" spans="1:16" hidden="1" x14ac:dyDescent="0.2">
      <c r="A148" t="s">
        <v>1768</v>
      </c>
      <c r="B148" s="5">
        <v>43824</v>
      </c>
      <c r="C148" s="9">
        <v>1</v>
      </c>
      <c r="D148" s="9">
        <v>0</v>
      </c>
      <c r="E148" s="9">
        <v>0</v>
      </c>
      <c r="F148" s="3" t="s">
        <v>192</v>
      </c>
      <c r="G148" s="3"/>
      <c r="H148" s="17" t="s">
        <v>1875</v>
      </c>
      <c r="I148" s="17" t="s">
        <v>2041</v>
      </c>
      <c r="J14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148" s="8" t="s">
        <v>2078</v>
      </c>
      <c r="L148" s="2" t="s">
        <v>2040</v>
      </c>
      <c r="M148" s="35">
        <v>43821.25</v>
      </c>
      <c r="N148" s="35">
        <v>43821</v>
      </c>
      <c r="O148" s="35" t="s">
        <v>1793</v>
      </c>
      <c r="P148" t="s">
        <v>1946</v>
      </c>
    </row>
    <row r="149" spans="1:16" hidden="1" x14ac:dyDescent="0.2">
      <c r="A149" t="s">
        <v>1772</v>
      </c>
      <c r="B149" s="5">
        <v>43824</v>
      </c>
      <c r="C149" s="9">
        <v>0</v>
      </c>
      <c r="D149" s="9">
        <v>4</v>
      </c>
      <c r="E149" s="9">
        <v>0</v>
      </c>
      <c r="F149" s="3" t="s">
        <v>192</v>
      </c>
      <c r="G149" s="3"/>
      <c r="H149" s="17" t="s">
        <v>1875</v>
      </c>
      <c r="I149" s="17" t="s">
        <v>2041</v>
      </c>
      <c r="J14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149" s="8" t="s">
        <v>2088</v>
      </c>
      <c r="L149" s="2" t="s">
        <v>2042</v>
      </c>
      <c r="M149" s="35">
        <v>43821.25</v>
      </c>
      <c r="N149" s="35">
        <v>43821</v>
      </c>
      <c r="O149" s="35" t="s">
        <v>1964</v>
      </c>
      <c r="P149" t="s">
        <v>2031</v>
      </c>
    </row>
    <row r="150" spans="1:16" hidden="1" x14ac:dyDescent="0.2">
      <c r="A150" t="s">
        <v>1773</v>
      </c>
      <c r="B150" s="5">
        <v>43824</v>
      </c>
      <c r="C150" s="9">
        <v>1</v>
      </c>
      <c r="D150" s="9">
        <v>1</v>
      </c>
      <c r="E150" s="9">
        <v>0</v>
      </c>
      <c r="F150" s="3" t="s">
        <v>1319</v>
      </c>
      <c r="G150" s="3"/>
      <c r="H150" s="17" t="s">
        <v>1989</v>
      </c>
      <c r="I150" s="17" t="s">
        <v>1990</v>
      </c>
      <c r="J15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150" s="8" t="s">
        <v>1991</v>
      </c>
      <c r="L150" s="2" t="s">
        <v>2187</v>
      </c>
      <c r="M150" s="35">
        <v>43821.5</v>
      </c>
      <c r="N150" s="35">
        <v>43822</v>
      </c>
      <c r="O150" s="35" t="s">
        <v>1938</v>
      </c>
      <c r="P150" t="s">
        <v>2184</v>
      </c>
    </row>
    <row r="151" spans="1:16" hidden="1" x14ac:dyDescent="0.2">
      <c r="A151" s="4" t="s">
        <v>2002</v>
      </c>
      <c r="B151" s="5">
        <v>43830</v>
      </c>
      <c r="C151" s="9">
        <v>0</v>
      </c>
      <c r="D151" s="9">
        <v>0</v>
      </c>
      <c r="E151" s="9">
        <v>0</v>
      </c>
      <c r="F151" s="3" t="s">
        <v>641</v>
      </c>
      <c r="G151" s="3"/>
      <c r="H151" s="17"/>
      <c r="I151" s="17"/>
      <c r="J15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51" s="8" t="s">
        <v>2215</v>
      </c>
      <c r="L151" s="2"/>
      <c r="M151" s="35"/>
      <c r="N151" s="35"/>
      <c r="O151" s="35"/>
      <c r="P151" t="s">
        <v>2188</v>
      </c>
    </row>
    <row r="152" spans="1:16" hidden="1" x14ac:dyDescent="0.2">
      <c r="A152" t="s">
        <v>1770</v>
      </c>
      <c r="B152" s="5">
        <v>43828</v>
      </c>
      <c r="C152" s="9">
        <v>1</v>
      </c>
      <c r="D152" s="9">
        <v>17</v>
      </c>
      <c r="E152" s="9">
        <v>0</v>
      </c>
      <c r="F152" s="3" t="s">
        <v>1732</v>
      </c>
      <c r="G152" s="3"/>
      <c r="H152" s="17" t="s">
        <v>1855</v>
      </c>
      <c r="I152" s="17" t="s">
        <v>1741</v>
      </c>
      <c r="J15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152" s="8" t="s">
        <v>2212</v>
      </c>
      <c r="L152" s="2" t="s">
        <v>2039</v>
      </c>
      <c r="M152" s="35"/>
      <c r="N152" s="35"/>
      <c r="O152" s="35" t="s">
        <v>1821</v>
      </c>
      <c r="P152" t="s">
        <v>2213</v>
      </c>
    </row>
    <row r="153" spans="1:16" hidden="1" x14ac:dyDescent="0.2">
      <c r="A153" t="s">
        <v>1765</v>
      </c>
      <c r="B153" s="5">
        <v>43829</v>
      </c>
      <c r="C153" s="9">
        <v>0</v>
      </c>
      <c r="D153" s="9">
        <v>1</v>
      </c>
      <c r="E153" s="9">
        <v>0</v>
      </c>
      <c r="F153" s="3" t="s">
        <v>1732</v>
      </c>
      <c r="G153" s="3" t="s">
        <v>2065</v>
      </c>
      <c r="H153" s="17" t="s">
        <v>2027</v>
      </c>
      <c r="I153" s="17" t="s">
        <v>2028</v>
      </c>
      <c r="J15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952W</v>
      </c>
      <c r="K153" s="8" t="s">
        <v>2178</v>
      </c>
      <c r="L153" s="2">
        <v>589642867</v>
      </c>
      <c r="M153" s="35"/>
      <c r="N153" s="35">
        <v>43825</v>
      </c>
      <c r="O153" s="35" t="s">
        <v>1802</v>
      </c>
      <c r="P153" t="s">
        <v>1963</v>
      </c>
    </row>
    <row r="154" spans="1:16" hidden="1" x14ac:dyDescent="0.2">
      <c r="A154" t="s">
        <v>2005</v>
      </c>
      <c r="B154" s="5">
        <v>43830</v>
      </c>
      <c r="C154" s="9">
        <v>0</v>
      </c>
      <c r="D154" s="9">
        <v>0</v>
      </c>
      <c r="E154" s="9">
        <v>3</v>
      </c>
      <c r="F154" s="3" t="s">
        <v>202</v>
      </c>
      <c r="G154" s="3"/>
      <c r="H154" s="17" t="s">
        <v>2020</v>
      </c>
      <c r="I154" s="17" t="s">
        <v>2021</v>
      </c>
      <c r="J15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952E</v>
      </c>
      <c r="K154" s="8"/>
      <c r="L154" s="2">
        <v>589113719</v>
      </c>
      <c r="M154" s="35"/>
      <c r="N154" s="35">
        <v>43826</v>
      </c>
      <c r="O154" s="35"/>
    </row>
    <row r="155" spans="1:16" hidden="1" x14ac:dyDescent="0.2">
      <c r="A155" t="s">
        <v>1765</v>
      </c>
      <c r="B155" s="5">
        <v>43831</v>
      </c>
      <c r="C155" s="9">
        <v>0</v>
      </c>
      <c r="D155" s="9">
        <v>1</v>
      </c>
      <c r="E155" s="9">
        <v>0</v>
      </c>
      <c r="F155" s="3" t="s">
        <v>1732</v>
      </c>
      <c r="G155" s="3" t="s">
        <v>2104</v>
      </c>
      <c r="H155" s="17" t="s">
        <v>1851</v>
      </c>
      <c r="I155" s="17" t="s">
        <v>2103</v>
      </c>
      <c r="J15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014W</v>
      </c>
      <c r="K155" s="8" t="s">
        <v>2147</v>
      </c>
      <c r="L155" s="2" t="s">
        <v>2105</v>
      </c>
      <c r="M155" s="35"/>
      <c r="N155" s="35"/>
      <c r="O155" s="35" t="s">
        <v>1802</v>
      </c>
    </row>
    <row r="156" spans="1:16" hidden="1" x14ac:dyDescent="0.2">
      <c r="A156" t="s">
        <v>1773</v>
      </c>
      <c r="B156" s="5">
        <v>43831</v>
      </c>
      <c r="C156" s="9">
        <v>0</v>
      </c>
      <c r="D156" s="9">
        <v>1</v>
      </c>
      <c r="E156" s="9">
        <v>0</v>
      </c>
      <c r="F156" s="3"/>
      <c r="G156" s="3"/>
      <c r="H156" s="17"/>
      <c r="I156" s="17"/>
      <c r="J15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56" s="8"/>
      <c r="L156" s="2"/>
      <c r="M156" s="35"/>
      <c r="N156" s="35"/>
      <c r="O156" s="35"/>
    </row>
    <row r="157" spans="1:16" hidden="1" x14ac:dyDescent="0.2">
      <c r="A157" t="s">
        <v>1768</v>
      </c>
      <c r="B157" s="5">
        <v>43831</v>
      </c>
      <c r="C157" s="9">
        <v>1</v>
      </c>
      <c r="D157" s="9">
        <v>0</v>
      </c>
      <c r="E157" s="9">
        <v>3</v>
      </c>
      <c r="F157" s="3" t="s">
        <v>192</v>
      </c>
      <c r="G157" s="3"/>
      <c r="H157" s="17"/>
      <c r="I157" s="17"/>
      <c r="J15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57" s="8"/>
      <c r="L157" s="2"/>
      <c r="M157" s="35"/>
      <c r="N157" s="35"/>
      <c r="O157" s="35"/>
    </row>
    <row r="158" spans="1:16" hidden="1" x14ac:dyDescent="0.2">
      <c r="A158" t="s">
        <v>1772</v>
      </c>
      <c r="B158" s="5">
        <v>43831</v>
      </c>
      <c r="C158" s="9">
        <v>1</v>
      </c>
      <c r="D158" s="9">
        <v>3</v>
      </c>
      <c r="E158" s="9">
        <v>0</v>
      </c>
      <c r="F158" s="3" t="s">
        <v>192</v>
      </c>
      <c r="G158" s="3"/>
      <c r="H158" s="17"/>
      <c r="I158" s="17"/>
      <c r="J15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58" s="8"/>
      <c r="L158" s="2"/>
      <c r="M158" s="35"/>
      <c r="N158" s="35"/>
      <c r="O158" s="35"/>
    </row>
    <row r="159" spans="1:16" hidden="1" x14ac:dyDescent="0.2">
      <c r="A159" t="s">
        <v>2089</v>
      </c>
      <c r="B159" s="5">
        <v>43835</v>
      </c>
      <c r="C159" s="9">
        <v>1</v>
      </c>
      <c r="D159" s="9">
        <v>0</v>
      </c>
      <c r="E159" s="9">
        <v>0</v>
      </c>
      <c r="F159" s="3" t="s">
        <v>1732</v>
      </c>
      <c r="G159" s="3"/>
      <c r="H159" s="17" t="s">
        <v>1826</v>
      </c>
      <c r="I159" s="17" t="s">
        <v>1733</v>
      </c>
      <c r="J15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159" s="8"/>
      <c r="L159" s="2" t="s">
        <v>2090</v>
      </c>
      <c r="M159" s="35"/>
      <c r="N159" s="35"/>
      <c r="O159" s="35" t="s">
        <v>2128</v>
      </c>
    </row>
    <row r="160" spans="1:16" hidden="1" x14ac:dyDescent="0.2">
      <c r="A160" t="s">
        <v>2005</v>
      </c>
      <c r="B160" s="5">
        <v>43837</v>
      </c>
      <c r="C160" s="9">
        <v>0</v>
      </c>
      <c r="D160" s="9">
        <v>0</v>
      </c>
      <c r="E160" s="9">
        <v>3</v>
      </c>
      <c r="F160" s="3" t="s">
        <v>202</v>
      </c>
      <c r="G160" s="3"/>
      <c r="H160" s="17" t="s">
        <v>1656</v>
      </c>
      <c r="I160" s="17" t="s">
        <v>1657</v>
      </c>
      <c r="J16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160" s="8"/>
      <c r="L160" s="2"/>
      <c r="M160" s="35"/>
      <c r="N160" s="35"/>
      <c r="O160" s="35"/>
      <c r="P160" t="s">
        <v>1705</v>
      </c>
    </row>
    <row r="161" spans="1:16" hidden="1" x14ac:dyDescent="0.2">
      <c r="A161" t="s">
        <v>2011</v>
      </c>
      <c r="B161" s="5">
        <v>43837</v>
      </c>
      <c r="C161" s="9">
        <v>1</v>
      </c>
      <c r="D161" s="9">
        <v>0</v>
      </c>
      <c r="E161" s="9">
        <v>0</v>
      </c>
      <c r="F161" s="3" t="s">
        <v>205</v>
      </c>
      <c r="G161" s="3"/>
      <c r="H161" s="17"/>
      <c r="I161" s="17"/>
      <c r="J16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61" s="8"/>
      <c r="L161" s="2"/>
      <c r="M161" s="35"/>
      <c r="N161" s="35"/>
      <c r="O161" s="35"/>
    </row>
    <row r="162" spans="1:16" hidden="1" x14ac:dyDescent="0.2">
      <c r="A162" t="s">
        <v>1767</v>
      </c>
      <c r="B162" s="5">
        <v>43837</v>
      </c>
      <c r="C162" s="9">
        <v>1</v>
      </c>
      <c r="D162" s="9">
        <v>0</v>
      </c>
      <c r="E162" s="9">
        <v>0</v>
      </c>
      <c r="F162" s="3" t="s">
        <v>192</v>
      </c>
      <c r="G162" s="3"/>
      <c r="H162" s="17"/>
      <c r="I162" s="17"/>
      <c r="J16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62" s="8"/>
      <c r="L162" s="2"/>
      <c r="M162" s="35"/>
      <c r="N162" s="35"/>
      <c r="O162" s="35"/>
    </row>
    <row r="163" spans="1:16" hidden="1" x14ac:dyDescent="0.2">
      <c r="A163" t="s">
        <v>2006</v>
      </c>
      <c r="B163" s="5">
        <v>43842</v>
      </c>
      <c r="C163" s="9">
        <v>0</v>
      </c>
      <c r="D163" s="9">
        <v>0</v>
      </c>
      <c r="E163" s="9">
        <v>1</v>
      </c>
      <c r="F163" s="3" t="s">
        <v>202</v>
      </c>
      <c r="G163" s="3"/>
      <c r="H163" s="17" t="s">
        <v>2119</v>
      </c>
      <c r="I163" s="17" t="s">
        <v>1658</v>
      </c>
      <c r="J163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163" s="8"/>
      <c r="L163" s="2">
        <v>589942440</v>
      </c>
      <c r="M163" s="35"/>
      <c r="N163" s="35">
        <v>43839</v>
      </c>
      <c r="O163" s="35"/>
    </row>
    <row r="164" spans="1:16" hidden="1" x14ac:dyDescent="0.2">
      <c r="A164" t="s">
        <v>2005</v>
      </c>
      <c r="B164" s="5">
        <v>43844</v>
      </c>
      <c r="C164" s="9">
        <v>0</v>
      </c>
      <c r="D164" s="9">
        <v>0</v>
      </c>
      <c r="E164" s="9">
        <v>1</v>
      </c>
      <c r="F164" s="3" t="s">
        <v>202</v>
      </c>
      <c r="G164" s="3"/>
      <c r="H164" s="17" t="s">
        <v>751</v>
      </c>
      <c r="I164" s="17" t="s">
        <v>1658</v>
      </c>
      <c r="J164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164" s="8"/>
      <c r="L164" s="2"/>
      <c r="M164" s="35"/>
      <c r="N164" s="35"/>
      <c r="O164" s="35"/>
      <c r="P164" t="s">
        <v>1705</v>
      </c>
    </row>
    <row r="165" spans="1:16" hidden="1" x14ac:dyDescent="0.2">
      <c r="A165" t="s">
        <v>2005</v>
      </c>
      <c r="B165" s="5">
        <v>43851</v>
      </c>
      <c r="C165" s="9">
        <v>0</v>
      </c>
      <c r="D165" s="9">
        <v>0</v>
      </c>
      <c r="E165" s="9">
        <v>3</v>
      </c>
      <c r="F165" s="3" t="s">
        <v>202</v>
      </c>
      <c r="G165" s="3"/>
      <c r="H165" s="17" t="s">
        <v>311</v>
      </c>
      <c r="I165" s="17" t="s">
        <v>2112</v>
      </c>
      <c r="J165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003E</v>
      </c>
      <c r="K165" s="8"/>
      <c r="L165" s="2"/>
      <c r="M165" s="35"/>
      <c r="N165" s="35"/>
      <c r="O165" s="35"/>
    </row>
    <row r="166" spans="1:16" hidden="1" x14ac:dyDescent="0.2">
      <c r="A166" t="s">
        <v>2005</v>
      </c>
      <c r="B166" s="5">
        <v>43858</v>
      </c>
      <c r="C166" s="9">
        <v>0</v>
      </c>
      <c r="D166" s="9">
        <v>0</v>
      </c>
      <c r="E166" s="9">
        <v>2</v>
      </c>
      <c r="F166" s="3" t="s">
        <v>202</v>
      </c>
      <c r="G166" s="3"/>
      <c r="H166" s="17" t="s">
        <v>372</v>
      </c>
      <c r="I166" s="17" t="s">
        <v>2113</v>
      </c>
      <c r="J166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004E</v>
      </c>
      <c r="K166" s="8"/>
      <c r="L166" s="2"/>
      <c r="M166" s="35"/>
      <c r="N166" s="35"/>
      <c r="O166" s="35"/>
    </row>
    <row r="167" spans="1:16" hidden="1" x14ac:dyDescent="0.2">
      <c r="A167" t="s">
        <v>2005</v>
      </c>
      <c r="B167" s="5">
        <v>43865</v>
      </c>
      <c r="C167" s="9">
        <v>0</v>
      </c>
      <c r="D167" s="9">
        <v>0</v>
      </c>
      <c r="E167" s="9">
        <v>2</v>
      </c>
      <c r="F167" s="3" t="s">
        <v>202</v>
      </c>
      <c r="G167" s="3"/>
      <c r="H167" s="17" t="s">
        <v>409</v>
      </c>
      <c r="I167" s="17" t="s">
        <v>2114</v>
      </c>
      <c r="J167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005E</v>
      </c>
      <c r="K167" s="8"/>
      <c r="L167" s="2"/>
      <c r="M167" s="35"/>
      <c r="N167" s="35"/>
      <c r="O167" s="35"/>
    </row>
    <row r="168" spans="1:16" hidden="1" x14ac:dyDescent="0.2">
      <c r="A168" t="s">
        <v>2005</v>
      </c>
      <c r="B168" s="5">
        <v>43872</v>
      </c>
      <c r="C168" s="9">
        <v>0</v>
      </c>
      <c r="D168" s="9">
        <v>0</v>
      </c>
      <c r="E168" s="9">
        <v>2</v>
      </c>
      <c r="F168" s="3" t="s">
        <v>202</v>
      </c>
      <c r="G168" s="3"/>
      <c r="H168" s="17" t="s">
        <v>408</v>
      </c>
      <c r="I168" s="17" t="s">
        <v>2115</v>
      </c>
      <c r="J168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006E</v>
      </c>
      <c r="K168" s="8"/>
      <c r="L168" s="2"/>
      <c r="M168" s="35"/>
      <c r="N168" s="35"/>
      <c r="O168" s="35"/>
    </row>
    <row r="169" spans="1:16" hidden="1" x14ac:dyDescent="0.2">
      <c r="A169" t="s">
        <v>1770</v>
      </c>
      <c r="B169" s="5">
        <v>43835</v>
      </c>
      <c r="C169" s="9">
        <v>1</v>
      </c>
      <c r="D169" s="9">
        <v>20</v>
      </c>
      <c r="E169" s="9">
        <v>0</v>
      </c>
      <c r="F169" s="3" t="s">
        <v>1732</v>
      </c>
      <c r="G169" s="3"/>
      <c r="H169" s="17"/>
      <c r="I169" s="17"/>
      <c r="J169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69" s="8"/>
      <c r="L169" s="2"/>
      <c r="M169" s="35"/>
      <c r="N169" s="35"/>
      <c r="O169" s="35"/>
      <c r="P169" t="s">
        <v>2200</v>
      </c>
    </row>
    <row r="170" spans="1:16" hidden="1" x14ac:dyDescent="0.2">
      <c r="A170" t="s">
        <v>2203</v>
      </c>
      <c r="B170" s="5">
        <v>43837</v>
      </c>
      <c r="C170" s="9">
        <v>1</v>
      </c>
      <c r="D170" s="9">
        <v>0</v>
      </c>
      <c r="E170" s="9">
        <v>0</v>
      </c>
      <c r="F170" s="3"/>
      <c r="G170" s="3"/>
      <c r="H170" s="17"/>
      <c r="I170" s="17"/>
      <c r="J170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70" s="8"/>
      <c r="L170" s="2"/>
      <c r="M170" s="35"/>
      <c r="N170" s="35"/>
      <c r="O170" s="35"/>
      <c r="P170" t="s">
        <v>2204</v>
      </c>
    </row>
    <row r="171" spans="1:16" hidden="1" x14ac:dyDescent="0.2">
      <c r="A171" t="s">
        <v>1996</v>
      </c>
      <c r="B171" s="5">
        <v>43837</v>
      </c>
      <c r="C171" s="9">
        <v>0</v>
      </c>
      <c r="D171" s="9">
        <v>0</v>
      </c>
      <c r="E171" s="9">
        <v>0</v>
      </c>
      <c r="F171" s="3" t="s">
        <v>641</v>
      </c>
      <c r="G171" s="3"/>
      <c r="H171" s="17"/>
      <c r="I171" s="17"/>
      <c r="J171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71" s="8" t="s">
        <v>2214</v>
      </c>
      <c r="L171" s="2"/>
      <c r="M171" s="35"/>
      <c r="N171" s="35"/>
      <c r="O171" s="35"/>
      <c r="P171" t="s">
        <v>2228</v>
      </c>
    </row>
    <row r="172" spans="1:16" x14ac:dyDescent="0.2">
      <c r="A172" t="s">
        <v>2249</v>
      </c>
      <c r="B172" s="5">
        <v>44194</v>
      </c>
      <c r="C172" s="9">
        <v>0</v>
      </c>
      <c r="D172" s="9">
        <v>0</v>
      </c>
      <c r="E172" s="9">
        <v>0</v>
      </c>
      <c r="F172" s="3" t="s">
        <v>641</v>
      </c>
      <c r="G172" s="3"/>
      <c r="H172" s="17"/>
      <c r="I172" s="17"/>
      <c r="J172" s="62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172" s="8" t="s">
        <v>2255</v>
      </c>
      <c r="L172" s="2"/>
      <c r="M172" s="35"/>
      <c r="N172" s="35"/>
      <c r="O172" s="35"/>
      <c r="P172" t="s">
        <v>2256</v>
      </c>
    </row>
  </sheetData>
  <phoneticPr fontId="1" type="noConversion"/>
  <conditionalFormatting sqref="C2:E172">
    <cfRule type="containsBlanks" dxfId="64" priority="7">
      <formula>LEN(TRIM(C2))=0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75"/>
  <sheetViews>
    <sheetView tabSelected="1" workbookViewId="0">
      <pane xSplit="1" ySplit="5" topLeftCell="B51" activePane="bottomRight" state="frozen"/>
      <selection pane="topRight" activeCell="B1" sqref="B1"/>
      <selection pane="bottomLeft" activeCell="A5" sqref="A5"/>
      <selection pane="bottomRight" activeCell="L25" sqref="L25"/>
    </sheetView>
  </sheetViews>
  <sheetFormatPr defaultColWidth="8" defaultRowHeight="14.25" x14ac:dyDescent="0.2"/>
  <cols>
    <col min="1" max="1" width="21.125" bestFit="1" customWidth="1"/>
    <col min="2" max="10" width="11.625" bestFit="1" customWidth="1"/>
    <col min="11" max="16" width="9.5" bestFit="1" customWidth="1"/>
    <col min="17" max="19" width="10.5" bestFit="1" customWidth="1"/>
    <col min="20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7" x14ac:dyDescent="0.2">
      <c r="A1" s="1" t="s">
        <v>88</v>
      </c>
      <c r="B1" t="s">
        <v>85</v>
      </c>
    </row>
    <row r="2" spans="1:7" x14ac:dyDescent="0.2">
      <c r="A2" s="1" t="s">
        <v>281</v>
      </c>
      <c r="B2" t="s">
        <v>532</v>
      </c>
      <c r="C2" s="6" t="s">
        <v>155</v>
      </c>
      <c r="D2" s="6" t="s">
        <v>163</v>
      </c>
      <c r="E2" s="6" t="s">
        <v>156</v>
      </c>
      <c r="F2" s="6" t="s">
        <v>481</v>
      </c>
    </row>
    <row r="4" spans="1:7" x14ac:dyDescent="0.2">
      <c r="A4" s="1" t="s">
        <v>84</v>
      </c>
      <c r="B4" s="1" t="s">
        <v>72</v>
      </c>
    </row>
    <row r="5" spans="1:7" x14ac:dyDescent="0.2">
      <c r="A5" s="1" t="s">
        <v>136</v>
      </c>
      <c r="B5" s="57">
        <v>43822</v>
      </c>
      <c r="C5" s="57">
        <v>43823</v>
      </c>
      <c r="D5" s="57">
        <v>43824</v>
      </c>
      <c r="E5" s="57">
        <v>43825</v>
      </c>
      <c r="F5" s="57">
        <v>43826</v>
      </c>
      <c r="G5" s="57">
        <v>43827</v>
      </c>
    </row>
    <row r="6" spans="1:7" x14ac:dyDescent="0.2">
      <c r="A6" s="2" t="s">
        <v>2008</v>
      </c>
      <c r="B6" s="3"/>
      <c r="C6" s="3"/>
      <c r="D6" s="3"/>
      <c r="E6" s="3"/>
      <c r="F6" s="3"/>
      <c r="G6" s="3"/>
    </row>
    <row r="7" spans="1:7" x14ac:dyDescent="0.2">
      <c r="A7" s="58">
        <v>43816</v>
      </c>
      <c r="B7" s="3"/>
      <c r="C7" s="3">
        <v>2</v>
      </c>
      <c r="D7" s="3"/>
      <c r="E7" s="3"/>
      <c r="F7" s="3">
        <v>1</v>
      </c>
      <c r="G7" s="3"/>
    </row>
    <row r="8" spans="1:7" x14ac:dyDescent="0.2">
      <c r="A8" s="58">
        <v>43823</v>
      </c>
      <c r="B8" s="3"/>
      <c r="C8" s="3">
        <v>1</v>
      </c>
      <c r="D8" s="3"/>
      <c r="E8" s="3"/>
      <c r="F8" s="3">
        <v>1</v>
      </c>
      <c r="G8" s="3"/>
    </row>
    <row r="9" spans="1:7" x14ac:dyDescent="0.2">
      <c r="A9" s="58">
        <v>43830</v>
      </c>
      <c r="B9" s="3"/>
      <c r="C9" s="3"/>
      <c r="D9" s="3">
        <v>1</v>
      </c>
      <c r="E9" s="3">
        <v>5</v>
      </c>
      <c r="F9" s="3"/>
      <c r="G9" s="3"/>
    </row>
    <row r="10" spans="1:7" x14ac:dyDescent="0.2">
      <c r="A10" s="58">
        <v>43851</v>
      </c>
      <c r="B10" s="3">
        <v>1</v>
      </c>
      <c r="C10" s="3"/>
      <c r="D10" s="3"/>
      <c r="E10" s="3"/>
      <c r="F10" s="3"/>
      <c r="G10" s="3"/>
    </row>
    <row r="11" spans="1:7" x14ac:dyDescent="0.2">
      <c r="A11" s="58">
        <v>43858</v>
      </c>
      <c r="B11" s="3">
        <v>1</v>
      </c>
      <c r="C11" s="3"/>
      <c r="D11" s="3"/>
      <c r="E11" s="3"/>
      <c r="F11" s="3"/>
      <c r="G11" s="3"/>
    </row>
    <row r="12" spans="1:7" x14ac:dyDescent="0.2">
      <c r="A12" s="58">
        <v>43865</v>
      </c>
      <c r="B12" s="3">
        <v>1</v>
      </c>
      <c r="C12" s="3"/>
      <c r="D12" s="3"/>
      <c r="E12" s="3"/>
      <c r="F12" s="3"/>
      <c r="G12" s="3"/>
    </row>
    <row r="13" spans="1:7" x14ac:dyDescent="0.2">
      <c r="A13" s="58">
        <v>43872</v>
      </c>
      <c r="B13" s="3">
        <v>1</v>
      </c>
      <c r="C13" s="3"/>
      <c r="D13" s="3"/>
      <c r="E13" s="3"/>
      <c r="F13" s="3"/>
      <c r="G13" s="3"/>
    </row>
    <row r="14" spans="1:7" x14ac:dyDescent="0.2">
      <c r="A14" s="2" t="s">
        <v>2219</v>
      </c>
      <c r="B14" s="3"/>
      <c r="C14" s="3"/>
      <c r="D14" s="3"/>
      <c r="E14" s="3"/>
      <c r="F14" s="3"/>
      <c r="G14" s="3"/>
    </row>
    <row r="15" spans="1:7" x14ac:dyDescent="0.2">
      <c r="A15" s="58">
        <v>43842</v>
      </c>
      <c r="B15" s="3"/>
      <c r="C15" s="3">
        <v>1</v>
      </c>
      <c r="D15" s="3"/>
      <c r="E15" s="3"/>
      <c r="F15" s="3"/>
      <c r="G15" s="3">
        <v>1</v>
      </c>
    </row>
    <row r="16" spans="1:7" x14ac:dyDescent="0.2">
      <c r="A16" s="2" t="s">
        <v>2220</v>
      </c>
      <c r="B16" s="3"/>
      <c r="C16" s="3"/>
      <c r="D16" s="3"/>
      <c r="E16" s="3"/>
      <c r="F16" s="3"/>
      <c r="G16" s="3"/>
    </row>
    <row r="17" spans="1:7" x14ac:dyDescent="0.2">
      <c r="A17" s="58">
        <v>43831</v>
      </c>
      <c r="B17" s="3"/>
      <c r="C17" s="3">
        <v>1</v>
      </c>
      <c r="D17" s="3"/>
      <c r="E17" s="3">
        <v>2</v>
      </c>
      <c r="F17" s="3">
        <v>1</v>
      </c>
      <c r="G17" s="3"/>
    </row>
    <row r="18" spans="1:7" x14ac:dyDescent="0.2">
      <c r="A18" s="2" t="s">
        <v>2221</v>
      </c>
      <c r="B18" s="3"/>
      <c r="C18" s="3"/>
      <c r="D18" s="3"/>
      <c r="E18" s="3"/>
      <c r="F18" s="3"/>
      <c r="G18" s="3"/>
    </row>
    <row r="19" spans="1:7" x14ac:dyDescent="0.2">
      <c r="A19" s="58">
        <v>43831</v>
      </c>
      <c r="B19" s="3"/>
      <c r="C19" s="3">
        <v>1</v>
      </c>
      <c r="D19" s="3"/>
      <c r="E19" s="3">
        <v>2</v>
      </c>
      <c r="F19" s="3">
        <v>3</v>
      </c>
      <c r="G19" s="3">
        <v>1</v>
      </c>
    </row>
    <row r="20" spans="1:7" x14ac:dyDescent="0.2">
      <c r="A20" s="2" t="s">
        <v>2222</v>
      </c>
      <c r="B20" s="3"/>
      <c r="C20" s="3"/>
      <c r="D20" s="3"/>
      <c r="E20" s="3"/>
      <c r="F20" s="3"/>
      <c r="G20" s="3"/>
    </row>
    <row r="21" spans="1:7" x14ac:dyDescent="0.2">
      <c r="A21" s="58">
        <v>43817</v>
      </c>
      <c r="B21" s="3"/>
      <c r="C21" s="3">
        <v>1</v>
      </c>
      <c r="D21" s="3"/>
      <c r="E21" s="3"/>
      <c r="F21" s="3"/>
      <c r="G21" s="3"/>
    </row>
    <row r="22" spans="1:7" x14ac:dyDescent="0.2">
      <c r="A22" s="2" t="s">
        <v>2223</v>
      </c>
      <c r="B22" s="3"/>
      <c r="C22" s="3"/>
      <c r="D22" s="3"/>
      <c r="E22" s="3"/>
      <c r="F22" s="3"/>
      <c r="G22" s="3"/>
    </row>
    <row r="23" spans="1:7" x14ac:dyDescent="0.2">
      <c r="A23" s="58">
        <v>43819</v>
      </c>
      <c r="B23" s="3"/>
      <c r="C23" s="3">
        <v>1</v>
      </c>
      <c r="D23" s="3">
        <v>2</v>
      </c>
      <c r="E23" s="3"/>
      <c r="F23" s="3"/>
      <c r="G23" s="3"/>
    </row>
    <row r="24" spans="1:7" x14ac:dyDescent="0.2">
      <c r="A24" s="2" t="s">
        <v>2224</v>
      </c>
      <c r="B24" s="3"/>
      <c r="C24" s="3"/>
      <c r="D24" s="3"/>
      <c r="E24" s="3"/>
      <c r="F24" s="3"/>
      <c r="G24" s="3"/>
    </row>
    <row r="25" spans="1:7" x14ac:dyDescent="0.2">
      <c r="A25" s="58">
        <v>43837</v>
      </c>
      <c r="B25" s="3"/>
      <c r="C25" s="3">
        <v>1</v>
      </c>
      <c r="D25" s="3"/>
      <c r="E25" s="3"/>
      <c r="F25" s="3"/>
      <c r="G25" s="3"/>
    </row>
    <row r="26" spans="1:7" x14ac:dyDescent="0.2">
      <c r="A26" s="2" t="s">
        <v>2248</v>
      </c>
      <c r="B26" s="3"/>
      <c r="C26" s="3"/>
      <c r="D26" s="3"/>
      <c r="E26" s="3"/>
      <c r="F26" s="3"/>
      <c r="G26" s="3"/>
    </row>
    <row r="27" spans="1:7" x14ac:dyDescent="0.2">
      <c r="A27" s="58">
        <v>44194</v>
      </c>
      <c r="B27" s="3"/>
      <c r="C27" s="3"/>
      <c r="D27" s="3">
        <v>2</v>
      </c>
      <c r="E27" s="3">
        <v>3</v>
      </c>
      <c r="F27" s="3"/>
      <c r="G27" s="3"/>
    </row>
    <row r="28" spans="1:7" x14ac:dyDescent="0.2">
      <c r="A28" s="2" t="s">
        <v>2098</v>
      </c>
      <c r="B28" s="3"/>
      <c r="C28" s="3"/>
      <c r="D28" s="3"/>
      <c r="E28" s="3"/>
      <c r="F28" s="3"/>
      <c r="G28" s="3"/>
    </row>
    <row r="29" spans="1:7" x14ac:dyDescent="0.2">
      <c r="A29" s="58">
        <v>43830</v>
      </c>
      <c r="B29" s="3"/>
      <c r="C29" s="3"/>
      <c r="D29" s="3"/>
      <c r="E29" s="3">
        <v>4</v>
      </c>
      <c r="F29" s="3"/>
      <c r="G29" s="3"/>
    </row>
    <row r="30" spans="1:7" x14ac:dyDescent="0.2">
      <c r="A30" s="2" t="s">
        <v>2035</v>
      </c>
      <c r="B30" s="3"/>
      <c r="C30" s="3"/>
      <c r="D30" s="3"/>
      <c r="E30" s="3"/>
      <c r="F30" s="3"/>
      <c r="G30" s="3"/>
    </row>
    <row r="31" spans="1:7" x14ac:dyDescent="0.2">
      <c r="A31" s="58">
        <v>43823</v>
      </c>
      <c r="B31" s="3"/>
      <c r="C31" s="3"/>
      <c r="D31" s="3">
        <v>2</v>
      </c>
      <c r="E31" s="3"/>
      <c r="F31" s="3"/>
      <c r="G31" s="3"/>
    </row>
    <row r="32" spans="1:7" x14ac:dyDescent="0.2">
      <c r="A32" s="2" t="s">
        <v>2066</v>
      </c>
      <c r="B32" s="3"/>
      <c r="C32" s="3"/>
      <c r="D32" s="3"/>
      <c r="E32" s="3"/>
      <c r="F32" s="3"/>
      <c r="G32" s="3"/>
    </row>
    <row r="33" spans="1:7" x14ac:dyDescent="0.2">
      <c r="A33" s="58">
        <v>43810</v>
      </c>
      <c r="B33" s="3"/>
      <c r="C33" s="3">
        <v>1</v>
      </c>
      <c r="D33" s="3"/>
      <c r="E33" s="3"/>
      <c r="F33" s="3"/>
      <c r="G33" s="3"/>
    </row>
    <row r="34" spans="1:7" x14ac:dyDescent="0.2">
      <c r="A34" s="58">
        <v>43824</v>
      </c>
      <c r="B34" s="3"/>
      <c r="C34" s="3">
        <v>1</v>
      </c>
      <c r="D34" s="3">
        <v>1</v>
      </c>
      <c r="E34" s="3"/>
      <c r="F34" s="3"/>
      <c r="G34" s="3"/>
    </row>
    <row r="35" spans="1:7" x14ac:dyDescent="0.2">
      <c r="A35" s="2" t="s">
        <v>2010</v>
      </c>
      <c r="B35" s="3"/>
      <c r="C35" s="3"/>
      <c r="D35" s="3"/>
      <c r="E35" s="3"/>
      <c r="F35" s="3"/>
      <c r="G35" s="3"/>
    </row>
    <row r="36" spans="1:7" x14ac:dyDescent="0.2">
      <c r="A36" s="58">
        <v>43823</v>
      </c>
      <c r="B36" s="3"/>
      <c r="C36" s="3">
        <v>1</v>
      </c>
      <c r="D36" s="3">
        <v>3</v>
      </c>
      <c r="E36" s="3"/>
      <c r="F36" s="3"/>
      <c r="G36" s="3"/>
    </row>
    <row r="37" spans="1:7" x14ac:dyDescent="0.2">
      <c r="A37" s="2" t="s">
        <v>793</v>
      </c>
      <c r="B37" s="3"/>
      <c r="C37" s="3"/>
      <c r="D37" s="3"/>
      <c r="E37" s="3"/>
      <c r="F37" s="3"/>
      <c r="G37" s="3"/>
    </row>
    <row r="38" spans="1:7" x14ac:dyDescent="0.2">
      <c r="A38" s="58">
        <v>43770</v>
      </c>
      <c r="B38" s="3"/>
      <c r="C38" s="3"/>
      <c r="D38" s="3"/>
      <c r="E38" s="3">
        <v>1</v>
      </c>
      <c r="F38" s="3"/>
      <c r="G38" s="3"/>
    </row>
    <row r="39" spans="1:7" x14ac:dyDescent="0.2">
      <c r="A39" s="58">
        <v>43800</v>
      </c>
      <c r="B39" s="3"/>
      <c r="C39" s="3">
        <v>9</v>
      </c>
      <c r="D39" s="3">
        <v>2</v>
      </c>
      <c r="E39" s="3"/>
      <c r="F39" s="3">
        <v>1</v>
      </c>
      <c r="G39" s="3">
        <v>1</v>
      </c>
    </row>
    <row r="40" spans="1:7" x14ac:dyDescent="0.2">
      <c r="A40" s="2" t="s">
        <v>2067</v>
      </c>
      <c r="B40" s="3"/>
      <c r="C40" s="3"/>
      <c r="D40" s="3"/>
      <c r="E40" s="3"/>
      <c r="F40" s="3"/>
      <c r="G40" s="3"/>
    </row>
    <row r="41" spans="1:7" x14ac:dyDescent="0.2">
      <c r="A41" s="58">
        <v>43818</v>
      </c>
      <c r="B41" s="3"/>
      <c r="C41" s="3">
        <v>2</v>
      </c>
      <c r="D41" s="3"/>
      <c r="E41" s="3"/>
      <c r="F41" s="3"/>
      <c r="G41" s="3"/>
    </row>
    <row r="42" spans="1:7" x14ac:dyDescent="0.2">
      <c r="A42" s="2" t="s">
        <v>2153</v>
      </c>
      <c r="B42" s="3"/>
      <c r="C42" s="3"/>
      <c r="D42" s="3"/>
      <c r="E42" s="3"/>
      <c r="F42" s="3"/>
      <c r="G42" s="3"/>
    </row>
    <row r="43" spans="1:7" x14ac:dyDescent="0.2">
      <c r="A43" s="58">
        <v>43810</v>
      </c>
      <c r="B43" s="3"/>
      <c r="C43" s="3">
        <v>1</v>
      </c>
      <c r="D43" s="3"/>
      <c r="E43" s="3"/>
      <c r="F43" s="3"/>
      <c r="G43" s="3"/>
    </row>
    <row r="44" spans="1:7" x14ac:dyDescent="0.2">
      <c r="A44" s="58">
        <v>43819</v>
      </c>
      <c r="B44" s="3"/>
      <c r="C44" s="3">
        <v>1</v>
      </c>
      <c r="D44" s="3"/>
      <c r="E44" s="3"/>
      <c r="F44" s="3"/>
      <c r="G44" s="3"/>
    </row>
    <row r="45" spans="1:7" x14ac:dyDescent="0.2">
      <c r="A45" s="2" t="s">
        <v>2068</v>
      </c>
      <c r="B45" s="3"/>
      <c r="C45" s="3"/>
      <c r="D45" s="3"/>
      <c r="E45" s="3"/>
      <c r="F45" s="3"/>
      <c r="G45" s="3"/>
    </row>
    <row r="46" spans="1:7" x14ac:dyDescent="0.2">
      <c r="A46" s="58">
        <v>43815</v>
      </c>
      <c r="B46" s="3"/>
      <c r="C46" s="3">
        <v>1</v>
      </c>
      <c r="D46" s="3"/>
      <c r="E46" s="3"/>
      <c r="F46" s="3"/>
      <c r="G46" s="3"/>
    </row>
    <row r="47" spans="1:7" x14ac:dyDescent="0.2">
      <c r="A47" s="2" t="s">
        <v>2044</v>
      </c>
      <c r="B47" s="3"/>
      <c r="C47" s="3"/>
      <c r="D47" s="3"/>
      <c r="E47" s="3"/>
      <c r="F47" s="3"/>
      <c r="G47" s="3"/>
    </row>
    <row r="48" spans="1:7" x14ac:dyDescent="0.2">
      <c r="A48" s="58">
        <v>43823</v>
      </c>
      <c r="B48" s="3"/>
      <c r="C48" s="3">
        <v>1</v>
      </c>
      <c r="D48" s="3">
        <v>1</v>
      </c>
      <c r="E48" s="3"/>
      <c r="F48" s="3"/>
      <c r="G48" s="3"/>
    </row>
    <row r="49" spans="1:7" x14ac:dyDescent="0.2">
      <c r="A49" s="2" t="s">
        <v>1764</v>
      </c>
      <c r="B49" s="3"/>
      <c r="C49" s="3"/>
      <c r="D49" s="3"/>
      <c r="E49" s="3"/>
      <c r="F49" s="3"/>
      <c r="G49" s="3"/>
    </row>
    <row r="50" spans="1:7" x14ac:dyDescent="0.2">
      <c r="A50" s="58">
        <v>43817</v>
      </c>
      <c r="B50" s="3"/>
      <c r="C50" s="3">
        <v>1</v>
      </c>
      <c r="D50" s="3"/>
      <c r="E50" s="3"/>
      <c r="F50" s="3"/>
      <c r="G50" s="3"/>
    </row>
    <row r="51" spans="1:7" x14ac:dyDescent="0.2">
      <c r="A51" s="58">
        <v>43829</v>
      </c>
      <c r="B51" s="3"/>
      <c r="C51" s="3"/>
      <c r="D51" s="3"/>
      <c r="E51" s="3">
        <v>3</v>
      </c>
      <c r="F51" s="3"/>
      <c r="G51" s="3">
        <v>1</v>
      </c>
    </row>
    <row r="52" spans="1:7" x14ac:dyDescent="0.2">
      <c r="A52" s="58">
        <v>43831</v>
      </c>
      <c r="B52" s="3"/>
      <c r="C52" s="3">
        <v>2</v>
      </c>
      <c r="D52" s="3"/>
      <c r="E52" s="3"/>
      <c r="F52" s="3">
        <v>1</v>
      </c>
      <c r="G52" s="3">
        <v>1</v>
      </c>
    </row>
    <row r="53" spans="1:7" x14ac:dyDescent="0.2">
      <c r="A53" s="2" t="s">
        <v>1766</v>
      </c>
      <c r="B53" s="3"/>
      <c r="C53" s="3"/>
      <c r="D53" s="3"/>
      <c r="E53" s="3"/>
      <c r="F53" s="3"/>
      <c r="G53" s="3"/>
    </row>
    <row r="54" spans="1:7" x14ac:dyDescent="0.2">
      <c r="A54" s="58">
        <v>43837</v>
      </c>
      <c r="B54" s="3"/>
      <c r="C54" s="3">
        <v>6</v>
      </c>
      <c r="D54" s="3"/>
      <c r="E54" s="3"/>
      <c r="F54" s="3"/>
      <c r="G54" s="3"/>
    </row>
    <row r="55" spans="1:7" x14ac:dyDescent="0.2">
      <c r="A55" s="2" t="s">
        <v>1983</v>
      </c>
      <c r="B55" s="3"/>
      <c r="C55" s="3"/>
      <c r="D55" s="3"/>
      <c r="E55" s="3"/>
      <c r="F55" s="3"/>
      <c r="G55" s="3"/>
    </row>
    <row r="56" spans="1:7" x14ac:dyDescent="0.2">
      <c r="A56" s="58">
        <v>43817</v>
      </c>
      <c r="B56" s="3"/>
      <c r="C56" s="3">
        <v>1</v>
      </c>
      <c r="D56" s="3"/>
      <c r="E56" s="3"/>
      <c r="F56" s="3"/>
      <c r="G56" s="3"/>
    </row>
    <row r="57" spans="1:7" x14ac:dyDescent="0.2">
      <c r="A57" s="58">
        <v>43824</v>
      </c>
      <c r="B57" s="3"/>
      <c r="C57" s="3">
        <v>2</v>
      </c>
      <c r="D57" s="3">
        <v>1</v>
      </c>
      <c r="E57" s="3"/>
      <c r="F57" s="3"/>
      <c r="G57" s="3"/>
    </row>
    <row r="58" spans="1:7" x14ac:dyDescent="0.2">
      <c r="A58" s="58">
        <v>43831</v>
      </c>
      <c r="B58" s="3"/>
      <c r="C58" s="3">
        <v>1</v>
      </c>
      <c r="D58" s="3"/>
      <c r="E58" s="3">
        <v>2</v>
      </c>
      <c r="F58" s="3">
        <v>3</v>
      </c>
      <c r="G58" s="3">
        <v>1</v>
      </c>
    </row>
    <row r="59" spans="1:7" x14ac:dyDescent="0.2">
      <c r="A59" s="2" t="s">
        <v>1769</v>
      </c>
      <c r="B59" s="3"/>
      <c r="C59" s="3"/>
      <c r="D59" s="3"/>
      <c r="E59" s="3"/>
      <c r="F59" s="3"/>
      <c r="G59" s="3"/>
    </row>
    <row r="60" spans="1:7" x14ac:dyDescent="0.2">
      <c r="A60" s="58">
        <v>43828</v>
      </c>
      <c r="B60" s="3"/>
      <c r="C60" s="3">
        <v>1</v>
      </c>
      <c r="D60" s="3">
        <v>3</v>
      </c>
      <c r="E60" s="3"/>
      <c r="F60" s="3"/>
      <c r="G60" s="3">
        <v>1</v>
      </c>
    </row>
    <row r="61" spans="1:7" x14ac:dyDescent="0.2">
      <c r="A61" s="58">
        <v>43835</v>
      </c>
      <c r="B61" s="3"/>
      <c r="C61" s="3"/>
      <c r="D61" s="3">
        <v>1</v>
      </c>
      <c r="E61" s="3"/>
      <c r="F61" s="3">
        <v>1</v>
      </c>
      <c r="G61" s="3"/>
    </row>
    <row r="62" spans="1:7" x14ac:dyDescent="0.2">
      <c r="A62" s="2" t="s">
        <v>2225</v>
      </c>
      <c r="B62" s="3"/>
      <c r="C62" s="3"/>
      <c r="D62" s="3"/>
      <c r="E62" s="3"/>
      <c r="F62" s="3"/>
      <c r="G62" s="3"/>
    </row>
    <row r="63" spans="1:7" x14ac:dyDescent="0.2">
      <c r="A63" s="58">
        <v>43835</v>
      </c>
      <c r="B63" s="3"/>
      <c r="C63" s="3"/>
      <c r="D63" s="3"/>
      <c r="E63" s="3"/>
      <c r="F63" s="3">
        <v>1</v>
      </c>
      <c r="G63" s="3"/>
    </row>
    <row r="64" spans="1:7" x14ac:dyDescent="0.2">
      <c r="A64" s="2" t="s">
        <v>1771</v>
      </c>
      <c r="B64" s="3"/>
      <c r="C64" s="3"/>
      <c r="D64" s="3"/>
      <c r="E64" s="3"/>
      <c r="F64" s="3"/>
      <c r="G64" s="3"/>
    </row>
    <row r="65" spans="1:7" x14ac:dyDescent="0.2">
      <c r="A65" s="58">
        <v>43824</v>
      </c>
      <c r="B65" s="3"/>
      <c r="C65" s="3">
        <v>1</v>
      </c>
      <c r="D65" s="3">
        <v>1</v>
      </c>
      <c r="E65" s="3"/>
      <c r="F65" s="3"/>
      <c r="G65" s="3"/>
    </row>
    <row r="66" spans="1:7" x14ac:dyDescent="0.2">
      <c r="A66" s="58">
        <v>43831</v>
      </c>
      <c r="B66" s="3"/>
      <c r="C66" s="3">
        <v>1</v>
      </c>
      <c r="D66" s="3"/>
      <c r="E66" s="3">
        <v>1</v>
      </c>
      <c r="F66" s="3">
        <v>3</v>
      </c>
      <c r="G66" s="3">
        <v>2</v>
      </c>
    </row>
    <row r="67" spans="1:7" x14ac:dyDescent="0.2">
      <c r="A67" s="2" t="s">
        <v>2019</v>
      </c>
      <c r="B67" s="3"/>
      <c r="C67" s="3"/>
      <c r="D67" s="3"/>
      <c r="E67" s="3"/>
      <c r="F67" s="3"/>
      <c r="G67" s="3"/>
    </row>
    <row r="68" spans="1:7" x14ac:dyDescent="0.2">
      <c r="A68" s="58">
        <v>43817</v>
      </c>
      <c r="B68" s="3"/>
      <c r="C68" s="3">
        <v>1</v>
      </c>
      <c r="D68" s="3"/>
      <c r="E68" s="3"/>
      <c r="F68" s="3"/>
      <c r="G68" s="3"/>
    </row>
    <row r="69" spans="1:7" x14ac:dyDescent="0.2">
      <c r="A69" s="58">
        <v>43824</v>
      </c>
      <c r="B69" s="3"/>
      <c r="C69" s="3">
        <v>2</v>
      </c>
      <c r="D69" s="3"/>
      <c r="E69" s="3">
        <v>1</v>
      </c>
      <c r="F69" s="3"/>
      <c r="G69" s="3"/>
    </row>
    <row r="70" spans="1:7" x14ac:dyDescent="0.2">
      <c r="A70" s="58">
        <v>43831</v>
      </c>
      <c r="B70" s="3"/>
      <c r="C70" s="3">
        <v>1</v>
      </c>
      <c r="D70" s="3"/>
      <c r="E70" s="3">
        <v>2</v>
      </c>
      <c r="F70" s="3">
        <v>3</v>
      </c>
      <c r="G70" s="3">
        <v>1</v>
      </c>
    </row>
    <row r="71" spans="1:7" x14ac:dyDescent="0.2">
      <c r="A71" s="2" t="s">
        <v>500</v>
      </c>
      <c r="B71" s="3"/>
      <c r="C71" s="3"/>
      <c r="D71" s="3"/>
      <c r="E71" s="3"/>
      <c r="F71" s="3"/>
      <c r="G71" s="3"/>
    </row>
    <row r="72" spans="1:7" x14ac:dyDescent="0.2">
      <c r="A72" s="58">
        <v>43808</v>
      </c>
      <c r="B72" s="3"/>
      <c r="C72" s="3">
        <v>1</v>
      </c>
      <c r="D72" s="3"/>
      <c r="E72" s="3"/>
      <c r="F72" s="3"/>
      <c r="G72" s="3">
        <v>1</v>
      </c>
    </row>
    <row r="73" spans="1:7" x14ac:dyDescent="0.2">
      <c r="A73" s="58">
        <v>43815</v>
      </c>
      <c r="B73" s="3"/>
      <c r="C73" s="3">
        <v>2</v>
      </c>
      <c r="D73" s="3"/>
      <c r="E73" s="3"/>
      <c r="F73" s="3"/>
      <c r="G73" s="3"/>
    </row>
    <row r="74" spans="1:7" x14ac:dyDescent="0.2">
      <c r="A74" s="58">
        <v>43822</v>
      </c>
      <c r="B74" s="3">
        <v>1</v>
      </c>
      <c r="C74" s="3">
        <v>4</v>
      </c>
      <c r="D74" s="3">
        <v>1</v>
      </c>
      <c r="E74" s="3">
        <v>1</v>
      </c>
      <c r="F74" s="3">
        <v>3</v>
      </c>
      <c r="G74" s="3"/>
    </row>
    <row r="75" spans="1:7" x14ac:dyDescent="0.2">
      <c r="A75" s="2" t="s">
        <v>531</v>
      </c>
      <c r="B75" s="3">
        <v>5</v>
      </c>
      <c r="C75" s="3">
        <v>54</v>
      </c>
      <c r="D75" s="3">
        <v>21</v>
      </c>
      <c r="E75" s="3">
        <v>27</v>
      </c>
      <c r="F75" s="3">
        <v>22</v>
      </c>
      <c r="G75" s="3">
        <v>11</v>
      </c>
    </row>
  </sheetData>
  <dataConsolidate/>
  <phoneticPr fontId="1" type="noConversion"/>
  <conditionalFormatting sqref="B5:XFD5">
    <cfRule type="timePeriod" dxfId="48" priority="2" timePeriod="today">
      <formula>FLOOR(B5,1)=TODAY()</formula>
    </cfRule>
  </conditionalFormatting>
  <conditionalFormatting sqref="C5:R5">
    <cfRule type="timePeriod" dxfId="47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M160"/>
  <sheetViews>
    <sheetView workbookViewId="0">
      <selection activeCell="M194" sqref="M194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13" x14ac:dyDescent="0.2">
      <c r="A1" s="13" t="s">
        <v>4</v>
      </c>
      <c r="B1" s="13" t="s">
        <v>5</v>
      </c>
      <c r="C1" s="13" t="s">
        <v>165</v>
      </c>
      <c r="D1" s="13" t="s">
        <v>186</v>
      </c>
      <c r="E1" s="13" t="s">
        <v>150</v>
      </c>
      <c r="H1" s="63" t="e">
        <f t="shared" ref="H1" si="0">SEARCH("~*",F1)</f>
        <v>#VALUE!</v>
      </c>
      <c r="I1" s="63" t="e">
        <f t="shared" ref="I1" si="1">LEFT(F1,H1-1)</f>
        <v>#VALUE!</v>
      </c>
      <c r="J1" s="63" t="e">
        <f t="shared" ref="J1" si="2">SEARCH("~*",F1,H1+1)</f>
        <v>#VALUE!</v>
      </c>
      <c r="K1" s="63" t="e">
        <f t="shared" ref="K1" si="3">MID(F1,H1+1,J1-H1-1)</f>
        <v>#VALUE!</v>
      </c>
      <c r="L1" s="63" t="e">
        <f t="shared" ref="L1" si="4">RIGHT(F1,LEN(F1)-J1)</f>
        <v>#VALUE!</v>
      </c>
      <c r="M1" s="63" t="e">
        <f t="shared" ref="M1" si="5">I1*K1*L1/1000000000</f>
        <v>#VALUE!</v>
      </c>
    </row>
    <row r="2" spans="1:13" hidden="1" x14ac:dyDescent="0.2">
      <c r="A2" t="s">
        <v>1761</v>
      </c>
      <c r="B2" s="5">
        <v>43741</v>
      </c>
      <c r="C2" t="s">
        <v>618</v>
      </c>
      <c r="D2" s="2" t="s">
        <v>546</v>
      </c>
      <c r="E2" s="13" t="s">
        <v>658</v>
      </c>
    </row>
    <row r="3" spans="1:13" hidden="1" x14ac:dyDescent="0.2">
      <c r="A3" t="s">
        <v>1761</v>
      </c>
      <c r="B3" s="5">
        <v>43741</v>
      </c>
      <c r="C3" t="s">
        <v>619</v>
      </c>
      <c r="D3" s="2" t="s">
        <v>547</v>
      </c>
      <c r="E3" s="13" t="s">
        <v>660</v>
      </c>
    </row>
    <row r="4" spans="1:13" hidden="1" x14ac:dyDescent="0.2">
      <c r="A4" t="s">
        <v>1761</v>
      </c>
      <c r="B4" s="5">
        <v>43741</v>
      </c>
      <c r="C4" t="s">
        <v>619</v>
      </c>
      <c r="D4" s="2" t="s">
        <v>547</v>
      </c>
      <c r="E4" s="13" t="s">
        <v>661</v>
      </c>
    </row>
    <row r="5" spans="1:13" hidden="1" x14ac:dyDescent="0.2">
      <c r="A5" t="s">
        <v>1761</v>
      </c>
      <c r="B5" s="5">
        <v>43741</v>
      </c>
      <c r="C5" t="s">
        <v>619</v>
      </c>
      <c r="D5" s="2" t="s">
        <v>547</v>
      </c>
      <c r="E5" s="13" t="s">
        <v>659</v>
      </c>
    </row>
    <row r="6" spans="1:13" hidden="1" x14ac:dyDescent="0.2">
      <c r="A6" s="13" t="s">
        <v>1761</v>
      </c>
      <c r="B6" s="15">
        <v>43755</v>
      </c>
      <c r="C6" t="s">
        <v>865</v>
      </c>
      <c r="D6" s="14" t="s">
        <v>866</v>
      </c>
      <c r="E6" s="13" t="s">
        <v>868</v>
      </c>
    </row>
    <row r="7" spans="1:13" hidden="1" x14ac:dyDescent="0.2">
      <c r="A7" s="13" t="s">
        <v>1761</v>
      </c>
      <c r="B7" s="15">
        <v>43755</v>
      </c>
      <c r="C7" t="s">
        <v>865</v>
      </c>
      <c r="D7" s="14" t="s">
        <v>866</v>
      </c>
      <c r="E7" s="13" t="s">
        <v>869</v>
      </c>
    </row>
    <row r="8" spans="1:13" hidden="1" x14ac:dyDescent="0.2">
      <c r="A8" s="13" t="s">
        <v>1761</v>
      </c>
      <c r="B8" s="15">
        <v>43755</v>
      </c>
      <c r="C8" t="s">
        <v>724</v>
      </c>
      <c r="D8" s="14" t="s">
        <v>867</v>
      </c>
      <c r="E8" s="13" t="s">
        <v>873</v>
      </c>
    </row>
    <row r="9" spans="1:13" hidden="1" x14ac:dyDescent="0.2">
      <c r="A9" s="13" t="s">
        <v>1761</v>
      </c>
      <c r="B9" s="15">
        <v>43755</v>
      </c>
      <c r="C9" t="s">
        <v>724</v>
      </c>
      <c r="D9" s="14" t="s">
        <v>867</v>
      </c>
      <c r="E9" s="13" t="s">
        <v>870</v>
      </c>
    </row>
    <row r="10" spans="1:13" hidden="1" x14ac:dyDescent="0.2">
      <c r="A10" s="13" t="s">
        <v>1761</v>
      </c>
      <c r="B10" s="15">
        <v>43755</v>
      </c>
      <c r="C10" t="s">
        <v>724</v>
      </c>
      <c r="D10" s="14" t="s">
        <v>867</v>
      </c>
      <c r="E10" s="13" t="s">
        <v>872</v>
      </c>
    </row>
    <row r="11" spans="1:13" hidden="1" x14ac:dyDescent="0.2">
      <c r="A11" s="13" t="s">
        <v>1761</v>
      </c>
      <c r="B11" s="15">
        <v>43755</v>
      </c>
      <c r="C11" t="s">
        <v>724</v>
      </c>
      <c r="D11" s="14" t="s">
        <v>867</v>
      </c>
      <c r="E11" s="13" t="s">
        <v>871</v>
      </c>
    </row>
    <row r="12" spans="1:13" hidden="1" x14ac:dyDescent="0.2">
      <c r="A12" s="13" t="s">
        <v>1761</v>
      </c>
      <c r="B12" s="15">
        <v>43755</v>
      </c>
      <c r="C12" t="s">
        <v>724</v>
      </c>
      <c r="D12" s="14" t="s">
        <v>867</v>
      </c>
      <c r="E12" s="13" t="s">
        <v>874</v>
      </c>
    </row>
    <row r="13" spans="1:13" hidden="1" x14ac:dyDescent="0.2">
      <c r="A13" t="s">
        <v>1761</v>
      </c>
      <c r="B13" s="5">
        <v>43776</v>
      </c>
      <c r="C13" t="s">
        <v>1137</v>
      </c>
      <c r="D13" s="14" t="s">
        <v>1131</v>
      </c>
    </row>
    <row r="14" spans="1:13" hidden="1" x14ac:dyDescent="0.2">
      <c r="A14" t="s">
        <v>1761</v>
      </c>
      <c r="B14" s="5">
        <v>43776</v>
      </c>
      <c r="C14" t="s">
        <v>1137</v>
      </c>
      <c r="D14" s="14" t="s">
        <v>1131</v>
      </c>
    </row>
    <row r="15" spans="1:13" hidden="1" x14ac:dyDescent="0.2">
      <c r="A15" t="s">
        <v>1761</v>
      </c>
      <c r="B15" s="5">
        <v>43776</v>
      </c>
      <c r="C15" t="s">
        <v>1137</v>
      </c>
      <c r="D15" s="14" t="s">
        <v>1131</v>
      </c>
    </row>
    <row r="16" spans="1:13" hidden="1" x14ac:dyDescent="0.2">
      <c r="A16" t="s">
        <v>1761</v>
      </c>
      <c r="B16" s="5">
        <v>43776</v>
      </c>
      <c r="C16" t="s">
        <v>1138</v>
      </c>
      <c r="D16" s="14" t="s">
        <v>1133</v>
      </c>
    </row>
    <row r="17" spans="1:5" hidden="1" x14ac:dyDescent="0.2">
      <c r="A17" t="s">
        <v>1761</v>
      </c>
      <c r="B17" s="5">
        <v>43776</v>
      </c>
      <c r="C17" t="s">
        <v>1138</v>
      </c>
      <c r="D17" s="14" t="s">
        <v>1133</v>
      </c>
    </row>
    <row r="18" spans="1:5" hidden="1" x14ac:dyDescent="0.2">
      <c r="A18" t="s">
        <v>1761</v>
      </c>
      <c r="B18" s="5">
        <v>43776</v>
      </c>
      <c r="C18" t="s">
        <v>1139</v>
      </c>
      <c r="D18" s="14" t="s">
        <v>1135</v>
      </c>
    </row>
    <row r="19" spans="1:5" hidden="1" x14ac:dyDescent="0.2">
      <c r="A19" t="s">
        <v>1761</v>
      </c>
      <c r="B19" s="5">
        <v>43776</v>
      </c>
      <c r="C19" t="s">
        <v>1139</v>
      </c>
      <c r="D19" s="14" t="s">
        <v>1135</v>
      </c>
    </row>
    <row r="20" spans="1:5" hidden="1" x14ac:dyDescent="0.2">
      <c r="A20" t="s">
        <v>1761</v>
      </c>
      <c r="B20" s="5">
        <v>43776</v>
      </c>
      <c r="C20" t="s">
        <v>1139</v>
      </c>
      <c r="D20" s="14" t="s">
        <v>1135</v>
      </c>
    </row>
    <row r="21" spans="1:5" hidden="1" x14ac:dyDescent="0.2">
      <c r="A21" t="s">
        <v>1761</v>
      </c>
      <c r="B21" s="5">
        <v>43776</v>
      </c>
      <c r="C21" t="s">
        <v>1139</v>
      </c>
      <c r="D21" s="14" t="s">
        <v>1135</v>
      </c>
    </row>
    <row r="22" spans="1:5" hidden="1" x14ac:dyDescent="0.2">
      <c r="A22" s="13" t="s">
        <v>1081</v>
      </c>
      <c r="B22" s="15">
        <v>43763</v>
      </c>
      <c r="C22" t="s">
        <v>1123</v>
      </c>
      <c r="D22" s="14" t="s">
        <v>1084</v>
      </c>
      <c r="E22" s="13" t="s">
        <v>1124</v>
      </c>
    </row>
    <row r="23" spans="1:5" hidden="1" x14ac:dyDescent="0.2">
      <c r="A23" s="13" t="s">
        <v>1081</v>
      </c>
      <c r="B23" s="15">
        <v>43763</v>
      </c>
      <c r="C23" t="s">
        <v>1126</v>
      </c>
      <c r="D23" s="14" t="s">
        <v>1152</v>
      </c>
      <c r="E23" s="13" t="s">
        <v>1124</v>
      </c>
    </row>
    <row r="24" spans="1:5" hidden="1" x14ac:dyDescent="0.2">
      <c r="A24" s="13" t="s">
        <v>1081</v>
      </c>
      <c r="B24" s="15">
        <v>43763</v>
      </c>
      <c r="C24" t="s">
        <v>1125</v>
      </c>
      <c r="D24" s="14" t="s">
        <v>1151</v>
      </c>
      <c r="E24" s="13" t="s">
        <v>1124</v>
      </c>
    </row>
    <row r="25" spans="1:5" hidden="1" x14ac:dyDescent="0.2">
      <c r="A25" s="13" t="s">
        <v>1949</v>
      </c>
      <c r="B25" s="15">
        <v>43787</v>
      </c>
      <c r="C25" s="13" t="s">
        <v>1445</v>
      </c>
      <c r="D25" s="14" t="s">
        <v>1330</v>
      </c>
      <c r="E25" s="13" t="s">
        <v>1446</v>
      </c>
    </row>
    <row r="26" spans="1:5" hidden="1" x14ac:dyDescent="0.2">
      <c r="A26" s="13" t="s">
        <v>1949</v>
      </c>
      <c r="B26" s="15">
        <v>43787</v>
      </c>
      <c r="C26" s="13" t="s">
        <v>1445</v>
      </c>
      <c r="D26" s="14" t="s">
        <v>1330</v>
      </c>
      <c r="E26" s="13" t="s">
        <v>1447</v>
      </c>
    </row>
    <row r="27" spans="1:5" hidden="1" x14ac:dyDescent="0.2">
      <c r="A27" s="13" t="s">
        <v>1949</v>
      </c>
      <c r="B27" s="15">
        <v>43787</v>
      </c>
      <c r="C27" s="13" t="s">
        <v>1445</v>
      </c>
      <c r="D27" s="14" t="s">
        <v>1330</v>
      </c>
      <c r="E27" s="13" t="s">
        <v>1448</v>
      </c>
    </row>
    <row r="28" spans="1:5" hidden="1" x14ac:dyDescent="0.2">
      <c r="A28" s="13" t="s">
        <v>1949</v>
      </c>
      <c r="B28" s="15">
        <v>43787</v>
      </c>
      <c r="C28" s="13" t="s">
        <v>1445</v>
      </c>
      <c r="D28" s="14" t="s">
        <v>1330</v>
      </c>
      <c r="E28" s="13" t="s">
        <v>1449</v>
      </c>
    </row>
    <row r="29" spans="1:5" hidden="1" x14ac:dyDescent="0.2">
      <c r="A29" s="13" t="s">
        <v>1949</v>
      </c>
      <c r="B29" s="15">
        <v>43787</v>
      </c>
      <c r="C29" s="13" t="s">
        <v>1445</v>
      </c>
      <c r="D29" s="14" t="s">
        <v>1330</v>
      </c>
      <c r="E29" s="13" t="s">
        <v>1450</v>
      </c>
    </row>
    <row r="30" spans="1:5" hidden="1" x14ac:dyDescent="0.2">
      <c r="A30" s="13" t="s">
        <v>1949</v>
      </c>
      <c r="B30" s="15">
        <v>43787</v>
      </c>
      <c r="C30" s="13" t="s">
        <v>1445</v>
      </c>
      <c r="D30" s="14" t="s">
        <v>1330</v>
      </c>
      <c r="E30" s="13" t="s">
        <v>1451</v>
      </c>
    </row>
    <row r="31" spans="1:5" hidden="1" x14ac:dyDescent="0.2">
      <c r="A31" s="13" t="s">
        <v>1949</v>
      </c>
      <c r="B31" s="15">
        <v>43787</v>
      </c>
      <c r="C31" s="13" t="s">
        <v>1445</v>
      </c>
      <c r="D31" s="14" t="s">
        <v>1330</v>
      </c>
      <c r="E31" s="13" t="s">
        <v>1452</v>
      </c>
    </row>
    <row r="32" spans="1:5" hidden="1" x14ac:dyDescent="0.2">
      <c r="A32" s="13" t="s">
        <v>1949</v>
      </c>
      <c r="B32" s="15">
        <v>43787</v>
      </c>
      <c r="C32" s="13" t="s">
        <v>1445</v>
      </c>
      <c r="D32" s="14" t="s">
        <v>1330</v>
      </c>
      <c r="E32" s="13" t="s">
        <v>1453</v>
      </c>
    </row>
    <row r="33" spans="1:5" hidden="1" x14ac:dyDescent="0.2">
      <c r="A33" s="13" t="s">
        <v>1947</v>
      </c>
      <c r="B33" s="15">
        <v>43740</v>
      </c>
      <c r="C33" t="s">
        <v>621</v>
      </c>
      <c r="D33" s="14" t="s">
        <v>530</v>
      </c>
      <c r="E33" s="13" t="s">
        <v>626</v>
      </c>
    </row>
    <row r="34" spans="1:5" hidden="1" x14ac:dyDescent="0.2">
      <c r="A34" s="13" t="s">
        <v>1947</v>
      </c>
      <c r="B34" s="15">
        <v>43740</v>
      </c>
      <c r="C34" t="s">
        <v>621</v>
      </c>
      <c r="D34" s="14" t="s">
        <v>622</v>
      </c>
      <c r="E34" s="13" t="s">
        <v>626</v>
      </c>
    </row>
    <row r="35" spans="1:5" hidden="1" x14ac:dyDescent="0.2">
      <c r="A35" s="13" t="s">
        <v>1947</v>
      </c>
      <c r="B35" s="15">
        <v>43740</v>
      </c>
      <c r="C35" t="s">
        <v>621</v>
      </c>
      <c r="D35" s="14" t="s">
        <v>623</v>
      </c>
      <c r="E35" s="13" t="s">
        <v>626</v>
      </c>
    </row>
    <row r="36" spans="1:5" hidden="1" x14ac:dyDescent="0.2">
      <c r="A36" s="13" t="s">
        <v>1947</v>
      </c>
      <c r="B36" s="15">
        <v>43740</v>
      </c>
      <c r="C36" t="s">
        <v>621</v>
      </c>
      <c r="D36" s="14" t="s">
        <v>624</v>
      </c>
      <c r="E36" s="13" t="s">
        <v>627</v>
      </c>
    </row>
    <row r="37" spans="1:5" hidden="1" x14ac:dyDescent="0.2">
      <c r="A37" s="13" t="s">
        <v>1947</v>
      </c>
      <c r="B37" s="15">
        <v>43740</v>
      </c>
      <c r="C37" t="s">
        <v>621</v>
      </c>
      <c r="D37" s="14" t="s">
        <v>625</v>
      </c>
      <c r="E37" s="13" t="s">
        <v>627</v>
      </c>
    </row>
    <row r="38" spans="1:5" hidden="1" x14ac:dyDescent="0.2">
      <c r="A38" t="s">
        <v>1947</v>
      </c>
      <c r="B38" s="5">
        <v>43754</v>
      </c>
      <c r="C38" t="s">
        <v>709</v>
      </c>
      <c r="D38" s="2" t="s">
        <v>712</v>
      </c>
      <c r="E38" s="13" t="s">
        <v>842</v>
      </c>
    </row>
    <row r="39" spans="1:5" hidden="1" x14ac:dyDescent="0.2">
      <c r="A39" t="s">
        <v>1947</v>
      </c>
      <c r="B39" s="5">
        <v>43754</v>
      </c>
      <c r="C39" t="s">
        <v>709</v>
      </c>
      <c r="D39" s="2" t="s">
        <v>841</v>
      </c>
      <c r="E39" s="13" t="s">
        <v>842</v>
      </c>
    </row>
    <row r="40" spans="1:5" hidden="1" x14ac:dyDescent="0.2">
      <c r="A40" s="13" t="s">
        <v>1947</v>
      </c>
      <c r="B40" s="15">
        <v>43764</v>
      </c>
      <c r="C40" t="s">
        <v>1041</v>
      </c>
      <c r="D40" s="14">
        <v>586920371</v>
      </c>
      <c r="E40" s="13" t="s">
        <v>1044</v>
      </c>
    </row>
    <row r="41" spans="1:5" hidden="1" x14ac:dyDescent="0.2">
      <c r="A41" s="13" t="s">
        <v>1947</v>
      </c>
      <c r="B41" s="15">
        <v>43764</v>
      </c>
      <c r="C41" t="s">
        <v>1041</v>
      </c>
      <c r="D41" s="14" t="s">
        <v>1042</v>
      </c>
      <c r="E41" s="13" t="s">
        <v>1044</v>
      </c>
    </row>
    <row r="42" spans="1:5" hidden="1" x14ac:dyDescent="0.2">
      <c r="A42" s="13" t="s">
        <v>1947</v>
      </c>
      <c r="B42" s="15">
        <v>43764</v>
      </c>
      <c r="C42" t="s">
        <v>1041</v>
      </c>
      <c r="D42" s="14" t="s">
        <v>1043</v>
      </c>
      <c r="E42" s="13" t="s">
        <v>1044</v>
      </c>
    </row>
    <row r="43" spans="1:5" hidden="1" x14ac:dyDescent="0.2">
      <c r="A43" s="13" t="s">
        <v>1947</v>
      </c>
      <c r="B43" s="15">
        <v>43768</v>
      </c>
      <c r="C43" t="s">
        <v>1060</v>
      </c>
      <c r="D43" s="14" t="s">
        <v>1057</v>
      </c>
      <c r="E43" s="13" t="s">
        <v>1153</v>
      </c>
    </row>
    <row r="44" spans="1:5" hidden="1" x14ac:dyDescent="0.2">
      <c r="A44" s="13" t="s">
        <v>1947</v>
      </c>
      <c r="B44" s="15">
        <v>43768</v>
      </c>
      <c r="C44" t="s">
        <v>1060</v>
      </c>
      <c r="D44" s="14" t="s">
        <v>1058</v>
      </c>
      <c r="E44" s="13" t="s">
        <v>1153</v>
      </c>
    </row>
    <row r="45" spans="1:5" hidden="1" x14ac:dyDescent="0.2">
      <c r="A45" s="13" t="s">
        <v>1947</v>
      </c>
      <c r="B45" s="15">
        <v>43768</v>
      </c>
      <c r="C45" t="s">
        <v>1060</v>
      </c>
      <c r="D45" s="14" t="s">
        <v>1059</v>
      </c>
      <c r="E45" s="13" t="s">
        <v>1153</v>
      </c>
    </row>
    <row r="46" spans="1:5" hidden="1" x14ac:dyDescent="0.2">
      <c r="A46" s="13" t="s">
        <v>1947</v>
      </c>
      <c r="B46" s="15">
        <v>43775</v>
      </c>
      <c r="C46" t="s">
        <v>1198</v>
      </c>
      <c r="D46" s="14" t="s">
        <v>1197</v>
      </c>
      <c r="E46" s="13" t="s">
        <v>1238</v>
      </c>
    </row>
    <row r="47" spans="1:5" hidden="1" x14ac:dyDescent="0.2">
      <c r="A47" s="13" t="s">
        <v>1947</v>
      </c>
      <c r="B47" s="15">
        <v>43775</v>
      </c>
      <c r="C47" t="s">
        <v>1198</v>
      </c>
      <c r="D47" s="14" t="s">
        <v>1252</v>
      </c>
      <c r="E47" s="13" t="s">
        <v>1237</v>
      </c>
    </row>
    <row r="48" spans="1:5" hidden="1" x14ac:dyDescent="0.2">
      <c r="A48" s="13" t="s">
        <v>1947</v>
      </c>
      <c r="B48" s="15">
        <v>43775</v>
      </c>
      <c r="C48" t="s">
        <v>1198</v>
      </c>
      <c r="D48" s="14" t="s">
        <v>1253</v>
      </c>
      <c r="E48" s="13" t="s">
        <v>1237</v>
      </c>
    </row>
    <row r="49" spans="1:5" hidden="1" x14ac:dyDescent="0.2">
      <c r="A49" s="13" t="s">
        <v>1947</v>
      </c>
      <c r="B49" s="15">
        <v>43775</v>
      </c>
      <c r="C49" t="s">
        <v>1198</v>
      </c>
      <c r="D49" s="14" t="s">
        <v>1254</v>
      </c>
      <c r="E49" s="13" t="s">
        <v>1237</v>
      </c>
    </row>
    <row r="50" spans="1:5" hidden="1" x14ac:dyDescent="0.2">
      <c r="A50" s="13" t="s">
        <v>1947</v>
      </c>
      <c r="B50" s="15">
        <v>43775</v>
      </c>
      <c r="C50" t="s">
        <v>1198</v>
      </c>
      <c r="D50" s="14" t="s">
        <v>1255</v>
      </c>
      <c r="E50" s="13" t="s">
        <v>1237</v>
      </c>
    </row>
    <row r="51" spans="1:5" hidden="1" x14ac:dyDescent="0.2">
      <c r="A51" s="13" t="s">
        <v>1947</v>
      </c>
      <c r="B51" s="15">
        <v>43778</v>
      </c>
      <c r="C51" t="s">
        <v>1202</v>
      </c>
      <c r="D51" s="14">
        <v>587346262</v>
      </c>
      <c r="E51" s="13" t="s">
        <v>1308</v>
      </c>
    </row>
    <row r="52" spans="1:5" hidden="1" x14ac:dyDescent="0.2">
      <c r="A52" s="13" t="s">
        <v>1947</v>
      </c>
      <c r="B52" s="15">
        <v>43778</v>
      </c>
      <c r="C52" t="s">
        <v>1202</v>
      </c>
      <c r="D52" s="14" t="s">
        <v>1256</v>
      </c>
      <c r="E52" s="13" t="s">
        <v>1308</v>
      </c>
    </row>
    <row r="53" spans="1:5" hidden="1" x14ac:dyDescent="0.2">
      <c r="A53" s="13" t="s">
        <v>1947</v>
      </c>
      <c r="B53" s="15">
        <v>43778</v>
      </c>
      <c r="C53" t="s">
        <v>1202</v>
      </c>
      <c r="D53" s="14" t="s">
        <v>1257</v>
      </c>
      <c r="E53" s="13" t="s">
        <v>1308</v>
      </c>
    </row>
    <row r="54" spans="1:5" hidden="1" x14ac:dyDescent="0.2">
      <c r="A54" s="13" t="s">
        <v>1947</v>
      </c>
      <c r="B54" s="15">
        <v>43789</v>
      </c>
      <c r="C54" s="13" t="s">
        <v>1403</v>
      </c>
      <c r="D54" s="14" t="s">
        <v>1356</v>
      </c>
      <c r="E54" s="13" t="s">
        <v>1406</v>
      </c>
    </row>
    <row r="55" spans="1:5" hidden="1" x14ac:dyDescent="0.2">
      <c r="A55" s="13" t="s">
        <v>1947</v>
      </c>
      <c r="B55" s="15">
        <v>43789</v>
      </c>
      <c r="C55" s="13" t="s">
        <v>1362</v>
      </c>
      <c r="D55" s="14" t="s">
        <v>1357</v>
      </c>
      <c r="E55" s="13" t="s">
        <v>1406</v>
      </c>
    </row>
    <row r="56" spans="1:5" hidden="1" x14ac:dyDescent="0.2">
      <c r="A56" s="13" t="s">
        <v>1947</v>
      </c>
      <c r="B56" s="15">
        <v>43789</v>
      </c>
      <c r="C56" s="13" t="s">
        <v>1362</v>
      </c>
      <c r="D56" s="14" t="s">
        <v>1358</v>
      </c>
      <c r="E56" s="13" t="s">
        <v>1406</v>
      </c>
    </row>
    <row r="57" spans="1:5" hidden="1" x14ac:dyDescent="0.2">
      <c r="A57" s="13" t="s">
        <v>1947</v>
      </c>
      <c r="B57" s="15">
        <v>43789</v>
      </c>
      <c r="C57" s="13" t="s">
        <v>1362</v>
      </c>
      <c r="D57" s="14" t="s">
        <v>1359</v>
      </c>
      <c r="E57" s="13" t="s">
        <v>1406</v>
      </c>
    </row>
    <row r="58" spans="1:5" hidden="1" x14ac:dyDescent="0.2">
      <c r="A58" s="13" t="s">
        <v>1947</v>
      </c>
      <c r="B58" s="15">
        <v>43789</v>
      </c>
      <c r="C58" s="13" t="s">
        <v>1362</v>
      </c>
      <c r="D58" s="14" t="s">
        <v>1360</v>
      </c>
      <c r="E58" s="13" t="s">
        <v>1406</v>
      </c>
    </row>
    <row r="59" spans="1:5" hidden="1" x14ac:dyDescent="0.2">
      <c r="A59" s="13" t="s">
        <v>1947</v>
      </c>
      <c r="B59" s="15">
        <v>43796</v>
      </c>
      <c r="C59" s="13" t="s">
        <v>1599</v>
      </c>
      <c r="D59" s="14" t="s">
        <v>1474</v>
      </c>
      <c r="E59" s="13" t="s">
        <v>1598</v>
      </c>
    </row>
    <row r="60" spans="1:5" hidden="1" x14ac:dyDescent="0.2">
      <c r="A60" s="13" t="s">
        <v>1947</v>
      </c>
      <c r="B60" s="15">
        <v>43796</v>
      </c>
      <c r="C60" s="13" t="s">
        <v>1599</v>
      </c>
      <c r="D60" s="14" t="s">
        <v>1507</v>
      </c>
      <c r="E60" s="13" t="s">
        <v>1598</v>
      </c>
    </row>
    <row r="61" spans="1:5" hidden="1" x14ac:dyDescent="0.2">
      <c r="A61" s="13" t="s">
        <v>1947</v>
      </c>
      <c r="B61" s="15">
        <v>43796</v>
      </c>
      <c r="C61" s="13" t="s">
        <v>1599</v>
      </c>
      <c r="D61" s="14" t="s">
        <v>1508</v>
      </c>
      <c r="E61" s="13" t="s">
        <v>1598</v>
      </c>
    </row>
    <row r="62" spans="1:5" hidden="1" x14ac:dyDescent="0.2">
      <c r="A62" s="13" t="s">
        <v>1947</v>
      </c>
      <c r="B62" s="15">
        <v>43796</v>
      </c>
      <c r="C62" s="13" t="s">
        <v>1599</v>
      </c>
      <c r="D62" s="14" t="s">
        <v>1509</v>
      </c>
      <c r="E62" s="13" t="s">
        <v>1598</v>
      </c>
    </row>
    <row r="63" spans="1:5" hidden="1" x14ac:dyDescent="0.2">
      <c r="A63" s="13" t="s">
        <v>1947</v>
      </c>
      <c r="B63" s="15">
        <v>43796</v>
      </c>
      <c r="C63" s="13" t="s">
        <v>1599</v>
      </c>
      <c r="D63" s="14" t="s">
        <v>1510</v>
      </c>
      <c r="E63" s="13" t="s">
        <v>1598</v>
      </c>
    </row>
    <row r="64" spans="1:5" hidden="1" x14ac:dyDescent="0.2">
      <c r="A64" s="13" t="s">
        <v>1947</v>
      </c>
      <c r="B64" s="15">
        <v>43796</v>
      </c>
      <c r="C64" s="13" t="s">
        <v>1599</v>
      </c>
      <c r="D64" s="14" t="s">
        <v>1511</v>
      </c>
      <c r="E64" s="13" t="s">
        <v>1598</v>
      </c>
    </row>
    <row r="65" spans="1:5" hidden="1" x14ac:dyDescent="0.2">
      <c r="A65" s="13" t="s">
        <v>1947</v>
      </c>
      <c r="B65" s="15">
        <v>43803</v>
      </c>
      <c r="C65" s="13" t="s">
        <v>1599</v>
      </c>
      <c r="D65" s="14" t="s">
        <v>1591</v>
      </c>
      <c r="E65" s="13" t="s">
        <v>1625</v>
      </c>
    </row>
    <row r="66" spans="1:5" hidden="1" x14ac:dyDescent="0.2">
      <c r="A66" s="13" t="s">
        <v>1947</v>
      </c>
      <c r="B66" s="15">
        <v>43803</v>
      </c>
      <c r="C66" s="13" t="s">
        <v>1599</v>
      </c>
      <c r="D66" s="14" t="s">
        <v>1592</v>
      </c>
      <c r="E66" s="13" t="s">
        <v>1625</v>
      </c>
    </row>
    <row r="67" spans="1:5" hidden="1" x14ac:dyDescent="0.2">
      <c r="A67" s="13" t="s">
        <v>1947</v>
      </c>
      <c r="B67" s="15">
        <v>43803</v>
      </c>
      <c r="C67" s="13" t="s">
        <v>1599</v>
      </c>
      <c r="D67" s="14" t="s">
        <v>1593</v>
      </c>
      <c r="E67" s="13" t="s">
        <v>1625</v>
      </c>
    </row>
    <row r="68" spans="1:5" hidden="1" x14ac:dyDescent="0.2">
      <c r="A68" s="13" t="s">
        <v>1947</v>
      </c>
      <c r="B68" s="15">
        <v>43803</v>
      </c>
      <c r="C68" s="13" t="s">
        <v>1599</v>
      </c>
      <c r="D68" s="14" t="s">
        <v>1594</v>
      </c>
      <c r="E68" s="13" t="s">
        <v>1625</v>
      </c>
    </row>
    <row r="69" spans="1:5" hidden="1" x14ac:dyDescent="0.2">
      <c r="A69" s="13" t="s">
        <v>1947</v>
      </c>
      <c r="B69" s="15">
        <v>43810</v>
      </c>
      <c r="C69" s="13" t="s">
        <v>1633</v>
      </c>
      <c r="D69" s="14" t="s">
        <v>1631</v>
      </c>
      <c r="E69" s="13" t="s">
        <v>1693</v>
      </c>
    </row>
    <row r="70" spans="1:5" hidden="1" x14ac:dyDescent="0.2">
      <c r="A70" s="13" t="s">
        <v>1947</v>
      </c>
      <c r="B70" s="15">
        <v>43810</v>
      </c>
      <c r="C70" s="13" t="s">
        <v>1633</v>
      </c>
      <c r="D70" s="14" t="s">
        <v>1632</v>
      </c>
      <c r="E70" s="13" t="s">
        <v>1693</v>
      </c>
    </row>
    <row r="71" spans="1:5" hidden="1" x14ac:dyDescent="0.2">
      <c r="A71" s="13" t="s">
        <v>505</v>
      </c>
      <c r="B71" s="15">
        <v>43740</v>
      </c>
      <c r="C71" t="s">
        <v>506</v>
      </c>
      <c r="D71" s="14" t="s">
        <v>507</v>
      </c>
    </row>
    <row r="72" spans="1:5" hidden="1" x14ac:dyDescent="0.2">
      <c r="A72" s="13" t="s">
        <v>505</v>
      </c>
      <c r="B72" s="15">
        <v>43740</v>
      </c>
      <c r="C72" t="s">
        <v>506</v>
      </c>
      <c r="D72" s="14" t="s">
        <v>507</v>
      </c>
    </row>
    <row r="73" spans="1:5" hidden="1" x14ac:dyDescent="0.2">
      <c r="A73" s="13" t="s">
        <v>505</v>
      </c>
      <c r="B73" s="15">
        <v>43740</v>
      </c>
      <c r="C73" t="s">
        <v>508</v>
      </c>
      <c r="D73" s="14" t="s">
        <v>509</v>
      </c>
    </row>
    <row r="74" spans="1:5" hidden="1" x14ac:dyDescent="0.2">
      <c r="A74" s="13" t="s">
        <v>505</v>
      </c>
      <c r="B74" s="15">
        <v>43740</v>
      </c>
      <c r="C74" t="s">
        <v>508</v>
      </c>
      <c r="D74" s="14" t="s">
        <v>509</v>
      </c>
    </row>
    <row r="75" spans="1:5" hidden="1" x14ac:dyDescent="0.2">
      <c r="A75" s="13" t="s">
        <v>505</v>
      </c>
      <c r="B75" s="15">
        <v>43740</v>
      </c>
      <c r="C75" t="s">
        <v>508</v>
      </c>
      <c r="D75" s="14" t="s">
        <v>509</v>
      </c>
    </row>
    <row r="76" spans="1:5" hidden="1" x14ac:dyDescent="0.2">
      <c r="A76" s="13" t="s">
        <v>505</v>
      </c>
      <c r="B76" s="15">
        <v>43740</v>
      </c>
      <c r="C76" t="s">
        <v>508</v>
      </c>
      <c r="D76" s="14" t="s">
        <v>509</v>
      </c>
    </row>
    <row r="77" spans="1:5" hidden="1" x14ac:dyDescent="0.2">
      <c r="A77" t="s">
        <v>998</v>
      </c>
      <c r="B77" s="5">
        <v>43758</v>
      </c>
      <c r="C77" t="s">
        <v>1005</v>
      </c>
      <c r="D77" s="14" t="s">
        <v>1006</v>
      </c>
      <c r="E77" s="13" t="s">
        <v>1072</v>
      </c>
    </row>
    <row r="78" spans="1:5" hidden="1" x14ac:dyDescent="0.2">
      <c r="A78" t="s">
        <v>998</v>
      </c>
      <c r="B78" s="5">
        <v>43758</v>
      </c>
      <c r="C78" t="s">
        <v>1005</v>
      </c>
      <c r="D78" s="14" t="s">
        <v>1006</v>
      </c>
      <c r="E78" s="13" t="s">
        <v>1071</v>
      </c>
    </row>
    <row r="79" spans="1:5" hidden="1" x14ac:dyDescent="0.2">
      <c r="A79" t="s">
        <v>998</v>
      </c>
      <c r="B79" s="5">
        <v>43758</v>
      </c>
      <c r="C79" t="s">
        <v>1005</v>
      </c>
      <c r="D79" s="14" t="s">
        <v>1006</v>
      </c>
      <c r="E79" s="13" t="s">
        <v>1070</v>
      </c>
    </row>
    <row r="80" spans="1:5" hidden="1" x14ac:dyDescent="0.2">
      <c r="A80" s="13" t="s">
        <v>2</v>
      </c>
      <c r="B80" s="15">
        <v>43742</v>
      </c>
      <c r="C80" t="s">
        <v>592</v>
      </c>
      <c r="D80" s="14" t="s">
        <v>633</v>
      </c>
      <c r="E80" s="13" t="s">
        <v>650</v>
      </c>
    </row>
    <row r="81" spans="1:5" hidden="1" x14ac:dyDescent="0.2">
      <c r="A81" s="13" t="s">
        <v>2</v>
      </c>
      <c r="B81" s="15">
        <v>43742</v>
      </c>
      <c r="C81" t="s">
        <v>629</v>
      </c>
      <c r="D81" s="14" t="s">
        <v>630</v>
      </c>
      <c r="E81" s="13" t="s">
        <v>650</v>
      </c>
    </row>
    <row r="82" spans="1:5" hidden="1" x14ac:dyDescent="0.2">
      <c r="A82" s="13" t="s">
        <v>2</v>
      </c>
      <c r="B82" s="15">
        <v>43742</v>
      </c>
      <c r="C82" t="s">
        <v>632</v>
      </c>
      <c r="D82" s="14" t="s">
        <v>631</v>
      </c>
      <c r="E82" s="13" t="s">
        <v>650</v>
      </c>
    </row>
    <row r="83" spans="1:5" hidden="1" x14ac:dyDescent="0.2">
      <c r="A83" s="13" t="s">
        <v>2</v>
      </c>
      <c r="B83" s="15">
        <v>43754</v>
      </c>
      <c r="C83" t="s">
        <v>714</v>
      </c>
      <c r="D83" s="14" t="s">
        <v>745</v>
      </c>
      <c r="E83" s="13" t="s">
        <v>754</v>
      </c>
    </row>
    <row r="84" spans="1:5" hidden="1" x14ac:dyDescent="0.2">
      <c r="A84" s="13" t="s">
        <v>2</v>
      </c>
      <c r="B84" s="15">
        <v>43754</v>
      </c>
      <c r="C84" t="s">
        <v>736</v>
      </c>
      <c r="D84" s="14" t="s">
        <v>929</v>
      </c>
      <c r="E84" s="13" t="s">
        <v>754</v>
      </c>
    </row>
    <row r="85" spans="1:5" hidden="1" x14ac:dyDescent="0.2">
      <c r="A85" s="13" t="s">
        <v>2</v>
      </c>
      <c r="B85" s="15">
        <v>43756</v>
      </c>
      <c r="C85" t="s">
        <v>744</v>
      </c>
      <c r="D85" s="2" t="s">
        <v>834</v>
      </c>
      <c r="E85" s="13" t="s">
        <v>857</v>
      </c>
    </row>
    <row r="86" spans="1:5" hidden="1" x14ac:dyDescent="0.2">
      <c r="A86" s="13" t="s">
        <v>2</v>
      </c>
      <c r="B86" s="15">
        <v>43756</v>
      </c>
      <c r="C86" t="s">
        <v>848</v>
      </c>
      <c r="D86" s="2" t="s">
        <v>844</v>
      </c>
      <c r="E86" s="13" t="s">
        <v>857</v>
      </c>
    </row>
    <row r="87" spans="1:5" hidden="1" x14ac:dyDescent="0.2">
      <c r="A87" s="13" t="s">
        <v>2</v>
      </c>
      <c r="B87" s="15">
        <v>43756</v>
      </c>
      <c r="C87" t="s">
        <v>849</v>
      </c>
      <c r="D87" s="2" t="s">
        <v>845</v>
      </c>
      <c r="E87" s="13" t="s">
        <v>857</v>
      </c>
    </row>
    <row r="88" spans="1:5" hidden="1" x14ac:dyDescent="0.2">
      <c r="A88" s="13" t="s">
        <v>2</v>
      </c>
      <c r="B88" s="15">
        <v>43756</v>
      </c>
      <c r="C88" t="s">
        <v>850</v>
      </c>
      <c r="D88" s="2" t="s">
        <v>846</v>
      </c>
      <c r="E88" s="13" t="s">
        <v>858</v>
      </c>
    </row>
    <row r="89" spans="1:5" hidden="1" x14ac:dyDescent="0.2">
      <c r="A89" s="13" t="s">
        <v>2</v>
      </c>
      <c r="B89" s="15">
        <v>43756</v>
      </c>
      <c r="C89" t="s">
        <v>851</v>
      </c>
      <c r="D89" s="2" t="s">
        <v>847</v>
      </c>
      <c r="E89" s="13" t="s">
        <v>858</v>
      </c>
    </row>
    <row r="90" spans="1:5" hidden="1" x14ac:dyDescent="0.2">
      <c r="A90" t="s">
        <v>3</v>
      </c>
      <c r="B90" s="5">
        <v>43761</v>
      </c>
      <c r="C90" t="s">
        <v>899</v>
      </c>
      <c r="D90" s="2" t="s">
        <v>932</v>
      </c>
      <c r="E90" s="13" t="s">
        <v>964</v>
      </c>
    </row>
    <row r="91" spans="1:5" hidden="1" x14ac:dyDescent="0.2">
      <c r="A91" t="s">
        <v>3</v>
      </c>
      <c r="B91" s="5">
        <v>43761</v>
      </c>
      <c r="C91" t="s">
        <v>937</v>
      </c>
      <c r="D91" s="2" t="s">
        <v>935</v>
      </c>
      <c r="E91" s="13" t="s">
        <v>963</v>
      </c>
    </row>
    <row r="92" spans="1:5" hidden="1" x14ac:dyDescent="0.2">
      <c r="A92" t="s">
        <v>3</v>
      </c>
      <c r="B92" s="5">
        <v>43761</v>
      </c>
      <c r="C92" t="s">
        <v>938</v>
      </c>
      <c r="D92" s="2" t="s">
        <v>936</v>
      </c>
      <c r="E92" s="13" t="s">
        <v>963</v>
      </c>
    </row>
    <row r="93" spans="1:5" hidden="1" x14ac:dyDescent="0.2">
      <c r="A93" t="s">
        <v>3</v>
      </c>
      <c r="B93" s="5">
        <v>43761</v>
      </c>
      <c r="C93" t="s">
        <v>965</v>
      </c>
      <c r="D93" s="2" t="s">
        <v>966</v>
      </c>
      <c r="E93" s="13" t="s">
        <v>963</v>
      </c>
    </row>
    <row r="94" spans="1:5" hidden="1" x14ac:dyDescent="0.2">
      <c r="A94" t="s">
        <v>3</v>
      </c>
      <c r="B94" s="5">
        <v>43763</v>
      </c>
      <c r="C94" t="s">
        <v>1032</v>
      </c>
      <c r="D94" s="2" t="s">
        <v>1158</v>
      </c>
      <c r="E94" s="13" t="s">
        <v>1053</v>
      </c>
    </row>
    <row r="95" spans="1:5" hidden="1" x14ac:dyDescent="0.2">
      <c r="A95" t="s">
        <v>3</v>
      </c>
      <c r="B95" s="5">
        <v>43763</v>
      </c>
      <c r="C95" t="s">
        <v>1017</v>
      </c>
      <c r="D95" s="2" t="s">
        <v>1014</v>
      </c>
      <c r="E95" s="13" t="s">
        <v>1053</v>
      </c>
    </row>
    <row r="96" spans="1:5" hidden="1" x14ac:dyDescent="0.2">
      <c r="A96" t="s">
        <v>3</v>
      </c>
      <c r="B96" s="5">
        <v>43763</v>
      </c>
      <c r="C96" t="s">
        <v>1018</v>
      </c>
      <c r="D96" s="2" t="s">
        <v>1015</v>
      </c>
      <c r="E96" s="13" t="s">
        <v>1053</v>
      </c>
    </row>
    <row r="97" spans="1:5" hidden="1" x14ac:dyDescent="0.2">
      <c r="A97" t="s">
        <v>3</v>
      </c>
      <c r="B97" s="5">
        <v>43763</v>
      </c>
      <c r="C97" t="s">
        <v>1019</v>
      </c>
      <c r="D97" s="2" t="s">
        <v>1016</v>
      </c>
      <c r="E97" s="13" t="s">
        <v>1053</v>
      </c>
    </row>
    <row r="98" spans="1:5" hidden="1" x14ac:dyDescent="0.2">
      <c r="A98" s="13" t="s">
        <v>2</v>
      </c>
      <c r="B98" s="15">
        <v>43770</v>
      </c>
      <c r="C98" t="s">
        <v>1024</v>
      </c>
      <c r="D98" s="14" t="s">
        <v>1248</v>
      </c>
      <c r="E98" s="13" t="s">
        <v>1180</v>
      </c>
    </row>
    <row r="99" spans="1:5" hidden="1" x14ac:dyDescent="0.2">
      <c r="A99" s="13" t="s">
        <v>2</v>
      </c>
      <c r="B99" s="15">
        <v>43770</v>
      </c>
      <c r="C99" t="s">
        <v>1161</v>
      </c>
      <c r="D99" s="14" t="s">
        <v>1159</v>
      </c>
      <c r="E99" s="13" t="s">
        <v>1180</v>
      </c>
    </row>
    <row r="100" spans="1:5" hidden="1" x14ac:dyDescent="0.2">
      <c r="A100" s="13" t="s">
        <v>2</v>
      </c>
      <c r="B100" s="15">
        <v>43770</v>
      </c>
      <c r="C100" t="s">
        <v>1162</v>
      </c>
      <c r="D100" s="14" t="s">
        <v>1160</v>
      </c>
      <c r="E100" s="13" t="s">
        <v>1180</v>
      </c>
    </row>
    <row r="101" spans="1:5" hidden="1" x14ac:dyDescent="0.2">
      <c r="A101" s="13" t="s">
        <v>2</v>
      </c>
      <c r="B101" s="15">
        <v>43777</v>
      </c>
      <c r="C101" t="s">
        <v>1174</v>
      </c>
      <c r="D101" s="14" t="s">
        <v>1181</v>
      </c>
      <c r="E101" s="13" t="s">
        <v>1273</v>
      </c>
    </row>
    <row r="102" spans="1:5" hidden="1" x14ac:dyDescent="0.2">
      <c r="A102" s="13" t="s">
        <v>2</v>
      </c>
      <c r="B102" s="15">
        <v>43777</v>
      </c>
      <c r="C102" t="s">
        <v>1270</v>
      </c>
      <c r="D102" s="14" t="s">
        <v>1269</v>
      </c>
      <c r="E102" s="13" t="s">
        <v>1273</v>
      </c>
    </row>
    <row r="103" spans="1:5" hidden="1" x14ac:dyDescent="0.2">
      <c r="A103" s="13" t="s">
        <v>2</v>
      </c>
      <c r="B103" s="15">
        <v>43777</v>
      </c>
      <c r="C103" t="s">
        <v>1271</v>
      </c>
      <c r="D103" s="14" t="s">
        <v>1268</v>
      </c>
      <c r="E103" s="13" t="s">
        <v>1273</v>
      </c>
    </row>
    <row r="104" spans="1:5" hidden="1" x14ac:dyDescent="0.2">
      <c r="A104" s="13" t="s">
        <v>2</v>
      </c>
      <c r="B104" s="15">
        <v>43777</v>
      </c>
      <c r="C104" t="s">
        <v>1272</v>
      </c>
      <c r="D104" s="14" t="s">
        <v>1267</v>
      </c>
      <c r="E104" s="13" t="s">
        <v>1273</v>
      </c>
    </row>
    <row r="105" spans="1:5" hidden="1" x14ac:dyDescent="0.2">
      <c r="A105" t="s">
        <v>3</v>
      </c>
      <c r="B105" s="5">
        <v>43782</v>
      </c>
      <c r="C105" t="s">
        <v>1276</v>
      </c>
      <c r="D105" s="2" t="s">
        <v>1322</v>
      </c>
      <c r="E105" s="13" t="s">
        <v>1336</v>
      </c>
    </row>
    <row r="106" spans="1:5" hidden="1" x14ac:dyDescent="0.2">
      <c r="A106" t="s">
        <v>3</v>
      </c>
      <c r="B106" s="5">
        <v>43782</v>
      </c>
      <c r="C106" t="s">
        <v>1312</v>
      </c>
      <c r="D106" s="14" t="s">
        <v>1310</v>
      </c>
      <c r="E106" s="13" t="s">
        <v>1336</v>
      </c>
    </row>
    <row r="107" spans="1:5" hidden="1" x14ac:dyDescent="0.2">
      <c r="A107" t="s">
        <v>3</v>
      </c>
      <c r="B107" s="5">
        <v>43782</v>
      </c>
      <c r="C107" t="s">
        <v>1313</v>
      </c>
      <c r="D107" s="14" t="s">
        <v>1311</v>
      </c>
      <c r="E107" s="13" t="s">
        <v>1336</v>
      </c>
    </row>
    <row r="108" spans="1:5" hidden="1" x14ac:dyDescent="0.2">
      <c r="A108" s="13" t="s">
        <v>2</v>
      </c>
      <c r="B108" s="15">
        <v>43789</v>
      </c>
      <c r="C108" s="13" t="s">
        <v>1624</v>
      </c>
      <c r="D108" s="14" t="s">
        <v>1366</v>
      </c>
      <c r="E108" s="13" t="s">
        <v>1376</v>
      </c>
    </row>
    <row r="109" spans="1:5" hidden="1" x14ac:dyDescent="0.2">
      <c r="A109" s="13" t="s">
        <v>2</v>
      </c>
      <c r="B109" s="15">
        <v>43789</v>
      </c>
      <c r="C109" s="13" t="s">
        <v>1369</v>
      </c>
      <c r="D109" s="14" t="s">
        <v>1367</v>
      </c>
      <c r="E109" s="13" t="s">
        <v>1376</v>
      </c>
    </row>
    <row r="110" spans="1:5" hidden="1" x14ac:dyDescent="0.2">
      <c r="A110" s="13" t="s">
        <v>2</v>
      </c>
      <c r="B110" s="15">
        <v>43789</v>
      </c>
      <c r="C110" s="13" t="s">
        <v>1370</v>
      </c>
      <c r="D110" s="14" t="s">
        <v>1368</v>
      </c>
      <c r="E110" s="13" t="s">
        <v>1376</v>
      </c>
    </row>
    <row r="111" spans="1:5" hidden="1" x14ac:dyDescent="0.2">
      <c r="A111" s="13" t="s">
        <v>2</v>
      </c>
      <c r="B111" s="15">
        <v>43789</v>
      </c>
      <c r="C111" s="13" t="s">
        <v>1397</v>
      </c>
      <c r="D111" s="14" t="s">
        <v>1398</v>
      </c>
      <c r="E111" s="13" t="s">
        <v>1408</v>
      </c>
    </row>
    <row r="112" spans="1:5" hidden="1" x14ac:dyDescent="0.2">
      <c r="A112" s="13" t="s">
        <v>2</v>
      </c>
      <c r="B112" s="15">
        <v>43789</v>
      </c>
      <c r="C112" s="13" t="s">
        <v>1402</v>
      </c>
      <c r="D112" s="14" t="s">
        <v>1401</v>
      </c>
      <c r="E112" s="13" t="s">
        <v>1408</v>
      </c>
    </row>
    <row r="113" spans="1:5" hidden="1" x14ac:dyDescent="0.2">
      <c r="A113" s="13" t="s">
        <v>2</v>
      </c>
      <c r="B113" s="15">
        <v>43810</v>
      </c>
      <c r="C113" s="13" t="s">
        <v>1468</v>
      </c>
      <c r="D113" s="14" t="s">
        <v>1698</v>
      </c>
      <c r="E113" s="13" t="s">
        <v>1682</v>
      </c>
    </row>
    <row r="114" spans="1:5" hidden="1" x14ac:dyDescent="0.2">
      <c r="A114" s="13" t="s">
        <v>2</v>
      </c>
      <c r="B114" s="15">
        <v>43810</v>
      </c>
      <c r="C114" s="13" t="s">
        <v>1675</v>
      </c>
      <c r="D114" s="14" t="s">
        <v>1670</v>
      </c>
      <c r="E114" s="13" t="s">
        <v>1682</v>
      </c>
    </row>
    <row r="115" spans="1:5" hidden="1" x14ac:dyDescent="0.2">
      <c r="A115" s="13" t="s">
        <v>2</v>
      </c>
      <c r="B115" s="15">
        <v>43810</v>
      </c>
      <c r="C115" s="13" t="s">
        <v>1676</v>
      </c>
      <c r="D115" s="14" t="s">
        <v>1672</v>
      </c>
      <c r="E115" s="13" t="s">
        <v>1682</v>
      </c>
    </row>
    <row r="116" spans="1:5" hidden="1" x14ac:dyDescent="0.2">
      <c r="A116" s="13" t="s">
        <v>2</v>
      </c>
      <c r="B116" s="15">
        <v>43810</v>
      </c>
      <c r="C116" s="13" t="s">
        <v>1677</v>
      </c>
      <c r="D116" s="14" t="s">
        <v>1673</v>
      </c>
      <c r="E116" s="13" t="s">
        <v>1682</v>
      </c>
    </row>
    <row r="117" spans="1:5" hidden="1" x14ac:dyDescent="0.2">
      <c r="A117" s="13" t="s">
        <v>2</v>
      </c>
      <c r="B117" s="15">
        <v>43810</v>
      </c>
      <c r="C117" s="13" t="s">
        <v>1678</v>
      </c>
      <c r="D117" s="14" t="s">
        <v>1674</v>
      </c>
      <c r="E117" s="13" t="s">
        <v>1682</v>
      </c>
    </row>
    <row r="118" spans="1:5" hidden="1" x14ac:dyDescent="0.2">
      <c r="A118" s="13" t="s">
        <v>2</v>
      </c>
      <c r="B118" s="15">
        <v>43810</v>
      </c>
      <c r="C118" s="13" t="s">
        <v>1679</v>
      </c>
      <c r="D118" s="14" t="s">
        <v>1671</v>
      </c>
      <c r="E118" s="13" t="s">
        <v>1682</v>
      </c>
    </row>
    <row r="119" spans="1:5" hidden="1" x14ac:dyDescent="0.2">
      <c r="A119" t="s">
        <v>1773</v>
      </c>
      <c r="B119" s="5">
        <v>43740</v>
      </c>
      <c r="C119" t="s">
        <v>565</v>
      </c>
      <c r="D119" s="2" t="s">
        <v>480</v>
      </c>
      <c r="E119" s="13" t="s">
        <v>610</v>
      </c>
    </row>
    <row r="120" spans="1:5" hidden="1" x14ac:dyDescent="0.2">
      <c r="A120" t="s">
        <v>1773</v>
      </c>
      <c r="B120" s="5">
        <v>43740</v>
      </c>
      <c r="C120" t="s">
        <v>565</v>
      </c>
      <c r="D120" s="2" t="s">
        <v>608</v>
      </c>
      <c r="E120" s="13" t="s">
        <v>611</v>
      </c>
    </row>
    <row r="121" spans="1:5" hidden="1" x14ac:dyDescent="0.2">
      <c r="A121" t="s">
        <v>1773</v>
      </c>
      <c r="B121" s="5">
        <v>43740</v>
      </c>
      <c r="C121" t="s">
        <v>565</v>
      </c>
      <c r="D121" s="16" t="s">
        <v>609</v>
      </c>
      <c r="E121" s="13" t="s">
        <v>611</v>
      </c>
    </row>
    <row r="122" spans="1:5" hidden="1" x14ac:dyDescent="0.2">
      <c r="A122" t="s">
        <v>1773</v>
      </c>
      <c r="B122" s="5">
        <v>43747</v>
      </c>
      <c r="C122" t="s">
        <v>581</v>
      </c>
      <c r="D122" s="2" t="s">
        <v>570</v>
      </c>
      <c r="E122" s="13" t="s">
        <v>652</v>
      </c>
    </row>
    <row r="123" spans="1:5" hidden="1" x14ac:dyDescent="0.2">
      <c r="A123" t="s">
        <v>1773</v>
      </c>
      <c r="B123" s="5">
        <v>43754</v>
      </c>
      <c r="C123" t="s">
        <v>704</v>
      </c>
      <c r="D123" s="2">
        <v>586764298</v>
      </c>
      <c r="E123" s="13" t="s">
        <v>749</v>
      </c>
    </row>
    <row r="124" spans="1:5" hidden="1" x14ac:dyDescent="0.2">
      <c r="A124" t="s">
        <v>1773</v>
      </c>
      <c r="B124" s="5">
        <v>43754</v>
      </c>
      <c r="C124" t="s">
        <v>704</v>
      </c>
      <c r="D124" s="2" t="s">
        <v>747</v>
      </c>
      <c r="E124" s="13" t="s">
        <v>750</v>
      </c>
    </row>
    <row r="125" spans="1:5" hidden="1" x14ac:dyDescent="0.2">
      <c r="A125" t="s">
        <v>1773</v>
      </c>
      <c r="B125" s="5">
        <v>43754</v>
      </c>
      <c r="C125" t="s">
        <v>704</v>
      </c>
      <c r="D125" s="2" t="s">
        <v>748</v>
      </c>
      <c r="E125" s="13" t="s">
        <v>750</v>
      </c>
    </row>
    <row r="126" spans="1:5" hidden="1" x14ac:dyDescent="0.2">
      <c r="A126" t="s">
        <v>1773</v>
      </c>
      <c r="B126" s="5">
        <v>43761</v>
      </c>
      <c r="C126" t="s">
        <v>934</v>
      </c>
      <c r="D126" s="2">
        <v>969720156</v>
      </c>
      <c r="E126" s="13" t="s">
        <v>955</v>
      </c>
    </row>
    <row r="127" spans="1:5" hidden="1" x14ac:dyDescent="0.2">
      <c r="A127" t="s">
        <v>1773</v>
      </c>
      <c r="B127" s="5">
        <v>43761</v>
      </c>
      <c r="C127" t="s">
        <v>934</v>
      </c>
      <c r="D127" s="2" t="s">
        <v>953</v>
      </c>
      <c r="E127" s="13" t="s">
        <v>955</v>
      </c>
    </row>
    <row r="128" spans="1:5" hidden="1" x14ac:dyDescent="0.2">
      <c r="A128" t="s">
        <v>1773</v>
      </c>
      <c r="B128" s="5">
        <v>43761</v>
      </c>
      <c r="C128" t="s">
        <v>934</v>
      </c>
      <c r="D128" s="2" t="s">
        <v>954</v>
      </c>
      <c r="E128" s="13" t="s">
        <v>956</v>
      </c>
    </row>
    <row r="129" spans="1:5" hidden="1" x14ac:dyDescent="0.2">
      <c r="A129" s="13" t="s">
        <v>1773</v>
      </c>
      <c r="B129" s="15">
        <v>43768</v>
      </c>
      <c r="C129" t="s">
        <v>1076</v>
      </c>
      <c r="D129" s="14" t="s">
        <v>1087</v>
      </c>
      <c r="E129" s="13" t="s">
        <v>1117</v>
      </c>
    </row>
    <row r="130" spans="1:5" hidden="1" x14ac:dyDescent="0.2">
      <c r="A130" s="13" t="s">
        <v>1773</v>
      </c>
      <c r="B130" s="15">
        <v>43768</v>
      </c>
      <c r="C130" t="s">
        <v>1076</v>
      </c>
      <c r="D130" s="14" t="s">
        <v>1090</v>
      </c>
      <c r="E130" s="13" t="s">
        <v>1118</v>
      </c>
    </row>
    <row r="131" spans="1:5" hidden="1" x14ac:dyDescent="0.2">
      <c r="A131" s="13" t="s">
        <v>1773</v>
      </c>
      <c r="B131" s="15">
        <v>43775</v>
      </c>
      <c r="C131" t="s">
        <v>1190</v>
      </c>
      <c r="D131" s="14" t="s">
        <v>1189</v>
      </c>
      <c r="E131" s="13" t="s">
        <v>1225</v>
      </c>
    </row>
    <row r="132" spans="1:5" hidden="1" x14ac:dyDescent="0.2">
      <c r="A132" s="13" t="s">
        <v>1773</v>
      </c>
      <c r="B132" s="15">
        <v>43775</v>
      </c>
      <c r="C132" t="s">
        <v>1190</v>
      </c>
      <c r="D132" s="14" t="s">
        <v>1191</v>
      </c>
      <c r="E132" s="13" t="s">
        <v>1226</v>
      </c>
    </row>
    <row r="133" spans="1:5" hidden="1" x14ac:dyDescent="0.2">
      <c r="A133" s="13" t="s">
        <v>1773</v>
      </c>
      <c r="B133" s="15">
        <v>43775</v>
      </c>
      <c r="C133" t="s">
        <v>1190</v>
      </c>
      <c r="D133" s="14" t="s">
        <v>1284</v>
      </c>
      <c r="E133" s="13" t="s">
        <v>1226</v>
      </c>
    </row>
    <row r="134" spans="1:5" hidden="1" x14ac:dyDescent="0.2">
      <c r="A134" s="13" t="s">
        <v>1773</v>
      </c>
      <c r="B134" s="15">
        <v>43782</v>
      </c>
      <c r="C134" t="s">
        <v>1304</v>
      </c>
      <c r="D134" s="2" t="s">
        <v>1212</v>
      </c>
      <c r="E134" s="13" t="s">
        <v>1333</v>
      </c>
    </row>
    <row r="135" spans="1:5" hidden="1" x14ac:dyDescent="0.2">
      <c r="A135" s="13" t="s">
        <v>1773</v>
      </c>
      <c r="B135" s="15">
        <v>43782</v>
      </c>
      <c r="C135" t="s">
        <v>1304</v>
      </c>
      <c r="D135" s="2" t="s">
        <v>1305</v>
      </c>
      <c r="E135" s="13" t="s">
        <v>1334</v>
      </c>
    </row>
    <row r="136" spans="1:5" hidden="1" x14ac:dyDescent="0.2">
      <c r="A136" s="13" t="s">
        <v>1773</v>
      </c>
      <c r="B136" s="15">
        <v>43782</v>
      </c>
      <c r="C136" t="s">
        <v>1304</v>
      </c>
      <c r="D136" s="16" t="s">
        <v>1306</v>
      </c>
      <c r="E136" s="13" t="s">
        <v>1334</v>
      </c>
    </row>
    <row r="137" spans="1:5" hidden="1" x14ac:dyDescent="0.2">
      <c r="A137" s="13" t="s">
        <v>1773</v>
      </c>
      <c r="B137" s="15">
        <v>43789</v>
      </c>
      <c r="C137" s="13" t="s">
        <v>1436</v>
      </c>
      <c r="D137" s="14" t="s">
        <v>1314</v>
      </c>
      <c r="E137" s="13" t="s">
        <v>1437</v>
      </c>
    </row>
    <row r="138" spans="1:5" hidden="1" x14ac:dyDescent="0.2">
      <c r="A138" s="13" t="s">
        <v>1773</v>
      </c>
      <c r="B138" s="15">
        <v>43803</v>
      </c>
      <c r="C138" s="13" t="s">
        <v>1599</v>
      </c>
      <c r="D138" s="14" t="s">
        <v>1489</v>
      </c>
      <c r="E138" s="13" t="s">
        <v>1596</v>
      </c>
    </row>
    <row r="139" spans="1:5" hidden="1" x14ac:dyDescent="0.2">
      <c r="A139" s="13" t="s">
        <v>1773</v>
      </c>
      <c r="B139" s="15">
        <v>43803</v>
      </c>
      <c r="C139" s="13" t="s">
        <v>1599</v>
      </c>
      <c r="D139" s="14" t="s">
        <v>1490</v>
      </c>
      <c r="E139" s="13" t="s">
        <v>1598</v>
      </c>
    </row>
    <row r="140" spans="1:5" hidden="1" x14ac:dyDescent="0.2">
      <c r="A140" s="13" t="s">
        <v>1773</v>
      </c>
      <c r="B140" s="15">
        <v>43796</v>
      </c>
      <c r="C140" s="13" t="s">
        <v>1599</v>
      </c>
      <c r="D140" s="14" t="s">
        <v>1504</v>
      </c>
      <c r="E140" s="13" t="s">
        <v>1598</v>
      </c>
    </row>
    <row r="141" spans="1:5" hidden="1" x14ac:dyDescent="0.2">
      <c r="A141" s="13" t="s">
        <v>1773</v>
      </c>
      <c r="B141" s="15">
        <v>43803</v>
      </c>
      <c r="C141" s="13" t="s">
        <v>1599</v>
      </c>
      <c r="D141" s="14" t="s">
        <v>1597</v>
      </c>
      <c r="E141" s="13" t="s">
        <v>1598</v>
      </c>
    </row>
    <row r="142" spans="1:5" hidden="1" x14ac:dyDescent="0.2">
      <c r="A142" s="13" t="s">
        <v>725</v>
      </c>
      <c r="B142" s="15">
        <v>43749</v>
      </c>
      <c r="C142" t="s">
        <v>642</v>
      </c>
      <c r="D142" s="14" t="s">
        <v>680</v>
      </c>
      <c r="E142" s="13" t="s">
        <v>731</v>
      </c>
    </row>
    <row r="143" spans="1:5" hidden="1" x14ac:dyDescent="0.2">
      <c r="A143" s="13" t="s">
        <v>309</v>
      </c>
      <c r="B143" s="15">
        <v>43755</v>
      </c>
      <c r="C143" t="s">
        <v>459</v>
      </c>
      <c r="D143" s="14">
        <v>585806875</v>
      </c>
      <c r="E143" s="13" t="s">
        <v>805</v>
      </c>
    </row>
    <row r="144" spans="1:5" hidden="1" x14ac:dyDescent="0.2">
      <c r="A144" t="s">
        <v>310</v>
      </c>
      <c r="B144" s="5">
        <v>43766</v>
      </c>
      <c r="C144" t="s">
        <v>460</v>
      </c>
      <c r="D144" s="2">
        <v>585806958</v>
      </c>
      <c r="E144" s="13" t="s">
        <v>1112</v>
      </c>
    </row>
    <row r="145" spans="1:5" hidden="1" x14ac:dyDescent="0.2">
      <c r="A145" t="s">
        <v>310</v>
      </c>
      <c r="B145" s="5">
        <v>43766</v>
      </c>
      <c r="C145" t="s">
        <v>1080</v>
      </c>
      <c r="D145" s="2">
        <v>586916934</v>
      </c>
      <c r="E145" s="13" t="s">
        <v>1114</v>
      </c>
    </row>
    <row r="146" spans="1:5" hidden="1" x14ac:dyDescent="0.2">
      <c r="A146" t="s">
        <v>310</v>
      </c>
      <c r="B146" s="5">
        <v>43766</v>
      </c>
      <c r="C146" t="s">
        <v>1080</v>
      </c>
      <c r="D146" s="2">
        <v>586916934</v>
      </c>
      <c r="E146" s="13" t="s">
        <v>1116</v>
      </c>
    </row>
    <row r="147" spans="1:5" hidden="1" x14ac:dyDescent="0.2">
      <c r="A147" t="s">
        <v>310</v>
      </c>
      <c r="B147" s="5">
        <v>43766</v>
      </c>
      <c r="C147" t="s">
        <v>1080</v>
      </c>
      <c r="D147" s="2">
        <v>586916934</v>
      </c>
      <c r="E147" s="13" t="s">
        <v>1113</v>
      </c>
    </row>
    <row r="148" spans="1:5" hidden="1" x14ac:dyDescent="0.2">
      <c r="A148" t="s">
        <v>310</v>
      </c>
      <c r="B148" s="5">
        <v>43766</v>
      </c>
      <c r="C148" t="s">
        <v>1080</v>
      </c>
      <c r="D148" s="2">
        <v>586916934</v>
      </c>
      <c r="E148" s="13" t="s">
        <v>1115</v>
      </c>
    </row>
    <row r="149" spans="1:5" hidden="1" x14ac:dyDescent="0.2">
      <c r="A149" s="13" t="s">
        <v>309</v>
      </c>
      <c r="B149" s="15">
        <v>43793</v>
      </c>
      <c r="C149" s="13" t="s">
        <v>1599</v>
      </c>
      <c r="D149" s="14">
        <v>587895625</v>
      </c>
      <c r="E149" s="13" t="s">
        <v>1598</v>
      </c>
    </row>
    <row r="150" spans="1:5" hidden="1" x14ac:dyDescent="0.2">
      <c r="A150" s="13" t="s">
        <v>309</v>
      </c>
      <c r="B150" s="15">
        <v>43793</v>
      </c>
      <c r="C150" s="13" t="s">
        <v>1599</v>
      </c>
      <c r="D150" s="14">
        <v>587895625</v>
      </c>
      <c r="E150" s="13" t="s">
        <v>1598</v>
      </c>
    </row>
    <row r="151" spans="1:5" hidden="1" x14ac:dyDescent="0.2">
      <c r="A151" t="s">
        <v>203</v>
      </c>
      <c r="B151" s="5">
        <v>43766</v>
      </c>
      <c r="C151" t="s">
        <v>918</v>
      </c>
      <c r="D151" s="2">
        <v>586741664</v>
      </c>
      <c r="E151" s="13" t="s">
        <v>1056</v>
      </c>
    </row>
    <row r="152" spans="1:5" hidden="1" x14ac:dyDescent="0.2">
      <c r="A152" s="13" t="s">
        <v>989</v>
      </c>
      <c r="B152" s="15">
        <v>43763</v>
      </c>
      <c r="C152" t="s">
        <v>979</v>
      </c>
      <c r="D152" s="14" t="s">
        <v>1039</v>
      </c>
    </row>
    <row r="153" spans="1:5" hidden="1" x14ac:dyDescent="0.2">
      <c r="A153" t="s">
        <v>73</v>
      </c>
      <c r="B153" s="5">
        <v>43740</v>
      </c>
      <c r="C153" t="s">
        <v>453</v>
      </c>
      <c r="D153" s="2" t="s">
        <v>452</v>
      </c>
      <c r="E153" s="13" t="s">
        <v>612</v>
      </c>
    </row>
    <row r="154" spans="1:5" hidden="1" x14ac:dyDescent="0.2">
      <c r="A154" s="13" t="s">
        <v>75</v>
      </c>
      <c r="B154" s="15">
        <v>43760</v>
      </c>
      <c r="C154" t="s">
        <v>960</v>
      </c>
      <c r="D154" s="14" t="s">
        <v>961</v>
      </c>
      <c r="E154" s="13" t="s">
        <v>962</v>
      </c>
    </row>
    <row r="155" spans="1:5" hidden="1" x14ac:dyDescent="0.2">
      <c r="A155" s="13" t="s">
        <v>75</v>
      </c>
      <c r="B155" s="15">
        <v>43774</v>
      </c>
      <c r="C155" t="s">
        <v>1202</v>
      </c>
      <c r="D155" s="14">
        <v>587346262</v>
      </c>
      <c r="E155" s="13" t="s">
        <v>1259</v>
      </c>
    </row>
    <row r="156" spans="1:5" hidden="1" x14ac:dyDescent="0.2">
      <c r="A156" s="13" t="s">
        <v>75</v>
      </c>
      <c r="B156" s="15">
        <v>43803</v>
      </c>
      <c r="C156" s="13" t="s">
        <v>1606</v>
      </c>
      <c r="D156" s="14" t="s">
        <v>1607</v>
      </c>
      <c r="E156" s="13" t="s">
        <v>1608</v>
      </c>
    </row>
    <row r="157" spans="1:5" hidden="1" x14ac:dyDescent="0.2">
      <c r="A157" s="13" t="s">
        <v>1764</v>
      </c>
      <c r="B157" s="15">
        <v>43817</v>
      </c>
      <c r="C157" s="13" t="s">
        <v>1976</v>
      </c>
      <c r="D157" s="14" t="s">
        <v>1736</v>
      </c>
      <c r="E157" s="13" t="s">
        <v>1979</v>
      </c>
    </row>
    <row r="158" spans="1:5" hidden="1" x14ac:dyDescent="0.2">
      <c r="A158" s="13" t="s">
        <v>1764</v>
      </c>
      <c r="B158" s="15">
        <v>43817</v>
      </c>
      <c r="C158" s="13" t="s">
        <v>1976</v>
      </c>
      <c r="D158" s="14" t="s">
        <v>1977</v>
      </c>
      <c r="E158" s="13" t="s">
        <v>1979</v>
      </c>
    </row>
    <row r="159" spans="1:5" hidden="1" x14ac:dyDescent="0.2">
      <c r="A159" s="13" t="s">
        <v>1764</v>
      </c>
      <c r="B159" s="15">
        <v>43817</v>
      </c>
      <c r="C159" s="13" t="s">
        <v>1976</v>
      </c>
      <c r="D159" s="14" t="s">
        <v>1978</v>
      </c>
      <c r="E159" s="13" t="s">
        <v>1979</v>
      </c>
    </row>
    <row r="160" spans="1:5" x14ac:dyDescent="0.2">
      <c r="A160" s="13" t="s">
        <v>1983</v>
      </c>
      <c r="B160" s="15">
        <v>43817</v>
      </c>
      <c r="C160" s="13" t="s">
        <v>1985</v>
      </c>
      <c r="D160" s="14" t="s">
        <v>1709</v>
      </c>
      <c r="E160" s="13" t="s">
        <v>1986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2019-12-24T10:01:16Z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