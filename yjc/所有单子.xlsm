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rang\yjc\"/>
    </mc:Choice>
  </mc:AlternateContent>
  <bookViews>
    <workbookView xWindow="-120" yWindow="-120" windowWidth="19440" windowHeight="11640" activeTab="2"/>
  </bookViews>
  <sheets>
    <sheet name="单票流程" sheetId="5" r:id="rId1"/>
    <sheet name="流水" sheetId="6" r:id="rId2"/>
    <sheet name="透视" sheetId="9" r:id="rId3"/>
    <sheet name="数据" sheetId="10" r:id="rId4"/>
  </sheets>
  <definedNames>
    <definedName name="_xlcn.WorksheetConnection_所有单子.xlsm表21" hidden="1">表2[]</definedName>
    <definedName name="_xlcn.WorksheetConnection_所有单子.xlsm表31" hidden="1">表3[]</definedName>
  </definedNames>
  <calcPr calcId="162913"/>
  <pivotCaches>
    <pivotCache cacheId="366" r:id="rId5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表3" name="表3" connection="WorksheetConnection_所有单子.xlsm!表3"/>
          <x15:modelTable id="表2" name="表2" connection="WorksheetConnection_所有单子.xlsm!表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576" i="6" l="1"/>
  <c r="A577" i="6"/>
  <c r="A578" i="6"/>
  <c r="A579" i="6"/>
  <c r="A580" i="6"/>
  <c r="A581" i="6"/>
  <c r="A582" i="6"/>
  <c r="A394" i="6" l="1"/>
  <c r="A395" i="6"/>
  <c r="A396" i="6"/>
  <c r="A397" i="6"/>
  <c r="A398" i="6"/>
  <c r="A399" i="6"/>
  <c r="A400" i="6"/>
  <c r="A401" i="6"/>
  <c r="A404" i="6"/>
  <c r="A405" i="6"/>
  <c r="A402" i="6"/>
  <c r="A403" i="6"/>
  <c r="A406" i="6"/>
  <c r="A407" i="6"/>
  <c r="A408" i="6"/>
  <c r="A409" i="6"/>
  <c r="A410" i="6"/>
  <c r="A411" i="6"/>
  <c r="A412" i="6"/>
  <c r="A504" i="6" l="1"/>
  <c r="A505" i="6"/>
  <c r="A506" i="6"/>
  <c r="A507" i="6"/>
  <c r="A508" i="6"/>
  <c r="A509" i="6"/>
  <c r="A510" i="6"/>
  <c r="A511" i="6"/>
  <c r="A512" i="6"/>
  <c r="A513" i="6"/>
  <c r="A514" i="6"/>
  <c r="A515" i="6"/>
  <c r="A516" i="6"/>
  <c r="A517" i="6"/>
  <c r="A518" i="6"/>
  <c r="A519" i="6"/>
  <c r="A520" i="6"/>
  <c r="A521" i="6"/>
  <c r="A522" i="6"/>
  <c r="A523" i="6"/>
  <c r="A524" i="6"/>
  <c r="A525" i="6"/>
  <c r="A526" i="6"/>
  <c r="A527" i="6"/>
  <c r="A528" i="6"/>
  <c r="A529" i="6"/>
  <c r="A530" i="6"/>
  <c r="A531" i="6"/>
  <c r="A532" i="6"/>
  <c r="A533" i="6"/>
  <c r="A534" i="6"/>
  <c r="A535" i="6"/>
  <c r="A536" i="6"/>
  <c r="A537" i="6"/>
  <c r="A538" i="6"/>
  <c r="A539" i="6"/>
  <c r="A540" i="6"/>
  <c r="A541" i="6"/>
  <c r="A542" i="6"/>
  <c r="A543" i="6"/>
  <c r="A544" i="6"/>
  <c r="A545" i="6"/>
  <c r="A546" i="6"/>
  <c r="A547" i="6"/>
  <c r="A548" i="6"/>
  <c r="A549" i="6"/>
  <c r="A550" i="6"/>
  <c r="A457" i="6"/>
  <c r="A458" i="6"/>
  <c r="A459" i="6"/>
  <c r="A460" i="6"/>
  <c r="A461" i="6"/>
  <c r="A462" i="6"/>
  <c r="A463" i="6"/>
  <c r="A464" i="6"/>
  <c r="A465" i="6"/>
  <c r="A466" i="6"/>
  <c r="A467" i="6"/>
  <c r="A468" i="6"/>
  <c r="A469" i="6"/>
  <c r="A470" i="6"/>
  <c r="A471" i="6"/>
  <c r="A472" i="6"/>
  <c r="A473" i="6"/>
  <c r="A474" i="6"/>
  <c r="A475" i="6"/>
  <c r="A476" i="6"/>
  <c r="A477" i="6"/>
  <c r="A478" i="6"/>
  <c r="A479" i="6"/>
  <c r="A480" i="6"/>
  <c r="A481" i="6"/>
  <c r="A482" i="6"/>
  <c r="A483" i="6"/>
  <c r="A484" i="6"/>
  <c r="A485" i="6"/>
  <c r="A486" i="6"/>
  <c r="A487" i="6"/>
  <c r="A488" i="6"/>
  <c r="A489" i="6"/>
  <c r="A490" i="6"/>
  <c r="A491" i="6"/>
  <c r="A492" i="6"/>
  <c r="A493" i="6"/>
  <c r="A494" i="6"/>
  <c r="A495" i="6"/>
  <c r="A496" i="6"/>
  <c r="A497" i="6"/>
  <c r="A498" i="6"/>
  <c r="A499" i="6"/>
  <c r="A500" i="6"/>
  <c r="A501" i="6"/>
  <c r="A502" i="6"/>
  <c r="A503" i="6"/>
  <c r="A257" i="6" l="1"/>
  <c r="A2" i="6" l="1"/>
  <c r="A3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352" i="6"/>
  <c r="A292" i="6"/>
  <c r="A353" i="6"/>
  <c r="A293" i="6"/>
  <c r="A354" i="6"/>
  <c r="A294" i="6"/>
  <c r="A355" i="6"/>
  <c r="A295" i="6"/>
  <c r="A356" i="6"/>
  <c r="A296" i="6"/>
  <c r="A357" i="6"/>
  <c r="A297" i="6"/>
  <c r="A358" i="6"/>
  <c r="A298" i="6"/>
  <c r="A359" i="6"/>
  <c r="A360" i="6"/>
  <c r="A299" i="6"/>
  <c r="A361" i="6"/>
  <c r="A300" i="6"/>
  <c r="A362" i="6"/>
  <c r="A301" i="6"/>
  <c r="A363" i="6"/>
  <c r="A302" i="6"/>
  <c r="A364" i="6"/>
  <c r="A303" i="6"/>
  <c r="A365" i="6"/>
  <c r="A304" i="6"/>
  <c r="A366" i="6"/>
  <c r="A305" i="6"/>
  <c r="A367" i="6"/>
  <c r="A306" i="6"/>
  <c r="A368" i="6"/>
  <c r="A307" i="6"/>
  <c r="A369" i="6"/>
  <c r="A308" i="6"/>
  <c r="A370" i="6"/>
  <c r="A309" i="6"/>
  <c r="A371" i="6"/>
  <c r="A310" i="6"/>
  <c r="A372" i="6"/>
  <c r="A311" i="6"/>
  <c r="A373" i="6"/>
  <c r="A312" i="6"/>
  <c r="A374" i="6"/>
  <c r="A313" i="6"/>
  <c r="A375" i="6"/>
  <c r="A314" i="6"/>
  <c r="A376" i="6"/>
  <c r="A315" i="6"/>
  <c r="A377" i="6"/>
  <c r="A316" i="6"/>
  <c r="A378" i="6"/>
  <c r="A317" i="6"/>
  <c r="A379" i="6"/>
  <c r="A318" i="6"/>
  <c r="A380" i="6"/>
  <c r="A319" i="6"/>
  <c r="A381" i="6"/>
  <c r="A320" i="6"/>
  <c r="A382" i="6"/>
  <c r="A321" i="6"/>
  <c r="A383" i="6"/>
  <c r="A322" i="6"/>
  <c r="A384" i="6"/>
  <c r="A323" i="6"/>
  <c r="A385" i="6"/>
  <c r="A324" i="6"/>
  <c r="A386" i="6"/>
  <c r="A325" i="6"/>
  <c r="A387" i="6"/>
  <c r="A326" i="6"/>
  <c r="A388" i="6"/>
  <c r="A327" i="6"/>
  <c r="A389" i="6"/>
  <c r="A328" i="6"/>
  <c r="A390" i="6"/>
  <c r="A329" i="6"/>
  <c r="A391" i="6"/>
  <c r="A330" i="6"/>
  <c r="A392" i="6"/>
  <c r="A331" i="6"/>
  <c r="A393" i="6"/>
  <c r="A332" i="6"/>
  <c r="A432" i="6"/>
  <c r="A433" i="6"/>
  <c r="A434" i="6"/>
  <c r="A435" i="6"/>
  <c r="A436" i="6"/>
  <c r="A437" i="6"/>
  <c r="A438" i="6"/>
  <c r="A439" i="6"/>
  <c r="A440" i="6"/>
  <c r="A441" i="6"/>
  <c r="A442" i="6"/>
  <c r="A443" i="6"/>
  <c r="A444" i="6"/>
  <c r="A445" i="6"/>
  <c r="A446" i="6"/>
  <c r="A447" i="6"/>
  <c r="A448" i="6"/>
  <c r="A449" i="6"/>
  <c r="A450" i="6"/>
  <c r="A451" i="6"/>
  <c r="A452" i="6"/>
  <c r="A453" i="6"/>
  <c r="A454" i="6"/>
  <c r="A455" i="6"/>
  <c r="A456" i="6"/>
  <c r="A551" i="6"/>
  <c r="A552" i="6"/>
  <c r="A553" i="6"/>
  <c r="A554" i="6"/>
  <c r="A555" i="6"/>
  <c r="A556" i="6"/>
  <c r="A557" i="6"/>
  <c r="A558" i="6"/>
  <c r="A559" i="6"/>
  <c r="A560" i="6"/>
  <c r="A561" i="6"/>
  <c r="A562" i="6"/>
  <c r="A563" i="6"/>
  <c r="A564" i="6"/>
  <c r="A565" i="6"/>
  <c r="A566" i="6"/>
  <c r="A567" i="6"/>
  <c r="A568" i="6"/>
  <c r="A569" i="6"/>
  <c r="A570" i="6"/>
  <c r="A571" i="6"/>
  <c r="A572" i="6"/>
  <c r="A573" i="6"/>
  <c r="A574" i="6"/>
  <c r="A575" i="6"/>
  <c r="A413" i="6"/>
  <c r="A414" i="6"/>
  <c r="A415" i="6"/>
  <c r="A416" i="6"/>
  <c r="A417" i="6"/>
  <c r="A418" i="6"/>
  <c r="A419" i="6"/>
  <c r="A420" i="6"/>
  <c r="A421" i="6"/>
  <c r="A422" i="6"/>
  <c r="A423" i="6"/>
  <c r="A424" i="6"/>
  <c r="A425" i="6"/>
  <c r="A426" i="6"/>
  <c r="A427" i="6"/>
  <c r="A428" i="6"/>
  <c r="A429" i="6"/>
  <c r="A430" i="6"/>
  <c r="A431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351" i="6"/>
</calcChain>
</file>

<file path=xl/connections.xml><?xml version="1.0" encoding="utf-8"?>
<connections xmlns="http://schemas.openxmlformats.org/spreadsheetml/2006/main">
  <connection id="1" keepAlive="1" name="ThisWorkbookDataModel" description="数据模型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所有单子.xlsm!表2" type="102" refreshedVersion="6" minRefreshableVersion="5">
    <extLst>
      <ext xmlns:x15="http://schemas.microsoft.com/office/spreadsheetml/2010/11/main" uri="{DE250136-89BD-433C-8126-D09CA5730AF9}">
        <x15:connection id="表2">
          <x15:rangePr sourceName="_xlcn.WorksheetConnection_所有单子.xlsm表21"/>
        </x15:connection>
      </ext>
    </extLst>
  </connection>
  <connection id="3" name="WorksheetConnection_所有单子.xlsm!表3" type="102" refreshedVersion="6" minRefreshableVersion="5">
    <extLst>
      <ext xmlns:x15="http://schemas.microsoft.com/office/spreadsheetml/2010/11/main" uri="{DE250136-89BD-433C-8126-D09CA5730AF9}">
        <x15:connection id="表3" autoDelete="1">
          <x15:rangePr sourceName="_xlcn.WorksheetConnection_所有单子.xlsm表31"/>
        </x15:connection>
      </ext>
    </extLst>
  </connection>
</connections>
</file>

<file path=xl/sharedStrings.xml><?xml version="1.0" encoding="utf-8"?>
<sst xmlns="http://schemas.openxmlformats.org/spreadsheetml/2006/main" count="2436" uniqueCount="499">
  <si>
    <t>日期</t>
    <phoneticPr fontId="1" type="noConversion"/>
  </si>
  <si>
    <t>OK</t>
    <phoneticPr fontId="1" type="noConversion"/>
  </si>
  <si>
    <t>JS mobis</t>
  </si>
  <si>
    <t>JS mobis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</si>
  <si>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</si>
  <si>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</si>
  <si>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</si>
  <si>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发EDI</t>
  </si>
  <si>
    <t>发EDI</t>
    <phoneticPr fontId="1" type="noConversion"/>
  </si>
  <si>
    <t>邮件申请放单</t>
  </si>
  <si>
    <t>邮件申请放单</t>
    <phoneticPr fontId="1" type="noConversion"/>
  </si>
  <si>
    <t>收到HMM(Neo) 放单确认</t>
  </si>
  <si>
    <t>收到客户(周嘉敏)订舱预报</t>
  </si>
  <si>
    <t>发EDI【如需拆单】</t>
  </si>
  <si>
    <t>发EDI【如需拆单】</t>
    <phoneticPr fontId="1" type="noConversion"/>
  </si>
  <si>
    <t>邮件申请放单【如需拆单】</t>
  </si>
  <si>
    <t>邮件申请放单【如需拆单】</t>
    <phoneticPr fontId="1" type="noConversion"/>
  </si>
  <si>
    <t>收到HMM(Neo) 放单确认【如需拆单】</t>
  </si>
  <si>
    <t>收到HMM(Neo) 放单确认【如需拆单】</t>
    <phoneticPr fontId="1" type="noConversion"/>
  </si>
  <si>
    <t>公共盘生成提单号</t>
  </si>
  <si>
    <t>公共盘生成提单号</t>
    <phoneticPr fontId="1" type="noConversion"/>
  </si>
  <si>
    <t>YJC系统生成单子</t>
  </si>
  <si>
    <t>YJC系统生成单子</t>
    <phoneticPr fontId="1" type="noConversion"/>
  </si>
  <si>
    <t>公共盘生成提单号【如需拆单】</t>
  </si>
  <si>
    <t>公共盘生成提单号【如需拆单】</t>
    <phoneticPr fontId="1" type="noConversion"/>
  </si>
  <si>
    <t>YJC系统生成单子【如需拆单】</t>
  </si>
  <si>
    <t>YJC系统生成单子【如需拆单】</t>
    <phoneticPr fontId="1" type="noConversion"/>
  </si>
  <si>
    <t>收到客户(周嘉敏)发来做箱数据(报关资料)</t>
  </si>
  <si>
    <t>收到客户(周嘉敏)做箱通知</t>
  </si>
  <si>
    <t>一般周五发隔周</t>
  </si>
  <si>
    <t>一般周五发隔周</t>
    <phoneticPr fontId="1" type="noConversion"/>
  </si>
  <si>
    <t>一般周一发下周</t>
  </si>
  <si>
    <t>一般周一发下周</t>
    <phoneticPr fontId="1" type="noConversion"/>
  </si>
  <si>
    <t>一般半天内</t>
  </si>
  <si>
    <t>一般半天内</t>
    <phoneticPr fontId="1" type="noConversion"/>
  </si>
  <si>
    <t>一般做箱头天一早</t>
  </si>
  <si>
    <t>一般做箱头天一早</t>
    <phoneticPr fontId="1" type="noConversion"/>
  </si>
  <si>
    <t>一般做箱当天一早</t>
  </si>
  <si>
    <t>一般做箱当天一早</t>
    <phoneticPr fontId="1" type="noConversion"/>
  </si>
  <si>
    <t>按报关(发票)数生成提单号【如发票数超过提单数】</t>
  </si>
  <si>
    <t>发做箱通知邮件给车队(沈丽)</t>
  </si>
  <si>
    <t>发做箱通知邮件给车队(沈丽)</t>
    <phoneticPr fontId="1" type="noConversion"/>
  </si>
  <si>
    <t>做做箱数据，QQ发车队(沈丽)</t>
  </si>
  <si>
    <t>收到车队(沈丽)装箱单</t>
  </si>
  <si>
    <t>一般马上</t>
  </si>
  <si>
    <t>一般马上</t>
    <phoneticPr fontId="1" type="noConversion"/>
  </si>
  <si>
    <t>做报关资料，扫描发报关行(黄寅文)QQ</t>
  </si>
  <si>
    <t>收到报关行(黄寅文)校对稿，邮件发客户(周嘉敏)确认</t>
  </si>
  <si>
    <t>收到客户(周嘉敏)确认校对稿，通知报关行(黄寅文)</t>
  </si>
  <si>
    <t>一般马上</t>
    <phoneticPr fontId="1" type="noConversion"/>
  </si>
  <si>
    <t>收到HMM(He)生成提单通知</t>
  </si>
  <si>
    <t>一般马上</t>
    <phoneticPr fontId="1" type="noConversion"/>
  </si>
  <si>
    <t>按报关(发票)数生成提单号【如发票数超过提单数】</t>
    <phoneticPr fontId="1" type="noConversion"/>
  </si>
  <si>
    <t>做做箱数据，QQ发车队(沈丽)</t>
    <phoneticPr fontId="1" type="noConversion"/>
  </si>
  <si>
    <t>做报关资料，扫描发报关行(黄寅文)QQ</t>
    <phoneticPr fontId="1" type="noConversion"/>
  </si>
  <si>
    <t>收到HMM(He)生成提单通知</t>
    <phoneticPr fontId="1" type="noConversion"/>
  </si>
  <si>
    <t>HMM网站核对提单信息</t>
  </si>
  <si>
    <t>HMM网站核对提单信息</t>
    <phoneticPr fontId="1" type="noConversion"/>
  </si>
  <si>
    <t>HMM网站核对订舱信息【如需拆单】</t>
  </si>
  <si>
    <t>HMM网站核对订舱信息【如需拆单】</t>
    <phoneticPr fontId="1" type="noConversion"/>
  </si>
  <si>
    <t>HMM网站核对订舱信息</t>
  </si>
  <si>
    <t>HMM网站核对订舱信息</t>
    <phoneticPr fontId="1" type="noConversion"/>
  </si>
  <si>
    <t>收到HMM(Neo)预订舱邮件通知</t>
  </si>
  <si>
    <t>收到HMM(Neo)预订舱邮件通知</t>
    <phoneticPr fontId="1" type="noConversion"/>
  </si>
  <si>
    <t>回复HMM(Neo)预订舱邮件</t>
  </si>
  <si>
    <t>回复HMM(Neo)预订舱邮件</t>
    <phoneticPr fontId="1" type="noConversion"/>
  </si>
  <si>
    <t>收到HMM(Neo)预订舱确认</t>
  </si>
  <si>
    <t>收到HMM(Neo)预订舱确认</t>
    <phoneticPr fontId="1" type="noConversion"/>
  </si>
  <si>
    <t>发VGM和舱单</t>
  </si>
  <si>
    <t>发VGM和舱单</t>
    <phoneticPr fontId="1" type="noConversion"/>
  </si>
  <si>
    <t>核对舱单信息</t>
  </si>
  <si>
    <t>核对舱单信息</t>
    <phoneticPr fontId="1" type="noConversion"/>
  </si>
  <si>
    <t>一般两小时左右</t>
  </si>
  <si>
    <t>一般两小时左右</t>
    <phoneticPr fontId="1" type="noConversion"/>
  </si>
  <si>
    <t>通知报关行(黄寅文)报关(需有开港)</t>
  </si>
  <si>
    <t>盯海关网站舱单</t>
  </si>
  <si>
    <t>盯海关网站舱单</t>
    <phoneticPr fontId="1" type="noConversion"/>
  </si>
  <si>
    <t>收到报关成功通知</t>
  </si>
  <si>
    <t>收到报关成功通知</t>
    <phoneticPr fontId="1" type="noConversion"/>
  </si>
  <si>
    <t>一般下班前</t>
  </si>
  <si>
    <t>一般下班前</t>
    <phoneticPr fontId="1" type="noConversion"/>
  </si>
  <si>
    <t>通知车队(沈丽)可进港</t>
  </si>
  <si>
    <t>通知车队(沈丽)可进港</t>
    <phoneticPr fontId="1" type="noConversion"/>
  </si>
  <si>
    <t>做ISF，发国外资料</t>
  </si>
  <si>
    <t>做ISF，发国外资料</t>
    <phoneticPr fontId="1" type="noConversion"/>
  </si>
  <si>
    <t>买保险</t>
  </si>
  <si>
    <t>买保险</t>
    <phoneticPr fontId="1" type="noConversion"/>
  </si>
  <si>
    <t>做保函给邹师傅</t>
  </si>
  <si>
    <t>做保函给邹师傅</t>
    <phoneticPr fontId="1" type="noConversion"/>
  </si>
  <si>
    <t>盯箱子进港</t>
  </si>
  <si>
    <t>盯箱子进港</t>
    <phoneticPr fontId="1" type="noConversion"/>
  </si>
  <si>
    <t>核对进港数据</t>
  </si>
  <si>
    <t>核对进港数据</t>
    <phoneticPr fontId="1" type="noConversion"/>
  </si>
  <si>
    <t>盯海放</t>
  </si>
  <si>
    <t>盯海放</t>
    <phoneticPr fontId="1" type="noConversion"/>
  </si>
  <si>
    <t>盯码放</t>
  </si>
  <si>
    <t>盯码放</t>
    <phoneticPr fontId="1" type="noConversion"/>
  </si>
  <si>
    <t>盯配载</t>
  </si>
  <si>
    <t>盯配载</t>
    <phoneticPr fontId="1" type="noConversion"/>
  </si>
  <si>
    <t>做费用</t>
  </si>
  <si>
    <t>发账单</t>
  </si>
  <si>
    <t>放单</t>
  </si>
  <si>
    <t>放单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</si>
  <si>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</si>
  <si>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</si>
  <si>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</si>
  <si>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备注</t>
    <phoneticPr fontId="1" type="noConversion"/>
  </si>
  <si>
    <t>备注</t>
    <phoneticPr fontId="1" type="noConversion"/>
  </si>
  <si>
    <t>收到客户(周嘉敏)订舱预报</t>
    <phoneticPr fontId="1" type="noConversion"/>
  </si>
  <si>
    <t>收到HMM(Neo)预订舱邮件通知</t>
    <phoneticPr fontId="1" type="noConversion"/>
  </si>
  <si>
    <t>回复HMM(Neo)预订舱邮件</t>
    <phoneticPr fontId="1" type="noConversion"/>
  </si>
  <si>
    <t>收到HMM(Neo)预订舱确认</t>
    <phoneticPr fontId="1" type="noConversion"/>
  </si>
  <si>
    <t>YJC系统生成单子</t>
    <phoneticPr fontId="1" type="noConversion"/>
  </si>
  <si>
    <t>发EDI</t>
    <phoneticPr fontId="1" type="noConversion"/>
  </si>
  <si>
    <t>收到HMM(Neo) 放单确认</t>
    <phoneticPr fontId="1" type="noConversion"/>
  </si>
  <si>
    <t>收到客户(周嘉敏)做箱通知</t>
    <phoneticPr fontId="1" type="noConversion"/>
  </si>
  <si>
    <t>发做箱通知邮件给车队(沈丽)</t>
    <phoneticPr fontId="1" type="noConversion"/>
  </si>
  <si>
    <t>YJC系统生成单子【如需拆单】</t>
    <phoneticPr fontId="1" type="noConversion"/>
  </si>
  <si>
    <t>发EDI【如需拆单】</t>
    <phoneticPr fontId="1" type="noConversion"/>
  </si>
  <si>
    <t>邮件申请放单【如需拆单】</t>
    <phoneticPr fontId="1" type="noConversion"/>
  </si>
  <si>
    <t>收到HMM(Neo) 放单确认【如需拆单】</t>
    <phoneticPr fontId="1" type="noConversion"/>
  </si>
  <si>
    <t>收到客户(周嘉敏)发来做箱数据(报关资料)</t>
    <phoneticPr fontId="1" type="noConversion"/>
  </si>
  <si>
    <t>做做箱数据，QQ发车队(沈丽)</t>
    <phoneticPr fontId="1" type="noConversion"/>
  </si>
  <si>
    <t>做报关资料，扫描发报关行(黄寅文)QQ</t>
    <phoneticPr fontId="1" type="noConversion"/>
  </si>
  <si>
    <t>收到车队(沈丽)装箱单</t>
    <phoneticPr fontId="1" type="noConversion"/>
  </si>
  <si>
    <t>YJC系统填截单数据，发EDI，邮件HMM(He)生成提单</t>
    <phoneticPr fontId="1" type="noConversion"/>
  </si>
  <si>
    <t>收到HMM(He)生成提单通知</t>
    <phoneticPr fontId="1" type="noConversion"/>
  </si>
  <si>
    <t>做保函给邹师傅</t>
    <phoneticPr fontId="1" type="noConversion"/>
  </si>
  <si>
    <t>发VGM和舱单</t>
    <phoneticPr fontId="1" type="noConversion"/>
  </si>
  <si>
    <t>做ISF，发国外资料</t>
    <phoneticPr fontId="1" type="noConversion"/>
  </si>
  <si>
    <t>核对舱单信息</t>
    <phoneticPr fontId="1" type="noConversion"/>
  </si>
  <si>
    <t>收到报关行(黄寅文)校对稿，邮件发客户(周嘉敏)确认</t>
    <phoneticPr fontId="1" type="noConversion"/>
  </si>
  <si>
    <t>收到客户(周嘉敏)确认校对稿，通知报关行(黄寅文)</t>
    <phoneticPr fontId="1" type="noConversion"/>
  </si>
  <si>
    <t>收到报关成功通知</t>
    <phoneticPr fontId="1" type="noConversion"/>
  </si>
  <si>
    <t>通知车队(沈丽)可进港</t>
    <phoneticPr fontId="1" type="noConversion"/>
  </si>
  <si>
    <t>盯箱子进港</t>
    <phoneticPr fontId="1" type="noConversion"/>
  </si>
  <si>
    <t>盯海放</t>
    <phoneticPr fontId="1" type="noConversion"/>
  </si>
  <si>
    <t>盯配载</t>
    <phoneticPr fontId="1" type="noConversion"/>
  </si>
  <si>
    <t>一般开船后两三天</t>
  </si>
  <si>
    <t>一般开船后两三天</t>
    <phoneticPr fontId="1" type="noConversion"/>
  </si>
  <si>
    <t>一般开船后两三天</t>
    <phoneticPr fontId="1" type="noConversion"/>
  </si>
  <si>
    <t>KMM HMI</t>
    <phoneticPr fontId="1" type="noConversion"/>
  </si>
  <si>
    <t>收到孙丹发来订舱托书(CK也收到)</t>
  </si>
  <si>
    <t>一般周四</t>
  </si>
  <si>
    <t>一般周四</t>
    <phoneticPr fontId="1" type="noConversion"/>
  </si>
  <si>
    <t>做做箱数据，邮件群发</t>
  </si>
  <si>
    <t>做做箱数据，邮件群发</t>
    <phoneticPr fontId="1" type="noConversion"/>
  </si>
  <si>
    <t>根据装箱计划汇总包装数据，发各工厂做报关资料</t>
  </si>
  <si>
    <t>根据装箱计划汇总包装数据，发各工厂做报关资料</t>
    <phoneticPr fontId="1" type="noConversion"/>
  </si>
  <si>
    <t>收到工厂发来报关资料并完善</t>
  </si>
  <si>
    <t>当天至隔天</t>
  </si>
  <si>
    <t>当天至隔天</t>
    <phoneticPr fontId="1" type="noConversion"/>
  </si>
  <si>
    <t>通知发舱单</t>
  </si>
  <si>
    <t>根据港区</t>
  </si>
  <si>
    <t>通知进港，进港(核对数据)，通知报关，报关成功</t>
  </si>
  <si>
    <t>收到CK发来预配(做箱通知)</t>
  </si>
  <si>
    <t>收到包装厂(刘倩梅)发来包装指示书和装箱计划</t>
  </si>
  <si>
    <t>收到包装厂(刘倩梅)发来包装指示书和装箱计划</t>
    <phoneticPr fontId="1" type="noConversion"/>
  </si>
  <si>
    <t>报关资料齐了，发报关行(黄寅文)</t>
  </si>
  <si>
    <t>报关资料齐了，发报关行(黄寅文)</t>
    <phoneticPr fontId="1" type="noConversion"/>
  </si>
  <si>
    <t>KMM</t>
    <phoneticPr fontId="1" type="noConversion"/>
  </si>
  <si>
    <t>一般KMM五、HMI日</t>
  </si>
  <si>
    <t>一般KMM五、HMI日</t>
    <phoneticPr fontId="1" type="noConversion"/>
  </si>
  <si>
    <t>HMI</t>
    <phoneticPr fontId="1" type="noConversion"/>
  </si>
  <si>
    <t>HMI</t>
    <phoneticPr fontId="1" type="noConversion"/>
  </si>
  <si>
    <t>收到车队(沈丽)装箱单和洋山提箱截图(如有)</t>
    <phoneticPr fontId="1" type="noConversion"/>
  </si>
  <si>
    <t>KMM</t>
  </si>
  <si>
    <t>总计</t>
  </si>
  <si>
    <t>列</t>
  </si>
  <si>
    <t>WX mobis</t>
    <phoneticPr fontId="1" type="noConversion"/>
  </si>
  <si>
    <t>注意截单时间</t>
    <phoneticPr fontId="1" type="noConversion"/>
  </si>
  <si>
    <t>WX mobis</t>
  </si>
  <si>
    <t>列1</t>
  </si>
  <si>
    <t>YJC系统截单，发EDI，邮件HMM(He)【截单时间】</t>
    <phoneticPr fontId="1" type="noConversion"/>
  </si>
  <si>
    <t>YJC系统截单，发EDI，邮件HMM(He)【5-14 12:00】</t>
    <phoneticPr fontId="1" type="noConversion"/>
  </si>
  <si>
    <t>群发装箱单和洋山提箱截图(如有)【05-13 09:00】</t>
    <phoneticPr fontId="1" type="noConversion"/>
  </si>
  <si>
    <t>WX mobis</t>
    <phoneticPr fontId="1" type="noConversion"/>
  </si>
  <si>
    <t>收到胡媛媛发来订舱邮件</t>
    <phoneticPr fontId="1" type="noConversion"/>
  </si>
  <si>
    <t>发订舱托书给万恒（翁小姐）</t>
    <phoneticPr fontId="1" type="noConversion"/>
  </si>
  <si>
    <t>收到万恒（翁小姐）预配</t>
    <phoneticPr fontId="1" type="noConversion"/>
  </si>
  <si>
    <t>一般三小时左右</t>
    <phoneticPr fontId="1" type="noConversion"/>
  </si>
  <si>
    <t>发做箱通知邮件给车队(沈丽)</t>
    <phoneticPr fontId="1" type="noConversion"/>
  </si>
  <si>
    <t>通知报关行(黄寅文)报关(开港、舱单、校对)</t>
  </si>
  <si>
    <t>通知报关行(黄寅文)报关(开港、舱单、校对)</t>
    <phoneticPr fontId="1" type="noConversion"/>
  </si>
  <si>
    <t>群发装箱单和洋山提箱截图(如有)【05-10 09:00】</t>
    <phoneticPr fontId="1" type="noConversion"/>
  </si>
  <si>
    <t>SC glovis</t>
    <phoneticPr fontId="1" type="noConversion"/>
  </si>
  <si>
    <t>收到客户托书</t>
    <phoneticPr fontId="1" type="noConversion"/>
  </si>
  <si>
    <t>生成单号，YJC系统，发EDI，邮件Neo放舱</t>
    <phoneticPr fontId="1" type="noConversion"/>
  </si>
  <si>
    <t>收到Neo放舱确认</t>
    <phoneticPr fontId="1" type="noConversion"/>
  </si>
  <si>
    <t>发预配信息给客户（张婷）</t>
    <phoneticPr fontId="1" type="noConversion"/>
  </si>
  <si>
    <t>收到客户（张婷）报关资料</t>
    <phoneticPr fontId="1" type="noConversion"/>
  </si>
  <si>
    <t>收到客户（张婷）舱单模板和VGM</t>
    <phoneticPr fontId="1" type="noConversion"/>
  </si>
  <si>
    <t>发舱单和VGM</t>
    <phoneticPr fontId="1" type="noConversion"/>
  </si>
  <si>
    <t>发提单确认（两份）</t>
    <phoneticPr fontId="1" type="noConversion"/>
  </si>
  <si>
    <t>收到客户（张婷）提单确认</t>
    <phoneticPr fontId="1" type="noConversion"/>
  </si>
  <si>
    <t>船开</t>
    <phoneticPr fontId="1" type="noConversion"/>
  </si>
  <si>
    <t>做报关资料，发报关行（黄寅文）</t>
    <phoneticPr fontId="1" type="noConversion"/>
  </si>
  <si>
    <t>海关有舱单，核对舱单</t>
    <phoneticPr fontId="1" type="noConversion"/>
  </si>
  <si>
    <t>有开港，通知报关</t>
    <phoneticPr fontId="1" type="noConversion"/>
  </si>
  <si>
    <t>收到报关成功通知</t>
    <phoneticPr fontId="1" type="noConversion"/>
  </si>
  <si>
    <t>通知可进港</t>
    <phoneticPr fontId="1" type="noConversion"/>
  </si>
  <si>
    <t>ZDS</t>
    <phoneticPr fontId="1" type="noConversion"/>
  </si>
  <si>
    <t>汇总 WORKING PROCESS</t>
    <phoneticPr fontId="1" type="noConversion"/>
  </si>
  <si>
    <t>整理HMI KMM 费用</t>
    <phoneticPr fontId="1" type="noConversion"/>
  </si>
  <si>
    <t>KMM</t>
    <phoneticPr fontId="1" type="noConversion"/>
  </si>
  <si>
    <t>HMI</t>
    <phoneticPr fontId="1" type="noConversion"/>
  </si>
  <si>
    <t>KMM</t>
    <phoneticPr fontId="1" type="noConversion"/>
  </si>
  <si>
    <t>HMI</t>
    <phoneticPr fontId="1" type="noConversion"/>
  </si>
  <si>
    <t>收到客户（周嘉敏）取消通知邮件</t>
    <phoneticPr fontId="1" type="noConversion"/>
  </si>
  <si>
    <t>YJC系统取消</t>
    <phoneticPr fontId="1" type="noConversion"/>
  </si>
  <si>
    <t>邮件通知Neo取消</t>
    <phoneticPr fontId="1" type="noConversion"/>
  </si>
  <si>
    <t>收到HMM(Neo)确认取消</t>
    <phoneticPr fontId="1" type="noConversion"/>
  </si>
  <si>
    <t>收到车队(沈丽)装箱单和洋山提箱截图(如有)</t>
  </si>
  <si>
    <t>注意截单时间</t>
  </si>
  <si>
    <t>KMM</t>
    <phoneticPr fontId="1" type="noConversion"/>
  </si>
  <si>
    <t>KMM</t>
    <phoneticPr fontId="1" type="noConversion"/>
  </si>
  <si>
    <t>盯船开</t>
    <phoneticPr fontId="1" type="noConversion"/>
  </si>
  <si>
    <t>YJC系统生成单子</t>
    <phoneticPr fontId="1" type="noConversion"/>
  </si>
  <si>
    <t>群发装箱单和洋山提箱截图(如有)【5-17 17:00】</t>
    <phoneticPr fontId="1" type="noConversion"/>
  </si>
  <si>
    <t>收到车队(沈丽)装箱单</t>
    <phoneticPr fontId="1" type="noConversion"/>
  </si>
  <si>
    <t>填WORKING PROCESS</t>
    <phoneticPr fontId="1" type="noConversion"/>
  </si>
  <si>
    <t>收到HMM(Neo) 放单确认</t>
    <phoneticPr fontId="1" type="noConversion"/>
  </si>
  <si>
    <t>填WORKING PROCESS</t>
    <phoneticPr fontId="1" type="noConversion"/>
  </si>
  <si>
    <t>OK</t>
    <phoneticPr fontId="1" type="noConversion"/>
  </si>
  <si>
    <t>计数项:日期</t>
  </si>
  <si>
    <t>计划</t>
  </si>
  <si>
    <t>计划</t>
    <phoneticPr fontId="1" type="noConversion"/>
  </si>
  <si>
    <t>计划</t>
    <phoneticPr fontId="1" type="noConversion"/>
  </si>
  <si>
    <t>计划</t>
    <phoneticPr fontId="1" type="noConversion"/>
  </si>
  <si>
    <t>状态</t>
  </si>
  <si>
    <t>状态</t>
    <phoneticPr fontId="1" type="noConversion"/>
  </si>
  <si>
    <t>计划</t>
    <phoneticPr fontId="1" type="noConversion"/>
  </si>
  <si>
    <t>收到舱单发送成功通知，核对舱单信息</t>
  </si>
  <si>
    <t>收到舱单发送成功通知，核对舱单信息</t>
    <phoneticPr fontId="1" type="noConversion"/>
  </si>
  <si>
    <t>KMM</t>
    <phoneticPr fontId="1" type="noConversion"/>
  </si>
  <si>
    <t>收到胡媛媛发来订舱邮件</t>
  </si>
  <si>
    <t>发订舱托书给万恒（翁小姐）</t>
  </si>
  <si>
    <t>收到万恒（翁小姐）预配</t>
  </si>
  <si>
    <t>一般三小时左右</t>
  </si>
  <si>
    <t>通知胡媛媛订舱成功</t>
  </si>
  <si>
    <t>通知胡媛媛订舱成功</t>
    <phoneticPr fontId="1" type="noConversion"/>
  </si>
  <si>
    <t>填WORKING PROCESS</t>
  </si>
  <si>
    <t>YJC系统截单，发EDI，邮件HMM(He)【截单时间】</t>
  </si>
  <si>
    <t>OK</t>
    <phoneticPr fontId="1" type="noConversion"/>
  </si>
  <si>
    <t>OK</t>
    <phoneticPr fontId="1" type="noConversion"/>
  </si>
  <si>
    <t>TJ glovis额外费用邮件</t>
  </si>
  <si>
    <t>TJ glovis额外费用邮件</t>
    <phoneticPr fontId="1" type="noConversion"/>
  </si>
  <si>
    <t>TJ glovis当月额外费用汇总邮件</t>
  </si>
  <si>
    <t>TJ glovis当月额外费用汇总邮件</t>
    <phoneticPr fontId="1" type="noConversion"/>
  </si>
  <si>
    <t>月底</t>
  </si>
  <si>
    <t>月底</t>
    <phoneticPr fontId="1" type="noConversion"/>
  </si>
  <si>
    <t>周五</t>
  </si>
  <si>
    <t>周五</t>
    <phoneticPr fontId="1" type="noConversion"/>
  </si>
  <si>
    <t>HMM Neo 下周订舱邮件</t>
  </si>
  <si>
    <t>计划</t>
    <phoneticPr fontId="1" type="noConversion"/>
  </si>
  <si>
    <t>周一</t>
  </si>
  <si>
    <t>周一</t>
    <phoneticPr fontId="1" type="noConversion"/>
  </si>
  <si>
    <t>SHA GLV WORKING PROCESS</t>
  </si>
  <si>
    <t>SHA GLV WORKING PROCESS</t>
    <phoneticPr fontId="1" type="noConversion"/>
  </si>
  <si>
    <t>计划</t>
    <phoneticPr fontId="1" type="noConversion"/>
  </si>
  <si>
    <t>周三</t>
  </si>
  <si>
    <t>周三</t>
    <phoneticPr fontId="1" type="noConversion"/>
  </si>
  <si>
    <t>TJ GLV WORKING PROCESS</t>
  </si>
  <si>
    <t>TJ GLV WORKING PROCESS</t>
    <phoneticPr fontId="1" type="noConversion"/>
  </si>
  <si>
    <t>0 WEEK</t>
  </si>
  <si>
    <t>0 WEEK</t>
    <phoneticPr fontId="1" type="noConversion"/>
  </si>
  <si>
    <t>1 MONTH</t>
  </si>
  <si>
    <t>1 MONTH</t>
    <phoneticPr fontId="1" type="noConversion"/>
  </si>
  <si>
    <t>CK TJ glovis有没有驳货费</t>
  </si>
  <si>
    <t>CK TJ glovis有没有驳货费</t>
    <phoneticPr fontId="1" type="noConversion"/>
  </si>
  <si>
    <t>OK</t>
    <phoneticPr fontId="1" type="noConversion"/>
  </si>
  <si>
    <t>HMI</t>
    <phoneticPr fontId="1" type="noConversion"/>
  </si>
  <si>
    <t>收到客户(孙丹/王珊)发来订舱托书(CK也收到)</t>
  </si>
  <si>
    <t>盯船开</t>
  </si>
  <si>
    <t>OK</t>
    <phoneticPr fontId="1" type="noConversion"/>
  </si>
  <si>
    <t>收到工厂发来报关资料并完善(做报关资料跟客户确认)</t>
    <phoneticPr fontId="1" type="noConversion"/>
  </si>
  <si>
    <t>收到工厂发来报关资料并完善(代做报关资料跟客户确认)</t>
    <phoneticPr fontId="1" type="noConversion"/>
  </si>
  <si>
    <t>OK</t>
    <phoneticPr fontId="1" type="noConversion"/>
  </si>
  <si>
    <t>船开</t>
    <phoneticPr fontId="1" type="noConversion"/>
  </si>
  <si>
    <t>做费用，发账单给谢梦婕</t>
    <phoneticPr fontId="1" type="noConversion"/>
  </si>
  <si>
    <t>OK</t>
    <phoneticPr fontId="1" type="noConversion"/>
  </si>
  <si>
    <t>做费用(对账单日期4号)，放公共盘，填月账单表，发孙丹</t>
  </si>
  <si>
    <t>做费用(对账单日期4号)，放公共盘，填月账单表，发孙丹</t>
    <phoneticPr fontId="1" type="noConversion"/>
  </si>
  <si>
    <t>OK</t>
    <phoneticPr fontId="1" type="noConversion"/>
  </si>
  <si>
    <t>OK</t>
    <phoneticPr fontId="1" type="noConversion"/>
  </si>
  <si>
    <t>OK</t>
  </si>
  <si>
    <t>进港(核对数据)，通知报关，报关成功</t>
    <phoneticPr fontId="1" type="noConversion"/>
  </si>
  <si>
    <t>OK</t>
    <phoneticPr fontId="1" type="noConversion"/>
  </si>
  <si>
    <t>计划</t>
    <phoneticPr fontId="1" type="noConversion"/>
  </si>
  <si>
    <t>船开前一周？</t>
  </si>
  <si>
    <t>船开前一周？</t>
    <phoneticPr fontId="1" type="noConversion"/>
  </si>
  <si>
    <t>收到黄寅文校对稿，发客户（胡媛媛）确认</t>
  </si>
  <si>
    <t>收到黄寅文校对稿，发客户（胡媛媛）确认</t>
    <phoneticPr fontId="1" type="noConversion"/>
  </si>
  <si>
    <t>收到客户（胡媛媛）确认校对稿OK</t>
  </si>
  <si>
    <t>收到客户（胡媛媛）确认校对稿OK</t>
    <phoneticPr fontId="1" type="noConversion"/>
  </si>
  <si>
    <t>买保险，做异地付款保函，发胡媛媛确认盖章回传</t>
  </si>
  <si>
    <t>买保险，做异地付款保函，发胡媛媛确认盖章回传</t>
    <phoneticPr fontId="1" type="noConversion"/>
  </si>
  <si>
    <t>收到胡媛媛发来报关资料</t>
    <phoneticPr fontId="1" type="noConversion"/>
  </si>
  <si>
    <t>收到客户（胡媛媛）发来保函扫描件</t>
  </si>
  <si>
    <t>收到客户（胡媛媛）发来保函扫描件</t>
    <phoneticPr fontId="1" type="noConversion"/>
  </si>
  <si>
    <t>一般马上</t>
    <phoneticPr fontId="1" type="noConversion"/>
  </si>
  <si>
    <t>截单前一天</t>
  </si>
  <si>
    <t>截单前一天</t>
    <phoneticPr fontId="1" type="noConversion"/>
  </si>
  <si>
    <t>跟车队（沈丽）确认明天做箱，如有变动通知胡媛媛</t>
  </si>
  <si>
    <t>截单当天</t>
  </si>
  <si>
    <t>截单当天</t>
    <phoneticPr fontId="1" type="noConversion"/>
  </si>
  <si>
    <t>收到沈丽发来装箱单</t>
  </si>
  <si>
    <t>收到沈丽发来装箱单</t>
    <phoneticPr fontId="1" type="noConversion"/>
  </si>
  <si>
    <t>完善截单资料发万恒（翁小姐），请求发舱单</t>
  </si>
  <si>
    <t>完善截单资料发万恒（翁小姐），请求发舱单</t>
    <phoneticPr fontId="1" type="noConversion"/>
  </si>
  <si>
    <t>收到舱单发送通知，核对舱单，装箱单发报关行报关</t>
  </si>
  <si>
    <t>收到舱单发送通知，核对舱单，装箱单发报关行报关</t>
    <phoneticPr fontId="1" type="noConversion"/>
  </si>
  <si>
    <t xml:space="preserve">收到报关成功通知，通知车队可进港 </t>
  </si>
  <si>
    <t xml:space="preserve">收到报关成功通知，通知车队可进港 </t>
    <phoneticPr fontId="1" type="noConversion"/>
  </si>
  <si>
    <t>进港，核对数据</t>
  </si>
  <si>
    <t>进港，核对数据</t>
    <phoneticPr fontId="1" type="noConversion"/>
  </si>
  <si>
    <t>海放</t>
  </si>
  <si>
    <t>海放</t>
    <phoneticPr fontId="1" type="noConversion"/>
  </si>
  <si>
    <t>码放</t>
  </si>
  <si>
    <t>码放</t>
    <phoneticPr fontId="1" type="noConversion"/>
  </si>
  <si>
    <t>配载</t>
  </si>
  <si>
    <t>配载</t>
    <phoneticPr fontId="1" type="noConversion"/>
  </si>
  <si>
    <t>开船</t>
  </si>
  <si>
    <t>开船</t>
    <phoneticPr fontId="1" type="noConversion"/>
  </si>
  <si>
    <t>放提单和预录单</t>
  </si>
  <si>
    <t>放提单和预录单</t>
    <phoneticPr fontId="1" type="noConversion"/>
  </si>
  <si>
    <t>请求万恒（翁小姐）发提单样本</t>
  </si>
  <si>
    <t>请求万恒（翁小姐）发提单样本</t>
    <phoneticPr fontId="1" type="noConversion"/>
  </si>
  <si>
    <t>收到万恒（翁小姐）发来提单样本，发胡媛媛确认</t>
  </si>
  <si>
    <t>收到万恒（翁小姐）发来提单样本，发胡媛媛确认</t>
    <phoneticPr fontId="1" type="noConversion"/>
  </si>
  <si>
    <t>收到胡媛媛提单确认</t>
  </si>
  <si>
    <t>收到胡媛媛提单确认</t>
    <phoneticPr fontId="1" type="noConversion"/>
  </si>
  <si>
    <t>顺序</t>
    <phoneticPr fontId="1" type="noConversion"/>
  </si>
  <si>
    <t>流水和流程进港报关顺序调整</t>
    <phoneticPr fontId="1" type="noConversion"/>
  </si>
  <si>
    <t>行</t>
  </si>
  <si>
    <t>收到HMM Neo 下周订舱邮件</t>
    <phoneticPr fontId="1" type="noConversion"/>
  </si>
  <si>
    <t>根据JS mobis订舱需求回Neo邮件</t>
    <phoneticPr fontId="1" type="noConversion"/>
  </si>
  <si>
    <t>取消</t>
    <phoneticPr fontId="1" type="noConversion"/>
  </si>
  <si>
    <t>取消</t>
    <phoneticPr fontId="1" type="noConversion"/>
  </si>
  <si>
    <t>收到车队(沈丽)装箱单和洋山提箱截图(如有)，群发，通知发舱单</t>
    <phoneticPr fontId="1" type="noConversion"/>
  </si>
  <si>
    <t>HMI</t>
    <phoneticPr fontId="1" type="noConversion"/>
  </si>
  <si>
    <t>收到舱单发送成功通知，核对舱单信息</t>
    <phoneticPr fontId="1" type="noConversion"/>
  </si>
  <si>
    <t>通知进港</t>
    <phoneticPr fontId="1" type="noConversion"/>
  </si>
  <si>
    <t>进港(核对数据)</t>
    <phoneticPr fontId="1" type="noConversion"/>
  </si>
  <si>
    <t>通知报关</t>
    <phoneticPr fontId="1" type="noConversion"/>
  </si>
  <si>
    <t>报关成功</t>
    <phoneticPr fontId="1" type="noConversion"/>
  </si>
  <si>
    <t>调整顺序</t>
    <phoneticPr fontId="1" type="noConversion"/>
  </si>
  <si>
    <t>调整顺序</t>
    <phoneticPr fontId="1" type="noConversion"/>
  </si>
  <si>
    <t>YJC系统改准确数据，发ESI，邮件何生成提单</t>
    <phoneticPr fontId="1" type="noConversion"/>
  </si>
  <si>
    <t>收到生成提单邮件，网站核对信息</t>
    <phoneticPr fontId="1" type="noConversion"/>
  </si>
  <si>
    <t>收到客户寄来电放保函，盖YJC章，交师傅送胡小姐</t>
    <phoneticPr fontId="1" type="noConversion"/>
  </si>
  <si>
    <t>HMI</t>
  </si>
  <si>
    <t>计划</t>
    <phoneticPr fontId="1" type="noConversion"/>
  </si>
  <si>
    <t>等船公司费用有了，和金小姐一起确定客户费用</t>
    <phoneticPr fontId="1" type="noConversion"/>
  </si>
  <si>
    <t>船公司发好AMS，发来信息</t>
    <phoneticPr fontId="1" type="noConversion"/>
  </si>
  <si>
    <t>放单</t>
    <phoneticPr fontId="1" type="noConversion"/>
  </si>
  <si>
    <t>计划</t>
    <phoneticPr fontId="1" type="noConversion"/>
  </si>
  <si>
    <t>关注开港时间，跟车队（沈丽）确认明天做箱，如有变动通知胡媛媛</t>
    <phoneticPr fontId="1" type="noConversion"/>
  </si>
  <si>
    <t>关注开港时间，跟车队(沈丽)确认做箱时间，如有变动通知胡媛媛</t>
    <phoneticPr fontId="1" type="noConversion"/>
  </si>
  <si>
    <t>SC glovis</t>
  </si>
  <si>
    <t>开港时间？明天做箱？如有变动通知胡媛媛（跟万恒确认17号做可不可以）</t>
    <phoneticPr fontId="1" type="noConversion"/>
  </si>
  <si>
    <t>收到保险公司（常）上月对账单，对账后回复常</t>
    <phoneticPr fontId="1" type="noConversion"/>
  </si>
  <si>
    <t>计划</t>
    <phoneticPr fontId="1" type="noConversion"/>
  </si>
  <si>
    <t>做费用，发账单给谢梦婕</t>
  </si>
  <si>
    <t>船开</t>
  </si>
  <si>
    <t>JS mobis</t>
    <phoneticPr fontId="1" type="noConversion"/>
  </si>
  <si>
    <t>一般上旬</t>
    <phoneticPr fontId="1" type="noConversion"/>
  </si>
  <si>
    <t>收到工厂发来报关资料并完善(代做报关资料跟客户确认)</t>
  </si>
  <si>
    <t>收到车队(沈丽)装箱单和洋山提箱截图(如有)，群发，通知发舱单</t>
  </si>
  <si>
    <t>通知进港</t>
  </si>
  <si>
    <t>调整顺序</t>
  </si>
  <si>
    <t>进港(核对数据)</t>
  </si>
  <si>
    <t>通知报关</t>
  </si>
  <si>
    <t>报关成功</t>
  </si>
  <si>
    <t>KMM</t>
    <phoneticPr fontId="1" type="noConversion"/>
  </si>
  <si>
    <t>KMM</t>
    <phoneticPr fontId="1" type="noConversion"/>
  </si>
  <si>
    <t>收到客户(孙丹/王珊)发来订舱托书</t>
    <phoneticPr fontId="1" type="noConversion"/>
  </si>
  <si>
    <t>收到客户(孙丹/王珊)发来订舱托书</t>
    <phoneticPr fontId="1" type="noConversion"/>
  </si>
  <si>
    <t>收到CK发来预配(做箱通知，沈丽有收到？)，完善YJC系统数据</t>
    <phoneticPr fontId="1" type="noConversion"/>
  </si>
  <si>
    <t>收到CK发来预配(做箱通知，沈丽有收到？)，完善YJC系统数据</t>
    <phoneticPr fontId="1" type="noConversion"/>
  </si>
  <si>
    <t>箱号</t>
    <phoneticPr fontId="1" type="noConversion"/>
  </si>
  <si>
    <t>航次</t>
    <phoneticPr fontId="1" type="noConversion"/>
  </si>
  <si>
    <t>船名cn</t>
    <phoneticPr fontId="1" type="noConversion"/>
  </si>
  <si>
    <t>船名en</t>
    <phoneticPr fontId="1" type="noConversion"/>
  </si>
  <si>
    <t>MAERSK EINDHOVEN</t>
    <phoneticPr fontId="1" type="noConversion"/>
  </si>
  <si>
    <t>马士基埃因霍温</t>
  </si>
  <si>
    <t>918N</t>
    <phoneticPr fontId="1" type="noConversion"/>
  </si>
  <si>
    <t>DRYU4195726</t>
    <phoneticPr fontId="1" type="noConversion"/>
  </si>
  <si>
    <t>HYUNDAI FAITH</t>
    <phoneticPr fontId="1" type="noConversion"/>
  </si>
  <si>
    <t>081E</t>
    <phoneticPr fontId="1" type="noConversion"/>
  </si>
  <si>
    <t>现代信念</t>
  </si>
  <si>
    <t>JS mobis</t>
    <phoneticPr fontId="1" type="noConversion"/>
  </si>
  <si>
    <t>MSC BERYL</t>
    <phoneticPr fontId="1" type="noConversion"/>
  </si>
  <si>
    <t>920N</t>
    <phoneticPr fontId="1" type="noConversion"/>
  </si>
  <si>
    <t>地中海贝丽尔</t>
  </si>
  <si>
    <t>CORCOVADO</t>
    <phoneticPr fontId="1" type="noConversion"/>
  </si>
  <si>
    <t>924E</t>
    <phoneticPr fontId="1" type="noConversion"/>
  </si>
  <si>
    <t>SC glovis</t>
    <phoneticPr fontId="1" type="noConversion"/>
  </si>
  <si>
    <t>MAERSK EMERALD</t>
    <phoneticPr fontId="1" type="noConversion"/>
  </si>
  <si>
    <t>919N</t>
    <phoneticPr fontId="1" type="noConversion"/>
  </si>
  <si>
    <t>马士基埃默拉尔德</t>
  </si>
  <si>
    <t>HDMU2753448</t>
    <phoneticPr fontId="1" type="noConversion"/>
  </si>
  <si>
    <t>GLDU5457048</t>
    <phoneticPr fontId="1" type="noConversion"/>
  </si>
  <si>
    <t>BEAU2064974</t>
    <phoneticPr fontId="1" type="noConversion"/>
  </si>
  <si>
    <t>HDMU2718869</t>
    <phoneticPr fontId="1" type="noConversion"/>
  </si>
  <si>
    <t>MOL BELIEF</t>
    <phoneticPr fontId="1" type="noConversion"/>
  </si>
  <si>
    <t>920E</t>
    <phoneticPr fontId="1" type="noConversion"/>
  </si>
  <si>
    <t>商船三井信念</t>
  </si>
  <si>
    <t>HYUNDAI PRESTIGE</t>
    <phoneticPr fontId="1" type="noConversion"/>
  </si>
  <si>
    <t>063W</t>
    <phoneticPr fontId="1" type="noConversion"/>
  </si>
  <si>
    <t>现代威望</t>
  </si>
  <si>
    <t>COCHRANE</t>
    <phoneticPr fontId="1" type="noConversion"/>
  </si>
  <si>
    <t>921E</t>
    <phoneticPr fontId="1" type="noConversion"/>
  </si>
  <si>
    <t>智利科奇兰</t>
  </si>
  <si>
    <t>COPIAPO</t>
    <phoneticPr fontId="1" type="noConversion"/>
  </si>
  <si>
    <t>919E</t>
    <phoneticPr fontId="1" type="noConversion"/>
  </si>
  <si>
    <t>北欧亚科皮亚波</t>
  </si>
  <si>
    <t>BMOU3082180</t>
    <phoneticPr fontId="1" type="noConversion"/>
  </si>
  <si>
    <t>HYUNDAI FAITH</t>
    <phoneticPr fontId="1" type="noConversion"/>
  </si>
  <si>
    <t>收到客户托书</t>
  </si>
  <si>
    <t>生成单号，YJC系统，发EDI，邮件Neo放舱</t>
  </si>
  <si>
    <t>收到Neo放舱确认</t>
  </si>
  <si>
    <t>发预配信息给客户（张婷）</t>
  </si>
  <si>
    <t>收到客户（张婷）报关资料</t>
  </si>
  <si>
    <t>做报关资料，发报关行（黄寅文）</t>
  </si>
  <si>
    <t>收到客户（张婷）舱单模板和VGM</t>
  </si>
  <si>
    <t>发舱单和VGM</t>
  </si>
  <si>
    <t>收到生成提单邮件，网站核对信息</t>
  </si>
  <si>
    <t>海关有舱单，核对舱单</t>
  </si>
  <si>
    <t>有开港，通知报关</t>
  </si>
  <si>
    <t>发提单确认（两份）</t>
  </si>
  <si>
    <t>通知可进港</t>
  </si>
  <si>
    <t>收到客户（张婷）提单确认</t>
  </si>
  <si>
    <t>等船公司费用有了，和金小姐一起确定客户费用</t>
  </si>
  <si>
    <t>计划</t>
    <phoneticPr fontId="1" type="noConversion"/>
  </si>
  <si>
    <t>OK</t>
    <phoneticPr fontId="1" type="noConversion"/>
  </si>
  <si>
    <t>今天能放箱装？</t>
    <phoneticPr fontId="1" type="noConversion"/>
  </si>
  <si>
    <t>YJC系统改准确数据，发ESI，做AMS模板并邮件何生成提单</t>
    <phoneticPr fontId="1" type="noConversion"/>
  </si>
  <si>
    <t>截单(5-17 11:00)</t>
    <phoneticPr fontId="1" type="noConversion"/>
  </si>
  <si>
    <t>群发装箱单和洋山提箱截图(如有)【5-20】，通知发舱单</t>
    <phoneticPr fontId="1" type="noConversion"/>
  </si>
  <si>
    <t>YJC系统截单，发EDI，邮件HMM(He)【5-21 周二 12:00】</t>
    <phoneticPr fontId="1" type="noConversion"/>
  </si>
  <si>
    <t>YJC系统截单，发EDI，邮件HMM(He)【5-24 12:00】</t>
    <phoneticPr fontId="1" type="noConversion"/>
  </si>
  <si>
    <t>今天</t>
    <phoneticPr fontId="1" type="noConversion"/>
  </si>
  <si>
    <t>三天</t>
    <phoneticPr fontId="1" type="noConversion"/>
  </si>
  <si>
    <t>本周</t>
    <phoneticPr fontId="1" type="noConversion"/>
  </si>
  <si>
    <t>三周</t>
    <phoneticPr fontId="1" type="noConversion"/>
  </si>
  <si>
    <t>完善截单资料发万恒（翁小姐），请求发舱单</t>
    <phoneticPr fontId="1" type="noConversion"/>
  </si>
  <si>
    <t>完善报关资料发报关行（黄寅文），要校对稿，做做箱数据给沈丽</t>
    <phoneticPr fontId="1" type="noConversion"/>
  </si>
  <si>
    <t>完善报关资料发报关行（黄寅文），要校对稿，做箱数据给沈丽</t>
    <phoneticPr fontId="1" type="noConversion"/>
  </si>
  <si>
    <t>收到工厂发来报关资料并完善</t>
    <phoneticPr fontId="1" type="noConversion"/>
  </si>
  <si>
    <t>提单号</t>
    <phoneticPr fontId="1" type="noConversion"/>
  </si>
  <si>
    <t>HDMUQSWB4063465</t>
    <phoneticPr fontId="1" type="noConversion"/>
  </si>
  <si>
    <t>HDMUQSWB4063466</t>
    <phoneticPr fontId="1" type="noConversion"/>
  </si>
  <si>
    <t>HDMUQSWB4063474</t>
    <phoneticPr fontId="1" type="noConversion"/>
  </si>
  <si>
    <t>HLCUSHA1902HGNP3</t>
    <phoneticPr fontId="1" type="noConversion"/>
  </si>
  <si>
    <t>HDMUQSWB4063476</t>
    <phoneticPr fontId="1" type="noConversion"/>
  </si>
  <si>
    <t>JS mobis</t>
    <phoneticPr fontId="1" type="noConversion"/>
  </si>
  <si>
    <t>明天盐城能装？</t>
    <phoneticPr fontId="1" type="noConversion"/>
  </si>
  <si>
    <t>HLCUSHA1904HAJU8</t>
    <phoneticPr fontId="1" type="noConversion"/>
  </si>
  <si>
    <t>BMOU1426939</t>
    <phoneticPr fontId="1" type="noConversion"/>
  </si>
  <si>
    <t>HLCUSHA1902HGNR5</t>
    <phoneticPr fontId="1" type="noConversion"/>
  </si>
  <si>
    <t>HLXU5288057</t>
    <phoneticPr fontId="1" type="noConversion"/>
  </si>
  <si>
    <t>HLCUSHA1902HGNR5A</t>
    <phoneticPr fontId="1" type="noConversion"/>
  </si>
  <si>
    <t>KMM</t>
    <phoneticPr fontId="1" type="noConversion"/>
  </si>
  <si>
    <t>HLCUSHA1902HGNY2</t>
    <phoneticPr fontId="1" type="noConversion"/>
  </si>
  <si>
    <t>HLCUSHA1902HGNY2A</t>
    <phoneticPr fontId="1" type="noConversion"/>
  </si>
  <si>
    <t>COCHRANE</t>
    <phoneticPr fontId="1" type="noConversion"/>
  </si>
  <si>
    <t>921E</t>
    <phoneticPr fontId="1" type="noConversion"/>
  </si>
  <si>
    <t>智利科奇兰</t>
    <phoneticPr fontId="1" type="noConversion"/>
  </si>
  <si>
    <t>收到客户(孙丹/王珊)发来订舱托书</t>
  </si>
  <si>
    <t>收到CK发来预配(做箱通知，沈丽有收到？)，完善YJC系统数据</t>
  </si>
  <si>
    <t>HMI</t>
    <phoneticPr fontId="1" type="noConversion"/>
  </si>
  <si>
    <t>收到HMM Neo 下周订舱邮件</t>
  </si>
  <si>
    <t>根据JS mobis订舱需求回Neo邮件</t>
  </si>
  <si>
    <t>HDMUQSII8239085</t>
    <phoneticPr fontId="1" type="noConversion"/>
  </si>
  <si>
    <t>HDMUQSII8239086</t>
    <phoneticPr fontId="1" type="noConversion"/>
  </si>
  <si>
    <t>HDMUQSII8239087</t>
    <phoneticPr fontId="1" type="noConversion"/>
  </si>
  <si>
    <t>HDMUQSII8239088</t>
    <phoneticPr fontId="1" type="noConversion"/>
  </si>
  <si>
    <t>GAOU6184950</t>
    <phoneticPr fontId="1" type="noConversion"/>
  </si>
  <si>
    <t>箱型</t>
    <phoneticPr fontId="1" type="noConversion"/>
  </si>
  <si>
    <t>40HQ</t>
    <phoneticPr fontId="1" type="noConversion"/>
  </si>
  <si>
    <t>20GP</t>
    <phoneticPr fontId="1" type="noConversion"/>
  </si>
  <si>
    <t>40GP</t>
    <phoneticPr fontId="1" type="noConversion"/>
  </si>
  <si>
    <t>40GP</t>
    <phoneticPr fontId="1" type="noConversion"/>
  </si>
  <si>
    <t>收到客户(徐贵)订舱预报</t>
    <phoneticPr fontId="1" type="noConversion"/>
  </si>
  <si>
    <t>收到客户(徐贵)做箱通知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</si>
  <si>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</si>
  <si>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</si>
  <si>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</si>
  <si>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</si>
  <si>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</si>
  <si>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</si>
  <si>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收到客户(徐贵)做箱通知(5-24截单)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</si>
  <si>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</si>
  <si>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</si>
  <si>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</si>
  <si>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收到客户(徐贵)做箱通知(5-24截单)</t>
    <phoneticPr fontId="1" type="noConversion"/>
  </si>
  <si>
    <t>收到客户(徐贵)做箱通知</t>
    <phoneticPr fontId="1" type="noConversion"/>
  </si>
  <si>
    <t>FCIU4942808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</si>
</sst>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76" formatCode="mm/dd"/>
    <numFmt numFmtId="177" formatCode="mmdd"/>
    <numFmt numFmtId="178" formatCode="0_);[Red]\(0\)"/>
    <numFmt numFmtId="179" formatCode="m/dd\ aaa;@"/>
    <numFmt numFmtId="180" formatCode="mddaaa;@"/>
    <numFmt numFmtId="181" formatCode="mmdd/h"/>
  </numFmts>
  <fonts count="10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theme="1"/>
      <name val="宋体"/>
      <family val="3"/>
      <charset val="134"/>
    </font>
    <font>
      <u/>
      <sz val="11"/>
      <color theme="10"/>
      <name val="等线"/>
      <family val="2"/>
      <charset val="134"/>
      <scheme val="minor"/>
    </font>
    <font>
      <sz val="11"/>
      <color rgb="FF0000FF"/>
      <name val="等线"/>
      <family val="2"/>
      <charset val="134"/>
      <scheme val="minor"/>
    </font>
    <font>
      <sz val="11"/>
      <color rgb="FF0000FF"/>
      <name val="等线"/>
      <family val="3"/>
      <charset val="134"/>
      <scheme val="minor"/>
    </font>
    <font>
      <sz val="11"/>
      <color theme="1"/>
      <name val="等线"/>
      <charset val="134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</cellStyleXfs>
  <cellXfs count="59">
    <xf numFmtId="0" fontId="0" fillId="0" borderId="0" xfId="0">
      <alignment vertical="center"/>
    </xf>
    <xf numFmtId="0" fontId="3" fillId="0" borderId="0" xfId="0" applyFont="1">
      <alignment vertical="center"/>
    </xf>
    <xf numFmtId="176" fontId="3" fillId="0" borderId="0" xfId="0" applyNumberFormat="1" applyFont="1">
      <alignment vertical="center"/>
    </xf>
    <xf numFmtId="0" fontId="2" fillId="0" borderId="2" xfId="0" applyFont="1" applyBorder="1">
      <alignment vertical="center"/>
    </xf>
    <xf numFmtId="177" fontId="2" fillId="0" borderId="3" xfId="0" applyNumberFormat="1" applyFont="1" applyBorder="1">
      <alignment vertical="center"/>
    </xf>
    <xf numFmtId="0" fontId="2" fillId="0" borderId="3" xfId="0" applyFont="1" applyBorder="1">
      <alignment vertical="center"/>
    </xf>
    <xf numFmtId="0" fontId="2" fillId="0" borderId="4" xfId="0" applyFont="1" applyBorder="1">
      <alignment vertical="center"/>
    </xf>
    <xf numFmtId="0" fontId="2" fillId="0" borderId="5" xfId="0" applyFont="1" applyBorder="1">
      <alignment vertical="center"/>
    </xf>
    <xf numFmtId="177" fontId="2" fillId="0" borderId="1" xfId="0" applyNumberFormat="1" applyFont="1" applyBorder="1">
      <alignment vertical="center"/>
    </xf>
    <xf numFmtId="0" fontId="2" fillId="0" borderId="6" xfId="0" applyFont="1" applyBorder="1">
      <alignment vertical="center"/>
    </xf>
    <xf numFmtId="0" fontId="2" fillId="0" borderId="7" xfId="0" applyFont="1" applyBorder="1">
      <alignment vertical="center"/>
    </xf>
    <xf numFmtId="177" fontId="2" fillId="0" borderId="8" xfId="0" applyNumberFormat="1" applyFont="1" applyBorder="1">
      <alignment vertical="center"/>
    </xf>
    <xf numFmtId="0" fontId="2" fillId="0" borderId="9" xfId="0" applyFont="1" applyBorder="1">
      <alignment vertical="center"/>
    </xf>
    <xf numFmtId="0" fontId="4" fillId="0" borderId="0" xfId="0" applyFont="1">
      <alignment vertical="center"/>
    </xf>
    <xf numFmtId="176" fontId="4" fillId="0" borderId="0" xfId="0" applyNumberFormat="1" applyFont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177" fontId="0" fillId="0" borderId="0" xfId="0" applyNumberFormat="1" applyAlignment="1">
      <alignment horizontal="left" vertical="center" indent="1"/>
    </xf>
    <xf numFmtId="178" fontId="0" fillId="0" borderId="0" xfId="0" applyNumberFormat="1">
      <alignment vertical="center"/>
    </xf>
    <xf numFmtId="0" fontId="2" fillId="0" borderId="5" xfId="0" applyNumberFormat="1" applyFont="1" applyBorder="1">
      <alignment vertical="center"/>
    </xf>
    <xf numFmtId="0" fontId="2" fillId="0" borderId="7" xfId="0" applyNumberFormat="1" applyFont="1" applyBorder="1">
      <alignment vertical="center"/>
    </xf>
    <xf numFmtId="176" fontId="2" fillId="0" borderId="1" xfId="0" applyNumberFormat="1" applyFont="1" applyBorder="1" applyAlignment="1">
      <alignment horizontal="center" vertical="center"/>
    </xf>
    <xf numFmtId="176" fontId="2" fillId="0" borderId="8" xfId="0" applyNumberFormat="1" applyFont="1" applyBorder="1" applyAlignment="1">
      <alignment horizontal="center" vertical="center"/>
    </xf>
    <xf numFmtId="0" fontId="2" fillId="0" borderId="0" xfId="0" applyFont="1">
      <alignment vertical="center"/>
    </xf>
    <xf numFmtId="179" fontId="2" fillId="0" borderId="1" xfId="0" applyNumberFormat="1" applyFont="1" applyBorder="1">
      <alignment vertical="center"/>
    </xf>
    <xf numFmtId="179" fontId="2" fillId="0" borderId="8" xfId="0" applyNumberFormat="1" applyFont="1" applyBorder="1">
      <alignment vertical="center"/>
    </xf>
    <xf numFmtId="180" fontId="0" fillId="0" borderId="0" xfId="0" applyNumberFormat="1" applyAlignment="1">
      <alignment vertical="center"/>
    </xf>
    <xf numFmtId="178" fontId="2" fillId="0" borderId="1" xfId="0" applyNumberFormat="1" applyFont="1" applyBorder="1">
      <alignment vertical="center"/>
    </xf>
    <xf numFmtId="178" fontId="2" fillId="0" borderId="8" xfId="0" applyNumberFormat="1" applyFont="1" applyBorder="1">
      <alignment vertical="center"/>
    </xf>
    <xf numFmtId="178" fontId="3" fillId="0" borderId="0" xfId="0" applyNumberFormat="1" applyFont="1">
      <alignment vertical="center"/>
    </xf>
    <xf numFmtId="178" fontId="4" fillId="0" borderId="0" xfId="0" applyNumberFormat="1" applyFont="1">
      <alignment vertical="center"/>
    </xf>
    <xf numFmtId="0" fontId="5" fillId="0" borderId="0" xfId="0" applyFont="1">
      <alignment vertical="center"/>
    </xf>
    <xf numFmtId="176" fontId="5" fillId="0" borderId="0" xfId="0" applyNumberFormat="1" applyFont="1">
      <alignment vertical="center"/>
    </xf>
    <xf numFmtId="178" fontId="5" fillId="0" borderId="0" xfId="0" applyNumberFormat="1" applyFont="1">
      <alignment vertical="center"/>
    </xf>
    <xf numFmtId="0" fontId="2" fillId="0" borderId="1" xfId="0" applyFont="1" applyBorder="1" applyAlignment="1">
      <alignment vertical="center" shrinkToFit="1"/>
    </xf>
    <xf numFmtId="0" fontId="2" fillId="0" borderId="0" xfId="0" applyFont="1" applyBorder="1" applyAlignment="1">
      <alignment vertical="center" shrinkToFit="1"/>
    </xf>
    <xf numFmtId="0" fontId="2" fillId="0" borderId="8" xfId="0" applyFont="1" applyBorder="1" applyAlignment="1">
      <alignment vertical="center" shrinkToFit="1"/>
    </xf>
    <xf numFmtId="181" fontId="0" fillId="0" borderId="0" xfId="0" applyNumberFormat="1" applyAlignment="1">
      <alignment horizontal="left" vertical="center" indent="1"/>
    </xf>
    <xf numFmtId="58" fontId="0" fillId="0" borderId="0" xfId="0" applyNumberFormat="1">
      <alignment vertical="center"/>
    </xf>
    <xf numFmtId="181" fontId="0" fillId="0" borderId="0" xfId="0" applyNumberFormat="1">
      <alignment vertical="center"/>
    </xf>
    <xf numFmtId="0" fontId="7" fillId="0" borderId="0" xfId="1" applyFont="1" applyAlignment="1">
      <alignment horizontal="center" vertical="center"/>
    </xf>
    <xf numFmtId="0" fontId="8" fillId="0" borderId="0" xfId="1" applyFont="1" applyAlignment="1">
      <alignment horizontal="center" vertical="center"/>
    </xf>
    <xf numFmtId="180" fontId="0" fillId="0" borderId="0" xfId="0" applyNumberFormat="1">
      <alignment vertical="center"/>
    </xf>
    <xf numFmtId="0" fontId="9" fillId="0" borderId="5" xfId="0" applyNumberFormat="1" applyFont="1" applyBorder="1">
      <alignment vertical="center"/>
    </xf>
    <xf numFmtId="0" fontId="9" fillId="0" borderId="5" xfId="0" applyFont="1" applyBorder="1">
      <alignment vertical="center"/>
    </xf>
    <xf numFmtId="177" fontId="9" fillId="0" borderId="1" xfId="0" applyNumberFormat="1" applyFont="1" applyBorder="1">
      <alignment vertical="center"/>
    </xf>
    <xf numFmtId="178" fontId="9" fillId="0" borderId="1" xfId="0" applyNumberFormat="1" applyFont="1" applyBorder="1">
      <alignment vertical="center"/>
    </xf>
    <xf numFmtId="0" fontId="9" fillId="0" borderId="1" xfId="0" applyFont="1" applyBorder="1" applyAlignment="1">
      <alignment vertical="center" shrinkToFit="1"/>
    </xf>
    <xf numFmtId="179" fontId="9" fillId="0" borderId="1" xfId="0" applyNumberFormat="1" applyFont="1" applyBorder="1">
      <alignment vertical="center"/>
    </xf>
    <xf numFmtId="176" fontId="9" fillId="0" borderId="1" xfId="0" applyNumberFormat="1" applyFont="1" applyBorder="1" applyAlignment="1">
      <alignment horizontal="center" vertical="center"/>
    </xf>
    <xf numFmtId="0" fontId="9" fillId="0" borderId="6" xfId="0" applyFont="1" applyBorder="1">
      <alignment vertical="center"/>
    </xf>
    <xf numFmtId="0" fontId="9" fillId="0" borderId="7" xfId="0" applyNumberFormat="1" applyFont="1" applyBorder="1">
      <alignment vertical="center"/>
    </xf>
    <xf numFmtId="0" fontId="9" fillId="0" borderId="7" xfId="0" applyFont="1" applyBorder="1">
      <alignment vertical="center"/>
    </xf>
    <xf numFmtId="177" fontId="9" fillId="0" borderId="8" xfId="0" applyNumberFormat="1" applyFont="1" applyBorder="1">
      <alignment vertical="center"/>
    </xf>
    <xf numFmtId="178" fontId="9" fillId="0" borderId="8" xfId="0" applyNumberFormat="1" applyFont="1" applyBorder="1">
      <alignment vertical="center"/>
    </xf>
    <xf numFmtId="0" fontId="9" fillId="0" borderId="8" xfId="0" applyFont="1" applyBorder="1" applyAlignment="1">
      <alignment vertical="center" shrinkToFit="1"/>
    </xf>
    <xf numFmtId="179" fontId="9" fillId="0" borderId="8" xfId="0" applyNumberFormat="1" applyFont="1" applyBorder="1">
      <alignment vertical="center"/>
    </xf>
    <xf numFmtId="176" fontId="9" fillId="0" borderId="8" xfId="0" applyNumberFormat="1" applyFont="1" applyBorder="1" applyAlignment="1">
      <alignment horizontal="center" vertical="center"/>
    </xf>
    <xf numFmtId="0" fontId="9" fillId="0" borderId="9" xfId="0" applyFont="1" applyBorder="1">
      <alignment vertical="center"/>
    </xf>
  </cellXfs>
  <cellStyles count="2">
    <cellStyle name="常规" xfId="0" builtinId="0"/>
    <cellStyle name="超链接" xfId="1" builtinId="8"/>
  </cellStyles>
  <dxfs count="49">
    <dxf>
      <numFmt numFmtId="45" formatCode="m&quot;月&quot;d&quot;日&quot;"/>
    </dxf>
    <dxf>
      <numFmt numFmtId="45" formatCode="m&quot;月&quot;d&quot;日&quot;"/>
    </dxf>
    <dxf>
      <numFmt numFmtId="45" formatCode="m&quot;月&quot;d&quot;日&quot;"/>
    </dxf>
    <dxf>
      <numFmt numFmtId="45" formatCode="m&quot;月&quot;d&quot;日&quot;"/>
    </dxf>
    <dxf>
      <numFmt numFmtId="45" formatCode="m&quot;月&quot;d&quot;日&quot;"/>
    </dxf>
    <dxf>
      <numFmt numFmtId="181" formatCode="mmdd/h"/>
    </dxf>
    <dxf>
      <numFmt numFmtId="180" formatCode="mddaaa;@"/>
    </dxf>
    <dxf>
      <numFmt numFmtId="180" formatCode="mddaaa;@"/>
    </dxf>
    <dxf>
      <numFmt numFmtId="180" formatCode="mddaaa;@"/>
    </dxf>
    <dxf>
      <numFmt numFmtId="181" formatCode="mmdd/h"/>
    </dxf>
    <dxf>
      <numFmt numFmtId="182" formatCode="mmddh"/>
    </dxf>
    <dxf>
      <numFmt numFmtId="180" formatCode="mddaaa;@"/>
    </dxf>
    <dxf>
      <numFmt numFmtId="180" formatCode="mddaaa;@"/>
    </dxf>
    <dxf>
      <numFmt numFmtId="180" formatCode="mddaaa;@"/>
    </dxf>
    <dxf>
      <alignment textRotation="0" readingOrder="0"/>
    </dxf>
    <dxf>
      <alignment textRotation="255" readingOrder="0"/>
    </dxf>
    <dxf>
      <numFmt numFmtId="179" formatCode="m/dd\ aaa;@"/>
    </dxf>
    <dxf>
      <numFmt numFmtId="183" formatCode="mm/dd;@"/>
    </dxf>
    <dxf>
      <numFmt numFmtId="178" formatCode="0_);[Red]\(0\)"/>
    </dxf>
    <dxf>
      <numFmt numFmtId="184" formatCode="0.0_);[Red]\(0.0\)"/>
    </dxf>
    <dxf>
      <numFmt numFmtId="185" formatCode="0.00_);[Red]\(0.00\)"/>
    </dxf>
    <dxf>
      <font>
        <b val="0"/>
        <i val="0"/>
        <color auto="1"/>
      </font>
      <fill>
        <patternFill patternType="solid">
          <fgColor auto="1"/>
          <bgColor rgb="FFC00000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6" formatCode="mm/dd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9" formatCode="m/dd\ aaa;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scheme val="minor"/>
      </font>
      <alignment horizontal="general" vertical="center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8" formatCode="0_);[Red]\(0\)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7" formatCode="mmdd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0" formatCode="General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FF0000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  <numFmt numFmtId="176" formatCode="mm/dd"/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mruColors>
      <color rgb="FF0000FF"/>
      <color rgb="FFC80000"/>
      <color rgb="FF96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pivotCacheDefinition" Target="pivotCache/pivotCacheDefinition1.xml"/><Relationship Id="rId10" Type="http://schemas.openxmlformats.org/officeDocument/2006/relationships/powerPivotData" Target="model/item.data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yjc" refreshedDate="43605.576458796299" createdVersion="6" refreshedVersion="6" minRefreshableVersion="3" recordCount="581">
  <cacheSource type="worksheet">
    <worksheetSource name="表3"/>
  </cacheSource>
  <cacheFields count="8">
    <cacheField name="列1" numFmtId="0">
      <sharedItems/>
    </cacheField>
    <cacheField name="项目" numFmtId="0">
      <sharedItems containsBlank="1" count="10">
        <s v="ZDS"/>
        <s v="1 MONTH"/>
        <s v="HMI"/>
        <s v="KMM"/>
        <s v="0 WEEK"/>
        <s v="JS mobis"/>
        <s v="SC glovis"/>
        <s v="WX mobis"/>
        <m u="1"/>
        <s v="JS mobis-1" u="1"/>
      </sharedItems>
    </cacheField>
    <cacheField name="ETD" numFmtId="177">
      <sharedItems containsSemiMixedTypes="0" containsNonDate="0" containsDate="1" containsString="0" minDate="2017-10-15T00:00:00" maxDate="2019-06-20T00:00:00" count="18">
        <d v="2017-10-15T00:00:00"/>
        <d v="2019-05-01T00:00:00"/>
        <d v="2019-05-06T00:00:00"/>
        <d v="2019-05-08T00:00:00"/>
        <d v="2019-05-10T00:00:00"/>
        <d v="2019-05-13T00:00:00"/>
        <d v="2019-05-15T00:00:00"/>
        <d v="2019-05-17T00:00:00"/>
        <d v="2019-05-22T00:00:00"/>
        <d v="2019-05-24T00:00:00"/>
        <d v="2019-05-28T00:00:00"/>
        <d v="2019-05-28T01:00:00"/>
        <d v="2019-05-29T00:00:00"/>
        <d v="2019-05-31T00:00:00"/>
        <d v="2019-05-31T01:00:00"/>
        <d v="2019-06-19T00:00:00"/>
        <d v="2019-05-20T00:00:00"/>
        <d v="2019-05-14T00:00:00" u="1"/>
      </sharedItems>
    </cacheField>
    <cacheField name="顺序" numFmtId="178">
      <sharedItems containsSemiMixedTypes="0" containsString="0" containsNumber="1" minValue="1" maxValue="48"/>
    </cacheField>
    <cacheField name="内容" numFmtId="0">
      <sharedItems/>
    </cacheField>
    <cacheField name="日期" numFmtId="179">
      <sharedItems containsSemiMixedTypes="0" containsNonDate="0" containsDate="1" containsString="0" minDate="2019-04-19T00:00:00" maxDate="2019-06-21T00:00:00" count="40">
        <d v="2019-05-13T00:00:00"/>
        <d v="2019-05-09T00:00:00"/>
        <d v="2019-05-14T00:00:00"/>
        <d v="2019-05-29T00:00:00"/>
        <d v="2019-05-10T00:00:00"/>
        <d v="2019-05-01T00:00:00"/>
        <d v="2019-05-08T00:00:00"/>
        <d v="2019-04-26T00:00:00"/>
        <d v="2019-04-28T00:00:00"/>
        <d v="2019-04-29T00:00:00"/>
        <d v="2019-05-06T00:00:00"/>
        <d v="2019-05-07T00:00:00"/>
        <d v="2019-05-11T00:00:00"/>
        <d v="2019-05-15T00:00:00"/>
        <d v="2019-05-17T00:00:00"/>
        <d v="2019-04-30T00:00:00"/>
        <d v="2019-05-20T00:00:00"/>
        <d v="2019-05-21T00:00:00"/>
        <d v="2019-05-16T00:00:00"/>
        <d v="2019-05-22T00:00:00"/>
        <d v="2019-04-25T00:00:00"/>
        <d v="2019-05-23T00:00:00"/>
        <d v="2019-05-24T00:00:00"/>
        <d v="2019-05-25T00:00:00"/>
        <d v="2019-05-27T00:00:00"/>
        <d v="2019-05-28T00:00:00"/>
        <d v="2019-05-26T00:00:00"/>
        <d v="2019-05-30T00:00:00"/>
        <d v="2019-05-31T00:00:00"/>
        <d v="2019-06-12T00:00:00"/>
        <d v="2019-06-13T00:00:00"/>
        <d v="2019-06-14T00:00:00"/>
        <d v="2019-06-17T00:00:00"/>
        <d v="2019-06-18T00:00:00"/>
        <d v="2019-06-19T00:00:00"/>
        <d v="2019-06-20T00:00:00"/>
        <d v="2019-05-12T00:00:00" u="1"/>
        <d v="2019-04-19T00:00:00" u="1"/>
        <d v="2019-05-18T00:00:00" u="1"/>
        <d v="2019-05-19T00:00:00" u="1"/>
      </sharedItems>
    </cacheField>
    <cacheField name="状态" numFmtId="176">
      <sharedItems count="3">
        <s v="OK"/>
        <s v="计划"/>
        <s v="取消"/>
      </sharedItems>
    </cacheField>
    <cacheField name="备注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81">
  <r>
    <s v="1015-0 ZDS"/>
    <x v="0"/>
    <x v="0"/>
    <n v="1"/>
    <s v="汇总 WORKING PROCESS"/>
    <x v="0"/>
    <x v="0"/>
    <m/>
  </r>
  <r>
    <s v="1015-0 ZDS"/>
    <x v="0"/>
    <x v="0"/>
    <n v="2"/>
    <s v="整理HMI KMM 费用"/>
    <x v="1"/>
    <x v="0"/>
    <m/>
  </r>
  <r>
    <s v="1015-0 ZDS"/>
    <x v="0"/>
    <x v="0"/>
    <n v="3"/>
    <s v="流水和流程进港报关顺序调整"/>
    <x v="2"/>
    <x v="0"/>
    <m/>
  </r>
  <r>
    <s v="0501-0 1 MONTH"/>
    <x v="1"/>
    <x v="1"/>
    <n v="1"/>
    <s v="TJ glovis当月额外费用汇总邮件"/>
    <x v="3"/>
    <x v="1"/>
    <s v="月底"/>
  </r>
  <r>
    <s v="0501-0 1 MONTH"/>
    <x v="1"/>
    <x v="1"/>
    <n v="2"/>
    <s v="CK TJ glovis有没有驳货费"/>
    <x v="3"/>
    <x v="1"/>
    <s v="月底"/>
  </r>
  <r>
    <s v="0501-0 HMI"/>
    <x v="2"/>
    <x v="1"/>
    <n v="1"/>
    <s v="做费用(对账单日期4号)，放公共盘，填月账单表，发孙丹"/>
    <x v="4"/>
    <x v="0"/>
    <m/>
  </r>
  <r>
    <s v="0501-0 KMM"/>
    <x v="3"/>
    <x v="1"/>
    <n v="1"/>
    <s v="做费用(对账单日期4号)，放公共盘，填月账单表，发孙丹"/>
    <x v="4"/>
    <x v="0"/>
    <m/>
  </r>
  <r>
    <s v="0506-0 0 WEEK"/>
    <x v="4"/>
    <x v="2"/>
    <n v="1"/>
    <s v="HMM Neo 下周订舱邮件"/>
    <x v="5"/>
    <x v="0"/>
    <s v="周一"/>
  </r>
  <r>
    <s v="0506-0 0 WEEK"/>
    <x v="4"/>
    <x v="2"/>
    <n v="2"/>
    <s v="SHA GLV WORKING PROCESS"/>
    <x v="5"/>
    <x v="0"/>
    <s v="周一"/>
  </r>
  <r>
    <s v="0506-0 0 WEEK"/>
    <x v="4"/>
    <x v="2"/>
    <n v="3"/>
    <s v="SHA GLV WORKING PROCESS"/>
    <x v="6"/>
    <x v="0"/>
    <s v="周三"/>
  </r>
  <r>
    <s v="0506-0 0 WEEK"/>
    <x v="4"/>
    <x v="2"/>
    <n v="4"/>
    <s v="TJ glovis额外费用邮件"/>
    <x v="4"/>
    <x v="0"/>
    <s v="周五"/>
  </r>
  <r>
    <s v="0506-0 0 WEEK"/>
    <x v="4"/>
    <x v="2"/>
    <n v="5"/>
    <s v="SHA GLV WORKING PROCESS"/>
    <x v="4"/>
    <x v="0"/>
    <s v="周五"/>
  </r>
  <r>
    <s v="0506-0 0 WEEK"/>
    <x v="4"/>
    <x v="2"/>
    <n v="6"/>
    <s v="TJ GLV WORKING PROCESS"/>
    <x v="4"/>
    <x v="0"/>
    <s v="周五"/>
  </r>
  <r>
    <s v="0508-0 HMI"/>
    <x v="2"/>
    <x v="3"/>
    <n v="1"/>
    <s v="做费用(对账单日期4号)，放公共盘，填月账单表，发孙丹"/>
    <x v="4"/>
    <x v="0"/>
    <m/>
  </r>
  <r>
    <s v="0508-0 KMM"/>
    <x v="3"/>
    <x v="3"/>
    <n v="1"/>
    <s v="做费用(对账单日期4号)，放公共盘，填月账单表，发孙丹"/>
    <x v="4"/>
    <x v="0"/>
    <m/>
  </r>
  <r>
    <s v="0510-0 JS mobis"/>
    <x v="5"/>
    <x v="4"/>
    <n v="1"/>
    <s v="收到客户(周嘉敏)订舱预报"/>
    <x v="7"/>
    <x v="0"/>
    <s v="一般周五发隔周"/>
  </r>
  <r>
    <s v="0510-0 JS mobis"/>
    <x v="5"/>
    <x v="4"/>
    <n v="2"/>
    <s v="收到HMM(Neo)预订舱邮件通知"/>
    <x v="8"/>
    <x v="0"/>
    <s v="一般周一发下周"/>
  </r>
  <r>
    <s v="0510-0 JS mobis"/>
    <x v="5"/>
    <x v="4"/>
    <n v="3"/>
    <s v="回复HMM(Neo)预订舱邮件"/>
    <x v="8"/>
    <x v="0"/>
    <m/>
  </r>
  <r>
    <s v="0510-0 JS mobis"/>
    <x v="5"/>
    <x v="4"/>
    <n v="4"/>
    <s v="收到HMM(Neo)预订舱确认"/>
    <x v="8"/>
    <x v="0"/>
    <s v="一般马上"/>
  </r>
  <r>
    <s v="0510-0 JS mobis"/>
    <x v="5"/>
    <x v="4"/>
    <n v="5"/>
    <s v="公共盘生成提单号"/>
    <x v="8"/>
    <x v="0"/>
    <m/>
  </r>
  <r>
    <s v="0510-0 JS mobis"/>
    <x v="5"/>
    <x v="4"/>
    <n v="6"/>
    <s v="YJC系统生成单子"/>
    <x v="8"/>
    <x v="0"/>
    <m/>
  </r>
  <r>
    <s v="0510-0 JS mobis"/>
    <x v="5"/>
    <x v="4"/>
    <n v="7"/>
    <s v="发EDI"/>
    <x v="8"/>
    <x v="0"/>
    <m/>
  </r>
  <r>
    <s v="0510-0 JS mobis"/>
    <x v="5"/>
    <x v="4"/>
    <n v="8"/>
    <s v="邮件申请放单"/>
    <x v="8"/>
    <x v="0"/>
    <m/>
  </r>
  <r>
    <s v="0510-0 JS mobis"/>
    <x v="5"/>
    <x v="4"/>
    <n v="9"/>
    <s v="收到HMM(Neo) 放单确认"/>
    <x v="9"/>
    <x v="0"/>
    <s v="一般半天内"/>
  </r>
  <r>
    <s v="0510-0 JS mobis"/>
    <x v="5"/>
    <x v="4"/>
    <n v="10"/>
    <s v="HMM网站核对订舱信息"/>
    <x v="9"/>
    <x v="0"/>
    <m/>
  </r>
  <r>
    <s v="0510-0 JS mobis"/>
    <x v="5"/>
    <x v="4"/>
    <n v="11"/>
    <s v="收到客户(周嘉敏)做箱通知"/>
    <x v="10"/>
    <x v="0"/>
    <s v="一般做箱头天一早"/>
  </r>
  <r>
    <s v="0510-0 JS mobis"/>
    <x v="5"/>
    <x v="4"/>
    <n v="12"/>
    <s v="发做箱通知邮件给车队(沈丽)"/>
    <x v="10"/>
    <x v="0"/>
    <m/>
  </r>
  <r>
    <s v="0510-0 JS mobis"/>
    <x v="5"/>
    <x v="4"/>
    <n v="13"/>
    <s v="公共盘生成提单号【如需拆单】"/>
    <x v="10"/>
    <x v="0"/>
    <m/>
  </r>
  <r>
    <s v="0510-0 JS mobis"/>
    <x v="5"/>
    <x v="4"/>
    <n v="14"/>
    <s v="YJC系统生成单子【如需拆单】"/>
    <x v="10"/>
    <x v="0"/>
    <m/>
  </r>
  <r>
    <s v="0510-0 JS mobis"/>
    <x v="5"/>
    <x v="4"/>
    <n v="15"/>
    <s v="发EDI【如需拆单】"/>
    <x v="10"/>
    <x v="0"/>
    <m/>
  </r>
  <r>
    <s v="0510-0 JS mobis"/>
    <x v="5"/>
    <x v="4"/>
    <n v="16"/>
    <s v="邮件申请放单【如需拆单】"/>
    <x v="10"/>
    <x v="0"/>
    <m/>
  </r>
  <r>
    <s v="0510-0 JS mobis"/>
    <x v="5"/>
    <x v="4"/>
    <n v="17"/>
    <s v="收到HMM(Neo) 放单确认【如需拆单】"/>
    <x v="10"/>
    <x v="0"/>
    <m/>
  </r>
  <r>
    <s v="0510-0 JS mobis"/>
    <x v="5"/>
    <x v="4"/>
    <n v="18"/>
    <s v="HMM网站核对订舱信息【如需拆单】"/>
    <x v="10"/>
    <x v="0"/>
    <m/>
  </r>
  <r>
    <s v="0510-0 JS mobis"/>
    <x v="5"/>
    <x v="4"/>
    <n v="19"/>
    <s v="收到客户(周嘉敏)发来做箱数据(报关资料)"/>
    <x v="11"/>
    <x v="0"/>
    <s v="一般做箱当天一早"/>
  </r>
  <r>
    <s v="0510-0 JS mobis"/>
    <x v="5"/>
    <x v="4"/>
    <n v="20"/>
    <s v="按报关(发票)数生成提单号【如发票数超过提单数】"/>
    <x v="11"/>
    <x v="0"/>
    <m/>
  </r>
  <r>
    <s v="0510-0 JS mobis"/>
    <x v="5"/>
    <x v="4"/>
    <n v="21"/>
    <s v="做做箱数据，QQ发车队(沈丽)"/>
    <x v="11"/>
    <x v="0"/>
    <m/>
  </r>
  <r>
    <s v="0510-0 JS mobis"/>
    <x v="5"/>
    <x v="4"/>
    <n v="22"/>
    <s v="做报关资料，扫描发报关行(黄寅文)QQ"/>
    <x v="11"/>
    <x v="0"/>
    <m/>
  </r>
  <r>
    <s v="0510-0 JS mobis"/>
    <x v="5"/>
    <x v="4"/>
    <n v="23"/>
    <s v="收到车队(沈丽)装箱单"/>
    <x v="11"/>
    <x v="0"/>
    <s v="一般马上"/>
  </r>
  <r>
    <s v="0510-0 JS mobis"/>
    <x v="5"/>
    <x v="4"/>
    <n v="24"/>
    <s v="YJC系统填截单数据，发EDI，邮件HMM(He)生成提单"/>
    <x v="11"/>
    <x v="0"/>
    <s v="注意截单时间"/>
  </r>
  <r>
    <s v="0510-0 JS mobis"/>
    <x v="5"/>
    <x v="4"/>
    <n v="25"/>
    <s v="收到HMM(He)生成提单通知"/>
    <x v="11"/>
    <x v="0"/>
    <s v="一般马上"/>
  </r>
  <r>
    <s v="0510-0 JS mobis"/>
    <x v="5"/>
    <x v="4"/>
    <n v="26"/>
    <s v="HMM网站核对提单信息"/>
    <x v="11"/>
    <x v="0"/>
    <m/>
  </r>
  <r>
    <s v="0510-0 JS mobis"/>
    <x v="5"/>
    <x v="4"/>
    <n v="27"/>
    <s v="做保函给邹师傅"/>
    <x v="11"/>
    <x v="0"/>
    <m/>
  </r>
  <r>
    <s v="0510-0 JS mobis"/>
    <x v="5"/>
    <x v="4"/>
    <n v="28"/>
    <s v="发VGM和舱单"/>
    <x v="11"/>
    <x v="0"/>
    <m/>
  </r>
  <r>
    <s v="0510-0 JS mobis"/>
    <x v="5"/>
    <x v="4"/>
    <n v="29"/>
    <s v="做ISF，发国外资料"/>
    <x v="11"/>
    <x v="0"/>
    <m/>
  </r>
  <r>
    <s v="0510-0 JS mobis"/>
    <x v="5"/>
    <x v="4"/>
    <n v="30"/>
    <s v="买保险"/>
    <x v="11"/>
    <x v="0"/>
    <m/>
  </r>
  <r>
    <s v="0510-0 JS mobis"/>
    <x v="5"/>
    <x v="4"/>
    <n v="31"/>
    <s v="盯海关网站舱单"/>
    <x v="11"/>
    <x v="0"/>
    <s v="一般两小时左右"/>
  </r>
  <r>
    <s v="0510-0 JS mobis"/>
    <x v="5"/>
    <x v="4"/>
    <n v="32"/>
    <s v="核对舱单信息"/>
    <x v="11"/>
    <x v="0"/>
    <m/>
  </r>
  <r>
    <s v="0510-0 JS mobis"/>
    <x v="5"/>
    <x v="4"/>
    <n v="33"/>
    <s v="收到报关行(黄寅文)校对稿，邮件发客户(周嘉敏)确认"/>
    <x v="11"/>
    <x v="0"/>
    <s v="一般半天内"/>
  </r>
  <r>
    <s v="0510-0 JS mobis"/>
    <x v="5"/>
    <x v="4"/>
    <n v="34"/>
    <s v="收到客户(周嘉敏)确认校对稿，通知报关行(黄寅文)"/>
    <x v="11"/>
    <x v="0"/>
    <s v="一般马上"/>
  </r>
  <r>
    <s v="0510-0 JS mobis"/>
    <x v="5"/>
    <x v="4"/>
    <n v="35"/>
    <s v="通知报关行(黄寅文)报关(开港、舱单、校对)"/>
    <x v="11"/>
    <x v="0"/>
    <m/>
  </r>
  <r>
    <s v="0510-0 JS mobis"/>
    <x v="5"/>
    <x v="4"/>
    <n v="36"/>
    <s v="收到报关成功通知"/>
    <x v="11"/>
    <x v="0"/>
    <s v="一般下班前"/>
  </r>
  <r>
    <s v="0510-0 JS mobis"/>
    <x v="5"/>
    <x v="4"/>
    <n v="37"/>
    <s v="通知车队(沈丽)可进港"/>
    <x v="11"/>
    <x v="0"/>
    <m/>
  </r>
  <r>
    <s v="0510-0 JS mobis"/>
    <x v="5"/>
    <x v="4"/>
    <n v="38"/>
    <s v="盯箱子进港"/>
    <x v="6"/>
    <x v="0"/>
    <m/>
  </r>
  <r>
    <s v="0510-0 JS mobis"/>
    <x v="5"/>
    <x v="4"/>
    <n v="39"/>
    <s v="核对进港数据"/>
    <x v="6"/>
    <x v="0"/>
    <m/>
  </r>
  <r>
    <s v="0510-0 JS mobis"/>
    <x v="5"/>
    <x v="4"/>
    <n v="40"/>
    <s v="盯海放"/>
    <x v="6"/>
    <x v="0"/>
    <m/>
  </r>
  <r>
    <s v="0510-0 JS mobis"/>
    <x v="5"/>
    <x v="4"/>
    <n v="41"/>
    <s v="盯码放"/>
    <x v="1"/>
    <x v="0"/>
    <m/>
  </r>
  <r>
    <s v="0510-0 JS mobis"/>
    <x v="5"/>
    <x v="4"/>
    <n v="42"/>
    <s v="盯配载"/>
    <x v="4"/>
    <x v="0"/>
    <m/>
  </r>
  <r>
    <s v="0510-0 JS mobis"/>
    <x v="5"/>
    <x v="4"/>
    <n v="43"/>
    <s v="做费用，发账单给谢梦婕"/>
    <x v="4"/>
    <x v="0"/>
    <m/>
  </r>
  <r>
    <s v="0510-0 JS mobis"/>
    <x v="5"/>
    <x v="4"/>
    <n v="44"/>
    <s v="船开"/>
    <x v="12"/>
    <x v="0"/>
    <m/>
  </r>
  <r>
    <s v="0510-0 JS mobis"/>
    <x v="5"/>
    <x v="4"/>
    <n v="45"/>
    <s v="放单"/>
    <x v="0"/>
    <x v="0"/>
    <s v="一般开船后两三天"/>
  </r>
  <r>
    <s v="0513-0 0 WEEK"/>
    <x v="4"/>
    <x v="5"/>
    <n v="1"/>
    <s v="HMM Neo 下周订舱邮件"/>
    <x v="0"/>
    <x v="0"/>
    <s v="周一"/>
  </r>
  <r>
    <s v="0513-0 0 WEEK"/>
    <x v="4"/>
    <x v="5"/>
    <n v="2"/>
    <s v="SHA GLV WORKING PROCESS"/>
    <x v="0"/>
    <x v="0"/>
    <s v="周一"/>
  </r>
  <r>
    <s v="0513-0 0 WEEK"/>
    <x v="4"/>
    <x v="5"/>
    <n v="3"/>
    <s v="SHA GLV WORKING PROCESS"/>
    <x v="13"/>
    <x v="0"/>
    <s v="周三"/>
  </r>
  <r>
    <s v="0513-0 0 WEEK"/>
    <x v="4"/>
    <x v="5"/>
    <n v="4"/>
    <s v="TJ glovis额外费用邮件"/>
    <x v="14"/>
    <x v="0"/>
    <s v="周五"/>
  </r>
  <r>
    <s v="0513-0 0 WEEK"/>
    <x v="4"/>
    <x v="5"/>
    <n v="5"/>
    <s v="SHA GLV WORKING PROCESS"/>
    <x v="14"/>
    <x v="0"/>
    <s v="周五"/>
  </r>
  <r>
    <s v="0513-0 0 WEEK"/>
    <x v="4"/>
    <x v="5"/>
    <n v="6"/>
    <s v="TJ GLV WORKING PROCESS"/>
    <x v="14"/>
    <x v="0"/>
    <s v="周五"/>
  </r>
  <r>
    <s v="0515-0 HMI"/>
    <x v="2"/>
    <x v="6"/>
    <n v="1"/>
    <s v="收到孙丹发来订舱托书(CK也收到)"/>
    <x v="15"/>
    <x v="0"/>
    <m/>
  </r>
  <r>
    <s v="0515-0 HMI"/>
    <x v="2"/>
    <x v="6"/>
    <n v="2"/>
    <s v="收到CK发来预配(做箱通知)"/>
    <x v="10"/>
    <x v="0"/>
    <m/>
  </r>
  <r>
    <s v="0515-0 HMI"/>
    <x v="2"/>
    <x v="6"/>
    <n v="3"/>
    <s v="收到包装厂(刘倩梅)发来包装指示书和装箱计划"/>
    <x v="4"/>
    <x v="0"/>
    <s v="一般周四"/>
  </r>
  <r>
    <s v="0515-0 HMI"/>
    <x v="2"/>
    <x v="6"/>
    <n v="4"/>
    <s v="根据装箱计划汇总包装数据，发各工厂做报关资料"/>
    <x v="1"/>
    <x v="0"/>
    <m/>
  </r>
  <r>
    <s v="0515-0 HMI"/>
    <x v="2"/>
    <x v="6"/>
    <n v="5"/>
    <s v="做做箱数据，邮件群发"/>
    <x v="4"/>
    <x v="0"/>
    <m/>
  </r>
  <r>
    <s v="0515-0 HMI"/>
    <x v="2"/>
    <x v="6"/>
    <n v="6"/>
    <s v="收到工厂发来报关资料并完善"/>
    <x v="12"/>
    <x v="0"/>
    <s v="当天至隔天"/>
  </r>
  <r>
    <s v="0515-0 HMI"/>
    <x v="2"/>
    <x v="6"/>
    <n v="7"/>
    <s v="报关资料齐了，发报关行(黄寅文)"/>
    <x v="0"/>
    <x v="0"/>
    <m/>
  </r>
  <r>
    <s v="0515-0 HMI"/>
    <x v="2"/>
    <x v="6"/>
    <n v="8"/>
    <s v="收到车队(沈丽)装箱单和洋山提箱截图(如有)"/>
    <x v="0"/>
    <x v="0"/>
    <s v="一般KMM五、HMI日"/>
  </r>
  <r>
    <s v="0515-0 HMI"/>
    <x v="2"/>
    <x v="6"/>
    <n v="9"/>
    <s v="群发装箱单和洋山提箱截图(如有)【05-13 09:00】"/>
    <x v="0"/>
    <x v="0"/>
    <s v="注意截单时间"/>
  </r>
  <r>
    <s v="0515-0 HMI"/>
    <x v="2"/>
    <x v="6"/>
    <n v="10"/>
    <s v="通知发舱单"/>
    <x v="0"/>
    <x v="0"/>
    <m/>
  </r>
  <r>
    <s v="0515-0 HMI"/>
    <x v="2"/>
    <x v="6"/>
    <n v="11"/>
    <s v="收到舱单发送成功通知，核对舱单信息"/>
    <x v="2"/>
    <x v="0"/>
    <m/>
  </r>
  <r>
    <s v="0515-0 HMI"/>
    <x v="2"/>
    <x v="6"/>
    <n v="12"/>
    <s v="通知进港，进港(核对数据)，通知报关，报关成功"/>
    <x v="2"/>
    <x v="0"/>
    <s v="根据港区"/>
  </r>
  <r>
    <s v="0515-0 HMI"/>
    <x v="2"/>
    <x v="6"/>
    <n v="13"/>
    <s v="盯海放"/>
    <x v="2"/>
    <x v="0"/>
    <m/>
  </r>
  <r>
    <s v="0515-0 HMI"/>
    <x v="2"/>
    <x v="6"/>
    <n v="14"/>
    <s v="盯码放"/>
    <x v="2"/>
    <x v="0"/>
    <m/>
  </r>
  <r>
    <s v="0515-0 HMI"/>
    <x v="2"/>
    <x v="6"/>
    <n v="15"/>
    <s v="盯配载"/>
    <x v="13"/>
    <x v="0"/>
    <m/>
  </r>
  <r>
    <s v="0515-0 HMI"/>
    <x v="2"/>
    <x v="6"/>
    <n v="16"/>
    <s v="做费用(对账单日期4号)，放公共盘，填月账单表，发孙丹"/>
    <x v="13"/>
    <x v="0"/>
    <m/>
  </r>
  <r>
    <s v="0515-0 JS mobis"/>
    <x v="5"/>
    <x v="6"/>
    <n v="1"/>
    <s v="收到客户(周嘉敏)订舱预报"/>
    <x v="7"/>
    <x v="0"/>
    <s v="一般周五发隔周"/>
  </r>
  <r>
    <s v="0515-0 JS mobis"/>
    <x v="5"/>
    <x v="6"/>
    <n v="2"/>
    <s v="收到HMM(Neo)预订舱邮件通知"/>
    <x v="10"/>
    <x v="0"/>
    <s v="一般周一发下周"/>
  </r>
  <r>
    <s v="0515-0 JS mobis"/>
    <x v="5"/>
    <x v="6"/>
    <n v="3"/>
    <s v="回复HMM(Neo)预订舱邮件"/>
    <x v="10"/>
    <x v="0"/>
    <m/>
  </r>
  <r>
    <s v="0515-0 JS mobis"/>
    <x v="5"/>
    <x v="6"/>
    <n v="4"/>
    <s v="收到HMM(Neo)预订舱确认"/>
    <x v="10"/>
    <x v="0"/>
    <s v="一般马上"/>
  </r>
  <r>
    <s v="0515-0 JS mobis"/>
    <x v="5"/>
    <x v="6"/>
    <n v="5"/>
    <s v="公共盘生成提单号"/>
    <x v="10"/>
    <x v="0"/>
    <m/>
  </r>
  <r>
    <s v="0515-0 JS mobis"/>
    <x v="5"/>
    <x v="6"/>
    <n v="6"/>
    <s v="YJC系统生成单子"/>
    <x v="10"/>
    <x v="0"/>
    <m/>
  </r>
  <r>
    <s v="0515-0 JS mobis"/>
    <x v="5"/>
    <x v="6"/>
    <n v="7"/>
    <s v="发EDI"/>
    <x v="10"/>
    <x v="0"/>
    <m/>
  </r>
  <r>
    <s v="0515-0 JS mobis"/>
    <x v="5"/>
    <x v="6"/>
    <n v="8"/>
    <s v="邮件申请放单"/>
    <x v="11"/>
    <x v="0"/>
    <m/>
  </r>
  <r>
    <s v="0515-0 JS mobis"/>
    <x v="5"/>
    <x v="6"/>
    <n v="9"/>
    <s v="收到HMM(Neo) 放单确认"/>
    <x v="11"/>
    <x v="0"/>
    <s v="一般半天内"/>
  </r>
  <r>
    <s v="0515-0 JS mobis"/>
    <x v="5"/>
    <x v="6"/>
    <n v="10"/>
    <s v="HMM网站核对订舱信息"/>
    <x v="11"/>
    <x v="0"/>
    <m/>
  </r>
  <r>
    <s v="0515-0 JS mobis"/>
    <x v="5"/>
    <x v="6"/>
    <n v="11"/>
    <s v="收到客户（周嘉敏）取消通知邮件"/>
    <x v="1"/>
    <x v="0"/>
    <m/>
  </r>
  <r>
    <s v="0515-0 JS mobis"/>
    <x v="5"/>
    <x v="6"/>
    <n v="12"/>
    <s v="YJC系统取消"/>
    <x v="1"/>
    <x v="0"/>
    <m/>
  </r>
  <r>
    <s v="0515-0 JS mobis"/>
    <x v="5"/>
    <x v="6"/>
    <n v="13"/>
    <s v="邮件通知Neo取消"/>
    <x v="1"/>
    <x v="0"/>
    <m/>
  </r>
  <r>
    <s v="0515-0 JS mobis"/>
    <x v="5"/>
    <x v="6"/>
    <n v="14"/>
    <s v="收到HMM(Neo)确认取消"/>
    <x v="1"/>
    <x v="0"/>
    <m/>
  </r>
  <r>
    <s v="0515-0 KMM"/>
    <x v="3"/>
    <x v="6"/>
    <n v="1"/>
    <s v="收到孙丹发来订舱托书(CK也收到)"/>
    <x v="15"/>
    <x v="0"/>
    <m/>
  </r>
  <r>
    <s v="0515-0 KMM"/>
    <x v="3"/>
    <x v="6"/>
    <n v="2"/>
    <s v="收到CK发来预配(做箱通知)"/>
    <x v="11"/>
    <x v="0"/>
    <m/>
  </r>
  <r>
    <s v="0515-0 KMM"/>
    <x v="3"/>
    <x v="6"/>
    <n v="3"/>
    <s v="收到包装厂(刘倩梅)发来包装指示书和装箱计划"/>
    <x v="1"/>
    <x v="0"/>
    <s v="一般周四"/>
  </r>
  <r>
    <s v="0515-0 KMM"/>
    <x v="3"/>
    <x v="6"/>
    <n v="4"/>
    <s v="根据装箱计划汇总包装数据，发各工厂做报关资料"/>
    <x v="1"/>
    <x v="0"/>
    <m/>
  </r>
  <r>
    <s v="0515-0 KMM"/>
    <x v="3"/>
    <x v="6"/>
    <n v="5"/>
    <s v="做做箱数据，邮件群发"/>
    <x v="1"/>
    <x v="0"/>
    <m/>
  </r>
  <r>
    <s v="0515-0 KMM"/>
    <x v="3"/>
    <x v="6"/>
    <n v="6"/>
    <s v="收到工厂发来报关资料并完善"/>
    <x v="1"/>
    <x v="0"/>
    <s v="当天至隔天"/>
  </r>
  <r>
    <s v="0515-0 KMM"/>
    <x v="3"/>
    <x v="6"/>
    <n v="7"/>
    <s v="报关资料齐了，发报关行(黄寅文)"/>
    <x v="1"/>
    <x v="0"/>
    <m/>
  </r>
  <r>
    <s v="0515-0 KMM"/>
    <x v="3"/>
    <x v="6"/>
    <n v="8"/>
    <s v="收到车队(沈丽)装箱单和洋山提箱截图(如有)"/>
    <x v="4"/>
    <x v="0"/>
    <s v="一般KMM五、HMI日"/>
  </r>
  <r>
    <s v="0515-0 KMM"/>
    <x v="3"/>
    <x v="6"/>
    <n v="9"/>
    <s v="群发装箱单和洋山提箱截图(如有)【05-10 09:00】"/>
    <x v="4"/>
    <x v="0"/>
    <s v="注意截单时间"/>
  </r>
  <r>
    <s v="0515-0 KMM"/>
    <x v="3"/>
    <x v="6"/>
    <n v="10"/>
    <s v="通知发舱单"/>
    <x v="4"/>
    <x v="0"/>
    <m/>
  </r>
  <r>
    <s v="0515-0 KMM"/>
    <x v="3"/>
    <x v="6"/>
    <n v="11"/>
    <s v="收到舱单发送成功通知，核对舱单信息"/>
    <x v="4"/>
    <x v="0"/>
    <m/>
  </r>
  <r>
    <s v="0515-0 KMM"/>
    <x v="3"/>
    <x v="6"/>
    <n v="12"/>
    <s v="通知进港，进港(核对数据)，通知报关，报关成功"/>
    <x v="4"/>
    <x v="0"/>
    <s v="根据港区"/>
  </r>
  <r>
    <s v="0515-0 KMM"/>
    <x v="3"/>
    <x v="6"/>
    <n v="13"/>
    <s v="盯海放"/>
    <x v="4"/>
    <x v="0"/>
    <m/>
  </r>
  <r>
    <s v="0515-0 KMM"/>
    <x v="3"/>
    <x v="6"/>
    <n v="14"/>
    <s v="盯码放"/>
    <x v="0"/>
    <x v="0"/>
    <m/>
  </r>
  <r>
    <s v="0515-0 KMM"/>
    <x v="3"/>
    <x v="6"/>
    <n v="15"/>
    <s v="盯配载"/>
    <x v="2"/>
    <x v="0"/>
    <m/>
  </r>
  <r>
    <s v="0515-0 KMM"/>
    <x v="3"/>
    <x v="6"/>
    <n v="16"/>
    <s v="做费用(对账单日期4号)，放公共盘，填月账单表，发孙丹"/>
    <x v="13"/>
    <x v="0"/>
    <m/>
  </r>
  <r>
    <s v="0517-0 JS mobis"/>
    <x v="5"/>
    <x v="7"/>
    <n v="1"/>
    <s v="收到客户(周嘉敏)订舱预报"/>
    <x v="7"/>
    <x v="2"/>
    <s v="一般周五发隔周"/>
  </r>
  <r>
    <s v="0517-0 JS mobis"/>
    <x v="5"/>
    <x v="7"/>
    <n v="2"/>
    <s v="收到HMM(Neo)预订舱邮件通知"/>
    <x v="10"/>
    <x v="2"/>
    <s v="一般周一发下周"/>
  </r>
  <r>
    <s v="0517-0 JS mobis"/>
    <x v="5"/>
    <x v="7"/>
    <n v="3"/>
    <s v="回复HMM(Neo)预订舱邮件"/>
    <x v="10"/>
    <x v="2"/>
    <m/>
  </r>
  <r>
    <s v="0517-0 JS mobis"/>
    <x v="5"/>
    <x v="7"/>
    <n v="4"/>
    <s v="收到HMM(Neo)预订舱确认"/>
    <x v="10"/>
    <x v="2"/>
    <s v="一般马上"/>
  </r>
  <r>
    <s v="0517-0 JS mobis"/>
    <x v="5"/>
    <x v="7"/>
    <n v="5"/>
    <s v="公共盘生成提单号"/>
    <x v="10"/>
    <x v="2"/>
    <m/>
  </r>
  <r>
    <s v="0517-0 JS mobis"/>
    <x v="5"/>
    <x v="7"/>
    <n v="6"/>
    <s v="YJC系统生成单子"/>
    <x v="10"/>
    <x v="2"/>
    <m/>
  </r>
  <r>
    <s v="0517-0 JS mobis"/>
    <x v="5"/>
    <x v="7"/>
    <n v="7"/>
    <s v="发EDI"/>
    <x v="11"/>
    <x v="2"/>
    <m/>
  </r>
  <r>
    <s v="0517-0 JS mobis"/>
    <x v="5"/>
    <x v="7"/>
    <n v="8"/>
    <s v="邮件申请放单"/>
    <x v="11"/>
    <x v="2"/>
    <m/>
  </r>
  <r>
    <s v="0517-0 JS mobis"/>
    <x v="5"/>
    <x v="7"/>
    <n v="9"/>
    <s v="收到HMM(Neo) 放单确认"/>
    <x v="11"/>
    <x v="2"/>
    <s v="一般半天内"/>
  </r>
  <r>
    <s v="0517-0 JS mobis"/>
    <x v="5"/>
    <x v="7"/>
    <n v="10"/>
    <s v="HMM网站核对订舱信息"/>
    <x v="11"/>
    <x v="2"/>
    <m/>
  </r>
  <r>
    <s v="0517-0 JS mobis"/>
    <x v="5"/>
    <x v="7"/>
    <n v="11"/>
    <s v="收到客户(周嘉敏)做箱通知"/>
    <x v="0"/>
    <x v="2"/>
    <s v="一般做箱头天一早"/>
  </r>
  <r>
    <s v="0517-0 JS mobis"/>
    <x v="5"/>
    <x v="7"/>
    <n v="12"/>
    <s v="发做箱通知邮件给车队(沈丽)"/>
    <x v="0"/>
    <x v="2"/>
    <m/>
  </r>
  <r>
    <s v="0517-0 JS mobis"/>
    <x v="5"/>
    <x v="7"/>
    <n v="13"/>
    <s v="公共盘生成提单号【如需拆单】"/>
    <x v="0"/>
    <x v="2"/>
    <m/>
  </r>
  <r>
    <s v="0517-0 JS mobis"/>
    <x v="5"/>
    <x v="7"/>
    <n v="14"/>
    <s v="YJC系统生成单子【如需拆单】"/>
    <x v="0"/>
    <x v="2"/>
    <m/>
  </r>
  <r>
    <s v="0517-0 JS mobis"/>
    <x v="5"/>
    <x v="7"/>
    <n v="15"/>
    <s v="发EDI【如需拆单】"/>
    <x v="0"/>
    <x v="2"/>
    <m/>
  </r>
  <r>
    <s v="0517-0 JS mobis"/>
    <x v="5"/>
    <x v="7"/>
    <n v="16"/>
    <s v="邮件申请放单【如需拆单】"/>
    <x v="0"/>
    <x v="2"/>
    <m/>
  </r>
  <r>
    <s v="0517-0 JS mobis"/>
    <x v="5"/>
    <x v="7"/>
    <n v="17"/>
    <s v="收到HMM(Neo) 放单确认【如需拆单】"/>
    <x v="0"/>
    <x v="2"/>
    <m/>
  </r>
  <r>
    <s v="0517-0 JS mobis"/>
    <x v="5"/>
    <x v="7"/>
    <n v="18"/>
    <s v="HMM网站核对订舱信息【如需拆单】"/>
    <x v="0"/>
    <x v="2"/>
    <m/>
  </r>
  <r>
    <s v="0517-0 JS mobis"/>
    <x v="5"/>
    <x v="7"/>
    <n v="19"/>
    <s v="收到客户(周嘉敏)发来做箱数据(报关资料)"/>
    <x v="2"/>
    <x v="2"/>
    <s v="一般做箱当天一早"/>
  </r>
  <r>
    <s v="0517-0 JS mobis"/>
    <x v="5"/>
    <x v="7"/>
    <n v="20"/>
    <s v="按报关(发票)数生成提单号【如发票数超过提单数】"/>
    <x v="2"/>
    <x v="2"/>
    <m/>
  </r>
  <r>
    <s v="0517-0 JS mobis"/>
    <x v="5"/>
    <x v="7"/>
    <n v="21"/>
    <s v="做做箱数据，QQ发车队(沈丽)"/>
    <x v="2"/>
    <x v="2"/>
    <m/>
  </r>
  <r>
    <s v="0517-0 JS mobis"/>
    <x v="5"/>
    <x v="7"/>
    <n v="22"/>
    <s v="做报关资料，扫描发报关行(黄寅文)QQ"/>
    <x v="2"/>
    <x v="2"/>
    <m/>
  </r>
  <r>
    <s v="0517-0 JS mobis"/>
    <x v="5"/>
    <x v="7"/>
    <n v="23"/>
    <s v="收到车队(沈丽)装箱单"/>
    <x v="2"/>
    <x v="2"/>
    <s v="一般马上"/>
  </r>
  <r>
    <s v="0517-0 JS mobis"/>
    <x v="5"/>
    <x v="7"/>
    <n v="24"/>
    <s v="YJC系统截单，发EDI，邮件HMM(He)【5-14 12:00】"/>
    <x v="2"/>
    <x v="2"/>
    <s v="注意截单时间"/>
  </r>
  <r>
    <s v="0517-0 JS mobis"/>
    <x v="5"/>
    <x v="7"/>
    <n v="25"/>
    <s v="收到HMM(He)生成提单通知"/>
    <x v="2"/>
    <x v="2"/>
    <s v="一般马上"/>
  </r>
  <r>
    <s v="0517-0 JS mobis"/>
    <x v="5"/>
    <x v="7"/>
    <n v="26"/>
    <s v="HMM网站核对提单信息"/>
    <x v="2"/>
    <x v="2"/>
    <m/>
  </r>
  <r>
    <s v="0517-0 JS mobis"/>
    <x v="5"/>
    <x v="7"/>
    <n v="27"/>
    <s v="做保函给邹师傅"/>
    <x v="2"/>
    <x v="2"/>
    <m/>
  </r>
  <r>
    <s v="0517-0 JS mobis"/>
    <x v="5"/>
    <x v="7"/>
    <n v="28"/>
    <s v="发VGM和舱单"/>
    <x v="2"/>
    <x v="2"/>
    <m/>
  </r>
  <r>
    <s v="0517-0 JS mobis"/>
    <x v="5"/>
    <x v="7"/>
    <n v="29"/>
    <s v="做ISF，发国外资料"/>
    <x v="2"/>
    <x v="2"/>
    <m/>
  </r>
  <r>
    <s v="0517-0 JS mobis"/>
    <x v="5"/>
    <x v="7"/>
    <n v="30"/>
    <s v="买保险"/>
    <x v="2"/>
    <x v="2"/>
    <m/>
  </r>
  <r>
    <s v="0517-0 JS mobis"/>
    <x v="5"/>
    <x v="7"/>
    <n v="31"/>
    <s v="盯海关网站舱单"/>
    <x v="2"/>
    <x v="2"/>
    <s v="一般两小时左右"/>
  </r>
  <r>
    <s v="0517-0 JS mobis"/>
    <x v="5"/>
    <x v="7"/>
    <n v="32"/>
    <s v="核对舱单信息"/>
    <x v="2"/>
    <x v="2"/>
    <m/>
  </r>
  <r>
    <s v="0517-0 JS mobis"/>
    <x v="5"/>
    <x v="7"/>
    <n v="33"/>
    <s v="收到报关行(黄寅文)校对稿，邮件发客户(周嘉敏)确认"/>
    <x v="2"/>
    <x v="2"/>
    <s v="一般半天内"/>
  </r>
  <r>
    <s v="0517-0 JS mobis"/>
    <x v="5"/>
    <x v="7"/>
    <n v="34"/>
    <s v="收到客户(周嘉敏)确认校对稿，通知报关行(黄寅文)"/>
    <x v="2"/>
    <x v="2"/>
    <s v="一般马上"/>
  </r>
  <r>
    <s v="0517-0 JS mobis"/>
    <x v="5"/>
    <x v="7"/>
    <n v="35"/>
    <s v="通知报关行(黄寅文)报关(需有开港)"/>
    <x v="2"/>
    <x v="2"/>
    <m/>
  </r>
  <r>
    <s v="0517-0 JS mobis"/>
    <x v="5"/>
    <x v="7"/>
    <n v="36"/>
    <s v="收到报关成功通知"/>
    <x v="2"/>
    <x v="2"/>
    <s v="一般下班前"/>
  </r>
  <r>
    <s v="0517-0 JS mobis"/>
    <x v="5"/>
    <x v="7"/>
    <n v="37"/>
    <s v="通知车队(沈丽)可进港"/>
    <x v="2"/>
    <x v="2"/>
    <m/>
  </r>
  <r>
    <s v="0517-0 JS mobis"/>
    <x v="5"/>
    <x v="7"/>
    <n v="38"/>
    <s v="盯箱子进港"/>
    <x v="13"/>
    <x v="2"/>
    <m/>
  </r>
  <r>
    <s v="0517-0 JS mobis"/>
    <x v="5"/>
    <x v="7"/>
    <n v="39"/>
    <s v="核对进港数据"/>
    <x v="13"/>
    <x v="2"/>
    <m/>
  </r>
  <r>
    <s v="0517-0 JS mobis"/>
    <x v="5"/>
    <x v="7"/>
    <n v="40"/>
    <s v="盯海放"/>
    <x v="13"/>
    <x v="2"/>
    <m/>
  </r>
  <r>
    <s v="0517-0 JS mobis"/>
    <x v="5"/>
    <x v="7"/>
    <n v="41"/>
    <s v="盯码放"/>
    <x v="13"/>
    <x v="2"/>
    <m/>
  </r>
  <r>
    <s v="0517-0 JS mobis"/>
    <x v="5"/>
    <x v="7"/>
    <n v="42"/>
    <s v="盯配载"/>
    <x v="13"/>
    <x v="2"/>
    <m/>
  </r>
  <r>
    <s v="0517-0 JS mobis"/>
    <x v="5"/>
    <x v="7"/>
    <n v="43"/>
    <s v="做费用"/>
    <x v="14"/>
    <x v="2"/>
    <m/>
  </r>
  <r>
    <s v="0517-0 JS mobis"/>
    <x v="5"/>
    <x v="7"/>
    <n v="44"/>
    <s v="发账单"/>
    <x v="14"/>
    <x v="2"/>
    <m/>
  </r>
  <r>
    <s v="0517-0 JS mobis"/>
    <x v="5"/>
    <x v="7"/>
    <n v="45"/>
    <s v="放单"/>
    <x v="16"/>
    <x v="2"/>
    <s v="一般开船后两三天"/>
  </r>
  <r>
    <s v="0517-0 SC glovis"/>
    <x v="6"/>
    <x v="7"/>
    <n v="1"/>
    <s v="收到客户托书"/>
    <x v="11"/>
    <x v="0"/>
    <m/>
  </r>
  <r>
    <s v="0517-0 SC glovis"/>
    <x v="6"/>
    <x v="7"/>
    <n v="2"/>
    <s v="生成单号，YJC系统，发EDI，邮件Neo放舱"/>
    <x v="11"/>
    <x v="0"/>
    <m/>
  </r>
  <r>
    <s v="0517-0 SC glovis"/>
    <x v="6"/>
    <x v="7"/>
    <n v="3"/>
    <s v="收到Neo放舱确认"/>
    <x v="6"/>
    <x v="0"/>
    <m/>
  </r>
  <r>
    <s v="0517-0 SC glovis"/>
    <x v="6"/>
    <x v="7"/>
    <n v="4"/>
    <s v="发预配信息给客户（张婷）"/>
    <x v="6"/>
    <x v="0"/>
    <m/>
  </r>
  <r>
    <s v="0517-0 SC glovis"/>
    <x v="6"/>
    <x v="7"/>
    <n v="5"/>
    <s v="收到客户（张婷）报关资料"/>
    <x v="0"/>
    <x v="0"/>
    <m/>
  </r>
  <r>
    <s v="0517-0 SC glovis"/>
    <x v="6"/>
    <x v="7"/>
    <n v="6"/>
    <s v="做报关资料，发报关行（黄寅文）"/>
    <x v="0"/>
    <x v="0"/>
    <m/>
  </r>
  <r>
    <s v="0517-0 SC glovis"/>
    <x v="6"/>
    <x v="7"/>
    <n v="7"/>
    <s v="收到客户（张婷）舱单模板和VGM"/>
    <x v="0"/>
    <x v="0"/>
    <m/>
  </r>
  <r>
    <s v="0517-0 SC glovis"/>
    <x v="6"/>
    <x v="7"/>
    <n v="8"/>
    <s v="发舱单和VGM"/>
    <x v="0"/>
    <x v="0"/>
    <m/>
  </r>
  <r>
    <s v="0517-0 SC glovis"/>
    <x v="6"/>
    <x v="7"/>
    <n v="9"/>
    <s v="YJC系统改准确数据，发ESI，邮件何生成提单"/>
    <x v="0"/>
    <x v="0"/>
    <m/>
  </r>
  <r>
    <s v="0517-0 SC glovis"/>
    <x v="6"/>
    <x v="7"/>
    <n v="10"/>
    <s v="收到生成提单邮件，网站核对信息"/>
    <x v="2"/>
    <x v="0"/>
    <m/>
  </r>
  <r>
    <s v="0517-0 SC glovis"/>
    <x v="6"/>
    <x v="7"/>
    <n v="11"/>
    <s v="海关有舱单，核对舱单"/>
    <x v="0"/>
    <x v="0"/>
    <m/>
  </r>
  <r>
    <s v="0517-0 SC glovis"/>
    <x v="6"/>
    <x v="7"/>
    <n v="12"/>
    <s v="有开港，通知报关"/>
    <x v="0"/>
    <x v="0"/>
    <m/>
  </r>
  <r>
    <s v="0517-0 SC glovis"/>
    <x v="6"/>
    <x v="7"/>
    <n v="13"/>
    <s v="发提单确认（两份）"/>
    <x v="2"/>
    <x v="0"/>
    <m/>
  </r>
  <r>
    <s v="0517-0 SC glovis"/>
    <x v="6"/>
    <x v="7"/>
    <n v="14"/>
    <s v="收到报关成功通知"/>
    <x v="2"/>
    <x v="0"/>
    <m/>
  </r>
  <r>
    <s v="0517-0 SC glovis"/>
    <x v="6"/>
    <x v="7"/>
    <n v="15"/>
    <s v="通知可进港"/>
    <x v="2"/>
    <x v="0"/>
    <m/>
  </r>
  <r>
    <s v="0517-0 SC glovis"/>
    <x v="6"/>
    <x v="7"/>
    <n v="16"/>
    <s v="收到客户（张婷）提单确认"/>
    <x v="2"/>
    <x v="0"/>
    <m/>
  </r>
  <r>
    <s v="0517-0 SC glovis"/>
    <x v="6"/>
    <x v="7"/>
    <n v="17"/>
    <s v="船公司发好AMS，发来信息"/>
    <x v="2"/>
    <x v="0"/>
    <m/>
  </r>
  <r>
    <s v="0517-0 SC glovis"/>
    <x v="6"/>
    <x v="7"/>
    <n v="18"/>
    <s v="收到客户寄来电放保函，盖YJC章，交师傅送胡小姐"/>
    <x v="13"/>
    <x v="0"/>
    <m/>
  </r>
  <r>
    <s v="0517-0 SC glovis"/>
    <x v="6"/>
    <x v="7"/>
    <n v="19"/>
    <s v="船开"/>
    <x v="16"/>
    <x v="0"/>
    <m/>
  </r>
  <r>
    <s v="0517-0 SC glovis"/>
    <x v="6"/>
    <x v="7"/>
    <n v="20"/>
    <s v="放单"/>
    <x v="17"/>
    <x v="1"/>
    <m/>
  </r>
  <r>
    <s v="0517-0 SC glovis"/>
    <x v="6"/>
    <x v="7"/>
    <n v="21"/>
    <s v="等船公司费用有了，和金小姐一起确定客户费用"/>
    <x v="17"/>
    <x v="1"/>
    <m/>
  </r>
  <r>
    <s v="0522-0 HMI"/>
    <x v="2"/>
    <x v="8"/>
    <n v="1"/>
    <s v="收到客户(孙丹/王珊)发来订舱托书(CK也收到)"/>
    <x v="4"/>
    <x v="0"/>
    <m/>
  </r>
  <r>
    <s v="0522-0 HMI"/>
    <x v="2"/>
    <x v="8"/>
    <n v="2"/>
    <s v="YJC系统生成单子"/>
    <x v="4"/>
    <x v="0"/>
    <m/>
  </r>
  <r>
    <s v="0522-0 HMI"/>
    <x v="2"/>
    <x v="8"/>
    <n v="3"/>
    <s v="收到CK发来预配(做箱通知)"/>
    <x v="2"/>
    <x v="0"/>
    <m/>
  </r>
  <r>
    <s v="0522-0 HMI"/>
    <x v="2"/>
    <x v="8"/>
    <n v="4"/>
    <s v="收到包装厂(刘倩梅)发来包装指示书和装箱计划"/>
    <x v="18"/>
    <x v="0"/>
    <s v="一般周四"/>
  </r>
  <r>
    <s v="0522-0 HMI"/>
    <x v="2"/>
    <x v="8"/>
    <n v="5"/>
    <s v="根据装箱计划汇总包装数据，发各工厂做报关资料"/>
    <x v="14"/>
    <x v="0"/>
    <m/>
  </r>
  <r>
    <s v="0522-0 HMI"/>
    <x v="2"/>
    <x v="8"/>
    <n v="6"/>
    <s v="做做箱数据，邮件群发"/>
    <x v="14"/>
    <x v="0"/>
    <m/>
  </r>
  <r>
    <s v="0522-0 HMI"/>
    <x v="2"/>
    <x v="8"/>
    <n v="7"/>
    <s v="收到工厂发来报关资料并完善(做报关资料跟客户确认)"/>
    <x v="14"/>
    <x v="0"/>
    <s v="当天至隔天"/>
  </r>
  <r>
    <s v="0522-0 HMI"/>
    <x v="2"/>
    <x v="8"/>
    <n v="8"/>
    <s v="报关资料齐了，发报关行(黄寅文)"/>
    <x v="14"/>
    <x v="0"/>
    <m/>
  </r>
  <r>
    <s v="0522-0 HMI"/>
    <x v="2"/>
    <x v="8"/>
    <n v="9"/>
    <s v="收到车队(沈丽)装箱单和洋山提箱截图(如有)"/>
    <x v="16"/>
    <x v="0"/>
    <s v="一般KMM五、HMI日"/>
  </r>
  <r>
    <s v="0522-0 HMI"/>
    <x v="2"/>
    <x v="8"/>
    <n v="10"/>
    <s v="群发装箱单和洋山提箱截图(如有)【5-20】，通知发舱单"/>
    <x v="16"/>
    <x v="0"/>
    <s v="注意截单时间"/>
  </r>
  <r>
    <s v="0522-0 HMI"/>
    <x v="2"/>
    <x v="8"/>
    <n v="12"/>
    <s v="收到舱单发送成功通知，核对舱单信息"/>
    <x v="16"/>
    <x v="0"/>
    <m/>
  </r>
  <r>
    <s v="0522-0 HMI"/>
    <x v="2"/>
    <x v="8"/>
    <n v="13"/>
    <s v="进港(核对数据)，通知报关，报关成功"/>
    <x v="16"/>
    <x v="0"/>
    <s v="根据港区"/>
  </r>
  <r>
    <s v="0522-0 HMI"/>
    <x v="2"/>
    <x v="8"/>
    <n v="14"/>
    <s v="盯海放"/>
    <x v="16"/>
    <x v="1"/>
    <m/>
  </r>
  <r>
    <s v="0522-0 HMI"/>
    <x v="2"/>
    <x v="8"/>
    <n v="15"/>
    <s v="盯码放"/>
    <x v="16"/>
    <x v="1"/>
    <m/>
  </r>
  <r>
    <s v="0522-0 HMI"/>
    <x v="2"/>
    <x v="8"/>
    <n v="16"/>
    <s v="盯配载"/>
    <x v="17"/>
    <x v="1"/>
    <m/>
  </r>
  <r>
    <s v="0522-0 HMI"/>
    <x v="2"/>
    <x v="8"/>
    <n v="17"/>
    <s v="盯船开"/>
    <x v="19"/>
    <x v="1"/>
    <m/>
  </r>
  <r>
    <s v="0522-0 HMI"/>
    <x v="2"/>
    <x v="8"/>
    <n v="18"/>
    <s v="做费用(对账单日期4号)，放公共盘，填月账单表，发孙丹"/>
    <x v="19"/>
    <x v="1"/>
    <m/>
  </r>
  <r>
    <s v="0522-0 KMM"/>
    <x v="3"/>
    <x v="8"/>
    <n v="1"/>
    <s v="收到孙丹发来订舱托书(CK也收到)"/>
    <x v="1"/>
    <x v="0"/>
    <m/>
  </r>
  <r>
    <s v="0522-0 KMM"/>
    <x v="3"/>
    <x v="8"/>
    <n v="2"/>
    <s v="收到CK发来预配(做箱通知)"/>
    <x v="1"/>
    <x v="0"/>
    <m/>
  </r>
  <r>
    <s v="0522-0 KMM"/>
    <x v="3"/>
    <x v="8"/>
    <n v="3"/>
    <s v="YJC系统生成单子"/>
    <x v="1"/>
    <x v="0"/>
    <m/>
  </r>
  <r>
    <s v="0522-0 KMM"/>
    <x v="3"/>
    <x v="8"/>
    <n v="4"/>
    <s v="收到包装厂(刘倩梅)发来包装指示书和装箱计划"/>
    <x v="18"/>
    <x v="0"/>
    <s v="一般周四"/>
  </r>
  <r>
    <s v="0522-0 KMM"/>
    <x v="3"/>
    <x v="8"/>
    <n v="5"/>
    <s v="根据装箱计划汇总包装数据，发各工厂做报关资料"/>
    <x v="18"/>
    <x v="0"/>
    <m/>
  </r>
  <r>
    <s v="0522-0 KMM"/>
    <x v="3"/>
    <x v="8"/>
    <n v="6"/>
    <s v="做做箱数据，邮件群发"/>
    <x v="18"/>
    <x v="0"/>
    <m/>
  </r>
  <r>
    <s v="0522-0 KMM"/>
    <x v="3"/>
    <x v="8"/>
    <n v="7"/>
    <s v="收到工厂发来报关资料并完善"/>
    <x v="18"/>
    <x v="0"/>
    <s v="当天至隔天"/>
  </r>
  <r>
    <s v="0522-0 KMM"/>
    <x v="3"/>
    <x v="8"/>
    <n v="8"/>
    <s v="报关资料齐了，发报关行(黄寅文)"/>
    <x v="18"/>
    <x v="0"/>
    <m/>
  </r>
  <r>
    <s v="0522-0 KMM"/>
    <x v="3"/>
    <x v="8"/>
    <n v="9"/>
    <s v="收到车队(沈丽)装箱单和洋山提箱截图(如有)"/>
    <x v="14"/>
    <x v="0"/>
    <s v="一般KMM五、HMI日"/>
  </r>
  <r>
    <s v="0522-0 KMM"/>
    <x v="3"/>
    <x v="8"/>
    <n v="10"/>
    <s v="群发装箱单和洋山提箱截图(如有)【5-17 17:00】"/>
    <x v="14"/>
    <x v="0"/>
    <s v="注意截单时间"/>
  </r>
  <r>
    <s v="0522-0 KMM"/>
    <x v="3"/>
    <x v="8"/>
    <n v="11"/>
    <s v="通知发舱单"/>
    <x v="14"/>
    <x v="0"/>
    <m/>
  </r>
  <r>
    <s v="0522-0 KMM"/>
    <x v="3"/>
    <x v="8"/>
    <n v="12"/>
    <s v="通知进港，进港(核对数据)，通知报关，报关成功"/>
    <x v="14"/>
    <x v="0"/>
    <s v="根据港区"/>
  </r>
  <r>
    <s v="0522-0 KMM"/>
    <x v="3"/>
    <x v="8"/>
    <n v="13"/>
    <s v="盯海放"/>
    <x v="16"/>
    <x v="0"/>
    <m/>
  </r>
  <r>
    <s v="0522-0 KMM"/>
    <x v="3"/>
    <x v="8"/>
    <n v="14"/>
    <s v="盯码放"/>
    <x v="16"/>
    <x v="0"/>
    <m/>
  </r>
  <r>
    <s v="0522-0 KMM"/>
    <x v="3"/>
    <x v="8"/>
    <n v="15"/>
    <s v="盯配载"/>
    <x v="17"/>
    <x v="1"/>
    <m/>
  </r>
  <r>
    <s v="0522-0 KMM"/>
    <x v="3"/>
    <x v="8"/>
    <n v="16"/>
    <s v="做费用(对账单日期4号)，放公共盘，填月账单表，发孙丹"/>
    <x v="19"/>
    <x v="1"/>
    <m/>
  </r>
  <r>
    <s v="0522-0 WX mobis"/>
    <x v="7"/>
    <x v="8"/>
    <n v="1"/>
    <s v="收到胡媛媛发来订舱邮件"/>
    <x v="20"/>
    <x v="0"/>
    <m/>
  </r>
  <r>
    <s v="0522-0 WX mobis"/>
    <x v="7"/>
    <x v="8"/>
    <n v="2"/>
    <s v="发订舱托书给万恒（翁小姐）"/>
    <x v="20"/>
    <x v="0"/>
    <m/>
  </r>
  <r>
    <s v="0522-0 WX mobis"/>
    <x v="7"/>
    <x v="8"/>
    <n v="3"/>
    <s v="收到万恒（翁小姐）预配"/>
    <x v="20"/>
    <x v="0"/>
    <s v="一般三小时左右"/>
  </r>
  <r>
    <s v="0522-0 WX mobis"/>
    <x v="7"/>
    <x v="8"/>
    <n v="4"/>
    <s v="通知胡媛媛订舱成功"/>
    <x v="20"/>
    <x v="0"/>
    <m/>
  </r>
  <r>
    <s v="0522-0 WX mobis"/>
    <x v="7"/>
    <x v="8"/>
    <n v="5"/>
    <s v="发做箱通知邮件给车队(沈丽)"/>
    <x v="1"/>
    <x v="0"/>
    <m/>
  </r>
  <r>
    <s v="0522-0 WX mobis"/>
    <x v="7"/>
    <x v="8"/>
    <n v="6"/>
    <s v="收到胡媛媛发来报关资料"/>
    <x v="2"/>
    <x v="0"/>
    <s v="船开前一周？"/>
  </r>
  <r>
    <s v="0522-0 WX mobis"/>
    <x v="7"/>
    <x v="8"/>
    <n v="7"/>
    <s v="完善报关资料发报关行（黄寅文），要校对稿，做做箱数据给沈丽"/>
    <x v="2"/>
    <x v="0"/>
    <m/>
  </r>
  <r>
    <s v="0522-0 WX mobis"/>
    <x v="7"/>
    <x v="8"/>
    <n v="8"/>
    <s v="买保险，做异地付款保函，发胡媛媛确认盖章回传"/>
    <x v="2"/>
    <x v="0"/>
    <m/>
  </r>
  <r>
    <s v="0522-0 WX mobis"/>
    <x v="7"/>
    <x v="8"/>
    <n v="9"/>
    <s v="收到客户（胡媛媛）发来保函扫描件"/>
    <x v="2"/>
    <x v="0"/>
    <s v="一般马上"/>
  </r>
  <r>
    <s v="0522-0 WX mobis"/>
    <x v="7"/>
    <x v="8"/>
    <n v="10"/>
    <s v="收到黄寅文校对稿，发客户（胡媛媛）确认"/>
    <x v="13"/>
    <x v="0"/>
    <s v="一般半天内"/>
  </r>
  <r>
    <s v="0522-0 WX mobis"/>
    <x v="7"/>
    <x v="8"/>
    <n v="11"/>
    <s v="收到客户（胡媛媛）确认校对稿OK"/>
    <x v="18"/>
    <x v="0"/>
    <s v="一般马上"/>
  </r>
  <r>
    <s v="0522-0 WX mobis"/>
    <x v="7"/>
    <x v="8"/>
    <n v="12"/>
    <s v="关注开港时间，跟车队（沈丽）确认明天做箱，如有变动通知胡媛媛"/>
    <x v="18"/>
    <x v="0"/>
    <s v="截单(5-17 11:00)"/>
  </r>
  <r>
    <s v="0522-0 WX mobis"/>
    <x v="7"/>
    <x v="8"/>
    <n v="13"/>
    <s v="收到沈丽发来装箱单"/>
    <x v="14"/>
    <x v="0"/>
    <s v="截单当天"/>
  </r>
  <r>
    <s v="0522-0 WX mobis"/>
    <x v="7"/>
    <x v="8"/>
    <n v="14"/>
    <s v="完善截单资料发万恒（翁小姐），请求发舱单"/>
    <x v="14"/>
    <x v="0"/>
    <m/>
  </r>
  <r>
    <s v="0522-0 WX mobis"/>
    <x v="7"/>
    <x v="8"/>
    <n v="15"/>
    <s v="收到舱单发送通知，核对舱单，装箱单发报关行报关"/>
    <x v="14"/>
    <x v="0"/>
    <m/>
  </r>
  <r>
    <s v="0522-0 WX mobis"/>
    <x v="7"/>
    <x v="8"/>
    <n v="16"/>
    <s v="请求万恒（翁小姐）发提单样本"/>
    <x v="16"/>
    <x v="0"/>
    <m/>
  </r>
  <r>
    <s v="0522-0 WX mobis"/>
    <x v="7"/>
    <x v="8"/>
    <n v="17"/>
    <s v="收到万恒（翁小姐）发来提单样本，发胡媛媛确认"/>
    <x v="16"/>
    <x v="0"/>
    <m/>
  </r>
  <r>
    <s v="0522-0 WX mobis"/>
    <x v="7"/>
    <x v="8"/>
    <n v="18"/>
    <s v="收到胡媛媛提单确认"/>
    <x v="16"/>
    <x v="0"/>
    <m/>
  </r>
  <r>
    <s v="0522-0 WX mobis"/>
    <x v="7"/>
    <x v="8"/>
    <n v="19"/>
    <s v="收到报关成功通知，通知车队可进港 "/>
    <x v="14"/>
    <x v="0"/>
    <m/>
  </r>
  <r>
    <s v="0522-0 WX mobis"/>
    <x v="7"/>
    <x v="8"/>
    <n v="20"/>
    <s v="进港，核对数据"/>
    <x v="14"/>
    <x v="0"/>
    <m/>
  </r>
  <r>
    <s v="0522-0 WX mobis"/>
    <x v="7"/>
    <x v="8"/>
    <n v="21"/>
    <s v="海放"/>
    <x v="16"/>
    <x v="0"/>
    <m/>
  </r>
  <r>
    <s v="0522-0 WX mobis"/>
    <x v="7"/>
    <x v="8"/>
    <n v="22"/>
    <s v="码放"/>
    <x v="16"/>
    <x v="0"/>
    <m/>
  </r>
  <r>
    <s v="0522-0 WX mobis"/>
    <x v="7"/>
    <x v="8"/>
    <n v="23"/>
    <s v="配载"/>
    <x v="17"/>
    <x v="1"/>
    <m/>
  </r>
  <r>
    <s v="0522-0 WX mobis"/>
    <x v="7"/>
    <x v="8"/>
    <n v="24"/>
    <s v="开船"/>
    <x v="19"/>
    <x v="1"/>
    <m/>
  </r>
  <r>
    <s v="0522-0 WX mobis"/>
    <x v="7"/>
    <x v="8"/>
    <n v="25"/>
    <s v="放提单和预录单"/>
    <x v="19"/>
    <x v="1"/>
    <m/>
  </r>
  <r>
    <s v="0524-0 JS mobis"/>
    <x v="5"/>
    <x v="9"/>
    <n v="1"/>
    <s v="收到客户(周嘉敏)订舱预报"/>
    <x v="4"/>
    <x v="0"/>
    <s v="一般周五发隔周"/>
  </r>
  <r>
    <s v="0524-0 JS mobis"/>
    <x v="5"/>
    <x v="9"/>
    <n v="2"/>
    <s v="填WORKING PROCESS"/>
    <x v="4"/>
    <x v="0"/>
    <m/>
  </r>
  <r>
    <s v="0524-0 JS mobis"/>
    <x v="5"/>
    <x v="9"/>
    <n v="3"/>
    <s v="收到HMM(Neo)预订舱邮件通知"/>
    <x v="0"/>
    <x v="0"/>
    <s v="一般周一发下周"/>
  </r>
  <r>
    <s v="0524-0 JS mobis"/>
    <x v="5"/>
    <x v="9"/>
    <n v="4"/>
    <s v="回复HMM(Neo)预订舱邮件"/>
    <x v="0"/>
    <x v="0"/>
    <m/>
  </r>
  <r>
    <s v="0524-0 JS mobis"/>
    <x v="5"/>
    <x v="9"/>
    <n v="5"/>
    <s v="收到HMM(Neo)预订舱确认"/>
    <x v="2"/>
    <x v="0"/>
    <s v="一般马上"/>
  </r>
  <r>
    <s v="0524-0 JS mobis"/>
    <x v="5"/>
    <x v="9"/>
    <n v="6"/>
    <s v="公共盘生成提单号"/>
    <x v="2"/>
    <x v="0"/>
    <m/>
  </r>
  <r>
    <s v="0524-0 JS mobis"/>
    <x v="5"/>
    <x v="9"/>
    <n v="7"/>
    <s v="YJC系统生成单子"/>
    <x v="2"/>
    <x v="0"/>
    <m/>
  </r>
  <r>
    <s v="0524-0 JS mobis"/>
    <x v="5"/>
    <x v="9"/>
    <n v="8"/>
    <s v="发EDI"/>
    <x v="2"/>
    <x v="0"/>
    <m/>
  </r>
  <r>
    <s v="0524-0 JS mobis"/>
    <x v="5"/>
    <x v="9"/>
    <n v="9"/>
    <s v="邮件申请放单"/>
    <x v="2"/>
    <x v="0"/>
    <m/>
  </r>
  <r>
    <s v="0524-0 JS mobis"/>
    <x v="5"/>
    <x v="9"/>
    <n v="10"/>
    <s v="收到HMM(Neo) 放单确认"/>
    <x v="13"/>
    <x v="0"/>
    <s v="一般半天内"/>
  </r>
  <r>
    <s v="0524-0 JS mobis"/>
    <x v="5"/>
    <x v="9"/>
    <n v="11"/>
    <s v="HMM网站核对订舱信息"/>
    <x v="13"/>
    <x v="0"/>
    <m/>
  </r>
  <r>
    <s v="0524-0 JS mobis"/>
    <x v="5"/>
    <x v="9"/>
    <n v="13"/>
    <s v="收到客户(周嘉敏)做箱通知"/>
    <x v="16"/>
    <x v="0"/>
    <s v="一般做箱头天一早"/>
  </r>
  <r>
    <s v="0524-0 JS mobis"/>
    <x v="5"/>
    <x v="9"/>
    <n v="14"/>
    <s v="发做箱通知邮件给车队(沈丽)"/>
    <x v="16"/>
    <x v="0"/>
    <m/>
  </r>
  <r>
    <s v="0524-0 JS mobis"/>
    <x v="5"/>
    <x v="9"/>
    <n v="15"/>
    <s v="公共盘生成提单号【如需拆单】"/>
    <x v="16"/>
    <x v="0"/>
    <m/>
  </r>
  <r>
    <s v="0524-0 JS mobis"/>
    <x v="5"/>
    <x v="9"/>
    <n v="16"/>
    <s v="YJC系统生成单子【如需拆单】"/>
    <x v="16"/>
    <x v="0"/>
    <m/>
  </r>
  <r>
    <s v="0524-0 JS mobis"/>
    <x v="5"/>
    <x v="9"/>
    <n v="17"/>
    <s v="发EDI【如需拆单】"/>
    <x v="16"/>
    <x v="0"/>
    <m/>
  </r>
  <r>
    <s v="0524-0 JS mobis"/>
    <x v="5"/>
    <x v="9"/>
    <n v="18"/>
    <s v="邮件申请放单【如需拆单】"/>
    <x v="16"/>
    <x v="0"/>
    <m/>
  </r>
  <r>
    <s v="0524-0 JS mobis"/>
    <x v="5"/>
    <x v="9"/>
    <n v="19"/>
    <s v="收到HMM(Neo) 放单确认【如需拆单】"/>
    <x v="16"/>
    <x v="1"/>
    <m/>
  </r>
  <r>
    <s v="0524-0 JS mobis"/>
    <x v="5"/>
    <x v="9"/>
    <n v="20"/>
    <s v="HMM网站核对订舱信息【如需拆单】"/>
    <x v="16"/>
    <x v="1"/>
    <m/>
  </r>
  <r>
    <s v="0524-0 JS mobis"/>
    <x v="5"/>
    <x v="9"/>
    <n v="20.100000000000001"/>
    <s v="明天盐城能装？"/>
    <x v="14"/>
    <x v="0"/>
    <m/>
  </r>
  <r>
    <s v="0524-0 JS mobis"/>
    <x v="5"/>
    <x v="9"/>
    <n v="21"/>
    <s v="收到客户(徐贵)发来做箱数据(报关资料)"/>
    <x v="17"/>
    <x v="1"/>
    <s v="一般做箱当天一早"/>
  </r>
  <r>
    <s v="0524-0 JS mobis"/>
    <x v="5"/>
    <x v="9"/>
    <n v="22"/>
    <s v="按报关(发票)数生成提单号【如发票数超过提单数】"/>
    <x v="17"/>
    <x v="1"/>
    <m/>
  </r>
  <r>
    <s v="0524-0 JS mobis"/>
    <x v="5"/>
    <x v="9"/>
    <n v="23"/>
    <s v="做做箱数据，QQ发车队(沈丽)"/>
    <x v="17"/>
    <x v="1"/>
    <m/>
  </r>
  <r>
    <s v="0524-0 JS mobis"/>
    <x v="5"/>
    <x v="9"/>
    <n v="24"/>
    <s v="做报关资料，扫描发报关行(黄寅文)QQ"/>
    <x v="17"/>
    <x v="1"/>
    <m/>
  </r>
  <r>
    <s v="0524-0 JS mobis"/>
    <x v="5"/>
    <x v="9"/>
    <n v="25"/>
    <s v="收到车队(沈丽)装箱单"/>
    <x v="17"/>
    <x v="1"/>
    <s v="一般马上"/>
  </r>
  <r>
    <s v="0524-0 JS mobis"/>
    <x v="5"/>
    <x v="9"/>
    <n v="26"/>
    <s v="YJC系统截单，发EDI，邮件HMM(He)【5-21 周二 12:00】"/>
    <x v="17"/>
    <x v="1"/>
    <s v="注意截单时间"/>
  </r>
  <r>
    <s v="0524-0 JS mobis"/>
    <x v="5"/>
    <x v="9"/>
    <n v="27"/>
    <s v="做保函给邹师傅"/>
    <x v="17"/>
    <x v="1"/>
    <m/>
  </r>
  <r>
    <s v="0524-0 JS mobis"/>
    <x v="5"/>
    <x v="9"/>
    <n v="28"/>
    <s v="发VGM和舱单"/>
    <x v="17"/>
    <x v="1"/>
    <m/>
  </r>
  <r>
    <s v="0524-0 JS mobis"/>
    <x v="5"/>
    <x v="9"/>
    <n v="29"/>
    <s v="做ISF，发国外资料"/>
    <x v="17"/>
    <x v="1"/>
    <m/>
  </r>
  <r>
    <s v="0524-0 JS mobis"/>
    <x v="5"/>
    <x v="9"/>
    <n v="30"/>
    <s v="买保险"/>
    <x v="17"/>
    <x v="1"/>
    <m/>
  </r>
  <r>
    <s v="0524-0 JS mobis"/>
    <x v="5"/>
    <x v="9"/>
    <n v="31"/>
    <s v="填WORKING PROCESS"/>
    <x v="17"/>
    <x v="1"/>
    <m/>
  </r>
  <r>
    <s v="0524-0 JS mobis"/>
    <x v="5"/>
    <x v="9"/>
    <n v="32"/>
    <s v="收到HMM(He)生成提单通知"/>
    <x v="17"/>
    <x v="1"/>
    <s v="一般马上"/>
  </r>
  <r>
    <s v="0524-0 JS mobis"/>
    <x v="5"/>
    <x v="9"/>
    <n v="33"/>
    <s v="HMM网站核对提单信息"/>
    <x v="17"/>
    <x v="1"/>
    <m/>
  </r>
  <r>
    <s v="0524-0 JS mobis"/>
    <x v="5"/>
    <x v="9"/>
    <n v="34"/>
    <s v="盯海关网站舱单"/>
    <x v="17"/>
    <x v="1"/>
    <s v="一般两小时左右"/>
  </r>
  <r>
    <s v="0524-0 JS mobis"/>
    <x v="5"/>
    <x v="9"/>
    <n v="35"/>
    <s v="核对舱单信息"/>
    <x v="17"/>
    <x v="1"/>
    <m/>
  </r>
  <r>
    <s v="0524-0 JS mobis"/>
    <x v="5"/>
    <x v="9"/>
    <n v="36"/>
    <s v="收到报关行(黄寅文)校对稿，邮件发客户(徐贵)确认"/>
    <x v="17"/>
    <x v="1"/>
    <s v="一般半天内"/>
  </r>
  <r>
    <s v="0524-0 JS mobis"/>
    <x v="5"/>
    <x v="9"/>
    <n v="37"/>
    <s v="收到客户(徐贵)确认校对稿，通知报关行(黄寅文)"/>
    <x v="17"/>
    <x v="1"/>
    <s v="一般马上"/>
  </r>
  <r>
    <s v="0524-0 JS mobis"/>
    <x v="5"/>
    <x v="9"/>
    <n v="38"/>
    <s v="通知报关行(黄寅文)报关(开港、舱单、校对)"/>
    <x v="17"/>
    <x v="1"/>
    <m/>
  </r>
  <r>
    <s v="0524-0 JS mobis"/>
    <x v="5"/>
    <x v="9"/>
    <n v="39"/>
    <s v="收到报关成功通知"/>
    <x v="17"/>
    <x v="1"/>
    <s v="一般下班前"/>
  </r>
  <r>
    <s v="0524-0 JS mobis"/>
    <x v="5"/>
    <x v="9"/>
    <n v="40"/>
    <s v="通知车队(沈丽)可进港"/>
    <x v="17"/>
    <x v="1"/>
    <m/>
  </r>
  <r>
    <s v="0524-0 JS mobis"/>
    <x v="5"/>
    <x v="9"/>
    <n v="41"/>
    <s v="盯箱子进港"/>
    <x v="19"/>
    <x v="1"/>
    <m/>
  </r>
  <r>
    <s v="0524-0 JS mobis"/>
    <x v="5"/>
    <x v="9"/>
    <n v="42"/>
    <s v="核对进港数据"/>
    <x v="19"/>
    <x v="1"/>
    <m/>
  </r>
  <r>
    <s v="0524-0 JS mobis"/>
    <x v="5"/>
    <x v="9"/>
    <n v="43"/>
    <s v="盯海放"/>
    <x v="19"/>
    <x v="1"/>
    <m/>
  </r>
  <r>
    <s v="0524-0 JS mobis"/>
    <x v="5"/>
    <x v="9"/>
    <n v="44"/>
    <s v="盯码放"/>
    <x v="19"/>
    <x v="1"/>
    <m/>
  </r>
  <r>
    <s v="0524-0 JS mobis"/>
    <x v="5"/>
    <x v="9"/>
    <n v="45"/>
    <s v="盯配载"/>
    <x v="21"/>
    <x v="1"/>
    <m/>
  </r>
  <r>
    <s v="0524-0 JS mobis"/>
    <x v="5"/>
    <x v="9"/>
    <n v="46"/>
    <s v="做费用"/>
    <x v="21"/>
    <x v="1"/>
    <m/>
  </r>
  <r>
    <s v="0524-0 JS mobis"/>
    <x v="5"/>
    <x v="9"/>
    <n v="47"/>
    <s v="发账单"/>
    <x v="21"/>
    <x v="1"/>
    <m/>
  </r>
  <r>
    <s v="0524-0 JS mobis"/>
    <x v="5"/>
    <x v="9"/>
    <n v="48"/>
    <s v="放单"/>
    <x v="22"/>
    <x v="1"/>
    <s v="一般开船后两三天"/>
  </r>
  <r>
    <s v="0528-0 JS mobis"/>
    <x v="5"/>
    <x v="10"/>
    <n v="1"/>
    <s v="收到客户(周嘉敏)订舱预报"/>
    <x v="4"/>
    <x v="0"/>
    <s v="一般周五发隔周"/>
  </r>
  <r>
    <s v="0528-0 JS mobis"/>
    <x v="5"/>
    <x v="10"/>
    <n v="2"/>
    <s v="填WORKING PROCESS"/>
    <x v="2"/>
    <x v="0"/>
    <m/>
  </r>
  <r>
    <s v="0528-0 JS mobis"/>
    <x v="5"/>
    <x v="10"/>
    <n v="3"/>
    <s v="收到HMM(Neo)预订舱邮件通知"/>
    <x v="2"/>
    <x v="0"/>
    <s v="一般周一发下周"/>
  </r>
  <r>
    <s v="0528-0 JS mobis"/>
    <x v="5"/>
    <x v="10"/>
    <n v="4"/>
    <s v="回复HMM(Neo)预订舱邮件"/>
    <x v="2"/>
    <x v="0"/>
    <m/>
  </r>
  <r>
    <s v="0528-0 JS mobis"/>
    <x v="5"/>
    <x v="10"/>
    <n v="5"/>
    <s v="收到HMM(Neo)预订舱确认"/>
    <x v="2"/>
    <x v="0"/>
    <s v="一般马上"/>
  </r>
  <r>
    <s v="0528-0 JS mobis"/>
    <x v="5"/>
    <x v="10"/>
    <n v="6"/>
    <s v="公共盘生成提单号"/>
    <x v="2"/>
    <x v="0"/>
    <m/>
  </r>
  <r>
    <s v="0528-0 JS mobis"/>
    <x v="5"/>
    <x v="10"/>
    <n v="7"/>
    <s v="YJC系统生成单子"/>
    <x v="2"/>
    <x v="0"/>
    <m/>
  </r>
  <r>
    <s v="0528-0 JS mobis"/>
    <x v="5"/>
    <x v="10"/>
    <n v="8"/>
    <s v="发EDI"/>
    <x v="2"/>
    <x v="0"/>
    <m/>
  </r>
  <r>
    <s v="0528-0 JS mobis"/>
    <x v="5"/>
    <x v="10"/>
    <n v="9"/>
    <s v="邮件申请放单"/>
    <x v="2"/>
    <x v="0"/>
    <m/>
  </r>
  <r>
    <s v="0528-0 JS mobis"/>
    <x v="5"/>
    <x v="10"/>
    <n v="10"/>
    <s v="收到HMM(Neo) 放单确认"/>
    <x v="13"/>
    <x v="0"/>
    <s v="一般半天内"/>
  </r>
  <r>
    <s v="0528-0 JS mobis"/>
    <x v="5"/>
    <x v="10"/>
    <n v="11"/>
    <s v="HMM网站核对订舱信息"/>
    <x v="13"/>
    <x v="0"/>
    <m/>
  </r>
  <r>
    <s v="0528-0 JS mobis"/>
    <x v="5"/>
    <x v="10"/>
    <n v="12"/>
    <s v="收到客户(徐贵)做箱通知(5-24截单)"/>
    <x v="17"/>
    <x v="1"/>
    <s v="一般做箱头天一早"/>
  </r>
  <r>
    <s v="0528-0 JS mobis"/>
    <x v="5"/>
    <x v="10"/>
    <n v="13"/>
    <s v="发做箱通知邮件给车队(沈丽)"/>
    <x v="19"/>
    <x v="1"/>
    <m/>
  </r>
  <r>
    <s v="0528-0 JS mobis"/>
    <x v="5"/>
    <x v="10"/>
    <n v="15"/>
    <s v="公共盘生成提单号【如需拆单】"/>
    <x v="19"/>
    <x v="1"/>
    <m/>
  </r>
  <r>
    <s v="0528-0 JS mobis"/>
    <x v="5"/>
    <x v="10"/>
    <n v="16"/>
    <s v="YJC系统生成单子【如需拆单】"/>
    <x v="19"/>
    <x v="1"/>
    <m/>
  </r>
  <r>
    <s v="0528-0 JS mobis"/>
    <x v="5"/>
    <x v="10"/>
    <n v="17"/>
    <s v="发EDI【如需拆单】"/>
    <x v="19"/>
    <x v="1"/>
    <m/>
  </r>
  <r>
    <s v="0528-0 JS mobis"/>
    <x v="5"/>
    <x v="10"/>
    <n v="18"/>
    <s v="邮件申请放单【如需拆单】"/>
    <x v="19"/>
    <x v="1"/>
    <m/>
  </r>
  <r>
    <s v="0528-0 JS mobis"/>
    <x v="5"/>
    <x v="10"/>
    <n v="19"/>
    <s v="收到HMM(Neo) 放单确认【如需拆单】"/>
    <x v="19"/>
    <x v="1"/>
    <m/>
  </r>
  <r>
    <s v="0528-0 JS mobis"/>
    <x v="5"/>
    <x v="10"/>
    <n v="20"/>
    <s v="HMM网站核对订舱信息【如需拆单】"/>
    <x v="19"/>
    <x v="1"/>
    <m/>
  </r>
  <r>
    <s v="0528-0 JS mobis"/>
    <x v="5"/>
    <x v="10"/>
    <n v="21"/>
    <s v="收到客户(徐贵)发来做箱数据(报关资料)"/>
    <x v="21"/>
    <x v="1"/>
    <s v="一般做箱当天一早"/>
  </r>
  <r>
    <s v="0528-0 JS mobis"/>
    <x v="5"/>
    <x v="10"/>
    <n v="22"/>
    <s v="按报关(发票)数生成提单号【如发票数超过提单数】"/>
    <x v="21"/>
    <x v="1"/>
    <m/>
  </r>
  <r>
    <s v="0528-0 JS mobis"/>
    <x v="5"/>
    <x v="10"/>
    <n v="23"/>
    <s v="做做箱数据，QQ发车队(沈丽)"/>
    <x v="21"/>
    <x v="1"/>
    <m/>
  </r>
  <r>
    <s v="0528-0 JS mobis"/>
    <x v="5"/>
    <x v="10"/>
    <n v="24"/>
    <s v="做报关资料，扫描发报关行(黄寅文)QQ"/>
    <x v="21"/>
    <x v="1"/>
    <m/>
  </r>
  <r>
    <s v="0528-0 JS mobis"/>
    <x v="5"/>
    <x v="10"/>
    <n v="25"/>
    <s v="收到车队(沈丽)装箱单"/>
    <x v="22"/>
    <x v="1"/>
    <s v="一般马上"/>
  </r>
  <r>
    <s v="0528-0 JS mobis"/>
    <x v="5"/>
    <x v="10"/>
    <n v="26"/>
    <s v="YJC系统截单，发EDI，邮件HMM(He)【5-24 12:00】"/>
    <x v="22"/>
    <x v="1"/>
    <s v="注意截单时间"/>
  </r>
  <r>
    <s v="0528-0 JS mobis"/>
    <x v="5"/>
    <x v="10"/>
    <n v="27"/>
    <s v="做保函给邹师傅"/>
    <x v="22"/>
    <x v="1"/>
    <m/>
  </r>
  <r>
    <s v="0528-0 JS mobis"/>
    <x v="5"/>
    <x v="10"/>
    <n v="28"/>
    <s v="发VGM和舱单"/>
    <x v="22"/>
    <x v="1"/>
    <m/>
  </r>
  <r>
    <s v="0528-0 JS mobis"/>
    <x v="5"/>
    <x v="10"/>
    <n v="29"/>
    <s v="做ISF，发国外资料"/>
    <x v="22"/>
    <x v="1"/>
    <m/>
  </r>
  <r>
    <s v="0528-0 JS mobis"/>
    <x v="5"/>
    <x v="10"/>
    <n v="30"/>
    <s v="买保险"/>
    <x v="22"/>
    <x v="1"/>
    <m/>
  </r>
  <r>
    <s v="0528-0 JS mobis"/>
    <x v="5"/>
    <x v="10"/>
    <n v="31"/>
    <s v="填WORKING PROCESS"/>
    <x v="22"/>
    <x v="1"/>
    <m/>
  </r>
  <r>
    <s v="0528-0 JS mobis"/>
    <x v="5"/>
    <x v="10"/>
    <n v="32"/>
    <s v="收到HMM(He)生成提单通知"/>
    <x v="22"/>
    <x v="1"/>
    <s v="一般马上"/>
  </r>
  <r>
    <s v="0528-0 JS mobis"/>
    <x v="5"/>
    <x v="10"/>
    <n v="33"/>
    <s v="HMM网站核对提单信息"/>
    <x v="22"/>
    <x v="1"/>
    <m/>
  </r>
  <r>
    <s v="0528-0 JS mobis"/>
    <x v="5"/>
    <x v="10"/>
    <n v="34"/>
    <s v="盯海关网站舱单"/>
    <x v="22"/>
    <x v="1"/>
    <s v="一般两小时左右"/>
  </r>
  <r>
    <s v="0528-0 JS mobis"/>
    <x v="5"/>
    <x v="10"/>
    <n v="35"/>
    <s v="核对舱单信息"/>
    <x v="22"/>
    <x v="1"/>
    <m/>
  </r>
  <r>
    <s v="0528-0 JS mobis"/>
    <x v="5"/>
    <x v="10"/>
    <n v="36"/>
    <s v="收到报关行(黄寅文)校对稿，邮件发客户(徐贵)确认"/>
    <x v="22"/>
    <x v="1"/>
    <s v="一般半天内"/>
  </r>
  <r>
    <s v="0528-0 JS mobis"/>
    <x v="5"/>
    <x v="10"/>
    <n v="37"/>
    <s v="收到客户(徐贵)确认校对稿，通知报关行(黄寅文)"/>
    <x v="22"/>
    <x v="1"/>
    <s v="一般马上"/>
  </r>
  <r>
    <s v="0528-0 JS mobis"/>
    <x v="5"/>
    <x v="10"/>
    <n v="38"/>
    <s v="通知报关行(黄寅文)报关(开港、舱单、校对)"/>
    <x v="22"/>
    <x v="1"/>
    <m/>
  </r>
  <r>
    <s v="0528-0 JS mobis"/>
    <x v="5"/>
    <x v="10"/>
    <n v="39"/>
    <s v="收到报关成功通知"/>
    <x v="22"/>
    <x v="1"/>
    <s v="一般下班前"/>
  </r>
  <r>
    <s v="0528-0 JS mobis"/>
    <x v="5"/>
    <x v="10"/>
    <n v="40"/>
    <s v="通知车队(沈丽)可进港"/>
    <x v="22"/>
    <x v="1"/>
    <m/>
  </r>
  <r>
    <s v="0528-0 JS mobis"/>
    <x v="5"/>
    <x v="10"/>
    <n v="41"/>
    <s v="盯箱子进港"/>
    <x v="22"/>
    <x v="1"/>
    <m/>
  </r>
  <r>
    <s v="0528-0 JS mobis"/>
    <x v="5"/>
    <x v="10"/>
    <n v="42"/>
    <s v="核对进港数据"/>
    <x v="23"/>
    <x v="1"/>
    <m/>
  </r>
  <r>
    <s v="0528-0 JS mobis"/>
    <x v="5"/>
    <x v="10"/>
    <n v="43"/>
    <s v="盯海放"/>
    <x v="23"/>
    <x v="1"/>
    <m/>
  </r>
  <r>
    <s v="0528-0 JS mobis"/>
    <x v="5"/>
    <x v="10"/>
    <n v="44"/>
    <s v="盯码放"/>
    <x v="23"/>
    <x v="1"/>
    <m/>
  </r>
  <r>
    <s v="0528-0 JS mobis"/>
    <x v="5"/>
    <x v="10"/>
    <n v="45"/>
    <s v="盯配载"/>
    <x v="24"/>
    <x v="1"/>
    <m/>
  </r>
  <r>
    <s v="0528-0 JS mobis"/>
    <x v="5"/>
    <x v="10"/>
    <n v="46"/>
    <s v="做费用"/>
    <x v="24"/>
    <x v="1"/>
    <m/>
  </r>
  <r>
    <s v="0528-0 JS mobis"/>
    <x v="5"/>
    <x v="10"/>
    <n v="47"/>
    <s v="发账单"/>
    <x v="24"/>
    <x v="1"/>
    <m/>
  </r>
  <r>
    <s v="0528-0 JS mobis"/>
    <x v="5"/>
    <x v="10"/>
    <n v="48"/>
    <s v="放单"/>
    <x v="25"/>
    <x v="1"/>
    <s v="一般开船后两三天"/>
  </r>
  <r>
    <s v="0528-0 SC glovis"/>
    <x v="6"/>
    <x v="10"/>
    <n v="1"/>
    <s v="收到客户托书"/>
    <x v="13"/>
    <x v="0"/>
    <m/>
  </r>
  <r>
    <s v="0528-0 SC glovis"/>
    <x v="6"/>
    <x v="10"/>
    <n v="2"/>
    <s v="生成单号，YJC系统，发EDI，邮件Neo放舱"/>
    <x v="13"/>
    <x v="0"/>
    <m/>
  </r>
  <r>
    <s v="0528-0 SC glovis"/>
    <x v="6"/>
    <x v="10"/>
    <n v="3"/>
    <s v="收到Neo放舱确认"/>
    <x v="18"/>
    <x v="0"/>
    <m/>
  </r>
  <r>
    <s v="0528-0 SC glovis"/>
    <x v="6"/>
    <x v="10"/>
    <n v="4"/>
    <s v="发预配信息给客户（张婷）"/>
    <x v="18"/>
    <x v="0"/>
    <m/>
  </r>
  <r>
    <s v="0528-0 SC glovis"/>
    <x v="6"/>
    <x v="10"/>
    <n v="5"/>
    <s v="收到客户（张婷）报关资料"/>
    <x v="19"/>
    <x v="1"/>
    <m/>
  </r>
  <r>
    <s v="0528-0 SC glovis"/>
    <x v="6"/>
    <x v="10"/>
    <n v="6"/>
    <s v="做报关资料，发报关行（黄寅文）"/>
    <x v="19"/>
    <x v="1"/>
    <m/>
  </r>
  <r>
    <s v="0528-0 SC glovis"/>
    <x v="6"/>
    <x v="10"/>
    <n v="7"/>
    <s v="收到客户（张婷）舱单模板和VGM"/>
    <x v="19"/>
    <x v="1"/>
    <s v="今天能放箱装？"/>
  </r>
  <r>
    <s v="0528-0 SC glovis"/>
    <x v="6"/>
    <x v="10"/>
    <n v="8"/>
    <s v="发舱单和VGM"/>
    <x v="19"/>
    <x v="1"/>
    <m/>
  </r>
  <r>
    <s v="0528-0 SC glovis"/>
    <x v="6"/>
    <x v="10"/>
    <n v="9"/>
    <s v="YJC系统改准确数据，发ESI，做AMS模板并邮件何生成提单"/>
    <x v="19"/>
    <x v="1"/>
    <m/>
  </r>
  <r>
    <s v="0528-0 SC glovis"/>
    <x v="6"/>
    <x v="10"/>
    <n v="10"/>
    <s v="收到生成提单邮件，网站核对信息"/>
    <x v="19"/>
    <x v="1"/>
    <m/>
  </r>
  <r>
    <s v="0528-0 SC glovis"/>
    <x v="6"/>
    <x v="10"/>
    <n v="11"/>
    <s v="海关有舱单，核对舱单"/>
    <x v="19"/>
    <x v="1"/>
    <m/>
  </r>
  <r>
    <s v="0528-0 SC glovis"/>
    <x v="6"/>
    <x v="10"/>
    <n v="12"/>
    <s v="有开港，通知报关"/>
    <x v="22"/>
    <x v="1"/>
    <m/>
  </r>
  <r>
    <s v="0528-0 SC glovis"/>
    <x v="6"/>
    <x v="10"/>
    <n v="13"/>
    <s v="发提单确认（两份）"/>
    <x v="22"/>
    <x v="1"/>
    <m/>
  </r>
  <r>
    <s v="0528-0 SC glovis"/>
    <x v="6"/>
    <x v="10"/>
    <n v="14"/>
    <s v="收到报关成功通知"/>
    <x v="22"/>
    <x v="1"/>
    <m/>
  </r>
  <r>
    <s v="0528-0 SC glovis"/>
    <x v="6"/>
    <x v="10"/>
    <n v="15"/>
    <s v="通知可进港"/>
    <x v="22"/>
    <x v="1"/>
    <m/>
  </r>
  <r>
    <s v="0528-0 SC glovis"/>
    <x v="6"/>
    <x v="10"/>
    <n v="16"/>
    <s v="收到客户（张婷）提单确认"/>
    <x v="22"/>
    <x v="1"/>
    <m/>
  </r>
  <r>
    <s v="0528-0 SC glovis"/>
    <x v="6"/>
    <x v="10"/>
    <n v="19"/>
    <s v="船开"/>
    <x v="25"/>
    <x v="1"/>
    <m/>
  </r>
  <r>
    <s v="0528-0 SC glovis"/>
    <x v="6"/>
    <x v="10"/>
    <n v="20"/>
    <s v="放单"/>
    <x v="25"/>
    <x v="1"/>
    <m/>
  </r>
  <r>
    <s v="0528-0 SC glovis"/>
    <x v="6"/>
    <x v="10"/>
    <n v="21"/>
    <s v="等船公司费用有了，和金小姐一起确定客户费用"/>
    <x v="25"/>
    <x v="1"/>
    <m/>
  </r>
  <r>
    <s v="0528-1 JS mobis"/>
    <x v="5"/>
    <x v="11"/>
    <n v="6"/>
    <s v="公共盘生成提单号"/>
    <x v="13"/>
    <x v="0"/>
    <m/>
  </r>
  <r>
    <s v="0528-1 JS mobis"/>
    <x v="5"/>
    <x v="11"/>
    <n v="7"/>
    <s v="YJC系统生成单子"/>
    <x v="13"/>
    <x v="0"/>
    <m/>
  </r>
  <r>
    <s v="0528-1 JS mobis"/>
    <x v="5"/>
    <x v="11"/>
    <n v="8"/>
    <s v="发EDI"/>
    <x v="13"/>
    <x v="0"/>
    <m/>
  </r>
  <r>
    <s v="0528-1 JS mobis"/>
    <x v="5"/>
    <x v="11"/>
    <n v="9"/>
    <s v="邮件申请放单"/>
    <x v="13"/>
    <x v="0"/>
    <m/>
  </r>
  <r>
    <s v="0528-1 JS mobis"/>
    <x v="5"/>
    <x v="11"/>
    <n v="10"/>
    <s v="收到HMM(Neo) 放单确认"/>
    <x v="13"/>
    <x v="0"/>
    <s v="一般半天内"/>
  </r>
  <r>
    <s v="0528-1 JS mobis"/>
    <x v="5"/>
    <x v="11"/>
    <n v="11"/>
    <s v="HMM网站核对订舱信息"/>
    <x v="13"/>
    <x v="0"/>
    <m/>
  </r>
  <r>
    <s v="0528-1 JS mobis"/>
    <x v="5"/>
    <x v="11"/>
    <n v="13"/>
    <s v="收到客户(徐贵)做箱通知(5-24截单)"/>
    <x v="17"/>
    <x v="1"/>
    <s v="一般做箱头天一早"/>
  </r>
  <r>
    <s v="0528-1 JS mobis"/>
    <x v="5"/>
    <x v="11"/>
    <n v="14"/>
    <s v="发做箱通知邮件给车队(沈丽)"/>
    <x v="19"/>
    <x v="1"/>
    <m/>
  </r>
  <r>
    <s v="0528-1 JS mobis"/>
    <x v="5"/>
    <x v="11"/>
    <n v="14"/>
    <s v="公共盘生成提单号【如需拆单】"/>
    <x v="19"/>
    <x v="1"/>
    <m/>
  </r>
  <r>
    <s v="0528-1 JS mobis"/>
    <x v="5"/>
    <x v="11"/>
    <n v="15"/>
    <s v="YJC系统生成单子【如需拆单】"/>
    <x v="19"/>
    <x v="1"/>
    <m/>
  </r>
  <r>
    <s v="0528-1 JS mobis"/>
    <x v="5"/>
    <x v="11"/>
    <n v="16"/>
    <s v="发EDI【如需拆单】"/>
    <x v="19"/>
    <x v="1"/>
    <m/>
  </r>
  <r>
    <s v="0528-1 JS mobis"/>
    <x v="5"/>
    <x v="11"/>
    <n v="17"/>
    <s v="邮件申请放单【如需拆单】"/>
    <x v="19"/>
    <x v="1"/>
    <m/>
  </r>
  <r>
    <s v="0528-1 JS mobis"/>
    <x v="5"/>
    <x v="11"/>
    <n v="18"/>
    <s v="收到HMM(Neo) 放单确认【如需拆单】"/>
    <x v="19"/>
    <x v="1"/>
    <m/>
  </r>
  <r>
    <s v="0528-1 JS mobis"/>
    <x v="5"/>
    <x v="11"/>
    <n v="19"/>
    <s v="HMM网站核对订舱信息【如需拆单】"/>
    <x v="19"/>
    <x v="1"/>
    <m/>
  </r>
  <r>
    <s v="0528-1 JS mobis"/>
    <x v="5"/>
    <x v="11"/>
    <n v="20"/>
    <s v="收到客户(徐贵)发来做箱数据(报关资料)"/>
    <x v="21"/>
    <x v="1"/>
    <s v="一般做箱当天一早"/>
  </r>
  <r>
    <s v="0528-1 JS mobis"/>
    <x v="5"/>
    <x v="11"/>
    <n v="21"/>
    <s v="按报关(发票)数生成提单号【如发票数超过提单数】"/>
    <x v="21"/>
    <x v="1"/>
    <m/>
  </r>
  <r>
    <s v="0528-1 JS mobis"/>
    <x v="5"/>
    <x v="11"/>
    <n v="22"/>
    <s v="做做箱数据，QQ发车队(沈丽)"/>
    <x v="21"/>
    <x v="1"/>
    <m/>
  </r>
  <r>
    <s v="0528-1 JS mobis"/>
    <x v="5"/>
    <x v="11"/>
    <n v="23"/>
    <s v="做报关资料，扫描发报关行(黄寅文)QQ"/>
    <x v="21"/>
    <x v="1"/>
    <m/>
  </r>
  <r>
    <s v="0528-1 JS mobis"/>
    <x v="5"/>
    <x v="11"/>
    <n v="24"/>
    <s v="收到车队(沈丽)装箱单"/>
    <x v="22"/>
    <x v="1"/>
    <s v="一般马上"/>
  </r>
  <r>
    <s v="0528-1 JS mobis"/>
    <x v="5"/>
    <x v="11"/>
    <n v="25"/>
    <s v="YJC系统截单，发EDI，邮件HMM(He)【截单时间】"/>
    <x v="22"/>
    <x v="1"/>
    <s v="注意截单时间"/>
  </r>
  <r>
    <s v="0528-1 JS mobis"/>
    <x v="5"/>
    <x v="11"/>
    <n v="26"/>
    <s v="做保函给邹师傅"/>
    <x v="22"/>
    <x v="1"/>
    <m/>
  </r>
  <r>
    <s v="0528-1 JS mobis"/>
    <x v="5"/>
    <x v="11"/>
    <n v="27"/>
    <s v="发VGM和舱单"/>
    <x v="22"/>
    <x v="1"/>
    <m/>
  </r>
  <r>
    <s v="0528-1 JS mobis"/>
    <x v="5"/>
    <x v="11"/>
    <n v="28"/>
    <s v="做ISF，发国外资料"/>
    <x v="22"/>
    <x v="1"/>
    <m/>
  </r>
  <r>
    <s v="0528-1 JS mobis"/>
    <x v="5"/>
    <x v="11"/>
    <n v="29"/>
    <s v="买保险"/>
    <x v="22"/>
    <x v="1"/>
    <m/>
  </r>
  <r>
    <s v="0528-1 JS mobis"/>
    <x v="5"/>
    <x v="11"/>
    <n v="30"/>
    <s v="填WORKING PROCESS"/>
    <x v="22"/>
    <x v="1"/>
    <m/>
  </r>
  <r>
    <s v="0528-1 JS mobis"/>
    <x v="5"/>
    <x v="11"/>
    <n v="31"/>
    <s v="收到HMM(He)生成提单通知"/>
    <x v="22"/>
    <x v="1"/>
    <s v="一般马上"/>
  </r>
  <r>
    <s v="0528-1 JS mobis"/>
    <x v="5"/>
    <x v="11"/>
    <n v="32"/>
    <s v="HMM网站核对提单信息"/>
    <x v="22"/>
    <x v="1"/>
    <m/>
  </r>
  <r>
    <s v="0528-1 JS mobis"/>
    <x v="5"/>
    <x v="11"/>
    <n v="33"/>
    <s v="盯海关网站舱单"/>
    <x v="22"/>
    <x v="1"/>
    <s v="一般两小时左右"/>
  </r>
  <r>
    <s v="0528-1 JS mobis"/>
    <x v="5"/>
    <x v="11"/>
    <n v="34"/>
    <s v="核对舱单信息"/>
    <x v="22"/>
    <x v="1"/>
    <m/>
  </r>
  <r>
    <s v="0528-1 JS mobis"/>
    <x v="5"/>
    <x v="11"/>
    <n v="35"/>
    <s v="收到报关行(黄寅文)校对稿，邮件发客户(徐贵)确认"/>
    <x v="22"/>
    <x v="1"/>
    <s v="一般半天内"/>
  </r>
  <r>
    <s v="0528-1 JS mobis"/>
    <x v="5"/>
    <x v="11"/>
    <n v="36"/>
    <s v="收到客户(徐贵)确认校对稿，通知报关行(黄寅文)"/>
    <x v="22"/>
    <x v="1"/>
    <s v="一般马上"/>
  </r>
  <r>
    <s v="0528-1 JS mobis"/>
    <x v="5"/>
    <x v="11"/>
    <n v="37"/>
    <s v="通知报关行(黄寅文)报关(开港、舱单、校对)"/>
    <x v="22"/>
    <x v="1"/>
    <m/>
  </r>
  <r>
    <s v="0528-1 JS mobis"/>
    <x v="5"/>
    <x v="11"/>
    <n v="38"/>
    <s v="收到报关成功通知"/>
    <x v="22"/>
    <x v="1"/>
    <s v="一般下班前"/>
  </r>
  <r>
    <s v="0528-1 JS mobis"/>
    <x v="5"/>
    <x v="11"/>
    <n v="39"/>
    <s v="通知车队(沈丽)可进港"/>
    <x v="22"/>
    <x v="1"/>
    <m/>
  </r>
  <r>
    <s v="0528-1 JS mobis"/>
    <x v="5"/>
    <x v="11"/>
    <n v="40"/>
    <s v="盯箱子进港"/>
    <x v="22"/>
    <x v="1"/>
    <m/>
  </r>
  <r>
    <s v="0528-1 JS mobis"/>
    <x v="5"/>
    <x v="11"/>
    <n v="41"/>
    <s v="核对进港数据"/>
    <x v="23"/>
    <x v="1"/>
    <m/>
  </r>
  <r>
    <s v="0528-1 JS mobis"/>
    <x v="5"/>
    <x v="11"/>
    <n v="42"/>
    <s v="盯海放"/>
    <x v="23"/>
    <x v="1"/>
    <m/>
  </r>
  <r>
    <s v="0528-1 JS mobis"/>
    <x v="5"/>
    <x v="11"/>
    <n v="43"/>
    <s v="盯码放"/>
    <x v="23"/>
    <x v="1"/>
    <m/>
  </r>
  <r>
    <s v="0528-1 JS mobis"/>
    <x v="5"/>
    <x v="11"/>
    <n v="44"/>
    <s v="盯配载"/>
    <x v="24"/>
    <x v="1"/>
    <m/>
  </r>
  <r>
    <s v="0528-1 JS mobis"/>
    <x v="5"/>
    <x v="11"/>
    <n v="45"/>
    <s v="做费用，发账单给谢梦婕"/>
    <x v="24"/>
    <x v="1"/>
    <m/>
  </r>
  <r>
    <s v="0528-1 JS mobis"/>
    <x v="5"/>
    <x v="11"/>
    <n v="46"/>
    <s v="船开"/>
    <x v="25"/>
    <x v="1"/>
    <m/>
  </r>
  <r>
    <s v="0528-1 JS mobis"/>
    <x v="5"/>
    <x v="11"/>
    <n v="47"/>
    <s v="放单"/>
    <x v="25"/>
    <x v="1"/>
    <s v="一般开船后两三天"/>
  </r>
  <r>
    <s v="0529-0 HMI"/>
    <x v="2"/>
    <x v="12"/>
    <n v="1"/>
    <s v="收到客户(孙丹/王珊)发来订舱托书"/>
    <x v="14"/>
    <x v="0"/>
    <m/>
  </r>
  <r>
    <s v="0529-0 HMI"/>
    <x v="2"/>
    <x v="12"/>
    <n v="2"/>
    <s v="YJC系统生成单子"/>
    <x v="17"/>
    <x v="1"/>
    <m/>
  </r>
  <r>
    <s v="0529-0 HMI"/>
    <x v="2"/>
    <x v="12"/>
    <n v="3"/>
    <s v="收到CK发来预配(做箱通知，沈丽有收到？)，完善YJC系统数据"/>
    <x v="17"/>
    <x v="1"/>
    <m/>
  </r>
  <r>
    <s v="0529-0 HMI"/>
    <x v="2"/>
    <x v="12"/>
    <n v="4"/>
    <s v="收到包装厂(刘倩梅)发来包装指示书和装箱计划"/>
    <x v="21"/>
    <x v="1"/>
    <s v="一般周四"/>
  </r>
  <r>
    <s v="0529-0 HMI"/>
    <x v="2"/>
    <x v="12"/>
    <n v="5"/>
    <s v="根据装箱计划汇总包装数据，发各工厂做报关资料"/>
    <x v="21"/>
    <x v="1"/>
    <m/>
  </r>
  <r>
    <s v="0529-0 HMI"/>
    <x v="2"/>
    <x v="12"/>
    <n v="6"/>
    <s v="做做箱数据，邮件群发"/>
    <x v="21"/>
    <x v="1"/>
    <m/>
  </r>
  <r>
    <s v="0529-0 HMI"/>
    <x v="2"/>
    <x v="12"/>
    <n v="7"/>
    <s v="收到工厂发来报关资料并完善(代做报关资料跟客户确认)"/>
    <x v="22"/>
    <x v="1"/>
    <s v="当天至隔天"/>
  </r>
  <r>
    <s v="0529-0 HMI"/>
    <x v="2"/>
    <x v="12"/>
    <n v="8"/>
    <s v="报关资料齐了，发报关行(黄寅文)"/>
    <x v="22"/>
    <x v="1"/>
    <m/>
  </r>
  <r>
    <s v="0529-0 HMI"/>
    <x v="2"/>
    <x v="12"/>
    <n v="9"/>
    <s v="通知进港"/>
    <x v="26"/>
    <x v="1"/>
    <m/>
  </r>
  <r>
    <s v="0529-0 HMI"/>
    <x v="2"/>
    <x v="12"/>
    <n v="10"/>
    <s v="进港(核对数据)"/>
    <x v="26"/>
    <x v="1"/>
    <m/>
  </r>
  <r>
    <s v="0529-0 HMI"/>
    <x v="2"/>
    <x v="12"/>
    <n v="11"/>
    <s v="收到车队(沈丽)装箱单和洋山提箱截图(如有)，群发，通知发舱单"/>
    <x v="24"/>
    <x v="1"/>
    <s v="一般KMM五、HMI日"/>
  </r>
  <r>
    <s v="0529-0 HMI"/>
    <x v="2"/>
    <x v="12"/>
    <n v="12"/>
    <s v="收到舱单发送成功通知，核对舱单信息"/>
    <x v="24"/>
    <x v="1"/>
    <m/>
  </r>
  <r>
    <s v="0529-0 HMI"/>
    <x v="2"/>
    <x v="12"/>
    <n v="13"/>
    <s v="通知报关"/>
    <x v="24"/>
    <x v="1"/>
    <m/>
  </r>
  <r>
    <s v="0529-0 HMI"/>
    <x v="2"/>
    <x v="12"/>
    <n v="14"/>
    <s v="报关成功"/>
    <x v="24"/>
    <x v="1"/>
    <m/>
  </r>
  <r>
    <s v="0529-0 HMI"/>
    <x v="2"/>
    <x v="12"/>
    <n v="15"/>
    <s v="盯海放"/>
    <x v="24"/>
    <x v="1"/>
    <m/>
  </r>
  <r>
    <s v="0529-0 HMI"/>
    <x v="2"/>
    <x v="12"/>
    <n v="16"/>
    <s v="盯码放"/>
    <x v="24"/>
    <x v="1"/>
    <m/>
  </r>
  <r>
    <s v="0529-0 HMI"/>
    <x v="2"/>
    <x v="12"/>
    <n v="17"/>
    <s v="盯配载"/>
    <x v="25"/>
    <x v="1"/>
    <m/>
  </r>
  <r>
    <s v="0529-0 HMI"/>
    <x v="2"/>
    <x v="12"/>
    <n v="18"/>
    <s v="盯船开"/>
    <x v="3"/>
    <x v="1"/>
    <m/>
  </r>
  <r>
    <s v="0529-0 HMI"/>
    <x v="2"/>
    <x v="12"/>
    <n v="19"/>
    <s v="做费用(对账单日期4号)，放公共盘，填月账单表，发孙丹"/>
    <x v="3"/>
    <x v="1"/>
    <m/>
  </r>
  <r>
    <s v="0529-0 KMM"/>
    <x v="3"/>
    <x v="12"/>
    <n v="1"/>
    <s v="收到客户(孙丹/王珊)发来订舱托书"/>
    <x v="13"/>
    <x v="0"/>
    <m/>
  </r>
  <r>
    <s v="0529-0 KMM"/>
    <x v="3"/>
    <x v="12"/>
    <n v="2"/>
    <s v="YJC系统生成单子"/>
    <x v="13"/>
    <x v="0"/>
    <m/>
  </r>
  <r>
    <s v="0529-0 KMM"/>
    <x v="3"/>
    <x v="12"/>
    <n v="3"/>
    <s v="收到CK发来预配(做箱通知，沈丽有收到？)，完善YJC系统数据"/>
    <x v="14"/>
    <x v="0"/>
    <m/>
  </r>
  <r>
    <s v="0529-0 KMM"/>
    <x v="3"/>
    <x v="12"/>
    <n v="4"/>
    <s v="收到包装厂(刘倩梅)发来包装指示书和装箱计划"/>
    <x v="21"/>
    <x v="1"/>
    <s v="一般周四"/>
  </r>
  <r>
    <s v="0529-0 KMM"/>
    <x v="3"/>
    <x v="12"/>
    <n v="5"/>
    <s v="根据装箱计划汇总包装数据，发各工厂做报关资料"/>
    <x v="21"/>
    <x v="1"/>
    <m/>
  </r>
  <r>
    <s v="0529-0 KMM"/>
    <x v="3"/>
    <x v="12"/>
    <n v="6"/>
    <s v="做做箱数据，邮件群发"/>
    <x v="21"/>
    <x v="1"/>
    <m/>
  </r>
  <r>
    <s v="0529-0 KMM"/>
    <x v="3"/>
    <x v="12"/>
    <n v="7"/>
    <s v="收到工厂发来报关资料并完善(代做报关资料跟客户确认)"/>
    <x v="21"/>
    <x v="1"/>
    <s v="当天至隔天"/>
  </r>
  <r>
    <s v="0529-0 KMM"/>
    <x v="3"/>
    <x v="12"/>
    <n v="8"/>
    <s v="报关资料齐了，发报关行(黄寅文)"/>
    <x v="21"/>
    <x v="1"/>
    <m/>
  </r>
  <r>
    <s v="0529-0 KMM"/>
    <x v="3"/>
    <x v="12"/>
    <n v="9"/>
    <s v="收到车队(沈丽)装箱单和洋山提箱截图(如有)，群发，通知发舱单"/>
    <x v="22"/>
    <x v="1"/>
    <s v="一般KMM五、HMI日"/>
  </r>
  <r>
    <s v="0529-0 KMM"/>
    <x v="3"/>
    <x v="12"/>
    <n v="12"/>
    <s v="收到舱单发送成功通知，核对舱单信息"/>
    <x v="22"/>
    <x v="1"/>
    <m/>
  </r>
  <r>
    <s v="0529-0 KMM"/>
    <x v="3"/>
    <x v="12"/>
    <n v="13"/>
    <s v="通知进港"/>
    <x v="22"/>
    <x v="1"/>
    <s v="调整顺序"/>
  </r>
  <r>
    <s v="0529-0 KMM"/>
    <x v="3"/>
    <x v="12"/>
    <n v="13"/>
    <s v="进港(核对数据)"/>
    <x v="22"/>
    <x v="1"/>
    <s v="调整顺序"/>
  </r>
  <r>
    <s v="0529-0 KMM"/>
    <x v="3"/>
    <x v="12"/>
    <n v="13"/>
    <s v="通知报关"/>
    <x v="22"/>
    <x v="1"/>
    <s v="调整顺序"/>
  </r>
  <r>
    <s v="0529-0 KMM"/>
    <x v="3"/>
    <x v="12"/>
    <n v="13"/>
    <s v="报关成功"/>
    <x v="22"/>
    <x v="1"/>
    <s v="调整顺序"/>
  </r>
  <r>
    <s v="0529-0 KMM"/>
    <x v="3"/>
    <x v="12"/>
    <n v="17"/>
    <s v="盯海放"/>
    <x v="22"/>
    <x v="1"/>
    <m/>
  </r>
  <r>
    <s v="0529-0 KMM"/>
    <x v="3"/>
    <x v="12"/>
    <n v="18"/>
    <s v="盯码放"/>
    <x v="26"/>
    <x v="1"/>
    <m/>
  </r>
  <r>
    <s v="0529-0 KMM"/>
    <x v="3"/>
    <x v="12"/>
    <n v="19"/>
    <s v="盯配载"/>
    <x v="25"/>
    <x v="1"/>
    <m/>
  </r>
  <r>
    <s v="0529-0 KMM"/>
    <x v="3"/>
    <x v="12"/>
    <n v="20"/>
    <s v="盯船开"/>
    <x v="3"/>
    <x v="1"/>
    <m/>
  </r>
  <r>
    <s v="0529-0 KMM"/>
    <x v="3"/>
    <x v="12"/>
    <n v="21"/>
    <s v="做费用(对账单日期4号)，放公共盘，填月账单表，发孙丹"/>
    <x v="24"/>
    <x v="1"/>
    <m/>
  </r>
  <r>
    <s v="0529-0 WX mobis"/>
    <x v="7"/>
    <x v="12"/>
    <n v="1"/>
    <s v="收到胡媛媛发来订舱邮件"/>
    <x v="20"/>
    <x v="0"/>
    <m/>
  </r>
  <r>
    <s v="0529-0 WX mobis"/>
    <x v="7"/>
    <x v="12"/>
    <n v="2"/>
    <s v="发订舱托书给万恒（翁小姐）"/>
    <x v="20"/>
    <x v="0"/>
    <m/>
  </r>
  <r>
    <s v="0529-0 WX mobis"/>
    <x v="7"/>
    <x v="12"/>
    <n v="3"/>
    <s v="收到万恒（翁小姐）预配"/>
    <x v="20"/>
    <x v="0"/>
    <s v="一般三小时左右"/>
  </r>
  <r>
    <s v="0529-0 WX mobis"/>
    <x v="7"/>
    <x v="12"/>
    <n v="4"/>
    <s v="通知胡媛媛订舱成功"/>
    <x v="20"/>
    <x v="0"/>
    <m/>
  </r>
  <r>
    <s v="0529-0 WX mobis"/>
    <x v="7"/>
    <x v="12"/>
    <n v="5"/>
    <s v="发做箱通知邮件给车队(沈丽)"/>
    <x v="1"/>
    <x v="0"/>
    <m/>
  </r>
  <r>
    <s v="0529-0 WX mobis"/>
    <x v="7"/>
    <x v="12"/>
    <n v="6"/>
    <s v="收到胡媛媛发来报关资料"/>
    <x v="19"/>
    <x v="1"/>
    <s v="船开前一周？"/>
  </r>
  <r>
    <s v="0529-0 WX mobis"/>
    <x v="7"/>
    <x v="12"/>
    <n v="7"/>
    <s v="完善报关资料发报关行（黄寅文），要校对稿，做做箱数据给沈丽"/>
    <x v="19"/>
    <x v="1"/>
    <m/>
  </r>
  <r>
    <s v="0529-0 WX mobis"/>
    <x v="7"/>
    <x v="12"/>
    <n v="8"/>
    <s v="买保险，做异地付款保函，发胡媛媛确认盖章回传"/>
    <x v="19"/>
    <x v="1"/>
    <m/>
  </r>
  <r>
    <s v="0529-0 WX mobis"/>
    <x v="7"/>
    <x v="12"/>
    <n v="9"/>
    <s v="收到客户（胡媛媛）发来保函扫描件"/>
    <x v="19"/>
    <x v="1"/>
    <s v="一般马上"/>
  </r>
  <r>
    <s v="0529-0 WX mobis"/>
    <x v="7"/>
    <x v="12"/>
    <n v="10"/>
    <s v="收到黄寅文校对稿，发客户（胡媛媛）确认"/>
    <x v="19"/>
    <x v="1"/>
    <s v="一般半天内"/>
  </r>
  <r>
    <s v="0529-0 WX mobis"/>
    <x v="7"/>
    <x v="12"/>
    <n v="11"/>
    <s v="收到客户（胡媛媛）确认校对稿OK"/>
    <x v="19"/>
    <x v="1"/>
    <s v="一般马上"/>
  </r>
  <r>
    <s v="0529-0 WX mobis"/>
    <x v="7"/>
    <x v="12"/>
    <n v="12"/>
    <s v="跟车队（沈丽）确认明天做箱，如有变动通知胡媛媛"/>
    <x v="21"/>
    <x v="1"/>
    <s v="截单前一天"/>
  </r>
  <r>
    <s v="0529-0 WX mobis"/>
    <x v="7"/>
    <x v="12"/>
    <n v="13"/>
    <s v="收到沈丽发来装箱单"/>
    <x v="22"/>
    <x v="1"/>
    <s v="截单当天"/>
  </r>
  <r>
    <s v="0529-0 WX mobis"/>
    <x v="7"/>
    <x v="12"/>
    <n v="14"/>
    <s v="完善截单资料发万恒（翁小姐），请求发舱单"/>
    <x v="22"/>
    <x v="1"/>
    <m/>
  </r>
  <r>
    <s v="0529-0 WX mobis"/>
    <x v="7"/>
    <x v="12"/>
    <n v="15"/>
    <s v="收到舱单发送通知，核对舱单，装箱单发报关行报关"/>
    <x v="22"/>
    <x v="1"/>
    <m/>
  </r>
  <r>
    <s v="0529-0 WX mobis"/>
    <x v="7"/>
    <x v="12"/>
    <n v="16"/>
    <s v="请求万恒（翁小姐）发提单样本"/>
    <x v="22"/>
    <x v="1"/>
    <m/>
  </r>
  <r>
    <s v="0529-0 WX mobis"/>
    <x v="7"/>
    <x v="12"/>
    <n v="17"/>
    <s v="收到万恒（翁小姐）发来提单样本，发胡媛媛确认"/>
    <x v="22"/>
    <x v="1"/>
    <m/>
  </r>
  <r>
    <s v="0529-0 WX mobis"/>
    <x v="7"/>
    <x v="12"/>
    <n v="18"/>
    <s v="收到胡媛媛提单确认"/>
    <x v="22"/>
    <x v="1"/>
    <m/>
  </r>
  <r>
    <s v="0529-0 WX mobis"/>
    <x v="7"/>
    <x v="12"/>
    <n v="19"/>
    <s v="收到报关成功通知，通知车队可进港 "/>
    <x v="22"/>
    <x v="1"/>
    <m/>
  </r>
  <r>
    <s v="0529-0 WX mobis"/>
    <x v="7"/>
    <x v="12"/>
    <n v="20"/>
    <s v="进港，核对数据"/>
    <x v="22"/>
    <x v="1"/>
    <m/>
  </r>
  <r>
    <s v="0529-0 WX mobis"/>
    <x v="7"/>
    <x v="12"/>
    <n v="21"/>
    <s v="海放"/>
    <x v="22"/>
    <x v="1"/>
    <m/>
  </r>
  <r>
    <s v="0529-0 WX mobis"/>
    <x v="7"/>
    <x v="12"/>
    <n v="22"/>
    <s v="码放"/>
    <x v="24"/>
    <x v="1"/>
    <m/>
  </r>
  <r>
    <s v="0529-0 WX mobis"/>
    <x v="7"/>
    <x v="12"/>
    <n v="23"/>
    <s v="配载"/>
    <x v="25"/>
    <x v="1"/>
    <m/>
  </r>
  <r>
    <s v="0529-0 WX mobis"/>
    <x v="7"/>
    <x v="12"/>
    <n v="24"/>
    <s v="开船"/>
    <x v="3"/>
    <x v="1"/>
    <m/>
  </r>
  <r>
    <s v="0529-0 WX mobis"/>
    <x v="7"/>
    <x v="12"/>
    <n v="25"/>
    <s v="放提单和预录单"/>
    <x v="27"/>
    <x v="1"/>
    <m/>
  </r>
  <r>
    <s v="0531-0 JS mobis"/>
    <x v="5"/>
    <x v="13"/>
    <n v="1"/>
    <s v="收到客户(周嘉敏)订舱预报"/>
    <x v="14"/>
    <x v="0"/>
    <s v="一般周五发隔周"/>
  </r>
  <r>
    <s v="0531-0 JS mobis"/>
    <x v="5"/>
    <x v="13"/>
    <n v="2"/>
    <s v="填WORKING PROCESS"/>
    <x v="14"/>
    <x v="0"/>
    <m/>
  </r>
  <r>
    <s v="0531-0 JS mobis"/>
    <x v="5"/>
    <x v="13"/>
    <n v="3"/>
    <s v="收到HMM(Neo)预订舱邮件通知"/>
    <x v="16"/>
    <x v="0"/>
    <s v="一般周一发下周"/>
  </r>
  <r>
    <s v="0531-0 JS mobis"/>
    <x v="5"/>
    <x v="13"/>
    <n v="4"/>
    <s v="回复HMM(Neo)预订舱邮件"/>
    <x v="16"/>
    <x v="0"/>
    <m/>
  </r>
  <r>
    <s v="0531-0 JS mobis"/>
    <x v="5"/>
    <x v="13"/>
    <n v="5"/>
    <s v="收到HMM(Neo)预订舱确认"/>
    <x v="16"/>
    <x v="1"/>
    <s v="一般马上"/>
  </r>
  <r>
    <s v="0531-0 JS mobis"/>
    <x v="5"/>
    <x v="13"/>
    <n v="6"/>
    <s v="公共盘生成提单号"/>
    <x v="16"/>
    <x v="1"/>
    <m/>
  </r>
  <r>
    <s v="0531-0 JS mobis"/>
    <x v="5"/>
    <x v="13"/>
    <n v="7"/>
    <s v="YJC系统生成单子"/>
    <x v="16"/>
    <x v="1"/>
    <m/>
  </r>
  <r>
    <s v="0531-0 JS mobis"/>
    <x v="5"/>
    <x v="13"/>
    <n v="8"/>
    <s v="发EDI"/>
    <x v="16"/>
    <x v="1"/>
    <m/>
  </r>
  <r>
    <s v="0531-0 JS mobis"/>
    <x v="5"/>
    <x v="13"/>
    <n v="9"/>
    <s v="邮件申请放单"/>
    <x v="16"/>
    <x v="1"/>
    <m/>
  </r>
  <r>
    <s v="0531-0 JS mobis"/>
    <x v="5"/>
    <x v="13"/>
    <n v="10"/>
    <s v="收到HMM(Neo) 放单确认"/>
    <x v="16"/>
    <x v="1"/>
    <s v="一般半天内"/>
  </r>
  <r>
    <s v="0531-0 JS mobis"/>
    <x v="5"/>
    <x v="13"/>
    <n v="11"/>
    <s v="HMM网站核对订舱信息"/>
    <x v="16"/>
    <x v="1"/>
    <m/>
  </r>
  <r>
    <s v="0531-0 JS mobis"/>
    <x v="5"/>
    <x v="13"/>
    <n v="12"/>
    <s v="收到客户(徐贵)做箱通知"/>
    <x v="22"/>
    <x v="1"/>
    <s v="一般做箱头天一早"/>
  </r>
  <r>
    <s v="0531-0 JS mobis"/>
    <x v="5"/>
    <x v="13"/>
    <n v="13"/>
    <s v="发做箱通知邮件给车队(沈丽)"/>
    <x v="22"/>
    <x v="1"/>
    <m/>
  </r>
  <r>
    <s v="0531-0 JS mobis"/>
    <x v="5"/>
    <x v="13"/>
    <n v="14"/>
    <s v="公共盘生成提单号【如需拆单】"/>
    <x v="22"/>
    <x v="1"/>
    <m/>
  </r>
  <r>
    <s v="0531-0 JS mobis"/>
    <x v="5"/>
    <x v="13"/>
    <n v="15"/>
    <s v="YJC系统生成单子【如需拆单】"/>
    <x v="22"/>
    <x v="1"/>
    <m/>
  </r>
  <r>
    <s v="0531-0 JS mobis"/>
    <x v="5"/>
    <x v="13"/>
    <n v="16"/>
    <s v="发EDI【如需拆单】"/>
    <x v="22"/>
    <x v="1"/>
    <m/>
  </r>
  <r>
    <s v="0531-0 JS mobis"/>
    <x v="5"/>
    <x v="13"/>
    <n v="17"/>
    <s v="邮件申请放单【如需拆单】"/>
    <x v="22"/>
    <x v="1"/>
    <m/>
  </r>
  <r>
    <s v="0531-0 JS mobis"/>
    <x v="5"/>
    <x v="13"/>
    <n v="18"/>
    <s v="收到HMM(Neo) 放单确认【如需拆单】"/>
    <x v="22"/>
    <x v="1"/>
    <m/>
  </r>
  <r>
    <s v="0531-0 JS mobis"/>
    <x v="5"/>
    <x v="13"/>
    <n v="19"/>
    <s v="HMM网站核对订舱信息【如需拆单】"/>
    <x v="22"/>
    <x v="1"/>
    <m/>
  </r>
  <r>
    <s v="0531-0 JS mobis"/>
    <x v="5"/>
    <x v="13"/>
    <n v="20"/>
    <s v="收到客户(徐贵)发来做箱数据(报关资料)"/>
    <x v="24"/>
    <x v="1"/>
    <s v="一般做箱当天一早"/>
  </r>
  <r>
    <s v="0531-0 JS mobis"/>
    <x v="5"/>
    <x v="13"/>
    <n v="21"/>
    <s v="按报关(发票)数生成提单号【如发票数超过提单数】"/>
    <x v="24"/>
    <x v="1"/>
    <m/>
  </r>
  <r>
    <s v="0531-0 JS mobis"/>
    <x v="5"/>
    <x v="13"/>
    <n v="22"/>
    <s v="做做箱数据，QQ发车队(沈丽)"/>
    <x v="24"/>
    <x v="1"/>
    <m/>
  </r>
  <r>
    <s v="0531-0 JS mobis"/>
    <x v="5"/>
    <x v="13"/>
    <n v="23"/>
    <s v="做报关资料，扫描发报关行(黄寅文)QQ"/>
    <x v="24"/>
    <x v="1"/>
    <m/>
  </r>
  <r>
    <s v="0531-0 JS mobis"/>
    <x v="5"/>
    <x v="13"/>
    <n v="24"/>
    <s v="收到车队(沈丽)装箱单"/>
    <x v="24"/>
    <x v="1"/>
    <s v="一般马上"/>
  </r>
  <r>
    <s v="0531-0 JS mobis"/>
    <x v="5"/>
    <x v="13"/>
    <n v="25"/>
    <s v="YJC系统截单，发EDI，邮件HMM(He)【截单时间】"/>
    <x v="24"/>
    <x v="1"/>
    <s v="注意截单时间"/>
  </r>
  <r>
    <s v="0531-0 JS mobis"/>
    <x v="5"/>
    <x v="13"/>
    <n v="26"/>
    <s v="做保函给邹师傅"/>
    <x v="24"/>
    <x v="1"/>
    <m/>
  </r>
  <r>
    <s v="0531-0 JS mobis"/>
    <x v="5"/>
    <x v="13"/>
    <n v="27"/>
    <s v="发VGM和舱单"/>
    <x v="24"/>
    <x v="1"/>
    <m/>
  </r>
  <r>
    <s v="0531-0 JS mobis"/>
    <x v="5"/>
    <x v="13"/>
    <n v="28"/>
    <s v="做ISF，发国外资料"/>
    <x v="24"/>
    <x v="1"/>
    <m/>
  </r>
  <r>
    <s v="0531-0 JS mobis"/>
    <x v="5"/>
    <x v="13"/>
    <n v="29"/>
    <s v="买保险"/>
    <x v="24"/>
    <x v="1"/>
    <m/>
  </r>
  <r>
    <s v="0531-0 JS mobis"/>
    <x v="5"/>
    <x v="13"/>
    <n v="30"/>
    <s v="填WORKING PROCESS"/>
    <x v="24"/>
    <x v="1"/>
    <m/>
  </r>
  <r>
    <s v="0531-0 JS mobis"/>
    <x v="5"/>
    <x v="13"/>
    <n v="31"/>
    <s v="收到HMM(He)生成提单通知"/>
    <x v="24"/>
    <x v="1"/>
    <s v="一般马上"/>
  </r>
  <r>
    <s v="0531-0 JS mobis"/>
    <x v="5"/>
    <x v="13"/>
    <n v="32"/>
    <s v="HMM网站核对提单信息"/>
    <x v="24"/>
    <x v="1"/>
    <m/>
  </r>
  <r>
    <s v="0531-0 JS mobis"/>
    <x v="5"/>
    <x v="13"/>
    <n v="33"/>
    <s v="盯海关网站舱单"/>
    <x v="24"/>
    <x v="1"/>
    <s v="一般两小时左右"/>
  </r>
  <r>
    <s v="0531-0 JS mobis"/>
    <x v="5"/>
    <x v="13"/>
    <n v="34"/>
    <s v="核对舱单信息"/>
    <x v="24"/>
    <x v="1"/>
    <m/>
  </r>
  <r>
    <s v="0531-0 JS mobis"/>
    <x v="5"/>
    <x v="13"/>
    <n v="35"/>
    <s v="收到报关行(黄寅文)校对稿，邮件发客户(徐贵)确认"/>
    <x v="24"/>
    <x v="1"/>
    <s v="一般半天内"/>
  </r>
  <r>
    <s v="0531-0 JS mobis"/>
    <x v="5"/>
    <x v="13"/>
    <n v="36"/>
    <s v="收到客户(徐贵)确认校对稿，通知报关行(黄寅文)"/>
    <x v="24"/>
    <x v="1"/>
    <s v="一般马上"/>
  </r>
  <r>
    <s v="0531-0 JS mobis"/>
    <x v="5"/>
    <x v="13"/>
    <n v="37"/>
    <s v="通知报关行(黄寅文)报关(开港、舱单、校对)"/>
    <x v="24"/>
    <x v="1"/>
    <m/>
  </r>
  <r>
    <s v="0531-0 JS mobis"/>
    <x v="5"/>
    <x v="13"/>
    <n v="38"/>
    <s v="收到报关成功通知"/>
    <x v="24"/>
    <x v="1"/>
    <s v="一般下班前"/>
  </r>
  <r>
    <s v="0531-0 JS mobis"/>
    <x v="5"/>
    <x v="13"/>
    <n v="39"/>
    <s v="通知车队(沈丽)可进港"/>
    <x v="24"/>
    <x v="1"/>
    <m/>
  </r>
  <r>
    <s v="0531-0 JS mobis"/>
    <x v="5"/>
    <x v="13"/>
    <n v="40"/>
    <s v="盯箱子进港"/>
    <x v="25"/>
    <x v="1"/>
    <m/>
  </r>
  <r>
    <s v="0531-0 JS mobis"/>
    <x v="5"/>
    <x v="13"/>
    <n v="41"/>
    <s v="核对进港数据"/>
    <x v="25"/>
    <x v="1"/>
    <m/>
  </r>
  <r>
    <s v="0531-0 JS mobis"/>
    <x v="5"/>
    <x v="13"/>
    <n v="42"/>
    <s v="盯海放"/>
    <x v="25"/>
    <x v="1"/>
    <m/>
  </r>
  <r>
    <s v="0531-0 JS mobis"/>
    <x v="5"/>
    <x v="13"/>
    <n v="43"/>
    <s v="盯码放"/>
    <x v="3"/>
    <x v="1"/>
    <m/>
  </r>
  <r>
    <s v="0531-0 JS mobis"/>
    <x v="5"/>
    <x v="13"/>
    <n v="44"/>
    <s v="盯配载"/>
    <x v="27"/>
    <x v="1"/>
    <m/>
  </r>
  <r>
    <s v="0531-0 JS mobis"/>
    <x v="5"/>
    <x v="13"/>
    <n v="45"/>
    <s v="做费用，发账单给谢梦婕"/>
    <x v="27"/>
    <x v="1"/>
    <m/>
  </r>
  <r>
    <s v="0531-0 JS mobis"/>
    <x v="5"/>
    <x v="13"/>
    <n v="46"/>
    <s v="船开"/>
    <x v="28"/>
    <x v="1"/>
    <m/>
  </r>
  <r>
    <s v="0531-0 JS mobis"/>
    <x v="5"/>
    <x v="13"/>
    <n v="47"/>
    <s v="放单"/>
    <x v="28"/>
    <x v="1"/>
    <s v="一般开船后两三天"/>
  </r>
  <r>
    <s v="0531-1 JS mobis"/>
    <x v="5"/>
    <x v="14"/>
    <n v="1"/>
    <s v="收到客户(周嘉敏)订舱预报"/>
    <x v="14"/>
    <x v="0"/>
    <s v="一般周五发隔周"/>
  </r>
  <r>
    <s v="0531-1 JS mobis"/>
    <x v="5"/>
    <x v="14"/>
    <n v="2"/>
    <s v="填WORKING PROCESS"/>
    <x v="14"/>
    <x v="0"/>
    <m/>
  </r>
  <r>
    <s v="0531-1 JS mobis"/>
    <x v="5"/>
    <x v="14"/>
    <n v="3"/>
    <s v="收到HMM(Neo)预订舱邮件通知"/>
    <x v="16"/>
    <x v="0"/>
    <s v="一般周一发下周"/>
  </r>
  <r>
    <s v="0531-1 JS mobis"/>
    <x v="5"/>
    <x v="14"/>
    <n v="4"/>
    <s v="回复HMM(Neo)预订舱邮件"/>
    <x v="16"/>
    <x v="0"/>
    <m/>
  </r>
  <r>
    <s v="0531-1 JS mobis"/>
    <x v="5"/>
    <x v="14"/>
    <n v="5"/>
    <s v="收到HMM(Neo)预订舱确认"/>
    <x v="16"/>
    <x v="1"/>
    <s v="一般马上"/>
  </r>
  <r>
    <s v="0531-1 JS mobis"/>
    <x v="5"/>
    <x v="14"/>
    <n v="6"/>
    <s v="公共盘生成提单号"/>
    <x v="16"/>
    <x v="1"/>
    <m/>
  </r>
  <r>
    <s v="0531-1 JS mobis"/>
    <x v="5"/>
    <x v="14"/>
    <n v="7"/>
    <s v="YJC系统生成单子"/>
    <x v="16"/>
    <x v="1"/>
    <m/>
  </r>
  <r>
    <s v="0531-1 JS mobis"/>
    <x v="5"/>
    <x v="14"/>
    <n v="8"/>
    <s v="发EDI"/>
    <x v="16"/>
    <x v="1"/>
    <m/>
  </r>
  <r>
    <s v="0531-1 JS mobis"/>
    <x v="5"/>
    <x v="14"/>
    <n v="9"/>
    <s v="邮件申请放单"/>
    <x v="16"/>
    <x v="1"/>
    <m/>
  </r>
  <r>
    <s v="0531-1 JS mobis"/>
    <x v="5"/>
    <x v="14"/>
    <n v="10"/>
    <s v="收到HMM(Neo) 放单确认"/>
    <x v="16"/>
    <x v="1"/>
    <s v="一般半天内"/>
  </r>
  <r>
    <s v="0531-1 JS mobis"/>
    <x v="5"/>
    <x v="14"/>
    <n v="11"/>
    <s v="HMM网站核对订舱信息"/>
    <x v="16"/>
    <x v="1"/>
    <m/>
  </r>
  <r>
    <s v="0531-1 JS mobis"/>
    <x v="5"/>
    <x v="14"/>
    <n v="12"/>
    <s v="收到客户(徐贵)做箱通知"/>
    <x v="22"/>
    <x v="1"/>
    <s v="一般做箱头天一早"/>
  </r>
  <r>
    <s v="0531-1 JS mobis"/>
    <x v="5"/>
    <x v="14"/>
    <n v="13"/>
    <s v="发做箱通知邮件给车队(沈丽)"/>
    <x v="22"/>
    <x v="1"/>
    <m/>
  </r>
  <r>
    <s v="0531-1 JS mobis"/>
    <x v="5"/>
    <x v="14"/>
    <n v="14"/>
    <s v="公共盘生成提单号【如需拆单】"/>
    <x v="22"/>
    <x v="1"/>
    <m/>
  </r>
  <r>
    <s v="0531-1 JS mobis"/>
    <x v="5"/>
    <x v="14"/>
    <n v="15"/>
    <s v="YJC系统生成单子【如需拆单】"/>
    <x v="22"/>
    <x v="1"/>
    <m/>
  </r>
  <r>
    <s v="0531-1 JS mobis"/>
    <x v="5"/>
    <x v="14"/>
    <n v="16"/>
    <s v="发EDI【如需拆单】"/>
    <x v="22"/>
    <x v="1"/>
    <m/>
  </r>
  <r>
    <s v="0531-1 JS mobis"/>
    <x v="5"/>
    <x v="14"/>
    <n v="17"/>
    <s v="邮件申请放单【如需拆单】"/>
    <x v="22"/>
    <x v="1"/>
    <m/>
  </r>
  <r>
    <s v="0531-1 JS mobis"/>
    <x v="5"/>
    <x v="14"/>
    <n v="18"/>
    <s v="收到HMM(Neo) 放单确认【如需拆单】"/>
    <x v="22"/>
    <x v="1"/>
    <m/>
  </r>
  <r>
    <s v="0531-1 JS mobis"/>
    <x v="5"/>
    <x v="14"/>
    <n v="19"/>
    <s v="HMM网站核对订舱信息【如需拆单】"/>
    <x v="22"/>
    <x v="1"/>
    <m/>
  </r>
  <r>
    <s v="0531-1 JS mobis"/>
    <x v="5"/>
    <x v="14"/>
    <n v="20"/>
    <s v="收到客户(徐贵)发来做箱数据(报关资料)"/>
    <x v="24"/>
    <x v="1"/>
    <s v="一般做箱当天一早"/>
  </r>
  <r>
    <s v="0531-1 JS mobis"/>
    <x v="5"/>
    <x v="14"/>
    <n v="21"/>
    <s v="按报关(发票)数生成提单号【如发票数超过提单数】"/>
    <x v="24"/>
    <x v="1"/>
    <m/>
  </r>
  <r>
    <s v="0531-1 JS mobis"/>
    <x v="5"/>
    <x v="14"/>
    <n v="22"/>
    <s v="做做箱数据，QQ发车队(沈丽)"/>
    <x v="24"/>
    <x v="1"/>
    <m/>
  </r>
  <r>
    <s v="0531-1 JS mobis"/>
    <x v="5"/>
    <x v="14"/>
    <n v="23"/>
    <s v="做报关资料，扫描发报关行(黄寅文)QQ"/>
    <x v="24"/>
    <x v="1"/>
    <m/>
  </r>
  <r>
    <s v="0531-1 JS mobis"/>
    <x v="5"/>
    <x v="14"/>
    <n v="24"/>
    <s v="收到车队(沈丽)装箱单"/>
    <x v="24"/>
    <x v="1"/>
    <s v="一般马上"/>
  </r>
  <r>
    <s v="0531-1 JS mobis"/>
    <x v="5"/>
    <x v="14"/>
    <n v="25"/>
    <s v="YJC系统截单，发EDI，邮件HMM(He)【截单时间】"/>
    <x v="24"/>
    <x v="1"/>
    <s v="注意截单时间"/>
  </r>
  <r>
    <s v="0531-1 JS mobis"/>
    <x v="5"/>
    <x v="14"/>
    <n v="26"/>
    <s v="做保函给邹师傅"/>
    <x v="24"/>
    <x v="1"/>
    <m/>
  </r>
  <r>
    <s v="0531-1 JS mobis"/>
    <x v="5"/>
    <x v="14"/>
    <n v="27"/>
    <s v="发VGM和舱单"/>
    <x v="24"/>
    <x v="1"/>
    <m/>
  </r>
  <r>
    <s v="0531-1 JS mobis"/>
    <x v="5"/>
    <x v="14"/>
    <n v="28"/>
    <s v="做ISF，发国外资料"/>
    <x v="24"/>
    <x v="1"/>
    <m/>
  </r>
  <r>
    <s v="0531-1 JS mobis"/>
    <x v="5"/>
    <x v="14"/>
    <n v="29"/>
    <s v="买保险"/>
    <x v="24"/>
    <x v="1"/>
    <m/>
  </r>
  <r>
    <s v="0531-1 JS mobis"/>
    <x v="5"/>
    <x v="14"/>
    <n v="30"/>
    <s v="填WORKING PROCESS"/>
    <x v="24"/>
    <x v="1"/>
    <m/>
  </r>
  <r>
    <s v="0531-1 JS mobis"/>
    <x v="5"/>
    <x v="14"/>
    <n v="31"/>
    <s v="收到HMM(He)生成提单通知"/>
    <x v="24"/>
    <x v="1"/>
    <s v="一般马上"/>
  </r>
  <r>
    <s v="0531-1 JS mobis"/>
    <x v="5"/>
    <x v="14"/>
    <n v="32"/>
    <s v="HMM网站核对提单信息"/>
    <x v="24"/>
    <x v="1"/>
    <m/>
  </r>
  <r>
    <s v="0531-1 JS mobis"/>
    <x v="5"/>
    <x v="14"/>
    <n v="33"/>
    <s v="盯海关网站舱单"/>
    <x v="24"/>
    <x v="1"/>
    <s v="一般两小时左右"/>
  </r>
  <r>
    <s v="0531-1 JS mobis"/>
    <x v="5"/>
    <x v="14"/>
    <n v="34"/>
    <s v="核对舱单信息"/>
    <x v="24"/>
    <x v="1"/>
    <m/>
  </r>
  <r>
    <s v="0531-1 JS mobis"/>
    <x v="5"/>
    <x v="14"/>
    <n v="35"/>
    <s v="收到报关行(黄寅文)校对稿，邮件发客户(徐贵)确认"/>
    <x v="24"/>
    <x v="1"/>
    <s v="一般半天内"/>
  </r>
  <r>
    <s v="0531-1 JS mobis"/>
    <x v="5"/>
    <x v="14"/>
    <n v="36"/>
    <s v="收到客户(徐贵)确认校对稿，通知报关行(黄寅文)"/>
    <x v="24"/>
    <x v="1"/>
    <s v="一般马上"/>
  </r>
  <r>
    <s v="0531-1 JS mobis"/>
    <x v="5"/>
    <x v="14"/>
    <n v="37"/>
    <s v="通知报关行(黄寅文)报关(开港、舱单、校对)"/>
    <x v="24"/>
    <x v="1"/>
    <m/>
  </r>
  <r>
    <s v="0531-1 JS mobis"/>
    <x v="5"/>
    <x v="14"/>
    <n v="38"/>
    <s v="收到报关成功通知"/>
    <x v="24"/>
    <x v="1"/>
    <s v="一般下班前"/>
  </r>
  <r>
    <s v="0531-1 JS mobis"/>
    <x v="5"/>
    <x v="14"/>
    <n v="39"/>
    <s v="通知车队(沈丽)可进港"/>
    <x v="24"/>
    <x v="1"/>
    <m/>
  </r>
  <r>
    <s v="0531-1 JS mobis"/>
    <x v="5"/>
    <x v="14"/>
    <n v="40"/>
    <s v="盯箱子进港"/>
    <x v="25"/>
    <x v="1"/>
    <m/>
  </r>
  <r>
    <s v="0531-1 JS mobis"/>
    <x v="5"/>
    <x v="14"/>
    <n v="41"/>
    <s v="核对进港数据"/>
    <x v="25"/>
    <x v="1"/>
    <m/>
  </r>
  <r>
    <s v="0531-1 JS mobis"/>
    <x v="5"/>
    <x v="14"/>
    <n v="42"/>
    <s v="盯海放"/>
    <x v="25"/>
    <x v="1"/>
    <m/>
  </r>
  <r>
    <s v="0531-1 JS mobis"/>
    <x v="5"/>
    <x v="14"/>
    <n v="43"/>
    <s v="盯码放"/>
    <x v="3"/>
    <x v="1"/>
    <m/>
  </r>
  <r>
    <s v="0531-1 JS mobis"/>
    <x v="5"/>
    <x v="14"/>
    <n v="44"/>
    <s v="盯配载"/>
    <x v="27"/>
    <x v="1"/>
    <m/>
  </r>
  <r>
    <s v="0531-1 JS mobis"/>
    <x v="5"/>
    <x v="14"/>
    <n v="45"/>
    <s v="做费用，发账单给谢梦婕"/>
    <x v="27"/>
    <x v="1"/>
    <m/>
  </r>
  <r>
    <s v="0531-1 JS mobis"/>
    <x v="5"/>
    <x v="14"/>
    <n v="46"/>
    <s v="船开"/>
    <x v="28"/>
    <x v="1"/>
    <m/>
  </r>
  <r>
    <s v="0531-1 JS mobis"/>
    <x v="5"/>
    <x v="14"/>
    <n v="47"/>
    <s v="放单"/>
    <x v="28"/>
    <x v="1"/>
    <s v="一般开船后两三天"/>
  </r>
  <r>
    <s v="0619-0 WX mobis"/>
    <x v="7"/>
    <x v="15"/>
    <n v="1"/>
    <s v="收到胡媛媛发来订舱邮件"/>
    <x v="4"/>
    <x v="0"/>
    <m/>
  </r>
  <r>
    <s v="0619-0 WX mobis"/>
    <x v="7"/>
    <x v="15"/>
    <n v="2"/>
    <s v="发订舱托书给万恒（翁小姐）"/>
    <x v="4"/>
    <x v="0"/>
    <m/>
  </r>
  <r>
    <s v="0619-0 WX mobis"/>
    <x v="7"/>
    <x v="15"/>
    <n v="3"/>
    <s v="收到万恒（翁小姐）预配"/>
    <x v="4"/>
    <x v="0"/>
    <s v="一般三小时左右"/>
  </r>
  <r>
    <s v="0619-0 WX mobis"/>
    <x v="7"/>
    <x v="15"/>
    <n v="4"/>
    <s v="通知胡媛媛订舱成功"/>
    <x v="4"/>
    <x v="0"/>
    <m/>
  </r>
  <r>
    <s v="0619-0 WX mobis"/>
    <x v="7"/>
    <x v="15"/>
    <n v="5"/>
    <s v="发做箱通知邮件给车队(沈丽)"/>
    <x v="12"/>
    <x v="0"/>
    <m/>
  </r>
  <r>
    <s v="0619-0 WX mobis"/>
    <x v="7"/>
    <x v="15"/>
    <n v="6"/>
    <s v="收到胡媛媛发来报关资料"/>
    <x v="29"/>
    <x v="1"/>
    <s v="船开前一周？"/>
  </r>
  <r>
    <s v="0619-0 WX mobis"/>
    <x v="7"/>
    <x v="15"/>
    <n v="7"/>
    <s v="完善报关资料发报关行（黄寅文），要校对稿，做做箱数据给沈丽"/>
    <x v="29"/>
    <x v="1"/>
    <m/>
  </r>
  <r>
    <s v="0619-0 WX mobis"/>
    <x v="7"/>
    <x v="15"/>
    <n v="8"/>
    <s v="买保险，做异地付款保函，发胡媛媛确认盖章回传"/>
    <x v="29"/>
    <x v="1"/>
    <m/>
  </r>
  <r>
    <s v="0619-0 WX mobis"/>
    <x v="7"/>
    <x v="15"/>
    <n v="9"/>
    <s v="收到客户（胡媛媛）发来保函扫描件"/>
    <x v="29"/>
    <x v="1"/>
    <s v="一般马上"/>
  </r>
  <r>
    <s v="0619-0 WX mobis"/>
    <x v="7"/>
    <x v="15"/>
    <n v="10"/>
    <s v="收到黄寅文校对稿，发客户（胡媛媛）确认"/>
    <x v="29"/>
    <x v="1"/>
    <s v="一般半天内"/>
  </r>
  <r>
    <s v="0619-0 WX mobis"/>
    <x v="7"/>
    <x v="15"/>
    <n v="11"/>
    <s v="收到客户（胡媛媛）确认校对稿OK"/>
    <x v="29"/>
    <x v="1"/>
    <s v="一般马上"/>
  </r>
  <r>
    <s v="0619-0 WX mobis"/>
    <x v="7"/>
    <x v="15"/>
    <n v="12"/>
    <s v="开港时间？明天做箱？如有变动通知胡媛媛（跟万恒确认17号做可不可以）"/>
    <x v="30"/>
    <x v="1"/>
    <s v="截单前一天"/>
  </r>
  <r>
    <s v="0619-0 WX mobis"/>
    <x v="7"/>
    <x v="15"/>
    <n v="13"/>
    <s v="收到沈丽发来装箱单"/>
    <x v="31"/>
    <x v="1"/>
    <s v="截单当天"/>
  </r>
  <r>
    <s v="0619-0 WX mobis"/>
    <x v="7"/>
    <x v="15"/>
    <n v="14"/>
    <s v="完善截单资料发万恒（翁小姐），请求发舱单"/>
    <x v="31"/>
    <x v="1"/>
    <m/>
  </r>
  <r>
    <s v="0619-0 WX mobis"/>
    <x v="7"/>
    <x v="15"/>
    <n v="15"/>
    <s v="收到舱单发送通知，核对舱单，装箱单发报关行报关"/>
    <x v="31"/>
    <x v="1"/>
    <m/>
  </r>
  <r>
    <s v="0619-0 WX mobis"/>
    <x v="7"/>
    <x v="15"/>
    <n v="16"/>
    <s v="请求万恒（翁小姐）发提单样本"/>
    <x v="31"/>
    <x v="1"/>
    <m/>
  </r>
  <r>
    <s v="0619-0 WX mobis"/>
    <x v="7"/>
    <x v="15"/>
    <n v="17"/>
    <s v="收到万恒（翁小姐）发来提单样本，发胡媛媛确认"/>
    <x v="31"/>
    <x v="1"/>
    <m/>
  </r>
  <r>
    <s v="0619-0 WX mobis"/>
    <x v="7"/>
    <x v="15"/>
    <n v="18"/>
    <s v="收到胡媛媛提单确认"/>
    <x v="31"/>
    <x v="1"/>
    <m/>
  </r>
  <r>
    <s v="0619-0 WX mobis"/>
    <x v="7"/>
    <x v="15"/>
    <n v="19"/>
    <s v="收到报关成功通知，通知车队可进港 "/>
    <x v="31"/>
    <x v="1"/>
    <m/>
  </r>
  <r>
    <s v="0619-0 WX mobis"/>
    <x v="7"/>
    <x v="15"/>
    <n v="20"/>
    <s v="进港，核对数据"/>
    <x v="31"/>
    <x v="1"/>
    <m/>
  </r>
  <r>
    <s v="0619-0 WX mobis"/>
    <x v="7"/>
    <x v="15"/>
    <n v="21"/>
    <s v="海放"/>
    <x v="31"/>
    <x v="1"/>
    <m/>
  </r>
  <r>
    <s v="0619-0 WX mobis"/>
    <x v="7"/>
    <x v="15"/>
    <n v="22"/>
    <s v="码放"/>
    <x v="32"/>
    <x v="1"/>
    <m/>
  </r>
  <r>
    <s v="0619-0 WX mobis"/>
    <x v="7"/>
    <x v="15"/>
    <n v="23"/>
    <s v="配载"/>
    <x v="33"/>
    <x v="1"/>
    <m/>
  </r>
  <r>
    <s v="0619-0 WX mobis"/>
    <x v="7"/>
    <x v="15"/>
    <n v="24"/>
    <s v="开船"/>
    <x v="34"/>
    <x v="1"/>
    <m/>
  </r>
  <r>
    <s v="0619-0 WX mobis"/>
    <x v="7"/>
    <x v="15"/>
    <n v="25"/>
    <s v="放提单和预录单"/>
    <x v="35"/>
    <x v="1"/>
    <m/>
  </r>
  <r>
    <s v="0520-0 0 WEEK"/>
    <x v="4"/>
    <x v="16"/>
    <n v="1"/>
    <s v="收到HMM Neo 下周订舱邮件"/>
    <x v="16"/>
    <x v="1"/>
    <s v="周一"/>
  </r>
  <r>
    <s v="0520-0 0 WEEK"/>
    <x v="4"/>
    <x v="16"/>
    <n v="2"/>
    <s v="根据JS mobis订舱需求回Neo邮件"/>
    <x v="16"/>
    <x v="1"/>
    <s v="周一"/>
  </r>
  <r>
    <s v="0520-0 0 WEEK"/>
    <x v="4"/>
    <x v="16"/>
    <n v="3"/>
    <s v="SHA GLV WORKING PROCESS"/>
    <x v="16"/>
    <x v="1"/>
    <s v="周一"/>
  </r>
  <r>
    <s v="0520-0 0 WEEK"/>
    <x v="4"/>
    <x v="16"/>
    <n v="4"/>
    <s v="SHA GLV WORKING PROCESS"/>
    <x v="19"/>
    <x v="1"/>
    <s v="周三"/>
  </r>
  <r>
    <s v="0520-0 0 WEEK"/>
    <x v="4"/>
    <x v="16"/>
    <n v="5"/>
    <s v="TJ glovis额外费用邮件"/>
    <x v="22"/>
    <x v="1"/>
    <s v="周五"/>
  </r>
  <r>
    <s v="0520-0 0 WEEK"/>
    <x v="4"/>
    <x v="16"/>
    <n v="6"/>
    <s v="SHA GLV WORKING PROCESS"/>
    <x v="22"/>
    <x v="1"/>
    <s v="周五"/>
  </r>
  <r>
    <s v="0520-0 0 WEEK"/>
    <x v="4"/>
    <x v="16"/>
    <n v="7"/>
    <s v="TJ GLV WORKING PROCESS"/>
    <x v="22"/>
    <x v="1"/>
    <s v="周五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数据透视表3" cacheId="366" applyNumberFormats="0" applyBorderFormats="0" applyFontFormats="0" applyPatternFormats="0" applyAlignmentFormats="0" applyWidthHeightFormats="1" dataCaption="值" updatedVersion="6" minRefreshableVersion="3" useAutoFormatting="1" colGrandTotals="0" itemPrintTitles="1" createdVersion="6" indent="0" outline="1" outlineData="1" multipleFieldFilters="0" rowHeaderCaption="行" colHeaderCaption="列">
  <location ref="A3:T28" firstHeaderRow="1" firstDataRow="2" firstDataCol="1" rowPageCount="1" colPageCount="1"/>
  <pivotFields count="8"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ubtotalTop="0" showAll="0" sortType="ascending" defaultSubtotal="0">
      <items count="10">
        <item x="4"/>
        <item x="1"/>
        <item x="2"/>
        <item x="5"/>
        <item m="1" x="9"/>
        <item x="3"/>
        <item x="6"/>
        <item x="7"/>
        <item x="0"/>
        <item m="1"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numFmtId="177" subtotalTop="0" showAll="0" sortType="ascending" defaultSubtotal="0">
      <items count="18">
        <item x="0"/>
        <item x="1"/>
        <item x="2"/>
        <item x="3"/>
        <item x="4"/>
        <item x="5"/>
        <item m="1" x="17"/>
        <item x="6"/>
        <item x="7"/>
        <item x="16"/>
        <item x="8"/>
        <item x="9"/>
        <item x="10"/>
        <item x="11"/>
        <item x="12"/>
        <item x="13"/>
        <item x="14"/>
        <item x="1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umFmtId="178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dataField="1" subtotalTop="0" showAll="0" sortType="ascending" defaultSubtotal="0">
      <items count="40">
        <item m="1" x="37"/>
        <item x="20"/>
        <item x="7"/>
        <item x="8"/>
        <item x="9"/>
        <item x="15"/>
        <item x="5"/>
        <item x="10"/>
        <item x="11"/>
        <item x="6"/>
        <item x="1"/>
        <item x="4"/>
        <item x="12"/>
        <item m="1" x="36"/>
        <item x="0"/>
        <item x="2"/>
        <item x="13"/>
        <item x="18"/>
        <item x="14"/>
        <item m="1" x="38"/>
        <item m="1" x="39"/>
        <item x="16"/>
        <item x="17"/>
        <item x="19"/>
        <item x="21"/>
        <item x="22"/>
        <item x="23"/>
        <item x="26"/>
        <item x="24"/>
        <item x="25"/>
        <item x="3"/>
        <item x="27"/>
        <item x="28"/>
        <item x="29"/>
        <item x="30"/>
        <item x="31"/>
        <item x="32"/>
        <item x="33"/>
        <item x="34"/>
        <item x="3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2"/>
  </rowFields>
  <rowItems count="24">
    <i>
      <x/>
    </i>
    <i r="1">
      <x v="9"/>
    </i>
    <i>
      <x v="1"/>
    </i>
    <i r="1">
      <x v="1"/>
    </i>
    <i>
      <x v="2"/>
    </i>
    <i r="1">
      <x v="10"/>
    </i>
    <i r="1">
      <x v="14"/>
    </i>
    <i>
      <x v="3"/>
    </i>
    <i r="1">
      <x v="11"/>
    </i>
    <i r="1">
      <x v="12"/>
    </i>
    <i r="1">
      <x v="13"/>
    </i>
    <i r="1">
      <x v="15"/>
    </i>
    <i r="1">
      <x v="16"/>
    </i>
    <i>
      <x v="5"/>
    </i>
    <i r="1">
      <x v="10"/>
    </i>
    <i r="1">
      <x v="14"/>
    </i>
    <i>
      <x v="6"/>
    </i>
    <i r="1">
      <x v="8"/>
    </i>
    <i r="1">
      <x v="12"/>
    </i>
    <i>
      <x v="7"/>
    </i>
    <i r="1">
      <x v="10"/>
    </i>
    <i r="1">
      <x v="14"/>
    </i>
    <i r="1">
      <x v="17"/>
    </i>
    <i t="grand">
      <x/>
    </i>
  </rowItems>
  <colFields count="1">
    <field x="5"/>
  </colFields>
  <colItems count="19"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1">
    <pageField fld="6" item="1" hier="-1"/>
  </pageFields>
  <dataFields count="1">
    <dataField name="计数项:日期" fld="5" subtotal="count" baseField="0" baseItem="0"/>
  </dataFields>
  <formats count="15">
    <format dxfId="20">
      <pivotArea outline="0" collapsedLevelsAreSubtotals="1" fieldPosition="0"/>
    </format>
    <format dxfId="19">
      <pivotArea outline="0" collapsedLevelsAreSubtotals="1" fieldPosition="0"/>
    </format>
    <format dxfId="18">
      <pivotArea outline="0" collapsedLevelsAreSubtotals="1" fieldPosition="0"/>
    </format>
    <format dxfId="17">
      <pivotArea dataOnly="0" labelOnly="1" fieldPosition="0">
        <references count="1">
          <reference field="5" count="11">
            <x v="11"/>
            <x v="12"/>
            <x v="13"/>
            <x v="14"/>
            <x v="15"/>
            <x v="16"/>
            <x v="17"/>
            <x v="18"/>
            <x v="19"/>
            <x v="21"/>
            <x v="23"/>
          </reference>
        </references>
      </pivotArea>
    </format>
    <format dxfId="16">
      <pivotArea dataOnly="0" labelOnly="1" fieldPosition="0">
        <references count="1">
          <reference field="5" count="12">
            <x v="11"/>
            <x v="12"/>
            <x v="13"/>
            <x v="14"/>
            <x v="15"/>
            <x v="16"/>
            <x v="17"/>
            <x v="18"/>
            <x v="19"/>
            <x v="21"/>
            <x v="23"/>
            <x v="30"/>
          </reference>
        </references>
      </pivotArea>
    </format>
    <format dxfId="15">
      <pivotArea dataOnly="0" labelOnly="1" fieldPosition="0">
        <references count="1">
          <reference field="5" count="12">
            <x v="11"/>
            <x v="12"/>
            <x v="13"/>
            <x v="14"/>
            <x v="15"/>
            <x v="16"/>
            <x v="17"/>
            <x v="18"/>
            <x v="19"/>
            <x v="21"/>
            <x v="23"/>
            <x v="30"/>
          </reference>
        </references>
      </pivotArea>
    </format>
    <format dxfId="14">
      <pivotArea dataOnly="0" labelOnly="1" fieldPosition="0">
        <references count="1">
          <reference field="5" count="12">
            <x v="11"/>
            <x v="12"/>
            <x v="13"/>
            <x v="14"/>
            <x v="15"/>
            <x v="16"/>
            <x v="17"/>
            <x v="18"/>
            <x v="19"/>
            <x v="21"/>
            <x v="23"/>
            <x v="30"/>
          </reference>
        </references>
      </pivotArea>
    </format>
    <format dxfId="13">
      <pivotArea dataOnly="0" labelOnly="1" fieldPosition="0">
        <references count="1">
          <reference field="5" count="25"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8"/>
            <x v="29"/>
            <x v="30"/>
            <x v="31"/>
            <x v="33"/>
            <x v="34"/>
            <x v="35"/>
            <x v="36"/>
            <x v="37"/>
            <x v="38"/>
            <x v="39"/>
          </reference>
        </references>
      </pivotArea>
    </format>
    <format dxfId="12">
      <pivotArea dataOnly="0" labelOnly="1" fieldPosition="0">
        <references count="1">
          <reference field="5" count="11">
            <x v="1"/>
            <x v="2"/>
            <x v="3"/>
            <x v="4"/>
            <x v="5"/>
            <x v="6"/>
            <x v="7"/>
            <x v="8"/>
            <x v="9"/>
            <x v="10"/>
            <x v="11"/>
          </reference>
        </references>
      </pivotArea>
    </format>
    <format dxfId="11">
      <pivotArea dataOnly="0" labelOnly="1" fieldPosition="0">
        <references count="1">
          <reference field="5" count="1">
            <x v="26"/>
          </reference>
        </references>
      </pivotArea>
    </format>
    <format dxfId="10">
      <pivotArea dataOnly="0" labelOnly="1" fieldPosition="0">
        <references count="1">
          <reference field="2" count="0"/>
        </references>
      </pivotArea>
    </format>
    <format dxfId="9">
      <pivotArea dataOnly="0" labelOnly="1" fieldPosition="0">
        <references count="1">
          <reference field="2" count="0"/>
        </references>
      </pivotArea>
    </format>
    <format dxfId="8">
      <pivotArea dataOnly="0" labelOnly="1" fieldPosition="0">
        <references count="1">
          <reference field="5" count="1">
            <x v="27"/>
          </reference>
        </references>
      </pivotArea>
    </format>
    <format dxfId="7">
      <pivotArea dataOnly="0" labelOnly="1" fieldPosition="0">
        <references count="1">
          <reference field="5" count="1">
            <x v="0"/>
          </reference>
        </references>
      </pivotArea>
    </format>
    <format dxfId="6">
      <pivotArea dataOnly="0" labelOnly="1" fieldPosition="0">
        <references count="1">
          <reference field="5" count="1">
            <x v="32"/>
          </reference>
        </references>
      </pivotArea>
    </format>
  </formats>
  <pivotTableStyleInfo name="PivotStyleMedium9" showRowHeaders="1" showColHeaders="1" showRowStripes="0" showColStripes="1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id="1" name="表1" displayName="表1" ref="A1:G102" totalsRowShown="0" headerRowDxfId="44" dataDxfId="43">
  <autoFilter ref="A1:G102"/>
  <tableColumns count="7">
    <tableColumn id="1" name="项目" dataDxfId="42"/>
    <tableColumn id="2" name="ETD" dataDxfId="41"/>
    <tableColumn id="8" name="顺序" dataDxfId="40"/>
    <tableColumn id="4" name="内容" dataDxfId="39"/>
    <tableColumn id="5" name="日期" dataDxfId="38"/>
    <tableColumn id="6" name="状态" dataDxfId="37"/>
    <tableColumn id="7" name="备注" dataDxfId="36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id="3" name="表3" displayName="表3" ref="A1:H582" totalsRowShown="0" headerRowDxfId="34" dataDxfId="32" headerRowBorderDxfId="33" tableBorderDxfId="31" totalsRowBorderDxfId="30">
  <autoFilter ref="A1:H582">
    <filterColumn colId="1">
      <filters>
        <filter val="HMI"/>
      </filters>
    </filterColumn>
    <filterColumn colId="2">
      <filters>
        <dateGroupItem year="2019" month="5" day="22" hour="0" dateTimeGrouping="hour"/>
      </filters>
    </filterColumn>
    <filterColumn colId="5">
      <filters>
        <dateGroupItem year="2019" month="5" day="20" dateTimeGrouping="day"/>
      </filters>
    </filterColumn>
    <filterColumn colId="6">
      <filters>
        <filter val="计划"/>
      </filters>
    </filterColumn>
  </autoFilter>
  <tableColumns count="8">
    <tableColumn id="17" name="列1" dataDxfId="29">
      <calculatedColumnFormula>TEXT(表3[[#This Row],[ETD]],"mmdd-h ")&amp;表3[[#This Row],[项目]]</calculatedColumnFormula>
    </tableColumn>
    <tableColumn id="1" name="项目" dataDxfId="28"/>
    <tableColumn id="2" name="ETD" dataDxfId="27"/>
    <tableColumn id="3" name="顺序" dataDxfId="26"/>
    <tableColumn id="5" name="内容" dataDxfId="25"/>
    <tableColumn id="6" name="日期" dataDxfId="24"/>
    <tableColumn id="7" name="状态" dataDxfId="23"/>
    <tableColumn id="8" name="备注" dataDxfId="2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表2" displayName="表2" ref="A1:H26" totalsRowShown="0">
  <autoFilter ref="A1:H26">
    <filterColumn colId="0">
      <filters>
        <filter val="JS mobis"/>
      </filters>
    </filterColumn>
    <filterColumn colId="1">
      <filters>
        <dateGroupItem year="2019" month="5" day="10" dateTimeGrouping="day"/>
      </filters>
    </filterColumn>
  </autoFilter>
  <tableColumns count="8">
    <tableColumn id="1" name="项目"/>
    <tableColumn id="2" name="ETD" dataDxfId="5"/>
    <tableColumn id="4" name="船名en" dataDxfId="4"/>
    <tableColumn id="5" name="航次" dataDxfId="3"/>
    <tableColumn id="3" name="船名cn" dataDxfId="2"/>
    <tableColumn id="6" name="提单号" dataDxfId="1"/>
    <tableColumn id="7" name="箱号"/>
    <tableColumn id="8" name="箱型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02"/>
  <sheetViews>
    <sheetView workbookViewId="0">
      <pane ySplit="1" topLeftCell="A2" activePane="bottomLeft" state="frozen"/>
      <selection pane="bottomLeft" activeCell="D24" sqref="D24"/>
    </sheetView>
  </sheetViews>
  <sheetFormatPr defaultRowHeight="14.25" x14ac:dyDescent="0.2"/>
  <cols>
    <col min="1" max="1" width="8.625" bestFit="1" customWidth="1"/>
    <col min="2" max="2" width="7.125" bestFit="1" customWidth="1"/>
    <col min="3" max="3" width="7.75" bestFit="1" customWidth="1"/>
    <col min="4" max="4" width="53.875" bestFit="1" customWidth="1"/>
    <col min="5" max="6" width="7.75" bestFit="1" customWidth="1"/>
    <col min="7" max="7" width="17.625" bestFit="1" customWidth="1"/>
  </cols>
  <sheetData>
    <row r="1" spans="1:7" x14ac:dyDescent="0.2">
      <c r="A1" s="1" t="s">
        <v>4</v>
      </c>
      <c r="B1" s="1" t="s">
        <v>5</v>
      </c>
      <c r="C1" s="1" t="s">
        <v>332</v>
      </c>
      <c r="D1" s="1" t="s">
        <v>6</v>
      </c>
      <c r="E1" s="1" t="s">
        <v>0</v>
      </c>
      <c r="F1" s="1" t="s">
        <v>230</v>
      </c>
      <c r="G1" s="1" t="s">
        <v>107</v>
      </c>
    </row>
    <row r="2" spans="1:7" x14ac:dyDescent="0.2">
      <c r="A2" s="1" t="s">
        <v>265</v>
      </c>
      <c r="B2" s="2"/>
      <c r="C2" s="29">
        <v>1</v>
      </c>
      <c r="D2" s="1" t="s">
        <v>335</v>
      </c>
      <c r="E2" s="1"/>
      <c r="F2" s="1" t="s">
        <v>254</v>
      </c>
      <c r="G2" s="1" t="s">
        <v>256</v>
      </c>
    </row>
    <row r="3" spans="1:7" x14ac:dyDescent="0.2">
      <c r="A3" s="1" t="s">
        <v>265</v>
      </c>
      <c r="B3" s="32"/>
      <c r="C3" s="33">
        <v>2</v>
      </c>
      <c r="D3" s="31" t="s">
        <v>336</v>
      </c>
      <c r="E3" s="31"/>
      <c r="F3" s="1" t="s">
        <v>226</v>
      </c>
      <c r="G3" s="1" t="s">
        <v>256</v>
      </c>
    </row>
    <row r="4" spans="1:7" x14ac:dyDescent="0.2">
      <c r="A4" s="1" t="s">
        <v>265</v>
      </c>
      <c r="B4" s="2"/>
      <c r="C4" s="29">
        <v>3</v>
      </c>
      <c r="D4" s="1" t="s">
        <v>258</v>
      </c>
      <c r="E4" s="1"/>
      <c r="F4" s="1" t="s">
        <v>259</v>
      </c>
      <c r="G4" s="1" t="s">
        <v>256</v>
      </c>
    </row>
    <row r="5" spans="1:7" x14ac:dyDescent="0.2">
      <c r="A5" s="1" t="s">
        <v>265</v>
      </c>
      <c r="B5" s="2"/>
      <c r="C5" s="29">
        <v>4</v>
      </c>
      <c r="D5" s="1" t="s">
        <v>258</v>
      </c>
      <c r="E5" s="1"/>
      <c r="F5" s="1" t="s">
        <v>259</v>
      </c>
      <c r="G5" s="1" t="s">
        <v>261</v>
      </c>
    </row>
    <row r="6" spans="1:7" x14ac:dyDescent="0.2">
      <c r="A6" s="1" t="s">
        <v>265</v>
      </c>
      <c r="B6" s="2"/>
      <c r="C6" s="29">
        <v>5</v>
      </c>
      <c r="D6" s="1" t="s">
        <v>246</v>
      </c>
      <c r="E6" s="1"/>
      <c r="F6" s="1" t="s">
        <v>226</v>
      </c>
      <c r="G6" s="1" t="s">
        <v>252</v>
      </c>
    </row>
    <row r="7" spans="1:7" x14ac:dyDescent="0.2">
      <c r="A7" s="1" t="s">
        <v>265</v>
      </c>
      <c r="B7" s="2"/>
      <c r="C7" s="29">
        <v>6</v>
      </c>
      <c r="D7" s="1" t="s">
        <v>258</v>
      </c>
      <c r="E7" s="1"/>
      <c r="F7" s="1" t="s">
        <v>259</v>
      </c>
      <c r="G7" s="1" t="s">
        <v>252</v>
      </c>
    </row>
    <row r="8" spans="1:7" x14ac:dyDescent="0.2">
      <c r="A8" s="1" t="s">
        <v>265</v>
      </c>
      <c r="B8" s="2"/>
      <c r="C8" s="29">
        <v>7</v>
      </c>
      <c r="D8" s="1" t="s">
        <v>263</v>
      </c>
      <c r="E8" s="1"/>
      <c r="F8" s="1" t="s">
        <v>259</v>
      </c>
      <c r="G8" s="1" t="s">
        <v>252</v>
      </c>
    </row>
    <row r="9" spans="1:7" x14ac:dyDescent="0.2">
      <c r="A9" s="1" t="s">
        <v>267</v>
      </c>
      <c r="B9" s="2"/>
      <c r="C9" s="29">
        <v>1</v>
      </c>
      <c r="D9" s="1" t="s">
        <v>248</v>
      </c>
      <c r="E9" s="1"/>
      <c r="F9" s="1" t="s">
        <v>226</v>
      </c>
      <c r="G9" s="1" t="s">
        <v>250</v>
      </c>
    </row>
    <row r="10" spans="1:7" x14ac:dyDescent="0.2">
      <c r="A10" s="1" t="s">
        <v>267</v>
      </c>
      <c r="B10" s="2"/>
      <c r="C10" s="29">
        <v>2</v>
      </c>
      <c r="D10" s="1" t="s">
        <v>361</v>
      </c>
      <c r="E10" s="1"/>
      <c r="F10" s="1" t="s">
        <v>362</v>
      </c>
      <c r="G10" s="1" t="s">
        <v>366</v>
      </c>
    </row>
    <row r="11" spans="1:7" x14ac:dyDescent="0.2">
      <c r="A11" s="1" t="s">
        <v>267</v>
      </c>
      <c r="B11" s="2"/>
      <c r="C11" s="29">
        <v>3</v>
      </c>
      <c r="D11" s="1" t="s">
        <v>269</v>
      </c>
      <c r="E11" s="1"/>
      <c r="F11" s="1" t="s">
        <v>254</v>
      </c>
      <c r="G11" s="1" t="s">
        <v>250</v>
      </c>
    </row>
    <row r="12" spans="1:7" x14ac:dyDescent="0.2">
      <c r="A12" s="1" t="s">
        <v>3</v>
      </c>
      <c r="B12" s="2"/>
      <c r="C12" s="29">
        <v>1</v>
      </c>
      <c r="D12" s="1" t="s">
        <v>484</v>
      </c>
      <c r="E12" s="1"/>
      <c r="F12" s="1" t="s">
        <v>226</v>
      </c>
      <c r="G12" s="1" t="s">
        <v>30</v>
      </c>
    </row>
    <row r="13" spans="1:7" x14ac:dyDescent="0.2">
      <c r="A13" s="1" t="s">
        <v>3</v>
      </c>
      <c r="B13" s="2"/>
      <c r="C13" s="29">
        <v>2</v>
      </c>
      <c r="D13" s="1" t="s">
        <v>222</v>
      </c>
      <c r="E13" s="1"/>
      <c r="F13" s="1" t="s">
        <v>226</v>
      </c>
      <c r="G13" s="1"/>
    </row>
    <row r="14" spans="1:7" x14ac:dyDescent="0.2">
      <c r="A14" s="1" t="s">
        <v>3</v>
      </c>
      <c r="B14" s="2"/>
      <c r="C14" s="29">
        <v>3</v>
      </c>
      <c r="D14" s="1" t="s">
        <v>63</v>
      </c>
      <c r="E14" s="1"/>
      <c r="F14" s="1" t="s">
        <v>226</v>
      </c>
      <c r="G14" s="1" t="s">
        <v>32</v>
      </c>
    </row>
    <row r="15" spans="1:7" x14ac:dyDescent="0.2">
      <c r="A15" s="1" t="s">
        <v>3</v>
      </c>
      <c r="B15" s="2"/>
      <c r="C15" s="29">
        <v>4</v>
      </c>
      <c r="D15" s="1" t="s">
        <v>65</v>
      </c>
      <c r="E15" s="1"/>
      <c r="F15" s="1" t="s">
        <v>231</v>
      </c>
      <c r="G15" s="1"/>
    </row>
    <row r="16" spans="1:7" x14ac:dyDescent="0.2">
      <c r="A16" s="1" t="s">
        <v>3</v>
      </c>
      <c r="B16" s="2"/>
      <c r="C16" s="29">
        <v>5</v>
      </c>
      <c r="D16" s="1" t="s">
        <v>67</v>
      </c>
      <c r="E16" s="1"/>
      <c r="F16" s="1" t="s">
        <v>226</v>
      </c>
      <c r="G16" s="1" t="s">
        <v>45</v>
      </c>
    </row>
    <row r="17" spans="1:7" x14ac:dyDescent="0.2">
      <c r="A17" s="1" t="s">
        <v>3</v>
      </c>
      <c r="B17" s="2"/>
      <c r="C17" s="29">
        <v>6</v>
      </c>
      <c r="D17" s="1" t="s">
        <v>20</v>
      </c>
      <c r="E17" s="1"/>
      <c r="F17" s="1" t="s">
        <v>226</v>
      </c>
      <c r="G17" s="1"/>
    </row>
    <row r="18" spans="1:7" x14ac:dyDescent="0.2">
      <c r="A18" s="1" t="s">
        <v>3</v>
      </c>
      <c r="B18" s="2"/>
      <c r="C18" s="29">
        <v>7</v>
      </c>
      <c r="D18" s="1" t="s">
        <v>22</v>
      </c>
      <c r="E18" s="1"/>
      <c r="F18" s="1" t="s">
        <v>226</v>
      </c>
      <c r="G18" s="1"/>
    </row>
    <row r="19" spans="1:7" x14ac:dyDescent="0.2">
      <c r="A19" s="1" t="s">
        <v>3</v>
      </c>
      <c r="B19" s="2"/>
      <c r="C19" s="29">
        <v>8</v>
      </c>
      <c r="D19" s="1" t="s">
        <v>8</v>
      </c>
      <c r="E19" s="1"/>
      <c r="F19" s="1" t="s">
        <v>226</v>
      </c>
      <c r="G19" s="1"/>
    </row>
    <row r="20" spans="1:7" x14ac:dyDescent="0.2">
      <c r="A20" s="1" t="s">
        <v>3</v>
      </c>
      <c r="B20" s="2"/>
      <c r="C20" s="29">
        <v>9</v>
      </c>
      <c r="D20" s="1" t="s">
        <v>10</v>
      </c>
      <c r="E20" s="1"/>
      <c r="F20" s="1" t="s">
        <v>228</v>
      </c>
      <c r="G20" s="1"/>
    </row>
    <row r="21" spans="1:7" x14ac:dyDescent="0.2">
      <c r="A21" s="1" t="s">
        <v>3</v>
      </c>
      <c r="B21" s="2"/>
      <c r="C21" s="29">
        <v>10</v>
      </c>
      <c r="D21" s="1" t="s">
        <v>221</v>
      </c>
      <c r="E21" s="1"/>
      <c r="F21" s="1" t="s">
        <v>226</v>
      </c>
      <c r="G21" s="1" t="s">
        <v>34</v>
      </c>
    </row>
    <row r="22" spans="1:7" x14ac:dyDescent="0.2">
      <c r="A22" s="1" t="s">
        <v>3</v>
      </c>
      <c r="B22" s="2"/>
      <c r="C22" s="29">
        <v>11</v>
      </c>
      <c r="D22" s="1" t="s">
        <v>61</v>
      </c>
      <c r="E22" s="1"/>
      <c r="F22" s="1" t="s">
        <v>226</v>
      </c>
      <c r="G22" s="1"/>
    </row>
    <row r="23" spans="1:7" x14ac:dyDescent="0.2">
      <c r="A23" s="1" t="s">
        <v>3</v>
      </c>
      <c r="B23" s="2"/>
      <c r="C23" s="29">
        <v>12</v>
      </c>
      <c r="D23" s="1" t="s">
        <v>485</v>
      </c>
      <c r="E23" s="1"/>
      <c r="F23" s="1" t="s">
        <v>231</v>
      </c>
      <c r="G23" s="1" t="s">
        <v>36</v>
      </c>
    </row>
    <row r="24" spans="1:7" x14ac:dyDescent="0.2">
      <c r="A24" s="1" t="s">
        <v>3</v>
      </c>
      <c r="B24" s="2"/>
      <c r="C24" s="29">
        <v>13</v>
      </c>
      <c r="D24" s="1" t="s">
        <v>41</v>
      </c>
      <c r="E24" s="1"/>
      <c r="F24" s="1" t="s">
        <v>226</v>
      </c>
      <c r="G24" s="1"/>
    </row>
    <row r="25" spans="1:7" x14ac:dyDescent="0.2">
      <c r="A25" s="1" t="s">
        <v>3</v>
      </c>
      <c r="B25" s="2"/>
      <c r="C25" s="29">
        <v>14</v>
      </c>
      <c r="D25" s="1" t="s">
        <v>24</v>
      </c>
      <c r="E25" s="1"/>
      <c r="F25" s="1" t="s">
        <v>226</v>
      </c>
      <c r="G25" s="1"/>
    </row>
    <row r="26" spans="1:7" x14ac:dyDescent="0.2">
      <c r="A26" s="1" t="s">
        <v>3</v>
      </c>
      <c r="B26" s="2"/>
      <c r="C26" s="29">
        <v>15</v>
      </c>
      <c r="D26" s="1" t="s">
        <v>26</v>
      </c>
      <c r="E26" s="1"/>
      <c r="F26" s="1" t="s">
        <v>226</v>
      </c>
      <c r="G26" s="1"/>
    </row>
    <row r="27" spans="1:7" x14ac:dyDescent="0.2">
      <c r="A27" s="1" t="s">
        <v>3</v>
      </c>
      <c r="B27" s="2"/>
      <c r="C27" s="29">
        <v>16</v>
      </c>
      <c r="D27" s="1" t="s">
        <v>14</v>
      </c>
      <c r="E27" s="1"/>
      <c r="F27" s="1" t="s">
        <v>231</v>
      </c>
      <c r="G27" s="1"/>
    </row>
    <row r="28" spans="1:7" x14ac:dyDescent="0.2">
      <c r="A28" s="1" t="s">
        <v>3</v>
      </c>
      <c r="B28" s="2"/>
      <c r="C28" s="29">
        <v>17</v>
      </c>
      <c r="D28" s="1" t="s">
        <v>16</v>
      </c>
      <c r="E28" s="1"/>
      <c r="F28" s="1" t="s">
        <v>226</v>
      </c>
      <c r="G28" s="1"/>
    </row>
    <row r="29" spans="1:7" x14ac:dyDescent="0.2">
      <c r="A29" s="1" t="s">
        <v>3</v>
      </c>
      <c r="B29" s="2"/>
      <c r="C29" s="29">
        <v>18</v>
      </c>
      <c r="D29" s="1" t="s">
        <v>18</v>
      </c>
      <c r="E29" s="1"/>
      <c r="F29" s="1" t="s">
        <v>226</v>
      </c>
      <c r="G29" s="1"/>
    </row>
    <row r="30" spans="1:7" x14ac:dyDescent="0.2">
      <c r="A30" s="1" t="s">
        <v>3</v>
      </c>
      <c r="B30" s="2"/>
      <c r="C30" s="29">
        <v>19</v>
      </c>
      <c r="D30" s="1" t="s">
        <v>59</v>
      </c>
      <c r="E30" s="1"/>
      <c r="F30" s="1" t="s">
        <v>226</v>
      </c>
      <c r="G30" s="1"/>
    </row>
    <row r="31" spans="1:7" x14ac:dyDescent="0.2">
      <c r="A31" s="1" t="s">
        <v>3</v>
      </c>
      <c r="B31" s="2"/>
      <c r="C31" s="29">
        <v>20</v>
      </c>
      <c r="D31" s="1" t="s">
        <v>486</v>
      </c>
      <c r="E31" s="1"/>
      <c r="F31" s="1" t="s">
        <v>226</v>
      </c>
      <c r="G31" s="1" t="s">
        <v>38</v>
      </c>
    </row>
    <row r="32" spans="1:7" x14ac:dyDescent="0.2">
      <c r="A32" s="1" t="s">
        <v>3</v>
      </c>
      <c r="B32" s="2"/>
      <c r="C32" s="29">
        <v>21</v>
      </c>
      <c r="D32" s="1" t="s">
        <v>52</v>
      </c>
      <c r="E32" s="1"/>
      <c r="F32" s="1" t="s">
        <v>226</v>
      </c>
      <c r="G32" s="1"/>
    </row>
    <row r="33" spans="1:7" x14ac:dyDescent="0.2">
      <c r="A33" s="1" t="s">
        <v>3</v>
      </c>
      <c r="B33" s="2"/>
      <c r="C33" s="29">
        <v>22</v>
      </c>
      <c r="D33" s="1" t="s">
        <v>53</v>
      </c>
      <c r="E33" s="1"/>
      <c r="F33" s="1" t="s">
        <v>226</v>
      </c>
      <c r="G33" s="1"/>
    </row>
    <row r="34" spans="1:7" x14ac:dyDescent="0.2">
      <c r="A34" s="1" t="s">
        <v>3</v>
      </c>
      <c r="B34" s="2"/>
      <c r="C34" s="29">
        <v>23</v>
      </c>
      <c r="D34" s="1" t="s">
        <v>54</v>
      </c>
      <c r="E34" s="1"/>
      <c r="F34" s="1" t="s">
        <v>226</v>
      </c>
      <c r="G34" s="1"/>
    </row>
    <row r="35" spans="1:7" x14ac:dyDescent="0.2">
      <c r="A35" s="1" t="s">
        <v>3</v>
      </c>
      <c r="B35" s="2"/>
      <c r="C35" s="29">
        <v>24</v>
      </c>
      <c r="D35" s="1" t="s">
        <v>219</v>
      </c>
      <c r="E35" s="1"/>
      <c r="F35" s="1" t="s">
        <v>226</v>
      </c>
      <c r="G35" s="1" t="s">
        <v>45</v>
      </c>
    </row>
    <row r="36" spans="1:7" x14ac:dyDescent="0.2">
      <c r="A36" s="1" t="s">
        <v>3</v>
      </c>
      <c r="B36" s="2"/>
      <c r="C36" s="29">
        <v>25</v>
      </c>
      <c r="D36" s="1" t="s">
        <v>173</v>
      </c>
      <c r="E36" s="1"/>
      <c r="F36" s="1" t="s">
        <v>226</v>
      </c>
      <c r="G36" s="1" t="s">
        <v>170</v>
      </c>
    </row>
    <row r="37" spans="1:7" x14ac:dyDescent="0.2">
      <c r="A37" s="1" t="s">
        <v>3</v>
      </c>
      <c r="B37" s="2"/>
      <c r="C37" s="29">
        <v>26</v>
      </c>
      <c r="D37" s="1" t="s">
        <v>88</v>
      </c>
      <c r="E37" s="1"/>
      <c r="F37" s="1" t="s">
        <v>226</v>
      </c>
      <c r="G37" s="1"/>
    </row>
    <row r="38" spans="1:7" x14ac:dyDescent="0.2">
      <c r="A38" s="1" t="s">
        <v>3</v>
      </c>
      <c r="B38" s="2"/>
      <c r="C38" s="29">
        <v>27</v>
      </c>
      <c r="D38" s="1" t="s">
        <v>69</v>
      </c>
      <c r="E38" s="1"/>
      <c r="F38" s="1" t="s">
        <v>226</v>
      </c>
      <c r="G38" s="1"/>
    </row>
    <row r="39" spans="1:7" x14ac:dyDescent="0.2">
      <c r="A39" s="1" t="s">
        <v>3</v>
      </c>
      <c r="B39" s="2"/>
      <c r="C39" s="29">
        <v>28</v>
      </c>
      <c r="D39" s="1" t="s">
        <v>84</v>
      </c>
      <c r="E39" s="1"/>
      <c r="F39" s="1" t="s">
        <v>226</v>
      </c>
      <c r="G39" s="1"/>
    </row>
    <row r="40" spans="1:7" x14ac:dyDescent="0.2">
      <c r="A40" s="1" t="s">
        <v>3</v>
      </c>
      <c r="B40" s="2"/>
      <c r="C40" s="29">
        <v>29</v>
      </c>
      <c r="D40" s="1" t="s">
        <v>86</v>
      </c>
      <c r="E40" s="1"/>
      <c r="F40" s="1" t="s">
        <v>226</v>
      </c>
      <c r="G40" s="1"/>
    </row>
    <row r="41" spans="1:7" x14ac:dyDescent="0.2">
      <c r="A41" s="1" t="s">
        <v>3</v>
      </c>
      <c r="B41" s="2"/>
      <c r="C41" s="29">
        <v>30</v>
      </c>
      <c r="D41" s="1" t="s">
        <v>220</v>
      </c>
      <c r="E41" s="1"/>
      <c r="F41" s="1" t="s">
        <v>226</v>
      </c>
      <c r="G41" s="1"/>
    </row>
    <row r="42" spans="1:7" x14ac:dyDescent="0.2">
      <c r="A42" s="1" t="s">
        <v>3</v>
      </c>
      <c r="B42" s="2"/>
      <c r="C42" s="29">
        <v>31</v>
      </c>
      <c r="D42" s="1" t="s">
        <v>55</v>
      </c>
      <c r="E42" s="1"/>
      <c r="F42" s="1" t="s">
        <v>226</v>
      </c>
      <c r="G42" s="1" t="s">
        <v>51</v>
      </c>
    </row>
    <row r="43" spans="1:7" x14ac:dyDescent="0.2">
      <c r="A43" s="1" t="s">
        <v>3</v>
      </c>
      <c r="B43" s="2"/>
      <c r="C43" s="29">
        <v>32</v>
      </c>
      <c r="D43" s="1" t="s">
        <v>57</v>
      </c>
      <c r="E43" s="1"/>
      <c r="F43" s="1" t="s">
        <v>226</v>
      </c>
      <c r="G43" s="1"/>
    </row>
    <row r="44" spans="1:7" x14ac:dyDescent="0.2">
      <c r="A44" s="1" t="s">
        <v>3</v>
      </c>
      <c r="B44" s="2"/>
      <c r="C44" s="29">
        <v>33</v>
      </c>
      <c r="D44" s="1" t="s">
        <v>76</v>
      </c>
      <c r="E44" s="1"/>
      <c r="F44" s="1" t="s">
        <v>226</v>
      </c>
      <c r="G44" s="1" t="s">
        <v>73</v>
      </c>
    </row>
    <row r="45" spans="1:7" x14ac:dyDescent="0.2">
      <c r="A45" s="1" t="s">
        <v>3</v>
      </c>
      <c r="B45" s="2"/>
      <c r="C45" s="29">
        <v>34</v>
      </c>
      <c r="D45" s="1" t="s">
        <v>71</v>
      </c>
      <c r="E45" s="1"/>
      <c r="F45" s="1" t="s">
        <v>228</v>
      </c>
      <c r="G45" s="1"/>
    </row>
    <row r="46" spans="1:7" x14ac:dyDescent="0.2">
      <c r="A46" s="1" t="s">
        <v>3</v>
      </c>
      <c r="B46" s="2"/>
      <c r="C46" s="29">
        <v>35</v>
      </c>
      <c r="D46" s="1" t="s">
        <v>487</v>
      </c>
      <c r="E46" s="1"/>
      <c r="F46" s="1" t="s">
        <v>226</v>
      </c>
      <c r="G46" s="1" t="s">
        <v>34</v>
      </c>
    </row>
    <row r="47" spans="1:7" x14ac:dyDescent="0.2">
      <c r="A47" s="1" t="s">
        <v>3</v>
      </c>
      <c r="B47" s="2"/>
      <c r="C47" s="29">
        <v>36</v>
      </c>
      <c r="D47" s="1" t="s">
        <v>488</v>
      </c>
      <c r="E47" s="1"/>
      <c r="F47" s="1" t="s">
        <v>226</v>
      </c>
      <c r="G47" s="1" t="s">
        <v>49</v>
      </c>
    </row>
    <row r="48" spans="1:7" x14ac:dyDescent="0.2">
      <c r="A48" s="1" t="s">
        <v>3</v>
      </c>
      <c r="B48" s="2"/>
      <c r="C48" s="29">
        <v>37</v>
      </c>
      <c r="D48" s="1" t="s">
        <v>182</v>
      </c>
      <c r="E48" s="1"/>
      <c r="F48" s="1" t="s">
        <v>228</v>
      </c>
      <c r="G48" s="1"/>
    </row>
    <row r="49" spans="1:7" x14ac:dyDescent="0.2">
      <c r="A49" s="1" t="s">
        <v>3</v>
      </c>
      <c r="B49" s="2"/>
      <c r="C49" s="29">
        <v>38</v>
      </c>
      <c r="D49" s="1" t="s">
        <v>78</v>
      </c>
      <c r="E49" s="1"/>
      <c r="F49" s="1" t="s">
        <v>226</v>
      </c>
      <c r="G49" s="1" t="s">
        <v>80</v>
      </c>
    </row>
    <row r="50" spans="1:7" x14ac:dyDescent="0.2">
      <c r="A50" s="1" t="s">
        <v>3</v>
      </c>
      <c r="B50" s="2"/>
      <c r="C50" s="29">
        <v>39</v>
      </c>
      <c r="D50" s="1" t="s">
        <v>82</v>
      </c>
      <c r="E50" s="1"/>
      <c r="F50" s="1" t="s">
        <v>228</v>
      </c>
      <c r="G50" s="1"/>
    </row>
    <row r="51" spans="1:7" x14ac:dyDescent="0.2">
      <c r="A51" s="1" t="s">
        <v>3</v>
      </c>
      <c r="B51" s="2"/>
      <c r="C51" s="29">
        <v>40</v>
      </c>
      <c r="D51" s="1" t="s">
        <v>90</v>
      </c>
      <c r="E51" s="1"/>
      <c r="F51" s="1" t="s">
        <v>226</v>
      </c>
      <c r="G51" s="1"/>
    </row>
    <row r="52" spans="1:7" x14ac:dyDescent="0.2">
      <c r="A52" s="1" t="s">
        <v>3</v>
      </c>
      <c r="B52" s="2"/>
      <c r="C52" s="29">
        <v>41</v>
      </c>
      <c r="D52" s="1" t="s">
        <v>92</v>
      </c>
      <c r="E52" s="1"/>
      <c r="F52" s="1" t="s">
        <v>226</v>
      </c>
      <c r="G52" s="1"/>
    </row>
    <row r="53" spans="1:7" x14ac:dyDescent="0.2">
      <c r="A53" s="1" t="s">
        <v>3</v>
      </c>
      <c r="B53" s="2"/>
      <c r="C53" s="29">
        <v>42</v>
      </c>
      <c r="D53" s="1" t="s">
        <v>94</v>
      </c>
      <c r="E53" s="1"/>
      <c r="F53" s="1" t="s">
        <v>228</v>
      </c>
      <c r="G53" s="1"/>
    </row>
    <row r="54" spans="1:7" x14ac:dyDescent="0.2">
      <c r="A54" s="1" t="s">
        <v>3</v>
      </c>
      <c r="B54" s="2"/>
      <c r="C54" s="29">
        <v>43</v>
      </c>
      <c r="D54" s="1" t="s">
        <v>96</v>
      </c>
      <c r="E54" s="1"/>
      <c r="F54" s="1" t="s">
        <v>226</v>
      </c>
      <c r="G54" s="1"/>
    </row>
    <row r="55" spans="1:7" x14ac:dyDescent="0.2">
      <c r="A55" s="1" t="s">
        <v>3</v>
      </c>
      <c r="B55" s="2"/>
      <c r="C55" s="29">
        <v>44</v>
      </c>
      <c r="D55" s="1" t="s">
        <v>98</v>
      </c>
      <c r="E55" s="1"/>
      <c r="F55" s="1" t="s">
        <v>226</v>
      </c>
      <c r="G55" s="1"/>
    </row>
    <row r="56" spans="1:7" x14ac:dyDescent="0.2">
      <c r="A56" s="1" t="s">
        <v>3</v>
      </c>
      <c r="B56" s="2"/>
      <c r="C56" s="29">
        <v>45</v>
      </c>
      <c r="D56" s="1" t="s">
        <v>279</v>
      </c>
      <c r="E56" s="1"/>
      <c r="F56" s="1" t="s">
        <v>226</v>
      </c>
      <c r="G56" s="1"/>
    </row>
    <row r="57" spans="1:7" x14ac:dyDescent="0.2">
      <c r="A57" s="1" t="s">
        <v>3</v>
      </c>
      <c r="B57" s="2"/>
      <c r="C57" s="29">
        <v>46</v>
      </c>
      <c r="D57" s="1" t="s">
        <v>278</v>
      </c>
      <c r="E57" s="1"/>
      <c r="F57" s="1" t="s">
        <v>226</v>
      </c>
      <c r="G57" s="1"/>
    </row>
    <row r="58" spans="1:7" x14ac:dyDescent="0.2">
      <c r="A58" s="1" t="s">
        <v>3</v>
      </c>
      <c r="B58" s="2"/>
      <c r="C58" s="29">
        <v>47</v>
      </c>
      <c r="D58" s="1" t="s">
        <v>102</v>
      </c>
      <c r="E58" s="1"/>
      <c r="F58" s="1" t="s">
        <v>226</v>
      </c>
      <c r="G58" s="1" t="s">
        <v>139</v>
      </c>
    </row>
    <row r="59" spans="1:7" x14ac:dyDescent="0.2">
      <c r="A59" s="13" t="s">
        <v>141</v>
      </c>
      <c r="B59" s="14"/>
      <c r="C59" s="30">
        <v>1</v>
      </c>
      <c r="D59" s="1" t="s">
        <v>376</v>
      </c>
      <c r="E59" s="13"/>
      <c r="F59" s="1" t="s">
        <v>226</v>
      </c>
      <c r="G59" s="13"/>
    </row>
    <row r="60" spans="1:7" x14ac:dyDescent="0.2">
      <c r="A60" s="13" t="s">
        <v>141</v>
      </c>
      <c r="B60" s="2"/>
      <c r="C60" s="30">
        <v>2</v>
      </c>
      <c r="D60" s="1" t="s">
        <v>217</v>
      </c>
      <c r="E60" s="1"/>
      <c r="F60" s="1" t="s">
        <v>226</v>
      </c>
      <c r="G60" s="1"/>
    </row>
    <row r="61" spans="1:7" x14ac:dyDescent="0.2">
      <c r="A61" s="13" t="s">
        <v>141</v>
      </c>
      <c r="B61" s="14"/>
      <c r="C61" s="30">
        <v>3</v>
      </c>
      <c r="D61" s="1" t="s">
        <v>379</v>
      </c>
      <c r="E61" s="13"/>
      <c r="F61" s="1" t="s">
        <v>226</v>
      </c>
      <c r="G61" s="13"/>
    </row>
    <row r="62" spans="1:7" x14ac:dyDescent="0.2">
      <c r="A62" s="13" t="s">
        <v>141</v>
      </c>
      <c r="B62" s="14"/>
      <c r="C62" s="30">
        <v>4</v>
      </c>
      <c r="D62" s="1" t="s">
        <v>157</v>
      </c>
      <c r="E62" s="13"/>
      <c r="F62" s="1" t="s">
        <v>226</v>
      </c>
      <c r="G62" s="1" t="s">
        <v>144</v>
      </c>
    </row>
    <row r="63" spans="1:7" x14ac:dyDescent="0.2">
      <c r="A63" s="13" t="s">
        <v>141</v>
      </c>
      <c r="B63" s="14"/>
      <c r="C63" s="30">
        <v>5</v>
      </c>
      <c r="D63" s="1" t="s">
        <v>148</v>
      </c>
      <c r="E63" s="13"/>
      <c r="F63" s="1" t="s">
        <v>226</v>
      </c>
      <c r="G63" s="13"/>
    </row>
    <row r="64" spans="1:7" x14ac:dyDescent="0.2">
      <c r="A64" s="13" t="s">
        <v>141</v>
      </c>
      <c r="B64" s="14"/>
      <c r="C64" s="30">
        <v>6</v>
      </c>
      <c r="D64" s="1" t="s">
        <v>146</v>
      </c>
      <c r="E64" s="13"/>
      <c r="F64" s="1" t="s">
        <v>226</v>
      </c>
      <c r="G64" s="13"/>
    </row>
    <row r="65" spans="1:7" x14ac:dyDescent="0.2">
      <c r="A65" s="13" t="s">
        <v>141</v>
      </c>
      <c r="B65" s="14"/>
      <c r="C65" s="30">
        <v>7</v>
      </c>
      <c r="D65" s="1" t="s">
        <v>276</v>
      </c>
      <c r="E65" s="13"/>
      <c r="F65" s="1" t="s">
        <v>226</v>
      </c>
      <c r="G65" s="1" t="s">
        <v>151</v>
      </c>
    </row>
    <row r="66" spans="1:7" x14ac:dyDescent="0.2">
      <c r="A66" s="13" t="s">
        <v>141</v>
      </c>
      <c r="B66" s="14"/>
      <c r="C66" s="30">
        <v>8</v>
      </c>
      <c r="D66" s="1" t="s">
        <v>159</v>
      </c>
      <c r="E66" s="13"/>
      <c r="F66" s="1" t="s">
        <v>226</v>
      </c>
      <c r="G66" s="13"/>
    </row>
    <row r="67" spans="1:7" x14ac:dyDescent="0.2">
      <c r="A67" s="13" t="s">
        <v>141</v>
      </c>
      <c r="B67" s="14"/>
      <c r="C67" s="30">
        <v>9</v>
      </c>
      <c r="D67" s="1" t="s">
        <v>339</v>
      </c>
      <c r="E67" s="13"/>
      <c r="F67" s="1" t="s">
        <v>226</v>
      </c>
      <c r="G67" s="1" t="s">
        <v>162</v>
      </c>
    </row>
    <row r="68" spans="1:7" x14ac:dyDescent="0.2">
      <c r="A68" s="13" t="s">
        <v>141</v>
      </c>
      <c r="B68" s="2"/>
      <c r="C68" s="30">
        <v>9</v>
      </c>
      <c r="D68" s="1" t="s">
        <v>233</v>
      </c>
      <c r="E68" s="1"/>
      <c r="F68" s="1" t="s">
        <v>226</v>
      </c>
      <c r="G68" s="1"/>
    </row>
    <row r="69" spans="1:7" x14ac:dyDescent="0.2">
      <c r="A69" s="13" t="s">
        <v>141</v>
      </c>
      <c r="B69" s="14"/>
      <c r="C69" s="30">
        <v>9</v>
      </c>
      <c r="D69" s="1" t="s">
        <v>342</v>
      </c>
      <c r="E69" s="13"/>
      <c r="F69" s="1" t="s">
        <v>226</v>
      </c>
      <c r="G69" s="1" t="s">
        <v>346</v>
      </c>
    </row>
    <row r="70" spans="1:7" x14ac:dyDescent="0.2">
      <c r="A70" s="13" t="s">
        <v>141</v>
      </c>
      <c r="B70" s="2"/>
      <c r="C70" s="29">
        <v>9</v>
      </c>
      <c r="D70" s="1" t="s">
        <v>343</v>
      </c>
      <c r="E70" s="1"/>
      <c r="F70" s="1" t="s">
        <v>226</v>
      </c>
      <c r="G70" s="1" t="s">
        <v>346</v>
      </c>
    </row>
    <row r="71" spans="1:7" x14ac:dyDescent="0.2">
      <c r="A71" s="13" t="s">
        <v>141</v>
      </c>
      <c r="B71" s="2"/>
      <c r="C71" s="29">
        <v>9</v>
      </c>
      <c r="D71" s="1" t="s">
        <v>344</v>
      </c>
      <c r="E71" s="1"/>
      <c r="F71" s="1" t="s">
        <v>226</v>
      </c>
      <c r="G71" s="1" t="s">
        <v>347</v>
      </c>
    </row>
    <row r="72" spans="1:7" x14ac:dyDescent="0.2">
      <c r="A72" s="13" t="s">
        <v>141</v>
      </c>
      <c r="B72" s="2"/>
      <c r="C72" s="29">
        <v>9</v>
      </c>
      <c r="D72" s="1" t="s">
        <v>345</v>
      </c>
      <c r="E72" s="1"/>
      <c r="F72" s="1" t="s">
        <v>226</v>
      </c>
      <c r="G72" s="1" t="s">
        <v>346</v>
      </c>
    </row>
    <row r="73" spans="1:7" x14ac:dyDescent="0.2">
      <c r="A73" s="13" t="s">
        <v>141</v>
      </c>
      <c r="B73" s="14"/>
      <c r="C73" s="30">
        <v>15</v>
      </c>
      <c r="D73" s="13" t="s">
        <v>93</v>
      </c>
      <c r="E73" s="13"/>
      <c r="F73" s="1" t="s">
        <v>226</v>
      </c>
      <c r="G73" s="13"/>
    </row>
    <row r="74" spans="1:7" x14ac:dyDescent="0.2">
      <c r="A74" s="13" t="s">
        <v>141</v>
      </c>
      <c r="B74" s="14"/>
      <c r="C74" s="30">
        <v>16</v>
      </c>
      <c r="D74" s="13" t="s">
        <v>95</v>
      </c>
      <c r="E74" s="13"/>
      <c r="F74" s="1" t="s">
        <v>226</v>
      </c>
      <c r="G74" s="13"/>
    </row>
    <row r="75" spans="1:7" x14ac:dyDescent="0.2">
      <c r="A75" s="13" t="s">
        <v>141</v>
      </c>
      <c r="B75" s="14"/>
      <c r="C75" s="30">
        <v>17</v>
      </c>
      <c r="D75" s="13" t="s">
        <v>97</v>
      </c>
      <c r="E75" s="13"/>
      <c r="F75" s="1" t="s">
        <v>226</v>
      </c>
      <c r="G75" s="13"/>
    </row>
    <row r="76" spans="1:7" x14ac:dyDescent="0.2">
      <c r="A76" s="13" t="s">
        <v>141</v>
      </c>
      <c r="B76" s="2"/>
      <c r="C76" s="30">
        <v>18</v>
      </c>
      <c r="D76" s="1" t="s">
        <v>216</v>
      </c>
      <c r="E76" s="1"/>
      <c r="F76" s="1" t="s">
        <v>226</v>
      </c>
      <c r="G76" s="1"/>
    </row>
    <row r="77" spans="1:7" x14ac:dyDescent="0.2">
      <c r="A77" s="13" t="s">
        <v>141</v>
      </c>
      <c r="B77" s="14"/>
      <c r="C77" s="30">
        <v>19</v>
      </c>
      <c r="D77" s="1" t="s">
        <v>282</v>
      </c>
      <c r="E77" s="13"/>
      <c r="F77" s="1" t="s">
        <v>226</v>
      </c>
      <c r="G77" s="13"/>
    </row>
    <row r="78" spans="1:7" x14ac:dyDescent="0.2">
      <c r="A78" s="1" t="s">
        <v>176</v>
      </c>
      <c r="B78" s="2"/>
      <c r="C78" s="29">
        <v>1</v>
      </c>
      <c r="D78" s="1" t="s">
        <v>177</v>
      </c>
      <c r="E78" s="1"/>
      <c r="F78" s="1" t="s">
        <v>226</v>
      </c>
      <c r="G78" s="1"/>
    </row>
    <row r="79" spans="1:7" x14ac:dyDescent="0.2">
      <c r="A79" s="1" t="s">
        <v>176</v>
      </c>
      <c r="B79" s="2"/>
      <c r="C79" s="29">
        <v>2</v>
      </c>
      <c r="D79" s="1" t="s">
        <v>178</v>
      </c>
      <c r="E79" s="1"/>
      <c r="F79" s="1" t="s">
        <v>226</v>
      </c>
      <c r="G79" s="1"/>
    </row>
    <row r="80" spans="1:7" x14ac:dyDescent="0.2">
      <c r="A80" s="1" t="s">
        <v>176</v>
      </c>
      <c r="B80" s="2"/>
      <c r="C80" s="29">
        <v>3</v>
      </c>
      <c r="D80" s="1" t="s">
        <v>179</v>
      </c>
      <c r="E80" s="1"/>
      <c r="F80" s="1" t="s">
        <v>226</v>
      </c>
      <c r="G80" s="1" t="s">
        <v>180</v>
      </c>
    </row>
    <row r="81" spans="1:7" x14ac:dyDescent="0.2">
      <c r="A81" s="1" t="s">
        <v>169</v>
      </c>
      <c r="B81" s="2"/>
      <c r="C81" s="29">
        <v>4</v>
      </c>
      <c r="D81" s="1" t="s">
        <v>240</v>
      </c>
      <c r="E81" s="1"/>
      <c r="F81" s="1" t="s">
        <v>226</v>
      </c>
      <c r="G81" s="1"/>
    </row>
    <row r="82" spans="1:7" x14ac:dyDescent="0.2">
      <c r="A82" s="1" t="s">
        <v>176</v>
      </c>
      <c r="B82" s="2"/>
      <c r="C82" s="29">
        <v>5</v>
      </c>
      <c r="D82" s="1" t="s">
        <v>181</v>
      </c>
      <c r="E82" s="1"/>
      <c r="F82" s="1" t="s">
        <v>226</v>
      </c>
      <c r="G82" s="1"/>
    </row>
    <row r="83" spans="1:7" x14ac:dyDescent="0.2">
      <c r="A83" s="1" t="s">
        <v>169</v>
      </c>
      <c r="B83" s="2"/>
      <c r="C83" s="29">
        <v>6</v>
      </c>
      <c r="D83" s="1" t="s">
        <v>297</v>
      </c>
      <c r="E83" s="1"/>
      <c r="F83" s="1" t="s">
        <v>288</v>
      </c>
      <c r="G83" s="1" t="s">
        <v>290</v>
      </c>
    </row>
    <row r="84" spans="1:7" x14ac:dyDescent="0.2">
      <c r="A84" s="1" t="s">
        <v>169</v>
      </c>
      <c r="B84" s="2"/>
      <c r="C84" s="29">
        <v>7</v>
      </c>
      <c r="D84" s="1" t="s">
        <v>448</v>
      </c>
      <c r="E84" s="1"/>
      <c r="F84" s="1" t="s">
        <v>288</v>
      </c>
      <c r="G84" s="1"/>
    </row>
    <row r="85" spans="1:7" x14ac:dyDescent="0.2">
      <c r="A85" s="1" t="s">
        <v>169</v>
      </c>
      <c r="B85" s="2"/>
      <c r="C85" s="29">
        <v>8</v>
      </c>
      <c r="D85" s="1" t="s">
        <v>296</v>
      </c>
      <c r="E85" s="1"/>
      <c r="F85" s="1" t="s">
        <v>288</v>
      </c>
      <c r="G85" s="1"/>
    </row>
    <row r="86" spans="1:7" x14ac:dyDescent="0.2">
      <c r="A86" s="1" t="s">
        <v>169</v>
      </c>
      <c r="B86" s="2"/>
      <c r="C86" s="29">
        <v>9</v>
      </c>
      <c r="D86" s="1" t="s">
        <v>299</v>
      </c>
      <c r="E86" s="1"/>
      <c r="F86" s="1" t="s">
        <v>288</v>
      </c>
      <c r="G86" s="1" t="s">
        <v>300</v>
      </c>
    </row>
    <row r="87" spans="1:7" x14ac:dyDescent="0.2">
      <c r="A87" s="1" t="s">
        <v>169</v>
      </c>
      <c r="B87" s="2"/>
      <c r="C87" s="29">
        <v>10</v>
      </c>
      <c r="D87" s="1" t="s">
        <v>292</v>
      </c>
      <c r="E87" s="1"/>
      <c r="F87" s="1" t="s">
        <v>288</v>
      </c>
      <c r="G87" s="1" t="s">
        <v>34</v>
      </c>
    </row>
    <row r="88" spans="1:7" x14ac:dyDescent="0.2">
      <c r="A88" s="1" t="s">
        <v>169</v>
      </c>
      <c r="B88" s="2"/>
      <c r="C88" s="29">
        <v>11</v>
      </c>
      <c r="D88" s="1" t="s">
        <v>294</v>
      </c>
      <c r="E88" s="1"/>
      <c r="F88" s="1" t="s">
        <v>288</v>
      </c>
      <c r="G88" s="1" t="s">
        <v>300</v>
      </c>
    </row>
    <row r="89" spans="1:7" x14ac:dyDescent="0.2">
      <c r="A89" s="1" t="s">
        <v>169</v>
      </c>
      <c r="B89" s="2"/>
      <c r="C89" s="29">
        <v>12</v>
      </c>
      <c r="D89" s="1" t="s">
        <v>358</v>
      </c>
      <c r="E89" s="1"/>
      <c r="F89" s="1" t="s">
        <v>288</v>
      </c>
      <c r="G89" s="1" t="s">
        <v>302</v>
      </c>
    </row>
    <row r="90" spans="1:7" x14ac:dyDescent="0.2">
      <c r="A90" s="1" t="s">
        <v>169</v>
      </c>
      <c r="B90" s="2"/>
      <c r="C90" s="29">
        <v>13</v>
      </c>
      <c r="D90" s="1" t="s">
        <v>307</v>
      </c>
      <c r="E90" s="1"/>
      <c r="F90" s="1" t="s">
        <v>288</v>
      </c>
      <c r="G90" s="1" t="s">
        <v>305</v>
      </c>
    </row>
    <row r="91" spans="1:7" x14ac:dyDescent="0.2">
      <c r="A91" s="1" t="s">
        <v>169</v>
      </c>
      <c r="B91" s="2"/>
      <c r="C91" s="29">
        <v>14</v>
      </c>
      <c r="D91" s="1" t="s">
        <v>309</v>
      </c>
      <c r="E91" s="1"/>
      <c r="F91" s="1" t="s">
        <v>288</v>
      </c>
      <c r="G91" s="1"/>
    </row>
    <row r="92" spans="1:7" x14ac:dyDescent="0.2">
      <c r="A92" s="1" t="s">
        <v>169</v>
      </c>
      <c r="B92" s="2"/>
      <c r="C92" s="29">
        <v>15</v>
      </c>
      <c r="D92" s="1" t="s">
        <v>311</v>
      </c>
      <c r="E92" s="1"/>
      <c r="F92" s="1" t="s">
        <v>288</v>
      </c>
      <c r="G92" s="1"/>
    </row>
    <row r="93" spans="1:7" x14ac:dyDescent="0.2">
      <c r="A93" s="1" t="s">
        <v>169</v>
      </c>
      <c r="B93" s="2"/>
      <c r="C93" s="29">
        <v>16</v>
      </c>
      <c r="D93" s="1" t="s">
        <v>327</v>
      </c>
      <c r="E93" s="1"/>
      <c r="F93" s="1" t="s">
        <v>288</v>
      </c>
      <c r="G93" s="1"/>
    </row>
    <row r="94" spans="1:7" x14ac:dyDescent="0.2">
      <c r="A94" s="1" t="s">
        <v>169</v>
      </c>
      <c r="B94" s="2"/>
      <c r="C94" s="29">
        <v>17</v>
      </c>
      <c r="D94" s="1" t="s">
        <v>329</v>
      </c>
      <c r="E94" s="1"/>
      <c r="F94" s="1" t="s">
        <v>288</v>
      </c>
      <c r="G94" s="1"/>
    </row>
    <row r="95" spans="1:7" x14ac:dyDescent="0.2">
      <c r="A95" s="1" t="s">
        <v>169</v>
      </c>
      <c r="B95" s="2"/>
      <c r="C95" s="29">
        <v>18</v>
      </c>
      <c r="D95" s="1" t="s">
        <v>331</v>
      </c>
      <c r="E95" s="1"/>
      <c r="F95" s="1" t="s">
        <v>288</v>
      </c>
      <c r="G95" s="1"/>
    </row>
    <row r="96" spans="1:7" x14ac:dyDescent="0.2">
      <c r="A96" s="1" t="s">
        <v>169</v>
      </c>
      <c r="B96" s="2"/>
      <c r="C96" s="29">
        <v>19</v>
      </c>
      <c r="D96" s="1" t="s">
        <v>313</v>
      </c>
      <c r="E96" s="1"/>
      <c r="F96" s="1" t="s">
        <v>288</v>
      </c>
      <c r="G96" s="1"/>
    </row>
    <row r="97" spans="1:7" x14ac:dyDescent="0.2">
      <c r="A97" s="1" t="s">
        <v>169</v>
      </c>
      <c r="B97" s="2"/>
      <c r="C97" s="29">
        <v>20</v>
      </c>
      <c r="D97" s="1" t="s">
        <v>315</v>
      </c>
      <c r="E97" s="1"/>
      <c r="F97" s="1" t="s">
        <v>288</v>
      </c>
      <c r="G97" s="1"/>
    </row>
    <row r="98" spans="1:7" x14ac:dyDescent="0.2">
      <c r="A98" s="1" t="s">
        <v>169</v>
      </c>
      <c r="B98" s="2"/>
      <c r="C98" s="29">
        <v>21</v>
      </c>
      <c r="D98" s="1" t="s">
        <v>317</v>
      </c>
      <c r="E98" s="1"/>
      <c r="F98" s="1" t="s">
        <v>288</v>
      </c>
      <c r="G98" s="1"/>
    </row>
    <row r="99" spans="1:7" x14ac:dyDescent="0.2">
      <c r="A99" s="1" t="s">
        <v>169</v>
      </c>
      <c r="B99" s="2"/>
      <c r="C99" s="29">
        <v>22</v>
      </c>
      <c r="D99" s="1" t="s">
        <v>319</v>
      </c>
      <c r="E99" s="1"/>
      <c r="F99" s="1" t="s">
        <v>288</v>
      </c>
      <c r="G99" s="1"/>
    </row>
    <row r="100" spans="1:7" x14ac:dyDescent="0.2">
      <c r="A100" s="1" t="s">
        <v>169</v>
      </c>
      <c r="B100" s="2"/>
      <c r="C100" s="29">
        <v>23</v>
      </c>
      <c r="D100" s="1" t="s">
        <v>321</v>
      </c>
      <c r="E100" s="1"/>
      <c r="F100" s="1" t="s">
        <v>288</v>
      </c>
      <c r="G100" s="1"/>
    </row>
    <row r="101" spans="1:7" x14ac:dyDescent="0.2">
      <c r="A101" s="1" t="s">
        <v>169</v>
      </c>
      <c r="B101" s="2"/>
      <c r="C101" s="29">
        <v>24</v>
      </c>
      <c r="D101" s="1" t="s">
        <v>323</v>
      </c>
      <c r="E101" s="1"/>
      <c r="F101" s="1" t="s">
        <v>288</v>
      </c>
      <c r="G101" s="1"/>
    </row>
    <row r="102" spans="1:7" x14ac:dyDescent="0.2">
      <c r="A102" s="1" t="s">
        <v>169</v>
      </c>
      <c r="B102" s="2"/>
      <c r="C102" s="29">
        <v>25</v>
      </c>
      <c r="D102" s="1" t="s">
        <v>325</v>
      </c>
      <c r="E102" s="1"/>
      <c r="F102" s="1" t="s">
        <v>288</v>
      </c>
      <c r="G102" s="1"/>
    </row>
  </sheetData>
  <phoneticPr fontId="1" type="noConversion"/>
  <conditionalFormatting sqref="D2:D102">
    <cfRule type="beginsWith" dxfId="48" priority="5" operator="beginsWith" text="收到">
      <formula>LEFT(D2,LEN("收到"))="收到"</formula>
    </cfRule>
  </conditionalFormatting>
  <conditionalFormatting sqref="D80">
    <cfRule type="beginsWith" dxfId="47" priority="3" operator="beginsWith" text="收到">
      <formula>LEFT(D80,LEN("收到"))="收到"</formula>
    </cfRule>
  </conditionalFormatting>
  <conditionalFormatting sqref="D81">
    <cfRule type="beginsWith" dxfId="46" priority="2" operator="beginsWith" text="收到">
      <formula>LEFT(D81,LEN("收到"))="收到"</formula>
    </cfRule>
  </conditionalFormatting>
  <conditionalFormatting sqref="D82">
    <cfRule type="beginsWith" dxfId="45" priority="1" operator="beginsWith" text="收到">
      <formula>LEFT(D82,LEN("收到"))="收到"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582"/>
  <sheetViews>
    <sheetView showGridLines="0" workbookViewId="0">
      <pane ySplit="1" topLeftCell="A2" activePane="bottomLeft" state="frozen"/>
      <selection pane="bottomLeft" activeCell="E598" sqref="E598"/>
    </sheetView>
  </sheetViews>
  <sheetFormatPr defaultRowHeight="14.25" x14ac:dyDescent="0.2"/>
  <cols>
    <col min="1" max="1" width="17.125" style="23" bestFit="1" customWidth="1"/>
    <col min="2" max="2" width="9.875" style="23" bestFit="1" customWidth="1"/>
    <col min="3" max="3" width="6.875" style="23" bestFit="1" customWidth="1"/>
    <col min="4" max="4" width="7.25" style="23" bestFit="1" customWidth="1"/>
    <col min="5" max="5" width="57.875" style="23" bestFit="1" customWidth="1"/>
    <col min="6" max="6" width="7.875" style="23" bestFit="1" customWidth="1"/>
    <col min="7" max="7" width="7.25" style="23" bestFit="1" customWidth="1"/>
    <col min="8" max="8" width="19.375" style="23" bestFit="1" customWidth="1"/>
    <col min="9" max="16384" width="9" style="23"/>
  </cols>
  <sheetData>
    <row r="1" spans="1:8" ht="18" customHeight="1" x14ac:dyDescent="0.2">
      <c r="A1" s="5" t="s">
        <v>172</v>
      </c>
      <c r="B1" s="3" t="s">
        <v>103</v>
      </c>
      <c r="C1" s="4" t="s">
        <v>104</v>
      </c>
      <c r="D1" s="5" t="s">
        <v>332</v>
      </c>
      <c r="E1" s="5" t="s">
        <v>105</v>
      </c>
      <c r="F1" s="5" t="s">
        <v>0</v>
      </c>
      <c r="G1" s="5" t="s">
        <v>230</v>
      </c>
      <c r="H1" s="6" t="s">
        <v>106</v>
      </c>
    </row>
    <row r="2" spans="1:8" hidden="1" x14ac:dyDescent="0.2">
      <c r="A2" s="19" t="str">
        <f>TEXT(表3[[#This Row],[ETD]],"mmdd-h ")&amp;表3[[#This Row],[项目]]</f>
        <v>1015-0 ZDS</v>
      </c>
      <c r="B2" s="7" t="s">
        <v>201</v>
      </c>
      <c r="C2" s="8">
        <v>43023</v>
      </c>
      <c r="D2" s="27">
        <v>1</v>
      </c>
      <c r="E2" s="34" t="s">
        <v>202</v>
      </c>
      <c r="F2" s="24">
        <v>43598</v>
      </c>
      <c r="G2" s="21" t="s">
        <v>285</v>
      </c>
      <c r="H2" s="9"/>
    </row>
    <row r="3" spans="1:8" hidden="1" x14ac:dyDescent="0.2">
      <c r="A3" s="19" t="str">
        <f>TEXT(表3[[#This Row],[ETD]],"mmdd-h ")&amp;表3[[#This Row],[项目]]</f>
        <v>1015-0 ZDS</v>
      </c>
      <c r="B3" s="7" t="s">
        <v>201</v>
      </c>
      <c r="C3" s="8">
        <v>43023</v>
      </c>
      <c r="D3" s="27">
        <v>2</v>
      </c>
      <c r="E3" s="34" t="s">
        <v>203</v>
      </c>
      <c r="F3" s="24">
        <v>43594</v>
      </c>
      <c r="G3" s="21" t="s">
        <v>223</v>
      </c>
      <c r="H3" s="9"/>
    </row>
    <row r="4" spans="1:8" hidden="1" x14ac:dyDescent="0.2">
      <c r="A4" s="19" t="str">
        <f>TEXT(表3[[#This Row],[ETD]],"mmdd-h ")&amp;表3[[#This Row],[项目]]</f>
        <v>1015-0 ZDS</v>
      </c>
      <c r="B4" s="7" t="s">
        <v>201</v>
      </c>
      <c r="C4" s="8">
        <v>43023</v>
      </c>
      <c r="D4" s="27">
        <v>3</v>
      </c>
      <c r="E4" s="34" t="s">
        <v>333</v>
      </c>
      <c r="F4" s="24">
        <v>43599</v>
      </c>
      <c r="G4" s="21" t="s">
        <v>285</v>
      </c>
      <c r="H4" s="9"/>
    </row>
    <row r="5" spans="1:8" hidden="1" x14ac:dyDescent="0.2">
      <c r="A5" s="19" t="str">
        <f>TEXT(表3[[#This Row],[ETD]],"mmdd-h ")&amp;表3[[#This Row],[项目]]</f>
        <v>0501-0 1 MONTH</v>
      </c>
      <c r="B5" s="7" t="s">
        <v>266</v>
      </c>
      <c r="C5" s="8">
        <v>43586</v>
      </c>
      <c r="D5" s="27">
        <v>1</v>
      </c>
      <c r="E5" s="34" t="s">
        <v>247</v>
      </c>
      <c r="F5" s="24">
        <v>43614</v>
      </c>
      <c r="G5" s="21" t="s">
        <v>225</v>
      </c>
      <c r="H5" s="9" t="s">
        <v>249</v>
      </c>
    </row>
    <row r="6" spans="1:8" hidden="1" x14ac:dyDescent="0.2">
      <c r="A6" s="19" t="str">
        <f>TEXT(表3[[#This Row],[ETD]],"mmdd-h ")&amp;表3[[#This Row],[项目]]</f>
        <v>0501-0 1 MONTH</v>
      </c>
      <c r="B6" s="7" t="s">
        <v>266</v>
      </c>
      <c r="C6" s="8">
        <v>43586</v>
      </c>
      <c r="D6" s="27">
        <v>2</v>
      </c>
      <c r="E6" s="34" t="s">
        <v>268</v>
      </c>
      <c r="F6" s="24">
        <v>43614</v>
      </c>
      <c r="G6" s="21" t="s">
        <v>225</v>
      </c>
      <c r="H6" s="9" t="s">
        <v>249</v>
      </c>
    </row>
    <row r="7" spans="1:8" hidden="1" x14ac:dyDescent="0.2">
      <c r="A7" s="19" t="str">
        <f>TEXT(表3[[#This Row],[ETD]],"mmdd-h ")&amp;表3[[#This Row],[项目]]</f>
        <v>0501-0 HMI</v>
      </c>
      <c r="B7" s="7" t="s">
        <v>205</v>
      </c>
      <c r="C7" s="8">
        <v>43586</v>
      </c>
      <c r="D7" s="27">
        <v>1</v>
      </c>
      <c r="E7" s="34" t="s">
        <v>281</v>
      </c>
      <c r="F7" s="24">
        <v>43595</v>
      </c>
      <c r="G7" s="21" t="s">
        <v>1</v>
      </c>
      <c r="H7" s="9"/>
    </row>
    <row r="8" spans="1:8" hidden="1" x14ac:dyDescent="0.2">
      <c r="A8" s="19" t="str">
        <f>TEXT(表3[[#This Row],[ETD]],"mmdd-h ")&amp;表3[[#This Row],[项目]]</f>
        <v>0501-0 KMM</v>
      </c>
      <c r="B8" s="7" t="s">
        <v>206</v>
      </c>
      <c r="C8" s="8">
        <v>43586</v>
      </c>
      <c r="D8" s="27">
        <v>1</v>
      </c>
      <c r="E8" s="34" t="s">
        <v>281</v>
      </c>
      <c r="F8" s="24">
        <v>43595</v>
      </c>
      <c r="G8" s="21" t="s">
        <v>1</v>
      </c>
      <c r="H8" s="9"/>
    </row>
    <row r="9" spans="1:8" hidden="1" x14ac:dyDescent="0.2">
      <c r="A9" s="19" t="str">
        <f>TEXT(表3[[#This Row],[ETD]],"mmdd-h ")&amp;表3[[#This Row],[项目]]</f>
        <v>0506-0 0 WEEK</v>
      </c>
      <c r="B9" s="7" t="s">
        <v>264</v>
      </c>
      <c r="C9" s="8">
        <v>43591</v>
      </c>
      <c r="D9" s="27">
        <v>1</v>
      </c>
      <c r="E9" s="34" t="s">
        <v>253</v>
      </c>
      <c r="F9" s="24">
        <v>43586</v>
      </c>
      <c r="G9" s="21" t="s">
        <v>243</v>
      </c>
      <c r="H9" s="9" t="s">
        <v>255</v>
      </c>
    </row>
    <row r="10" spans="1:8" hidden="1" x14ac:dyDescent="0.2">
      <c r="A10" s="19" t="str">
        <f>TEXT(表3[[#This Row],[ETD]],"mmdd-h ")&amp;表3[[#This Row],[项目]]</f>
        <v>0506-0 0 WEEK</v>
      </c>
      <c r="B10" s="7" t="s">
        <v>264</v>
      </c>
      <c r="C10" s="8">
        <v>43591</v>
      </c>
      <c r="D10" s="27">
        <v>2</v>
      </c>
      <c r="E10" s="34" t="s">
        <v>257</v>
      </c>
      <c r="F10" s="24">
        <v>43586</v>
      </c>
      <c r="G10" s="21" t="s">
        <v>243</v>
      </c>
      <c r="H10" s="9" t="s">
        <v>255</v>
      </c>
    </row>
    <row r="11" spans="1:8" hidden="1" x14ac:dyDescent="0.2">
      <c r="A11" s="19" t="str">
        <f>TEXT(表3[[#This Row],[ETD]],"mmdd-h ")&amp;表3[[#This Row],[项目]]</f>
        <v>0506-0 0 WEEK</v>
      </c>
      <c r="B11" s="7" t="s">
        <v>264</v>
      </c>
      <c r="C11" s="8">
        <v>43591</v>
      </c>
      <c r="D11" s="27">
        <v>3</v>
      </c>
      <c r="E11" s="34" t="s">
        <v>257</v>
      </c>
      <c r="F11" s="24">
        <v>43593</v>
      </c>
      <c r="G11" s="21" t="s">
        <v>270</v>
      </c>
      <c r="H11" s="9" t="s">
        <v>260</v>
      </c>
    </row>
    <row r="12" spans="1:8" hidden="1" x14ac:dyDescent="0.2">
      <c r="A12" s="19" t="str">
        <f>TEXT(表3[[#This Row],[ETD]],"mmdd-h ")&amp;表3[[#This Row],[项目]]</f>
        <v>0506-0 0 WEEK</v>
      </c>
      <c r="B12" s="7" t="s">
        <v>264</v>
      </c>
      <c r="C12" s="8">
        <v>43591</v>
      </c>
      <c r="D12" s="27">
        <v>4</v>
      </c>
      <c r="E12" s="34" t="s">
        <v>245</v>
      </c>
      <c r="F12" s="24">
        <v>43595</v>
      </c>
      <c r="G12" s="21" t="s">
        <v>243</v>
      </c>
      <c r="H12" s="9" t="s">
        <v>251</v>
      </c>
    </row>
    <row r="13" spans="1:8" hidden="1" x14ac:dyDescent="0.2">
      <c r="A13" s="19" t="str">
        <f>TEXT(表3[[#This Row],[ETD]],"mmdd-h ")&amp;表3[[#This Row],[项目]]</f>
        <v>0506-0 0 WEEK</v>
      </c>
      <c r="B13" s="7" t="s">
        <v>264</v>
      </c>
      <c r="C13" s="8">
        <v>43591</v>
      </c>
      <c r="D13" s="27">
        <v>5</v>
      </c>
      <c r="E13" s="34" t="s">
        <v>257</v>
      </c>
      <c r="F13" s="24">
        <v>43595</v>
      </c>
      <c r="G13" s="21" t="s">
        <v>243</v>
      </c>
      <c r="H13" s="9" t="s">
        <v>251</v>
      </c>
    </row>
    <row r="14" spans="1:8" hidden="1" x14ac:dyDescent="0.2">
      <c r="A14" s="19" t="str">
        <f>TEXT(表3[[#This Row],[ETD]],"mmdd-h ")&amp;表3[[#This Row],[项目]]</f>
        <v>0506-0 0 WEEK</v>
      </c>
      <c r="B14" s="7" t="s">
        <v>264</v>
      </c>
      <c r="C14" s="8">
        <v>43591</v>
      </c>
      <c r="D14" s="27">
        <v>6</v>
      </c>
      <c r="E14" s="34" t="s">
        <v>262</v>
      </c>
      <c r="F14" s="24">
        <v>43595</v>
      </c>
      <c r="G14" s="21" t="s">
        <v>283</v>
      </c>
      <c r="H14" s="9" t="s">
        <v>251</v>
      </c>
    </row>
    <row r="15" spans="1:8" hidden="1" x14ac:dyDescent="0.2">
      <c r="A15" s="19" t="str">
        <f>TEXT(表3[[#This Row],[ETD]],"mmdd-h ")&amp;表3[[#This Row],[项目]]</f>
        <v>0508-0 HMI</v>
      </c>
      <c r="B15" s="7" t="s">
        <v>207</v>
      </c>
      <c r="C15" s="8">
        <v>43593</v>
      </c>
      <c r="D15" s="27">
        <v>1</v>
      </c>
      <c r="E15" s="34" t="s">
        <v>281</v>
      </c>
      <c r="F15" s="24">
        <v>43595</v>
      </c>
      <c r="G15" s="21" t="s">
        <v>1</v>
      </c>
      <c r="H15" s="9"/>
    </row>
    <row r="16" spans="1:8" hidden="1" x14ac:dyDescent="0.2">
      <c r="A16" s="19" t="str">
        <f>TEXT(表3[[#This Row],[ETD]],"mmdd-h ")&amp;表3[[#This Row],[项目]]</f>
        <v>0508-0 KMM</v>
      </c>
      <c r="B16" s="7" t="s">
        <v>204</v>
      </c>
      <c r="C16" s="8">
        <v>43593</v>
      </c>
      <c r="D16" s="27">
        <v>1</v>
      </c>
      <c r="E16" s="34" t="s">
        <v>281</v>
      </c>
      <c r="F16" s="24">
        <v>43595</v>
      </c>
      <c r="G16" s="21" t="s">
        <v>1</v>
      </c>
      <c r="H16" s="9"/>
    </row>
    <row r="17" spans="1:8" hidden="1" x14ac:dyDescent="0.2">
      <c r="A17" s="7" t="str">
        <f>TEXT(表3[[#This Row],[ETD]],"mmdd-h ")&amp;表3[[#This Row],[项目]]</f>
        <v>0510-0 JS mobis</v>
      </c>
      <c r="B17" s="7" t="s">
        <v>2</v>
      </c>
      <c r="C17" s="8">
        <v>43595</v>
      </c>
      <c r="D17" s="27">
        <v>1</v>
      </c>
      <c r="E17" s="34" t="s">
        <v>108</v>
      </c>
      <c r="F17" s="24">
        <v>43581</v>
      </c>
      <c r="G17" s="21" t="s">
        <v>223</v>
      </c>
      <c r="H17" s="9" t="s">
        <v>29</v>
      </c>
    </row>
    <row r="18" spans="1:8" hidden="1" x14ac:dyDescent="0.2">
      <c r="A18" s="7" t="str">
        <f>TEXT(表3[[#This Row],[ETD]],"mmdd-h ")&amp;表3[[#This Row],[项目]]</f>
        <v>0510-0 JS mobis</v>
      </c>
      <c r="B18" s="7" t="s">
        <v>2</v>
      </c>
      <c r="C18" s="8">
        <v>43595</v>
      </c>
      <c r="D18" s="27">
        <v>2</v>
      </c>
      <c r="E18" s="34" t="s">
        <v>109</v>
      </c>
      <c r="F18" s="24">
        <v>43583</v>
      </c>
      <c r="G18" s="21" t="s">
        <v>223</v>
      </c>
      <c r="H18" s="9" t="s">
        <v>31</v>
      </c>
    </row>
    <row r="19" spans="1:8" hidden="1" x14ac:dyDescent="0.2">
      <c r="A19" s="7" t="str">
        <f>TEXT(表3[[#This Row],[ETD]],"mmdd-h ")&amp;表3[[#This Row],[项目]]</f>
        <v>0510-0 JS mobis</v>
      </c>
      <c r="B19" s="7" t="s">
        <v>2</v>
      </c>
      <c r="C19" s="8">
        <v>43595</v>
      </c>
      <c r="D19" s="27">
        <v>3</v>
      </c>
      <c r="E19" s="34" t="s">
        <v>110</v>
      </c>
      <c r="F19" s="24">
        <v>43583</v>
      </c>
      <c r="G19" s="21" t="s">
        <v>223</v>
      </c>
      <c r="H19" s="9"/>
    </row>
    <row r="20" spans="1:8" hidden="1" x14ac:dyDescent="0.2">
      <c r="A20" s="7" t="str">
        <f>TEXT(表3[[#This Row],[ETD]],"mmdd-h ")&amp;表3[[#This Row],[项目]]</f>
        <v>0510-0 JS mobis</v>
      </c>
      <c r="B20" s="7" t="s">
        <v>2</v>
      </c>
      <c r="C20" s="8">
        <v>43595</v>
      </c>
      <c r="D20" s="27">
        <v>4</v>
      </c>
      <c r="E20" s="34" t="s">
        <v>111</v>
      </c>
      <c r="F20" s="24">
        <v>43583</v>
      </c>
      <c r="G20" s="21" t="s">
        <v>223</v>
      </c>
      <c r="H20" s="9" t="s">
        <v>44</v>
      </c>
    </row>
    <row r="21" spans="1:8" hidden="1" x14ac:dyDescent="0.2">
      <c r="A21" s="7" t="str">
        <f>TEXT(表3[[#This Row],[ETD]],"mmdd-h ")&amp;表3[[#This Row],[项目]]</f>
        <v>0510-0 JS mobis</v>
      </c>
      <c r="B21" s="7" t="s">
        <v>2</v>
      </c>
      <c r="C21" s="8">
        <v>43595</v>
      </c>
      <c r="D21" s="27">
        <v>5</v>
      </c>
      <c r="E21" s="34" t="s">
        <v>20</v>
      </c>
      <c r="F21" s="24">
        <v>43583</v>
      </c>
      <c r="G21" s="21" t="s">
        <v>223</v>
      </c>
      <c r="H21" s="9"/>
    </row>
    <row r="22" spans="1:8" hidden="1" x14ac:dyDescent="0.2">
      <c r="A22" s="7" t="str">
        <f>TEXT(表3[[#This Row],[ETD]],"mmdd-h ")&amp;表3[[#This Row],[项目]]</f>
        <v>0510-0 JS mobis</v>
      </c>
      <c r="B22" s="7" t="s">
        <v>2</v>
      </c>
      <c r="C22" s="8">
        <v>43595</v>
      </c>
      <c r="D22" s="27">
        <v>6</v>
      </c>
      <c r="E22" s="34" t="s">
        <v>112</v>
      </c>
      <c r="F22" s="24">
        <v>43583</v>
      </c>
      <c r="G22" s="21" t="s">
        <v>223</v>
      </c>
      <c r="H22" s="9"/>
    </row>
    <row r="23" spans="1:8" hidden="1" x14ac:dyDescent="0.2">
      <c r="A23" s="7" t="str">
        <f>TEXT(表3[[#This Row],[ETD]],"mmdd-h ")&amp;表3[[#This Row],[项目]]</f>
        <v>0510-0 JS mobis</v>
      </c>
      <c r="B23" s="7" t="s">
        <v>2</v>
      </c>
      <c r="C23" s="8">
        <v>43595</v>
      </c>
      <c r="D23" s="27">
        <v>7</v>
      </c>
      <c r="E23" s="34" t="s">
        <v>113</v>
      </c>
      <c r="F23" s="24">
        <v>43583</v>
      </c>
      <c r="G23" s="21" t="s">
        <v>223</v>
      </c>
      <c r="H23" s="9"/>
    </row>
    <row r="24" spans="1:8" hidden="1" x14ac:dyDescent="0.2">
      <c r="A24" s="7" t="str">
        <f>TEXT(表3[[#This Row],[ETD]],"mmdd-h ")&amp;表3[[#This Row],[项目]]</f>
        <v>0510-0 JS mobis</v>
      </c>
      <c r="B24" s="7" t="s">
        <v>2</v>
      </c>
      <c r="C24" s="8">
        <v>43595</v>
      </c>
      <c r="D24" s="27">
        <v>8</v>
      </c>
      <c r="E24" s="34" t="s">
        <v>10</v>
      </c>
      <c r="F24" s="24">
        <v>43583</v>
      </c>
      <c r="G24" s="21" t="s">
        <v>223</v>
      </c>
      <c r="H24" s="9"/>
    </row>
    <row r="25" spans="1:8" hidden="1" x14ac:dyDescent="0.2">
      <c r="A25" s="7" t="str">
        <f>TEXT(表3[[#This Row],[ETD]],"mmdd-h ")&amp;表3[[#This Row],[项目]]</f>
        <v>0510-0 JS mobis</v>
      </c>
      <c r="B25" s="7" t="s">
        <v>2</v>
      </c>
      <c r="C25" s="8">
        <v>43595</v>
      </c>
      <c r="D25" s="27">
        <v>9</v>
      </c>
      <c r="E25" s="34" t="s">
        <v>114</v>
      </c>
      <c r="F25" s="24">
        <v>43584</v>
      </c>
      <c r="G25" s="21" t="s">
        <v>223</v>
      </c>
      <c r="H25" s="9" t="s">
        <v>33</v>
      </c>
    </row>
    <row r="26" spans="1:8" hidden="1" x14ac:dyDescent="0.2">
      <c r="A26" s="7" t="str">
        <f>TEXT(表3[[#This Row],[ETD]],"mmdd-h ")&amp;表3[[#This Row],[项目]]</f>
        <v>0510-0 JS mobis</v>
      </c>
      <c r="B26" s="7" t="s">
        <v>2</v>
      </c>
      <c r="C26" s="8">
        <v>43595</v>
      </c>
      <c r="D26" s="27">
        <v>10</v>
      </c>
      <c r="E26" s="34" t="s">
        <v>61</v>
      </c>
      <c r="F26" s="24">
        <v>43584</v>
      </c>
      <c r="G26" s="21" t="s">
        <v>223</v>
      </c>
      <c r="H26" s="9"/>
    </row>
    <row r="27" spans="1:8" hidden="1" x14ac:dyDescent="0.2">
      <c r="A27" s="7" t="str">
        <f>TEXT(表3[[#This Row],[ETD]],"mmdd-h ")&amp;表3[[#This Row],[项目]]</f>
        <v>0510-0 JS mobis</v>
      </c>
      <c r="B27" s="7" t="s">
        <v>2</v>
      </c>
      <c r="C27" s="8">
        <v>43595</v>
      </c>
      <c r="D27" s="27">
        <v>11</v>
      </c>
      <c r="E27" s="34" t="s">
        <v>115</v>
      </c>
      <c r="F27" s="24">
        <v>43591</v>
      </c>
      <c r="G27" s="21" t="s">
        <v>223</v>
      </c>
      <c r="H27" s="9" t="s">
        <v>35</v>
      </c>
    </row>
    <row r="28" spans="1:8" hidden="1" x14ac:dyDescent="0.2">
      <c r="A28" s="7" t="str">
        <f>TEXT(表3[[#This Row],[ETD]],"mmdd-h ")&amp;表3[[#This Row],[项目]]</f>
        <v>0510-0 JS mobis</v>
      </c>
      <c r="B28" s="7" t="s">
        <v>2</v>
      </c>
      <c r="C28" s="8">
        <v>43595</v>
      </c>
      <c r="D28" s="27">
        <v>12</v>
      </c>
      <c r="E28" s="34" t="s">
        <v>116</v>
      </c>
      <c r="F28" s="24">
        <v>43591</v>
      </c>
      <c r="G28" s="21" t="s">
        <v>223</v>
      </c>
      <c r="H28" s="9"/>
    </row>
    <row r="29" spans="1:8" hidden="1" x14ac:dyDescent="0.2">
      <c r="A29" s="7" t="str">
        <f>TEXT(表3[[#This Row],[ETD]],"mmdd-h ")&amp;表3[[#This Row],[项目]]</f>
        <v>0510-0 JS mobis</v>
      </c>
      <c r="B29" s="7" t="s">
        <v>2</v>
      </c>
      <c r="C29" s="8">
        <v>43595</v>
      </c>
      <c r="D29" s="27">
        <v>13</v>
      </c>
      <c r="E29" s="34" t="s">
        <v>24</v>
      </c>
      <c r="F29" s="24">
        <v>43591</v>
      </c>
      <c r="G29" s="21" t="s">
        <v>223</v>
      </c>
      <c r="H29" s="9"/>
    </row>
    <row r="30" spans="1:8" hidden="1" x14ac:dyDescent="0.2">
      <c r="A30" s="7" t="str">
        <f>TEXT(表3[[#This Row],[ETD]],"mmdd-h ")&amp;表3[[#This Row],[项目]]</f>
        <v>0510-0 JS mobis</v>
      </c>
      <c r="B30" s="7" t="s">
        <v>2</v>
      </c>
      <c r="C30" s="8">
        <v>43595</v>
      </c>
      <c r="D30" s="27">
        <v>14</v>
      </c>
      <c r="E30" s="34" t="s">
        <v>117</v>
      </c>
      <c r="F30" s="24">
        <v>43591</v>
      </c>
      <c r="G30" s="21" t="s">
        <v>223</v>
      </c>
      <c r="H30" s="9"/>
    </row>
    <row r="31" spans="1:8" hidden="1" x14ac:dyDescent="0.2">
      <c r="A31" s="7" t="str">
        <f>TEXT(表3[[#This Row],[ETD]],"mmdd-h ")&amp;表3[[#This Row],[项目]]</f>
        <v>0510-0 JS mobis</v>
      </c>
      <c r="B31" s="7" t="s">
        <v>2</v>
      </c>
      <c r="C31" s="8">
        <v>43595</v>
      </c>
      <c r="D31" s="27">
        <v>15</v>
      </c>
      <c r="E31" s="34" t="s">
        <v>118</v>
      </c>
      <c r="F31" s="24">
        <v>43591</v>
      </c>
      <c r="G31" s="21" t="s">
        <v>223</v>
      </c>
      <c r="H31" s="9"/>
    </row>
    <row r="32" spans="1:8" hidden="1" x14ac:dyDescent="0.2">
      <c r="A32" s="7" t="str">
        <f>TEXT(表3[[#This Row],[ETD]],"mmdd-h ")&amp;表3[[#This Row],[项目]]</f>
        <v>0510-0 JS mobis</v>
      </c>
      <c r="B32" s="7" t="s">
        <v>2</v>
      </c>
      <c r="C32" s="8">
        <v>43595</v>
      </c>
      <c r="D32" s="27">
        <v>16</v>
      </c>
      <c r="E32" s="34" t="s">
        <v>119</v>
      </c>
      <c r="F32" s="24">
        <v>43591</v>
      </c>
      <c r="G32" s="21" t="s">
        <v>223</v>
      </c>
      <c r="H32" s="9"/>
    </row>
    <row r="33" spans="1:8" hidden="1" x14ac:dyDescent="0.2">
      <c r="A33" s="7" t="str">
        <f>TEXT(表3[[#This Row],[ETD]],"mmdd-h ")&amp;表3[[#This Row],[项目]]</f>
        <v>0510-0 JS mobis</v>
      </c>
      <c r="B33" s="7" t="s">
        <v>2</v>
      </c>
      <c r="C33" s="8">
        <v>43595</v>
      </c>
      <c r="D33" s="27">
        <v>17</v>
      </c>
      <c r="E33" s="34" t="s">
        <v>120</v>
      </c>
      <c r="F33" s="24">
        <v>43591</v>
      </c>
      <c r="G33" s="21" t="s">
        <v>223</v>
      </c>
      <c r="H33" s="9"/>
    </row>
    <row r="34" spans="1:8" hidden="1" x14ac:dyDescent="0.2">
      <c r="A34" s="7" t="str">
        <f>TEXT(表3[[#This Row],[ETD]],"mmdd-h ")&amp;表3[[#This Row],[项目]]</f>
        <v>0510-0 JS mobis</v>
      </c>
      <c r="B34" s="7" t="s">
        <v>2</v>
      </c>
      <c r="C34" s="8">
        <v>43595</v>
      </c>
      <c r="D34" s="27">
        <v>18</v>
      </c>
      <c r="E34" s="34" t="s">
        <v>59</v>
      </c>
      <c r="F34" s="24">
        <v>43591</v>
      </c>
      <c r="G34" s="21" t="s">
        <v>223</v>
      </c>
      <c r="H34" s="9"/>
    </row>
    <row r="35" spans="1:8" hidden="1" x14ac:dyDescent="0.2">
      <c r="A35" s="7" t="str">
        <f>TEXT(表3[[#This Row],[ETD]],"mmdd-h ")&amp;表3[[#This Row],[项目]]</f>
        <v>0510-0 JS mobis</v>
      </c>
      <c r="B35" s="7" t="s">
        <v>2</v>
      </c>
      <c r="C35" s="8">
        <v>43595</v>
      </c>
      <c r="D35" s="27">
        <v>19</v>
      </c>
      <c r="E35" s="34" t="s">
        <v>121</v>
      </c>
      <c r="F35" s="24">
        <v>43592</v>
      </c>
      <c r="G35" s="21" t="s">
        <v>223</v>
      </c>
      <c r="H35" s="9" t="s">
        <v>37</v>
      </c>
    </row>
    <row r="36" spans="1:8" hidden="1" x14ac:dyDescent="0.2">
      <c r="A36" s="7" t="str">
        <f>TEXT(表3[[#This Row],[ETD]],"mmdd-h ")&amp;表3[[#This Row],[项目]]</f>
        <v>0510-0 JS mobis</v>
      </c>
      <c r="B36" s="7" t="s">
        <v>2</v>
      </c>
      <c r="C36" s="8">
        <v>43595</v>
      </c>
      <c r="D36" s="27">
        <v>20</v>
      </c>
      <c r="E36" s="34" t="s">
        <v>52</v>
      </c>
      <c r="F36" s="24">
        <v>43592</v>
      </c>
      <c r="G36" s="21" t="s">
        <v>223</v>
      </c>
      <c r="H36" s="9"/>
    </row>
    <row r="37" spans="1:8" hidden="1" x14ac:dyDescent="0.2">
      <c r="A37" s="7" t="str">
        <f>TEXT(表3[[#This Row],[ETD]],"mmdd-h ")&amp;表3[[#This Row],[项目]]</f>
        <v>0510-0 JS mobis</v>
      </c>
      <c r="B37" s="7" t="s">
        <v>2</v>
      </c>
      <c r="C37" s="8">
        <v>43595</v>
      </c>
      <c r="D37" s="27">
        <v>21</v>
      </c>
      <c r="E37" s="34" t="s">
        <v>122</v>
      </c>
      <c r="F37" s="24">
        <v>43592</v>
      </c>
      <c r="G37" s="21" t="s">
        <v>223</v>
      </c>
      <c r="H37" s="9"/>
    </row>
    <row r="38" spans="1:8" hidden="1" x14ac:dyDescent="0.2">
      <c r="A38" s="7" t="str">
        <f>TEXT(表3[[#This Row],[ETD]],"mmdd-h ")&amp;表3[[#This Row],[项目]]</f>
        <v>0510-0 JS mobis</v>
      </c>
      <c r="B38" s="7" t="s">
        <v>2</v>
      </c>
      <c r="C38" s="8">
        <v>43595</v>
      </c>
      <c r="D38" s="27">
        <v>22</v>
      </c>
      <c r="E38" s="34" t="s">
        <v>123</v>
      </c>
      <c r="F38" s="24">
        <v>43592</v>
      </c>
      <c r="G38" s="21" t="s">
        <v>223</v>
      </c>
      <c r="H38" s="9"/>
    </row>
    <row r="39" spans="1:8" hidden="1" x14ac:dyDescent="0.2">
      <c r="A39" s="7" t="str">
        <f>TEXT(表3[[#This Row],[ETD]],"mmdd-h ")&amp;表3[[#This Row],[项目]]</f>
        <v>0510-0 JS mobis</v>
      </c>
      <c r="B39" s="7" t="s">
        <v>2</v>
      </c>
      <c r="C39" s="8">
        <v>43595</v>
      </c>
      <c r="D39" s="27">
        <v>23</v>
      </c>
      <c r="E39" s="34" t="s">
        <v>124</v>
      </c>
      <c r="F39" s="24">
        <v>43592</v>
      </c>
      <c r="G39" s="21" t="s">
        <v>223</v>
      </c>
      <c r="H39" s="9" t="s">
        <v>44</v>
      </c>
    </row>
    <row r="40" spans="1:8" hidden="1" x14ac:dyDescent="0.2">
      <c r="A40" s="7" t="str">
        <f>TEXT(表3[[#This Row],[ETD]],"mmdd-h ")&amp;表3[[#This Row],[项目]]</f>
        <v>0510-0 JS mobis</v>
      </c>
      <c r="B40" s="7" t="s">
        <v>2</v>
      </c>
      <c r="C40" s="8">
        <v>43595</v>
      </c>
      <c r="D40" s="27">
        <v>24</v>
      </c>
      <c r="E40" s="34" t="s">
        <v>125</v>
      </c>
      <c r="F40" s="24">
        <v>43592</v>
      </c>
      <c r="G40" s="21" t="s">
        <v>223</v>
      </c>
      <c r="H40" s="9" t="s">
        <v>170</v>
      </c>
    </row>
    <row r="41" spans="1:8" hidden="1" x14ac:dyDescent="0.2">
      <c r="A41" s="7" t="str">
        <f>TEXT(表3[[#This Row],[ETD]],"mmdd-h ")&amp;表3[[#This Row],[项目]]</f>
        <v>0510-0 JS mobis</v>
      </c>
      <c r="B41" s="7" t="s">
        <v>2</v>
      </c>
      <c r="C41" s="8">
        <v>43595</v>
      </c>
      <c r="D41" s="27">
        <v>25</v>
      </c>
      <c r="E41" s="34" t="s">
        <v>126</v>
      </c>
      <c r="F41" s="24">
        <v>43592</v>
      </c>
      <c r="G41" s="21" t="s">
        <v>223</v>
      </c>
      <c r="H41" s="9" t="s">
        <v>44</v>
      </c>
    </row>
    <row r="42" spans="1:8" hidden="1" x14ac:dyDescent="0.2">
      <c r="A42" s="7" t="str">
        <f>TEXT(表3[[#This Row],[ETD]],"mmdd-h ")&amp;表3[[#This Row],[项目]]</f>
        <v>0510-0 JS mobis</v>
      </c>
      <c r="B42" s="7" t="s">
        <v>2</v>
      </c>
      <c r="C42" s="8">
        <v>43595</v>
      </c>
      <c r="D42" s="27">
        <v>26</v>
      </c>
      <c r="E42" s="34" t="s">
        <v>57</v>
      </c>
      <c r="F42" s="24">
        <v>43592</v>
      </c>
      <c r="G42" s="21" t="s">
        <v>223</v>
      </c>
      <c r="H42" s="9"/>
    </row>
    <row r="43" spans="1:8" hidden="1" x14ac:dyDescent="0.2">
      <c r="A43" s="7" t="str">
        <f>TEXT(表3[[#This Row],[ETD]],"mmdd-h ")&amp;表3[[#This Row],[项目]]</f>
        <v>0510-0 JS mobis</v>
      </c>
      <c r="B43" s="7" t="s">
        <v>2</v>
      </c>
      <c r="C43" s="8">
        <v>43595</v>
      </c>
      <c r="D43" s="27">
        <v>27</v>
      </c>
      <c r="E43" s="34" t="s">
        <v>127</v>
      </c>
      <c r="F43" s="24">
        <v>43592</v>
      </c>
      <c r="G43" s="21" t="s">
        <v>223</v>
      </c>
      <c r="H43" s="9"/>
    </row>
    <row r="44" spans="1:8" hidden="1" x14ac:dyDescent="0.2">
      <c r="A44" s="7" t="str">
        <f>TEXT(表3[[#This Row],[ETD]],"mmdd-h ")&amp;表3[[#This Row],[项目]]</f>
        <v>0510-0 JS mobis</v>
      </c>
      <c r="B44" s="7" t="s">
        <v>2</v>
      </c>
      <c r="C44" s="8">
        <v>43595</v>
      </c>
      <c r="D44" s="27">
        <v>28</v>
      </c>
      <c r="E44" s="34" t="s">
        <v>128</v>
      </c>
      <c r="F44" s="24">
        <v>43592</v>
      </c>
      <c r="G44" s="21" t="s">
        <v>223</v>
      </c>
      <c r="H44" s="9"/>
    </row>
    <row r="45" spans="1:8" hidden="1" x14ac:dyDescent="0.2">
      <c r="A45" s="7" t="str">
        <f>TEXT(表3[[#This Row],[ETD]],"mmdd-h ")&amp;表3[[#This Row],[项目]]</f>
        <v>0510-0 JS mobis</v>
      </c>
      <c r="B45" s="7" t="s">
        <v>2</v>
      </c>
      <c r="C45" s="8">
        <v>43595</v>
      </c>
      <c r="D45" s="27">
        <v>29</v>
      </c>
      <c r="E45" s="34" t="s">
        <v>129</v>
      </c>
      <c r="F45" s="24">
        <v>43592</v>
      </c>
      <c r="G45" s="21" t="s">
        <v>223</v>
      </c>
      <c r="H45" s="9"/>
    </row>
    <row r="46" spans="1:8" hidden="1" x14ac:dyDescent="0.2">
      <c r="A46" s="7" t="str">
        <f>TEXT(表3[[#This Row],[ETD]],"mmdd-h ")&amp;表3[[#This Row],[项目]]</f>
        <v>0510-0 JS mobis</v>
      </c>
      <c r="B46" s="7" t="s">
        <v>2</v>
      </c>
      <c r="C46" s="8">
        <v>43595</v>
      </c>
      <c r="D46" s="27">
        <v>30</v>
      </c>
      <c r="E46" s="34" t="s">
        <v>86</v>
      </c>
      <c r="F46" s="24">
        <v>43592</v>
      </c>
      <c r="G46" s="21" t="s">
        <v>223</v>
      </c>
      <c r="H46" s="9"/>
    </row>
    <row r="47" spans="1:8" hidden="1" x14ac:dyDescent="0.2">
      <c r="A47" s="7" t="str">
        <f>TEXT(表3[[#This Row],[ETD]],"mmdd-h ")&amp;表3[[#This Row],[项目]]</f>
        <v>0510-0 JS mobis</v>
      </c>
      <c r="B47" s="7" t="s">
        <v>2</v>
      </c>
      <c r="C47" s="8">
        <v>43595</v>
      </c>
      <c r="D47" s="27">
        <v>31</v>
      </c>
      <c r="E47" s="34" t="s">
        <v>76</v>
      </c>
      <c r="F47" s="24">
        <v>43592</v>
      </c>
      <c r="G47" s="21" t="s">
        <v>223</v>
      </c>
      <c r="H47" s="9" t="s">
        <v>72</v>
      </c>
    </row>
    <row r="48" spans="1:8" hidden="1" x14ac:dyDescent="0.2">
      <c r="A48" s="7" t="str">
        <f>TEXT(表3[[#This Row],[ETD]],"mmdd-h ")&amp;表3[[#This Row],[项目]]</f>
        <v>0510-0 JS mobis</v>
      </c>
      <c r="B48" s="7" t="s">
        <v>2</v>
      </c>
      <c r="C48" s="8">
        <v>43595</v>
      </c>
      <c r="D48" s="27">
        <v>32</v>
      </c>
      <c r="E48" s="34" t="s">
        <v>130</v>
      </c>
      <c r="F48" s="24">
        <v>43592</v>
      </c>
      <c r="G48" s="21" t="s">
        <v>223</v>
      </c>
      <c r="H48" s="9"/>
    </row>
    <row r="49" spans="1:8" hidden="1" x14ac:dyDescent="0.2">
      <c r="A49" s="7" t="str">
        <f>TEXT(表3[[#This Row],[ETD]],"mmdd-h ")&amp;表3[[#This Row],[项目]]</f>
        <v>0510-0 JS mobis</v>
      </c>
      <c r="B49" s="7" t="s">
        <v>2</v>
      </c>
      <c r="C49" s="8">
        <v>43595</v>
      </c>
      <c r="D49" s="27">
        <v>33</v>
      </c>
      <c r="E49" s="34" t="s">
        <v>131</v>
      </c>
      <c r="F49" s="24">
        <v>43592</v>
      </c>
      <c r="G49" s="21" t="s">
        <v>223</v>
      </c>
      <c r="H49" s="9" t="s">
        <v>33</v>
      </c>
    </row>
    <row r="50" spans="1:8" hidden="1" x14ac:dyDescent="0.2">
      <c r="A50" s="7" t="str">
        <f>TEXT(表3[[#This Row],[ETD]],"mmdd-h ")&amp;表3[[#This Row],[项目]]</f>
        <v>0510-0 JS mobis</v>
      </c>
      <c r="B50" s="7" t="s">
        <v>2</v>
      </c>
      <c r="C50" s="8">
        <v>43595</v>
      </c>
      <c r="D50" s="27">
        <v>34</v>
      </c>
      <c r="E50" s="34" t="s">
        <v>132</v>
      </c>
      <c r="F50" s="24">
        <v>43592</v>
      </c>
      <c r="G50" s="21" t="s">
        <v>223</v>
      </c>
      <c r="H50" s="9" t="s">
        <v>44</v>
      </c>
    </row>
    <row r="51" spans="1:8" hidden="1" x14ac:dyDescent="0.2">
      <c r="A51" s="7" t="str">
        <f>TEXT(表3[[#This Row],[ETD]],"mmdd-h ")&amp;表3[[#This Row],[项目]]</f>
        <v>0510-0 JS mobis</v>
      </c>
      <c r="B51" s="7" t="s">
        <v>2</v>
      </c>
      <c r="C51" s="8">
        <v>43595</v>
      </c>
      <c r="D51" s="27">
        <v>35</v>
      </c>
      <c r="E51" s="34" t="s">
        <v>183</v>
      </c>
      <c r="F51" s="24">
        <v>43592</v>
      </c>
      <c r="G51" s="21" t="s">
        <v>223</v>
      </c>
      <c r="H51" s="9"/>
    </row>
    <row r="52" spans="1:8" hidden="1" x14ac:dyDescent="0.2">
      <c r="A52" s="7" t="str">
        <f>TEXT(表3[[#This Row],[ETD]],"mmdd-h ")&amp;表3[[#This Row],[项目]]</f>
        <v>0510-0 JS mobis</v>
      </c>
      <c r="B52" s="7" t="s">
        <v>2</v>
      </c>
      <c r="C52" s="8">
        <v>43595</v>
      </c>
      <c r="D52" s="27">
        <v>36</v>
      </c>
      <c r="E52" s="34" t="s">
        <v>133</v>
      </c>
      <c r="F52" s="24">
        <v>43592</v>
      </c>
      <c r="G52" s="21" t="s">
        <v>223</v>
      </c>
      <c r="H52" s="9" t="s">
        <v>79</v>
      </c>
    </row>
    <row r="53" spans="1:8" hidden="1" x14ac:dyDescent="0.2">
      <c r="A53" s="7" t="str">
        <f>TEXT(表3[[#This Row],[ETD]],"mmdd-h ")&amp;表3[[#This Row],[项目]]</f>
        <v>0510-0 JS mobis</v>
      </c>
      <c r="B53" s="7" t="s">
        <v>2</v>
      </c>
      <c r="C53" s="8">
        <v>43595</v>
      </c>
      <c r="D53" s="27">
        <v>37</v>
      </c>
      <c r="E53" s="34" t="s">
        <v>134</v>
      </c>
      <c r="F53" s="24">
        <v>43592</v>
      </c>
      <c r="G53" s="21" t="s">
        <v>223</v>
      </c>
      <c r="H53" s="9"/>
    </row>
    <row r="54" spans="1:8" hidden="1" x14ac:dyDescent="0.2">
      <c r="A54" s="7" t="str">
        <f>TEXT(表3[[#This Row],[ETD]],"mmdd-h ")&amp;表3[[#This Row],[项目]]</f>
        <v>0510-0 JS mobis</v>
      </c>
      <c r="B54" s="7" t="s">
        <v>2</v>
      </c>
      <c r="C54" s="8">
        <v>43595</v>
      </c>
      <c r="D54" s="27">
        <v>38</v>
      </c>
      <c r="E54" s="34" t="s">
        <v>135</v>
      </c>
      <c r="F54" s="24">
        <v>43593</v>
      </c>
      <c r="G54" s="21" t="s">
        <v>223</v>
      </c>
      <c r="H54" s="9"/>
    </row>
    <row r="55" spans="1:8" hidden="1" x14ac:dyDescent="0.2">
      <c r="A55" s="7" t="str">
        <f>TEXT(表3[[#This Row],[ETD]],"mmdd-h ")&amp;表3[[#This Row],[项目]]</f>
        <v>0510-0 JS mobis</v>
      </c>
      <c r="B55" s="7" t="s">
        <v>2</v>
      </c>
      <c r="C55" s="8">
        <v>43595</v>
      </c>
      <c r="D55" s="27">
        <v>39</v>
      </c>
      <c r="E55" s="34" t="s">
        <v>92</v>
      </c>
      <c r="F55" s="24">
        <v>43593</v>
      </c>
      <c r="G55" s="21" t="s">
        <v>223</v>
      </c>
      <c r="H55" s="9"/>
    </row>
    <row r="56" spans="1:8" hidden="1" x14ac:dyDescent="0.2">
      <c r="A56" s="7" t="str">
        <f>TEXT(表3[[#This Row],[ETD]],"mmdd-h ")&amp;表3[[#This Row],[项目]]</f>
        <v>0510-0 JS mobis</v>
      </c>
      <c r="B56" s="7" t="s">
        <v>2</v>
      </c>
      <c r="C56" s="8">
        <v>43595</v>
      </c>
      <c r="D56" s="27">
        <v>40</v>
      </c>
      <c r="E56" s="35" t="s">
        <v>136</v>
      </c>
      <c r="F56" s="24">
        <v>43593</v>
      </c>
      <c r="G56" s="21" t="s">
        <v>223</v>
      </c>
      <c r="H56" s="9"/>
    </row>
    <row r="57" spans="1:8" hidden="1" x14ac:dyDescent="0.2">
      <c r="A57" s="7" t="str">
        <f>TEXT(表3[[#This Row],[ETD]],"mmdd-h ")&amp;表3[[#This Row],[项目]]</f>
        <v>0510-0 JS mobis</v>
      </c>
      <c r="B57" s="7" t="s">
        <v>2</v>
      </c>
      <c r="C57" s="8">
        <v>43595</v>
      </c>
      <c r="D57" s="27">
        <v>41</v>
      </c>
      <c r="E57" s="34" t="s">
        <v>96</v>
      </c>
      <c r="F57" s="24">
        <v>43594</v>
      </c>
      <c r="G57" s="21" t="s">
        <v>223</v>
      </c>
      <c r="H57" s="9"/>
    </row>
    <row r="58" spans="1:8" hidden="1" x14ac:dyDescent="0.2">
      <c r="A58" s="7" t="str">
        <f>TEXT(表3[[#This Row],[ETD]],"mmdd-h ")&amp;表3[[#This Row],[项目]]</f>
        <v>0510-0 JS mobis</v>
      </c>
      <c r="B58" s="7" t="s">
        <v>2</v>
      </c>
      <c r="C58" s="8">
        <v>43595</v>
      </c>
      <c r="D58" s="27">
        <v>42</v>
      </c>
      <c r="E58" s="34" t="s">
        <v>137</v>
      </c>
      <c r="F58" s="24">
        <v>43595</v>
      </c>
      <c r="G58" s="21" t="s">
        <v>223</v>
      </c>
      <c r="H58" s="9"/>
    </row>
    <row r="59" spans="1:8" hidden="1" x14ac:dyDescent="0.2">
      <c r="A59" s="7" t="str">
        <f>TEXT(表3[[#This Row],[ETD]],"mmdd-h ")&amp;表3[[#This Row],[项目]]</f>
        <v>0510-0 JS mobis</v>
      </c>
      <c r="B59" s="7" t="s">
        <v>2</v>
      </c>
      <c r="C59" s="8">
        <v>43595</v>
      </c>
      <c r="D59" s="27">
        <v>43</v>
      </c>
      <c r="E59" s="34" t="s">
        <v>279</v>
      </c>
      <c r="F59" s="24">
        <v>43595</v>
      </c>
      <c r="G59" s="21" t="s">
        <v>277</v>
      </c>
      <c r="H59" s="9"/>
    </row>
    <row r="60" spans="1:8" hidden="1" x14ac:dyDescent="0.2">
      <c r="A60" s="7" t="str">
        <f>TEXT(表3[[#This Row],[ETD]],"mmdd-h ")&amp;表3[[#This Row],[项目]]</f>
        <v>0510-0 JS mobis</v>
      </c>
      <c r="B60" s="7" t="s">
        <v>2</v>
      </c>
      <c r="C60" s="8">
        <v>43595</v>
      </c>
      <c r="D60" s="27">
        <v>44</v>
      </c>
      <c r="E60" s="34" t="s">
        <v>278</v>
      </c>
      <c r="F60" s="24">
        <v>43596</v>
      </c>
      <c r="G60" s="21" t="s">
        <v>1</v>
      </c>
      <c r="H60" s="9"/>
    </row>
    <row r="61" spans="1:8" hidden="1" x14ac:dyDescent="0.2">
      <c r="A61" s="7" t="str">
        <f>TEXT(表3[[#This Row],[ETD]],"mmdd-h ")&amp;表3[[#This Row],[项目]]</f>
        <v>0510-0 JS mobis</v>
      </c>
      <c r="B61" s="7" t="s">
        <v>2</v>
      </c>
      <c r="C61" s="8">
        <v>43595</v>
      </c>
      <c r="D61" s="27">
        <v>45</v>
      </c>
      <c r="E61" s="34" t="s">
        <v>102</v>
      </c>
      <c r="F61" s="24">
        <v>43598</v>
      </c>
      <c r="G61" s="21" t="s">
        <v>285</v>
      </c>
      <c r="H61" s="9" t="s">
        <v>140</v>
      </c>
    </row>
    <row r="62" spans="1:8" hidden="1" x14ac:dyDescent="0.2">
      <c r="A62" s="19" t="str">
        <f>TEXT(表3[[#This Row],[ETD]],"mmdd-h ")&amp;表3[[#This Row],[项目]]</f>
        <v>0513-0 0 WEEK</v>
      </c>
      <c r="B62" s="7" t="s">
        <v>264</v>
      </c>
      <c r="C62" s="8">
        <v>43598</v>
      </c>
      <c r="D62" s="27">
        <v>1</v>
      </c>
      <c r="E62" s="34" t="s">
        <v>253</v>
      </c>
      <c r="F62" s="24">
        <v>43598</v>
      </c>
      <c r="G62" s="21" t="s">
        <v>285</v>
      </c>
      <c r="H62" s="9" t="s">
        <v>255</v>
      </c>
    </row>
    <row r="63" spans="1:8" hidden="1" x14ac:dyDescent="0.2">
      <c r="A63" s="19" t="str">
        <f>TEXT(表3[[#This Row],[ETD]],"mmdd-h ")&amp;表3[[#This Row],[项目]]</f>
        <v>0513-0 0 WEEK</v>
      </c>
      <c r="B63" s="7" t="s">
        <v>264</v>
      </c>
      <c r="C63" s="8">
        <v>43598</v>
      </c>
      <c r="D63" s="27">
        <v>2</v>
      </c>
      <c r="E63" s="34" t="s">
        <v>257</v>
      </c>
      <c r="F63" s="24">
        <v>43598</v>
      </c>
      <c r="G63" s="21" t="s">
        <v>285</v>
      </c>
      <c r="H63" s="9" t="s">
        <v>255</v>
      </c>
    </row>
    <row r="64" spans="1:8" hidden="1" x14ac:dyDescent="0.2">
      <c r="A64" s="19" t="str">
        <f>TEXT(表3[[#This Row],[ETD]],"mmdd-h ")&amp;表3[[#This Row],[项目]]</f>
        <v>0513-0 0 WEEK</v>
      </c>
      <c r="B64" s="7" t="s">
        <v>264</v>
      </c>
      <c r="C64" s="8">
        <v>43598</v>
      </c>
      <c r="D64" s="27">
        <v>3</v>
      </c>
      <c r="E64" s="34" t="s">
        <v>257</v>
      </c>
      <c r="F64" s="24">
        <v>43600</v>
      </c>
      <c r="G64" s="21" t="s">
        <v>285</v>
      </c>
      <c r="H64" s="9" t="s">
        <v>260</v>
      </c>
    </row>
    <row r="65" spans="1:8" hidden="1" x14ac:dyDescent="0.2">
      <c r="A65" s="19" t="str">
        <f>TEXT(表3[[#This Row],[ETD]],"mmdd-h ")&amp;表3[[#This Row],[项目]]</f>
        <v>0513-0 0 WEEK</v>
      </c>
      <c r="B65" s="7" t="s">
        <v>264</v>
      </c>
      <c r="C65" s="8">
        <v>43598</v>
      </c>
      <c r="D65" s="27">
        <v>4</v>
      </c>
      <c r="E65" s="34" t="s">
        <v>245</v>
      </c>
      <c r="F65" s="24">
        <v>43602</v>
      </c>
      <c r="G65" s="21" t="s">
        <v>285</v>
      </c>
      <c r="H65" s="9" t="s">
        <v>251</v>
      </c>
    </row>
    <row r="66" spans="1:8" hidden="1" x14ac:dyDescent="0.2">
      <c r="A66" s="19" t="str">
        <f>TEXT(表3[[#This Row],[ETD]],"mmdd-h ")&amp;表3[[#This Row],[项目]]</f>
        <v>0513-0 0 WEEK</v>
      </c>
      <c r="B66" s="7" t="s">
        <v>264</v>
      </c>
      <c r="C66" s="8">
        <v>43598</v>
      </c>
      <c r="D66" s="27">
        <v>5</v>
      </c>
      <c r="E66" s="34" t="s">
        <v>257</v>
      </c>
      <c r="F66" s="24">
        <v>43602</v>
      </c>
      <c r="G66" s="21" t="s">
        <v>285</v>
      </c>
      <c r="H66" s="9" t="s">
        <v>251</v>
      </c>
    </row>
    <row r="67" spans="1:8" hidden="1" x14ac:dyDescent="0.2">
      <c r="A67" s="19" t="str">
        <f>TEXT(表3[[#This Row],[ETD]],"mmdd-h ")&amp;表3[[#This Row],[项目]]</f>
        <v>0513-0 0 WEEK</v>
      </c>
      <c r="B67" s="7" t="s">
        <v>264</v>
      </c>
      <c r="C67" s="8">
        <v>43598</v>
      </c>
      <c r="D67" s="27">
        <v>6</v>
      </c>
      <c r="E67" s="34" t="s">
        <v>262</v>
      </c>
      <c r="F67" s="24">
        <v>43602</v>
      </c>
      <c r="G67" s="21" t="s">
        <v>285</v>
      </c>
      <c r="H67" s="9" t="s">
        <v>251</v>
      </c>
    </row>
    <row r="68" spans="1:8" hidden="1" x14ac:dyDescent="0.2">
      <c r="A68" s="7" t="str">
        <f>TEXT(表3[[#This Row],[ETD]],"mmdd-h ")&amp;表3[[#This Row],[项目]]</f>
        <v>0515-0 HMI</v>
      </c>
      <c r="B68" s="7" t="s">
        <v>163</v>
      </c>
      <c r="C68" s="8">
        <v>43600</v>
      </c>
      <c r="D68" s="27">
        <v>1</v>
      </c>
      <c r="E68" s="34" t="s">
        <v>142</v>
      </c>
      <c r="F68" s="24">
        <v>43585</v>
      </c>
      <c r="G68" s="21" t="s">
        <v>223</v>
      </c>
      <c r="H68" s="9"/>
    </row>
    <row r="69" spans="1:8" hidden="1" x14ac:dyDescent="0.2">
      <c r="A69" s="7" t="str">
        <f>TEXT(表3[[#This Row],[ETD]],"mmdd-h ")&amp;表3[[#This Row],[项目]]</f>
        <v>0515-0 HMI</v>
      </c>
      <c r="B69" s="7" t="s">
        <v>163</v>
      </c>
      <c r="C69" s="8">
        <v>43600</v>
      </c>
      <c r="D69" s="27">
        <v>2</v>
      </c>
      <c r="E69" s="34" t="s">
        <v>155</v>
      </c>
      <c r="F69" s="24">
        <v>43591</v>
      </c>
      <c r="G69" s="21" t="s">
        <v>223</v>
      </c>
      <c r="H69" s="9"/>
    </row>
    <row r="70" spans="1:8" hidden="1" x14ac:dyDescent="0.2">
      <c r="A70" s="7" t="str">
        <f>TEXT(表3[[#This Row],[ETD]],"mmdd-h ")&amp;表3[[#This Row],[项目]]</f>
        <v>0515-0 HMI</v>
      </c>
      <c r="B70" s="7" t="s">
        <v>163</v>
      </c>
      <c r="C70" s="8">
        <v>43600</v>
      </c>
      <c r="D70" s="27">
        <v>3</v>
      </c>
      <c r="E70" s="34" t="s">
        <v>156</v>
      </c>
      <c r="F70" s="24">
        <v>43595</v>
      </c>
      <c r="G70" s="21" t="s">
        <v>1</v>
      </c>
      <c r="H70" s="9" t="s">
        <v>143</v>
      </c>
    </row>
    <row r="71" spans="1:8" hidden="1" x14ac:dyDescent="0.2">
      <c r="A71" s="7" t="str">
        <f>TEXT(表3[[#This Row],[ETD]],"mmdd-h ")&amp;表3[[#This Row],[项目]]</f>
        <v>0515-0 HMI</v>
      </c>
      <c r="B71" s="7" t="s">
        <v>163</v>
      </c>
      <c r="C71" s="8">
        <v>43600</v>
      </c>
      <c r="D71" s="27">
        <v>4</v>
      </c>
      <c r="E71" s="34" t="s">
        <v>147</v>
      </c>
      <c r="F71" s="24">
        <v>43594</v>
      </c>
      <c r="G71" s="21" t="s">
        <v>223</v>
      </c>
      <c r="H71" s="9"/>
    </row>
    <row r="72" spans="1:8" hidden="1" x14ac:dyDescent="0.2">
      <c r="A72" s="7" t="str">
        <f>TEXT(表3[[#This Row],[ETD]],"mmdd-h ")&amp;表3[[#This Row],[项目]]</f>
        <v>0515-0 HMI</v>
      </c>
      <c r="B72" s="7" t="s">
        <v>163</v>
      </c>
      <c r="C72" s="8">
        <v>43600</v>
      </c>
      <c r="D72" s="27">
        <v>5</v>
      </c>
      <c r="E72" s="34" t="s">
        <v>145</v>
      </c>
      <c r="F72" s="24">
        <v>43595</v>
      </c>
      <c r="G72" s="21" t="s">
        <v>1</v>
      </c>
      <c r="H72" s="9"/>
    </row>
    <row r="73" spans="1:8" hidden="1" x14ac:dyDescent="0.2">
      <c r="A73" s="7" t="str">
        <f>TEXT(表3[[#This Row],[ETD]],"mmdd-h ")&amp;表3[[#This Row],[项目]]</f>
        <v>0515-0 HMI</v>
      </c>
      <c r="B73" s="7" t="s">
        <v>163</v>
      </c>
      <c r="C73" s="8">
        <v>43600</v>
      </c>
      <c r="D73" s="27">
        <v>6</v>
      </c>
      <c r="E73" s="34" t="s">
        <v>149</v>
      </c>
      <c r="F73" s="24">
        <v>43596</v>
      </c>
      <c r="G73" s="21" t="s">
        <v>285</v>
      </c>
      <c r="H73" s="9" t="s">
        <v>150</v>
      </c>
    </row>
    <row r="74" spans="1:8" hidden="1" x14ac:dyDescent="0.2">
      <c r="A74" s="7" t="str">
        <f>TEXT(表3[[#This Row],[ETD]],"mmdd-h ")&amp;表3[[#This Row],[项目]]</f>
        <v>0515-0 HMI</v>
      </c>
      <c r="B74" s="7" t="s">
        <v>163</v>
      </c>
      <c r="C74" s="8">
        <v>43600</v>
      </c>
      <c r="D74" s="27">
        <v>7</v>
      </c>
      <c r="E74" s="34" t="s">
        <v>158</v>
      </c>
      <c r="F74" s="24">
        <v>43598</v>
      </c>
      <c r="G74" s="21" t="s">
        <v>285</v>
      </c>
      <c r="H74" s="9"/>
    </row>
    <row r="75" spans="1:8" hidden="1" x14ac:dyDescent="0.2">
      <c r="A75" s="7" t="str">
        <f>TEXT(表3[[#This Row],[ETD]],"mmdd-h ")&amp;表3[[#This Row],[项目]]</f>
        <v>0515-0 HMI</v>
      </c>
      <c r="B75" s="7" t="s">
        <v>163</v>
      </c>
      <c r="C75" s="8">
        <v>43600</v>
      </c>
      <c r="D75" s="27">
        <v>8</v>
      </c>
      <c r="E75" s="34" t="s">
        <v>165</v>
      </c>
      <c r="F75" s="24">
        <v>43598</v>
      </c>
      <c r="G75" s="21" t="s">
        <v>285</v>
      </c>
      <c r="H75" s="9" t="s">
        <v>161</v>
      </c>
    </row>
    <row r="76" spans="1:8" hidden="1" x14ac:dyDescent="0.2">
      <c r="A76" s="7" t="str">
        <f>TEXT(表3[[#This Row],[ETD]],"mmdd-h ")&amp;表3[[#This Row],[项目]]</f>
        <v>0515-0 HMI</v>
      </c>
      <c r="B76" s="7" t="s">
        <v>163</v>
      </c>
      <c r="C76" s="8">
        <v>43600</v>
      </c>
      <c r="D76" s="27">
        <v>9</v>
      </c>
      <c r="E76" s="34" t="s">
        <v>175</v>
      </c>
      <c r="F76" s="24">
        <v>43598</v>
      </c>
      <c r="G76" s="21" t="s">
        <v>285</v>
      </c>
      <c r="H76" s="9" t="s">
        <v>170</v>
      </c>
    </row>
    <row r="77" spans="1:8" hidden="1" x14ac:dyDescent="0.2">
      <c r="A77" s="7" t="str">
        <f>TEXT(表3[[#This Row],[ETD]],"mmdd-h ")&amp;表3[[#This Row],[项目]]</f>
        <v>0515-0 HMI</v>
      </c>
      <c r="B77" s="7" t="s">
        <v>163</v>
      </c>
      <c r="C77" s="8">
        <v>43600</v>
      </c>
      <c r="D77" s="27">
        <v>10</v>
      </c>
      <c r="E77" s="34" t="s">
        <v>152</v>
      </c>
      <c r="F77" s="24">
        <v>43598</v>
      </c>
      <c r="G77" s="21" t="s">
        <v>285</v>
      </c>
      <c r="H77" s="9"/>
    </row>
    <row r="78" spans="1:8" hidden="1" x14ac:dyDescent="0.2">
      <c r="A78" s="19" t="str">
        <f>TEXT(表3[[#This Row],[ETD]],"mmdd-h ")&amp;表3[[#This Row],[项目]]</f>
        <v>0515-0 HMI</v>
      </c>
      <c r="B78" s="7" t="s">
        <v>340</v>
      </c>
      <c r="C78" s="8">
        <v>43600</v>
      </c>
      <c r="D78" s="27">
        <v>11</v>
      </c>
      <c r="E78" s="34" t="s">
        <v>341</v>
      </c>
      <c r="F78" s="24">
        <v>43599</v>
      </c>
      <c r="G78" s="21" t="s">
        <v>285</v>
      </c>
      <c r="H78" s="9"/>
    </row>
    <row r="79" spans="1:8" hidden="1" x14ac:dyDescent="0.2">
      <c r="A79" s="7" t="str">
        <f>TEXT(表3[[#This Row],[ETD]],"mmdd-h ")&amp;表3[[#This Row],[项目]]</f>
        <v>0515-0 HMI</v>
      </c>
      <c r="B79" s="7" t="s">
        <v>164</v>
      </c>
      <c r="C79" s="8">
        <v>43600</v>
      </c>
      <c r="D79" s="27">
        <v>12</v>
      </c>
      <c r="E79" s="34" t="s">
        <v>154</v>
      </c>
      <c r="F79" s="24">
        <v>43599</v>
      </c>
      <c r="G79" s="21" t="s">
        <v>285</v>
      </c>
      <c r="H79" s="9" t="s">
        <v>153</v>
      </c>
    </row>
    <row r="80" spans="1:8" hidden="1" x14ac:dyDescent="0.2">
      <c r="A80" s="7" t="str">
        <f>TEXT(表3[[#This Row],[ETD]],"mmdd-h ")&amp;表3[[#This Row],[项目]]</f>
        <v>0515-0 HMI</v>
      </c>
      <c r="B80" s="7" t="s">
        <v>163</v>
      </c>
      <c r="C80" s="8">
        <v>43600</v>
      </c>
      <c r="D80" s="27">
        <v>13</v>
      </c>
      <c r="E80" s="34" t="s">
        <v>93</v>
      </c>
      <c r="F80" s="24">
        <v>43599</v>
      </c>
      <c r="G80" s="21" t="s">
        <v>285</v>
      </c>
      <c r="H80" s="9"/>
    </row>
    <row r="81" spans="1:8" hidden="1" x14ac:dyDescent="0.2">
      <c r="A81" s="7" t="str">
        <f>TEXT(表3[[#This Row],[ETD]],"mmdd-h ")&amp;表3[[#This Row],[项目]]</f>
        <v>0515-0 HMI</v>
      </c>
      <c r="B81" s="7" t="s">
        <v>163</v>
      </c>
      <c r="C81" s="8">
        <v>43600</v>
      </c>
      <c r="D81" s="27">
        <v>14</v>
      </c>
      <c r="E81" s="34" t="s">
        <v>95</v>
      </c>
      <c r="F81" s="24">
        <v>43599</v>
      </c>
      <c r="G81" s="21" t="s">
        <v>285</v>
      </c>
      <c r="H81" s="9"/>
    </row>
    <row r="82" spans="1:8" hidden="1" x14ac:dyDescent="0.2">
      <c r="A82" s="7" t="str">
        <f>TEXT(表3[[#This Row],[ETD]],"mmdd-h ")&amp;表3[[#This Row],[项目]]</f>
        <v>0515-0 HMI</v>
      </c>
      <c r="B82" s="7" t="s">
        <v>163</v>
      </c>
      <c r="C82" s="8">
        <v>43600</v>
      </c>
      <c r="D82" s="27">
        <v>15</v>
      </c>
      <c r="E82" s="34" t="s">
        <v>97</v>
      </c>
      <c r="F82" s="24">
        <v>43600</v>
      </c>
      <c r="G82" s="21" t="s">
        <v>285</v>
      </c>
      <c r="H82" s="9"/>
    </row>
    <row r="83" spans="1:8" hidden="1" x14ac:dyDescent="0.2">
      <c r="A83" s="7" t="str">
        <f>TEXT(表3[[#This Row],[ETD]],"mmdd-h ")&amp;表3[[#This Row],[项目]]</f>
        <v>0515-0 HMI</v>
      </c>
      <c r="B83" s="7" t="s">
        <v>163</v>
      </c>
      <c r="C83" s="8">
        <v>43600</v>
      </c>
      <c r="D83" s="27">
        <v>16</v>
      </c>
      <c r="E83" s="34" t="s">
        <v>281</v>
      </c>
      <c r="F83" s="24">
        <v>43600</v>
      </c>
      <c r="G83" s="21" t="s">
        <v>285</v>
      </c>
      <c r="H83" s="9"/>
    </row>
    <row r="84" spans="1:8" hidden="1" x14ac:dyDescent="0.2">
      <c r="A84" s="7" t="str">
        <f>TEXT(表3[[#This Row],[ETD]],"mmdd-h ")&amp;表3[[#This Row],[项目]]</f>
        <v>0515-0 JS mobis</v>
      </c>
      <c r="B84" s="7" t="s">
        <v>2</v>
      </c>
      <c r="C84" s="8">
        <v>43600</v>
      </c>
      <c r="D84" s="27">
        <v>1</v>
      </c>
      <c r="E84" s="34" t="s">
        <v>12</v>
      </c>
      <c r="F84" s="24">
        <v>43581</v>
      </c>
      <c r="G84" s="21" t="s">
        <v>223</v>
      </c>
      <c r="H84" s="9" t="s">
        <v>29</v>
      </c>
    </row>
    <row r="85" spans="1:8" hidden="1" x14ac:dyDescent="0.2">
      <c r="A85" s="7" t="str">
        <f>TEXT(表3[[#This Row],[ETD]],"mmdd-h ")&amp;表3[[#This Row],[项目]]</f>
        <v>0515-0 JS mobis</v>
      </c>
      <c r="B85" s="7" t="s">
        <v>2</v>
      </c>
      <c r="C85" s="8">
        <v>43600</v>
      </c>
      <c r="D85" s="27">
        <v>2</v>
      </c>
      <c r="E85" s="34" t="s">
        <v>62</v>
      </c>
      <c r="F85" s="24">
        <v>43591</v>
      </c>
      <c r="G85" s="21" t="s">
        <v>223</v>
      </c>
      <c r="H85" s="9" t="s">
        <v>31</v>
      </c>
    </row>
    <row r="86" spans="1:8" hidden="1" x14ac:dyDescent="0.2">
      <c r="A86" s="7" t="str">
        <f>TEXT(表3[[#This Row],[ETD]],"mmdd-h ")&amp;表3[[#This Row],[项目]]</f>
        <v>0515-0 JS mobis</v>
      </c>
      <c r="B86" s="7" t="s">
        <v>2</v>
      </c>
      <c r="C86" s="8">
        <v>43600</v>
      </c>
      <c r="D86" s="27">
        <v>3</v>
      </c>
      <c r="E86" s="34" t="s">
        <v>64</v>
      </c>
      <c r="F86" s="24">
        <v>43591</v>
      </c>
      <c r="G86" s="21" t="s">
        <v>223</v>
      </c>
      <c r="H86" s="9"/>
    </row>
    <row r="87" spans="1:8" hidden="1" x14ac:dyDescent="0.2">
      <c r="A87" s="7" t="str">
        <f>TEXT(表3[[#This Row],[ETD]],"mmdd-h ")&amp;表3[[#This Row],[项目]]</f>
        <v>0515-0 JS mobis</v>
      </c>
      <c r="B87" s="7" t="s">
        <v>2</v>
      </c>
      <c r="C87" s="8">
        <v>43600</v>
      </c>
      <c r="D87" s="27">
        <v>4</v>
      </c>
      <c r="E87" s="34" t="s">
        <v>66</v>
      </c>
      <c r="F87" s="24">
        <v>43591</v>
      </c>
      <c r="G87" s="21" t="s">
        <v>223</v>
      </c>
      <c r="H87" s="9" t="s">
        <v>44</v>
      </c>
    </row>
    <row r="88" spans="1:8" hidden="1" x14ac:dyDescent="0.2">
      <c r="A88" s="7" t="str">
        <f>TEXT(表3[[#This Row],[ETD]],"mmdd-h ")&amp;表3[[#This Row],[项目]]</f>
        <v>0515-0 JS mobis</v>
      </c>
      <c r="B88" s="7" t="s">
        <v>2</v>
      </c>
      <c r="C88" s="8">
        <v>43600</v>
      </c>
      <c r="D88" s="27">
        <v>5</v>
      </c>
      <c r="E88" s="34" t="s">
        <v>19</v>
      </c>
      <c r="F88" s="24">
        <v>43591</v>
      </c>
      <c r="G88" s="21" t="s">
        <v>223</v>
      </c>
      <c r="H88" s="9"/>
    </row>
    <row r="89" spans="1:8" hidden="1" x14ac:dyDescent="0.2">
      <c r="A89" s="7" t="str">
        <f>TEXT(表3[[#This Row],[ETD]],"mmdd-h ")&amp;表3[[#This Row],[项目]]</f>
        <v>0515-0 JS mobis</v>
      </c>
      <c r="B89" s="7" t="s">
        <v>2</v>
      </c>
      <c r="C89" s="8">
        <v>43600</v>
      </c>
      <c r="D89" s="27">
        <v>6</v>
      </c>
      <c r="E89" s="34" t="s">
        <v>21</v>
      </c>
      <c r="F89" s="24">
        <v>43591</v>
      </c>
      <c r="G89" s="21" t="s">
        <v>223</v>
      </c>
      <c r="H89" s="9"/>
    </row>
    <row r="90" spans="1:8" hidden="1" x14ac:dyDescent="0.2">
      <c r="A90" s="7" t="str">
        <f>TEXT(表3[[#This Row],[ETD]],"mmdd-h ")&amp;表3[[#This Row],[项目]]</f>
        <v>0515-0 JS mobis</v>
      </c>
      <c r="B90" s="7" t="s">
        <v>2</v>
      </c>
      <c r="C90" s="8">
        <v>43600</v>
      </c>
      <c r="D90" s="27">
        <v>7</v>
      </c>
      <c r="E90" s="34" t="s">
        <v>7</v>
      </c>
      <c r="F90" s="24">
        <v>43591</v>
      </c>
      <c r="G90" s="21" t="s">
        <v>223</v>
      </c>
      <c r="H90" s="9"/>
    </row>
    <row r="91" spans="1:8" hidden="1" x14ac:dyDescent="0.2">
      <c r="A91" s="7" t="str">
        <f>TEXT(表3[[#This Row],[ETD]],"mmdd-h ")&amp;表3[[#This Row],[项目]]</f>
        <v>0515-0 JS mobis</v>
      </c>
      <c r="B91" s="7" t="s">
        <v>2</v>
      </c>
      <c r="C91" s="8">
        <v>43600</v>
      </c>
      <c r="D91" s="27">
        <v>8</v>
      </c>
      <c r="E91" s="34" t="s">
        <v>9</v>
      </c>
      <c r="F91" s="24">
        <v>43592</v>
      </c>
      <c r="G91" s="21" t="s">
        <v>223</v>
      </c>
      <c r="H91" s="9"/>
    </row>
    <row r="92" spans="1:8" hidden="1" x14ac:dyDescent="0.2">
      <c r="A92" s="7" t="str">
        <f>TEXT(表3[[#This Row],[ETD]],"mmdd-h ")&amp;表3[[#This Row],[项目]]</f>
        <v>0515-0 JS mobis</v>
      </c>
      <c r="B92" s="7" t="s">
        <v>2</v>
      </c>
      <c r="C92" s="8">
        <v>43600</v>
      </c>
      <c r="D92" s="27">
        <v>9</v>
      </c>
      <c r="E92" s="34" t="s">
        <v>11</v>
      </c>
      <c r="F92" s="24">
        <v>43592</v>
      </c>
      <c r="G92" s="21" t="s">
        <v>223</v>
      </c>
      <c r="H92" s="9" t="s">
        <v>33</v>
      </c>
    </row>
    <row r="93" spans="1:8" hidden="1" x14ac:dyDescent="0.2">
      <c r="A93" s="7" t="str">
        <f>TEXT(表3[[#This Row],[ETD]],"mmdd-h ")&amp;表3[[#This Row],[项目]]</f>
        <v>0515-0 JS mobis</v>
      </c>
      <c r="B93" s="7" t="s">
        <v>2</v>
      </c>
      <c r="C93" s="8">
        <v>43600</v>
      </c>
      <c r="D93" s="27">
        <v>10</v>
      </c>
      <c r="E93" s="34" t="s">
        <v>60</v>
      </c>
      <c r="F93" s="24">
        <v>43592</v>
      </c>
      <c r="G93" s="21" t="s">
        <v>223</v>
      </c>
      <c r="H93" s="9"/>
    </row>
    <row r="94" spans="1:8" hidden="1" x14ac:dyDescent="0.2">
      <c r="A94" s="19" t="str">
        <f>TEXT(表3[[#This Row],[ETD]],"mmdd-h ")&amp;表3[[#This Row],[项目]]</f>
        <v>0515-0 JS mobis</v>
      </c>
      <c r="B94" s="7" t="s">
        <v>2</v>
      </c>
      <c r="C94" s="8">
        <v>43600</v>
      </c>
      <c r="D94" s="27">
        <v>11</v>
      </c>
      <c r="E94" s="34" t="s">
        <v>208</v>
      </c>
      <c r="F94" s="24">
        <v>43594</v>
      </c>
      <c r="G94" s="21" t="s">
        <v>223</v>
      </c>
      <c r="H94" s="9"/>
    </row>
    <row r="95" spans="1:8" hidden="1" x14ac:dyDescent="0.2">
      <c r="A95" s="19" t="str">
        <f>TEXT(表3[[#This Row],[ETD]],"mmdd-h ")&amp;表3[[#This Row],[项目]]</f>
        <v>0515-0 JS mobis</v>
      </c>
      <c r="B95" s="7" t="s">
        <v>2</v>
      </c>
      <c r="C95" s="8">
        <v>43600</v>
      </c>
      <c r="D95" s="27">
        <v>12</v>
      </c>
      <c r="E95" s="34" t="s">
        <v>209</v>
      </c>
      <c r="F95" s="24">
        <v>43594</v>
      </c>
      <c r="G95" s="21" t="s">
        <v>223</v>
      </c>
      <c r="H95" s="9"/>
    </row>
    <row r="96" spans="1:8" hidden="1" x14ac:dyDescent="0.2">
      <c r="A96" s="19" t="str">
        <f>TEXT(表3[[#This Row],[ETD]],"mmdd-h ")&amp;表3[[#This Row],[项目]]</f>
        <v>0515-0 JS mobis</v>
      </c>
      <c r="B96" s="7" t="s">
        <v>2</v>
      </c>
      <c r="C96" s="8">
        <v>43600</v>
      </c>
      <c r="D96" s="27">
        <v>13</v>
      </c>
      <c r="E96" s="34" t="s">
        <v>210</v>
      </c>
      <c r="F96" s="24">
        <v>43594</v>
      </c>
      <c r="G96" s="21" t="s">
        <v>223</v>
      </c>
      <c r="H96" s="9"/>
    </row>
    <row r="97" spans="1:8" hidden="1" x14ac:dyDescent="0.2">
      <c r="A97" s="19" t="str">
        <f>TEXT(表3[[#This Row],[ETD]],"mmdd-h ")&amp;表3[[#This Row],[项目]]</f>
        <v>0515-0 JS mobis</v>
      </c>
      <c r="B97" s="7" t="s">
        <v>2</v>
      </c>
      <c r="C97" s="8">
        <v>43600</v>
      </c>
      <c r="D97" s="27">
        <v>14</v>
      </c>
      <c r="E97" s="34" t="s">
        <v>211</v>
      </c>
      <c r="F97" s="24">
        <v>43594</v>
      </c>
      <c r="G97" s="21" t="s">
        <v>223</v>
      </c>
      <c r="H97" s="9"/>
    </row>
    <row r="98" spans="1:8" hidden="1" x14ac:dyDescent="0.2">
      <c r="A98" s="7" t="str">
        <f>TEXT(表3[[#This Row],[ETD]],"mmdd-h ")&amp;表3[[#This Row],[项目]]</f>
        <v>0515-0 KMM</v>
      </c>
      <c r="B98" s="7" t="s">
        <v>160</v>
      </c>
      <c r="C98" s="8">
        <v>43600</v>
      </c>
      <c r="D98" s="27">
        <v>1</v>
      </c>
      <c r="E98" s="34" t="s">
        <v>142</v>
      </c>
      <c r="F98" s="24">
        <v>43585</v>
      </c>
      <c r="G98" s="21" t="s">
        <v>223</v>
      </c>
      <c r="H98" s="9"/>
    </row>
    <row r="99" spans="1:8" hidden="1" x14ac:dyDescent="0.2">
      <c r="A99" s="7" t="str">
        <f>TEXT(表3[[#This Row],[ETD]],"mmdd-h ")&amp;表3[[#This Row],[项目]]</f>
        <v>0515-0 KMM</v>
      </c>
      <c r="B99" s="10" t="s">
        <v>160</v>
      </c>
      <c r="C99" s="11">
        <v>43600</v>
      </c>
      <c r="D99" s="27">
        <v>2</v>
      </c>
      <c r="E99" s="36" t="s">
        <v>155</v>
      </c>
      <c r="F99" s="24">
        <v>43592</v>
      </c>
      <c r="G99" s="22" t="s">
        <v>223</v>
      </c>
      <c r="H99" s="12"/>
    </row>
    <row r="100" spans="1:8" hidden="1" x14ac:dyDescent="0.2">
      <c r="A100" s="7" t="str">
        <f>TEXT(表3[[#This Row],[ETD]],"mmdd-h ")&amp;表3[[#This Row],[项目]]</f>
        <v>0515-0 KMM</v>
      </c>
      <c r="B100" s="7" t="s">
        <v>160</v>
      </c>
      <c r="C100" s="8">
        <v>43600</v>
      </c>
      <c r="D100" s="27">
        <v>3</v>
      </c>
      <c r="E100" s="34" t="s">
        <v>156</v>
      </c>
      <c r="F100" s="24">
        <v>43594</v>
      </c>
      <c r="G100" s="21" t="s">
        <v>223</v>
      </c>
      <c r="H100" s="9" t="s">
        <v>143</v>
      </c>
    </row>
    <row r="101" spans="1:8" hidden="1" x14ac:dyDescent="0.2">
      <c r="A101" s="7" t="str">
        <f>TEXT(表3[[#This Row],[ETD]],"mmdd-h ")&amp;表3[[#This Row],[项目]]</f>
        <v>0515-0 KMM</v>
      </c>
      <c r="B101" s="7" t="s">
        <v>160</v>
      </c>
      <c r="C101" s="8">
        <v>43600</v>
      </c>
      <c r="D101" s="27">
        <v>4</v>
      </c>
      <c r="E101" s="34" t="s">
        <v>147</v>
      </c>
      <c r="F101" s="24">
        <v>43594</v>
      </c>
      <c r="G101" s="21" t="s">
        <v>223</v>
      </c>
      <c r="H101" s="9"/>
    </row>
    <row r="102" spans="1:8" hidden="1" x14ac:dyDescent="0.2">
      <c r="A102" s="7" t="str">
        <f>TEXT(表3[[#This Row],[ETD]],"mmdd-h ")&amp;表3[[#This Row],[项目]]</f>
        <v>0515-0 KMM</v>
      </c>
      <c r="B102" s="7" t="s">
        <v>160</v>
      </c>
      <c r="C102" s="8">
        <v>43600</v>
      </c>
      <c r="D102" s="27">
        <v>5</v>
      </c>
      <c r="E102" s="34" t="s">
        <v>145</v>
      </c>
      <c r="F102" s="24">
        <v>43594</v>
      </c>
      <c r="G102" s="21" t="s">
        <v>223</v>
      </c>
      <c r="H102" s="9"/>
    </row>
    <row r="103" spans="1:8" hidden="1" x14ac:dyDescent="0.2">
      <c r="A103" s="7" t="str">
        <f>TEXT(表3[[#This Row],[ETD]],"mmdd-h ")&amp;表3[[#This Row],[项目]]</f>
        <v>0515-0 KMM</v>
      </c>
      <c r="B103" s="7" t="s">
        <v>160</v>
      </c>
      <c r="C103" s="8">
        <v>43600</v>
      </c>
      <c r="D103" s="27">
        <v>6</v>
      </c>
      <c r="E103" s="34" t="s">
        <v>149</v>
      </c>
      <c r="F103" s="24">
        <v>43594</v>
      </c>
      <c r="G103" s="21" t="s">
        <v>223</v>
      </c>
      <c r="H103" s="9" t="s">
        <v>150</v>
      </c>
    </row>
    <row r="104" spans="1:8" hidden="1" x14ac:dyDescent="0.2">
      <c r="A104" s="7" t="str">
        <f>TEXT(表3[[#This Row],[ETD]],"mmdd-h ")&amp;表3[[#This Row],[项目]]</f>
        <v>0515-0 KMM</v>
      </c>
      <c r="B104" s="7" t="s">
        <v>160</v>
      </c>
      <c r="C104" s="8">
        <v>43600</v>
      </c>
      <c r="D104" s="27">
        <v>7</v>
      </c>
      <c r="E104" s="34" t="s">
        <v>158</v>
      </c>
      <c r="F104" s="24">
        <v>43594</v>
      </c>
      <c r="G104" s="21" t="s">
        <v>223</v>
      </c>
      <c r="H104" s="9"/>
    </row>
    <row r="105" spans="1:8" hidden="1" x14ac:dyDescent="0.2">
      <c r="A105" s="7" t="str">
        <f>TEXT(表3[[#This Row],[ETD]],"mmdd-h ")&amp;表3[[#This Row],[项目]]</f>
        <v>0515-0 KMM</v>
      </c>
      <c r="B105" s="7" t="s">
        <v>160</v>
      </c>
      <c r="C105" s="8">
        <v>43600</v>
      </c>
      <c r="D105" s="27">
        <v>8</v>
      </c>
      <c r="E105" s="34" t="s">
        <v>165</v>
      </c>
      <c r="F105" s="24">
        <v>43595</v>
      </c>
      <c r="G105" s="21" t="s">
        <v>223</v>
      </c>
      <c r="H105" s="9" t="s">
        <v>161</v>
      </c>
    </row>
    <row r="106" spans="1:8" hidden="1" x14ac:dyDescent="0.2">
      <c r="A106" s="7" t="str">
        <f>TEXT(表3[[#This Row],[ETD]],"mmdd-h ")&amp;表3[[#This Row],[项目]]</f>
        <v>0515-0 KMM</v>
      </c>
      <c r="B106" s="7" t="s">
        <v>160</v>
      </c>
      <c r="C106" s="8">
        <v>43600</v>
      </c>
      <c r="D106" s="27">
        <v>9</v>
      </c>
      <c r="E106" s="34" t="s">
        <v>184</v>
      </c>
      <c r="F106" s="24">
        <v>43595</v>
      </c>
      <c r="G106" s="21" t="s">
        <v>223</v>
      </c>
      <c r="H106" s="9" t="s">
        <v>170</v>
      </c>
    </row>
    <row r="107" spans="1:8" hidden="1" x14ac:dyDescent="0.2">
      <c r="A107" s="7" t="str">
        <f>TEXT(表3[[#This Row],[ETD]],"mmdd-h ")&amp;表3[[#This Row],[项目]]</f>
        <v>0515-0 KMM</v>
      </c>
      <c r="B107" s="7" t="s">
        <v>160</v>
      </c>
      <c r="C107" s="8">
        <v>43600</v>
      </c>
      <c r="D107" s="27">
        <v>10</v>
      </c>
      <c r="E107" s="34" t="s">
        <v>152</v>
      </c>
      <c r="F107" s="24">
        <v>43595</v>
      </c>
      <c r="G107" s="21" t="s">
        <v>223</v>
      </c>
      <c r="H107" s="9"/>
    </row>
    <row r="108" spans="1:8" hidden="1" x14ac:dyDescent="0.2">
      <c r="A108" s="19" t="str">
        <f>TEXT(表3[[#This Row],[ETD]],"mmdd-h ")&amp;表3[[#This Row],[项目]]</f>
        <v>0515-0 KMM</v>
      </c>
      <c r="B108" s="7" t="s">
        <v>234</v>
      </c>
      <c r="C108" s="8">
        <v>43600</v>
      </c>
      <c r="D108" s="27">
        <v>11</v>
      </c>
      <c r="E108" s="34" t="s">
        <v>232</v>
      </c>
      <c r="F108" s="24">
        <v>43595</v>
      </c>
      <c r="G108" s="21" t="s">
        <v>1</v>
      </c>
      <c r="H108" s="9"/>
    </row>
    <row r="109" spans="1:8" hidden="1" x14ac:dyDescent="0.2">
      <c r="A109" s="7" t="str">
        <f>TEXT(表3[[#This Row],[ETD]],"mmdd-h ")&amp;表3[[#This Row],[项目]]</f>
        <v>0515-0 KMM</v>
      </c>
      <c r="B109" s="7" t="s">
        <v>160</v>
      </c>
      <c r="C109" s="8">
        <v>43600</v>
      </c>
      <c r="D109" s="27">
        <v>12</v>
      </c>
      <c r="E109" s="34" t="s">
        <v>154</v>
      </c>
      <c r="F109" s="24">
        <v>43595</v>
      </c>
      <c r="G109" s="21" t="s">
        <v>284</v>
      </c>
      <c r="H109" s="9" t="s">
        <v>153</v>
      </c>
    </row>
    <row r="110" spans="1:8" hidden="1" x14ac:dyDescent="0.2">
      <c r="A110" s="7" t="str">
        <f>TEXT(表3[[#This Row],[ETD]],"mmdd-h ")&amp;表3[[#This Row],[项目]]</f>
        <v>0515-0 KMM</v>
      </c>
      <c r="B110" s="7" t="s">
        <v>160</v>
      </c>
      <c r="C110" s="8">
        <v>43600</v>
      </c>
      <c r="D110" s="27">
        <v>13</v>
      </c>
      <c r="E110" s="34" t="s">
        <v>93</v>
      </c>
      <c r="F110" s="24">
        <v>43595</v>
      </c>
      <c r="G110" s="21" t="s">
        <v>243</v>
      </c>
      <c r="H110" s="9"/>
    </row>
    <row r="111" spans="1:8" hidden="1" x14ac:dyDescent="0.2">
      <c r="A111" s="7" t="str">
        <f>TEXT(表3[[#This Row],[ETD]],"mmdd-h ")&amp;表3[[#This Row],[项目]]</f>
        <v>0515-0 KMM</v>
      </c>
      <c r="B111" s="7" t="s">
        <v>160</v>
      </c>
      <c r="C111" s="8">
        <v>43600</v>
      </c>
      <c r="D111" s="27">
        <v>14</v>
      </c>
      <c r="E111" s="34" t="s">
        <v>95</v>
      </c>
      <c r="F111" s="24">
        <v>43598</v>
      </c>
      <c r="G111" s="21" t="s">
        <v>285</v>
      </c>
      <c r="H111" s="9"/>
    </row>
    <row r="112" spans="1:8" hidden="1" x14ac:dyDescent="0.2">
      <c r="A112" s="7" t="str">
        <f>TEXT(表3[[#This Row],[ETD]],"mmdd-h ")&amp;表3[[#This Row],[项目]]</f>
        <v>0515-0 KMM</v>
      </c>
      <c r="B112" s="7" t="s">
        <v>160</v>
      </c>
      <c r="C112" s="8">
        <v>43600</v>
      </c>
      <c r="D112" s="27">
        <v>15</v>
      </c>
      <c r="E112" s="34" t="s">
        <v>97</v>
      </c>
      <c r="F112" s="24">
        <v>43599</v>
      </c>
      <c r="G112" s="21" t="s">
        <v>285</v>
      </c>
      <c r="H112" s="9"/>
    </row>
    <row r="113" spans="1:8" hidden="1" x14ac:dyDescent="0.2">
      <c r="A113" s="7" t="str">
        <f>TEXT(表3[[#This Row],[ETD]],"mmdd-h ")&amp;表3[[#This Row],[项目]]</f>
        <v>0515-0 KMM</v>
      </c>
      <c r="B113" s="7" t="s">
        <v>160</v>
      </c>
      <c r="C113" s="8">
        <v>43600</v>
      </c>
      <c r="D113" s="27">
        <v>16</v>
      </c>
      <c r="E113" s="34" t="s">
        <v>281</v>
      </c>
      <c r="F113" s="24">
        <v>43600</v>
      </c>
      <c r="G113" s="21" t="s">
        <v>285</v>
      </c>
      <c r="H113" s="9"/>
    </row>
    <row r="114" spans="1:8" hidden="1" x14ac:dyDescent="0.2">
      <c r="A114" s="7" t="str">
        <f>TEXT(表3[[#This Row],[ETD]],"mmdd-h ")&amp;表3[[#This Row],[项目]]</f>
        <v>0517-0 JS mobis</v>
      </c>
      <c r="B114" s="10" t="s">
        <v>2</v>
      </c>
      <c r="C114" s="11">
        <v>43602</v>
      </c>
      <c r="D114" s="27">
        <v>1</v>
      </c>
      <c r="E114" s="36" t="s">
        <v>12</v>
      </c>
      <c r="F114" s="24">
        <v>43581</v>
      </c>
      <c r="G114" s="22" t="s">
        <v>337</v>
      </c>
      <c r="H114" s="12" t="s">
        <v>29</v>
      </c>
    </row>
    <row r="115" spans="1:8" hidden="1" x14ac:dyDescent="0.2">
      <c r="A115" s="7" t="str">
        <f>TEXT(表3[[#This Row],[ETD]],"mmdd-h ")&amp;表3[[#This Row],[项目]]</f>
        <v>0517-0 JS mobis</v>
      </c>
      <c r="B115" s="7" t="s">
        <v>2</v>
      </c>
      <c r="C115" s="8">
        <v>43602</v>
      </c>
      <c r="D115" s="27">
        <v>2</v>
      </c>
      <c r="E115" s="34" t="s">
        <v>62</v>
      </c>
      <c r="F115" s="24">
        <v>43591</v>
      </c>
      <c r="G115" s="21" t="s">
        <v>337</v>
      </c>
      <c r="H115" s="9" t="s">
        <v>31</v>
      </c>
    </row>
    <row r="116" spans="1:8" hidden="1" x14ac:dyDescent="0.2">
      <c r="A116" s="7" t="str">
        <f>TEXT(表3[[#This Row],[ETD]],"mmdd-h ")&amp;表3[[#This Row],[项目]]</f>
        <v>0517-0 JS mobis</v>
      </c>
      <c r="B116" s="7" t="s">
        <v>2</v>
      </c>
      <c r="C116" s="8">
        <v>43602</v>
      </c>
      <c r="D116" s="27">
        <v>3</v>
      </c>
      <c r="E116" s="34" t="s">
        <v>64</v>
      </c>
      <c r="F116" s="24">
        <v>43591</v>
      </c>
      <c r="G116" s="21" t="s">
        <v>337</v>
      </c>
      <c r="H116" s="9"/>
    </row>
    <row r="117" spans="1:8" hidden="1" x14ac:dyDescent="0.2">
      <c r="A117" s="7" t="str">
        <f>TEXT(表3[[#This Row],[ETD]],"mmdd-h ")&amp;表3[[#This Row],[项目]]</f>
        <v>0517-0 JS mobis</v>
      </c>
      <c r="B117" s="7" t="s">
        <v>2</v>
      </c>
      <c r="C117" s="8">
        <v>43602</v>
      </c>
      <c r="D117" s="27">
        <v>4</v>
      </c>
      <c r="E117" s="34" t="s">
        <v>66</v>
      </c>
      <c r="F117" s="24">
        <v>43591</v>
      </c>
      <c r="G117" s="21" t="s">
        <v>337</v>
      </c>
      <c r="H117" s="9" t="s">
        <v>44</v>
      </c>
    </row>
    <row r="118" spans="1:8" hidden="1" x14ac:dyDescent="0.2">
      <c r="A118" s="7" t="str">
        <f>TEXT(表3[[#This Row],[ETD]],"mmdd-h ")&amp;表3[[#This Row],[项目]]</f>
        <v>0517-0 JS mobis</v>
      </c>
      <c r="B118" s="7" t="s">
        <v>2</v>
      </c>
      <c r="C118" s="8">
        <v>43602</v>
      </c>
      <c r="D118" s="27">
        <v>5</v>
      </c>
      <c r="E118" s="34" t="s">
        <v>19</v>
      </c>
      <c r="F118" s="24">
        <v>43591</v>
      </c>
      <c r="G118" s="21" t="s">
        <v>337</v>
      </c>
      <c r="H118" s="9"/>
    </row>
    <row r="119" spans="1:8" hidden="1" x14ac:dyDescent="0.2">
      <c r="A119" s="7" t="str">
        <f>TEXT(表3[[#This Row],[ETD]],"mmdd-h ")&amp;表3[[#This Row],[项目]]</f>
        <v>0517-0 JS mobis</v>
      </c>
      <c r="B119" s="7" t="s">
        <v>2</v>
      </c>
      <c r="C119" s="8">
        <v>43602</v>
      </c>
      <c r="D119" s="27">
        <v>6</v>
      </c>
      <c r="E119" s="34" t="s">
        <v>21</v>
      </c>
      <c r="F119" s="24">
        <v>43591</v>
      </c>
      <c r="G119" s="21" t="s">
        <v>337</v>
      </c>
      <c r="H119" s="9"/>
    </row>
    <row r="120" spans="1:8" hidden="1" x14ac:dyDescent="0.2">
      <c r="A120" s="7" t="str">
        <f>TEXT(表3[[#This Row],[ETD]],"mmdd-h ")&amp;表3[[#This Row],[项目]]</f>
        <v>0517-0 JS mobis</v>
      </c>
      <c r="B120" s="7" t="s">
        <v>2</v>
      </c>
      <c r="C120" s="8">
        <v>43602</v>
      </c>
      <c r="D120" s="27">
        <v>7</v>
      </c>
      <c r="E120" s="34" t="s">
        <v>7</v>
      </c>
      <c r="F120" s="24">
        <v>43592</v>
      </c>
      <c r="G120" s="21" t="s">
        <v>338</v>
      </c>
      <c r="H120" s="9"/>
    </row>
    <row r="121" spans="1:8" hidden="1" x14ac:dyDescent="0.2">
      <c r="A121" s="7" t="str">
        <f>TEXT(表3[[#This Row],[ETD]],"mmdd-h ")&amp;表3[[#This Row],[项目]]</f>
        <v>0517-0 JS mobis</v>
      </c>
      <c r="B121" s="7" t="s">
        <v>2</v>
      </c>
      <c r="C121" s="8">
        <v>43602</v>
      </c>
      <c r="D121" s="27">
        <v>8</v>
      </c>
      <c r="E121" s="34" t="s">
        <v>9</v>
      </c>
      <c r="F121" s="24">
        <v>43592</v>
      </c>
      <c r="G121" s="21" t="s">
        <v>337</v>
      </c>
      <c r="H121" s="9"/>
    </row>
    <row r="122" spans="1:8" hidden="1" x14ac:dyDescent="0.2">
      <c r="A122" s="7" t="str">
        <f>TEXT(表3[[#This Row],[ETD]],"mmdd-h ")&amp;表3[[#This Row],[项目]]</f>
        <v>0517-0 JS mobis</v>
      </c>
      <c r="B122" s="7" t="s">
        <v>2</v>
      </c>
      <c r="C122" s="8">
        <v>43602</v>
      </c>
      <c r="D122" s="27">
        <v>9</v>
      </c>
      <c r="E122" s="34" t="s">
        <v>11</v>
      </c>
      <c r="F122" s="24">
        <v>43592</v>
      </c>
      <c r="G122" s="21" t="s">
        <v>337</v>
      </c>
      <c r="H122" s="9" t="s">
        <v>33</v>
      </c>
    </row>
    <row r="123" spans="1:8" hidden="1" x14ac:dyDescent="0.2">
      <c r="A123" s="7" t="str">
        <f>TEXT(表3[[#This Row],[ETD]],"mmdd-h ")&amp;表3[[#This Row],[项目]]</f>
        <v>0517-0 JS mobis</v>
      </c>
      <c r="B123" s="7" t="s">
        <v>2</v>
      </c>
      <c r="C123" s="8">
        <v>43602</v>
      </c>
      <c r="D123" s="27">
        <v>10</v>
      </c>
      <c r="E123" s="34" t="s">
        <v>60</v>
      </c>
      <c r="F123" s="24">
        <v>43592</v>
      </c>
      <c r="G123" s="21" t="s">
        <v>337</v>
      </c>
      <c r="H123" s="9"/>
    </row>
    <row r="124" spans="1:8" hidden="1" x14ac:dyDescent="0.2">
      <c r="A124" s="7" t="str">
        <f>TEXT(表3[[#This Row],[ETD]],"mmdd-h ")&amp;表3[[#This Row],[项目]]</f>
        <v>0517-0 JS mobis</v>
      </c>
      <c r="B124" s="7" t="s">
        <v>2</v>
      </c>
      <c r="C124" s="8">
        <v>43602</v>
      </c>
      <c r="D124" s="27">
        <v>11</v>
      </c>
      <c r="E124" s="34" t="s">
        <v>28</v>
      </c>
      <c r="F124" s="24">
        <v>43598</v>
      </c>
      <c r="G124" s="21" t="s">
        <v>337</v>
      </c>
      <c r="H124" s="9" t="s">
        <v>35</v>
      </c>
    </row>
    <row r="125" spans="1:8" hidden="1" x14ac:dyDescent="0.2">
      <c r="A125" s="7" t="str">
        <f>TEXT(表3[[#This Row],[ETD]],"mmdd-h ")&amp;表3[[#This Row],[项目]]</f>
        <v>0517-0 JS mobis</v>
      </c>
      <c r="B125" s="7" t="s">
        <v>2</v>
      </c>
      <c r="C125" s="8">
        <v>43602</v>
      </c>
      <c r="D125" s="27">
        <v>12</v>
      </c>
      <c r="E125" s="34" t="s">
        <v>40</v>
      </c>
      <c r="F125" s="24">
        <v>43598</v>
      </c>
      <c r="G125" s="21" t="s">
        <v>337</v>
      </c>
      <c r="H125" s="9"/>
    </row>
    <row r="126" spans="1:8" hidden="1" x14ac:dyDescent="0.2">
      <c r="A126" s="7" t="str">
        <f>TEXT(表3[[#This Row],[ETD]],"mmdd-h ")&amp;表3[[#This Row],[项目]]</f>
        <v>0517-0 JS mobis</v>
      </c>
      <c r="B126" s="7" t="s">
        <v>2</v>
      </c>
      <c r="C126" s="8">
        <v>43602</v>
      </c>
      <c r="D126" s="27">
        <v>13</v>
      </c>
      <c r="E126" s="34" t="s">
        <v>23</v>
      </c>
      <c r="F126" s="24">
        <v>43598</v>
      </c>
      <c r="G126" s="21" t="s">
        <v>337</v>
      </c>
      <c r="H126" s="9"/>
    </row>
    <row r="127" spans="1:8" hidden="1" x14ac:dyDescent="0.2">
      <c r="A127" s="7" t="str">
        <f>TEXT(表3[[#This Row],[ETD]],"mmdd-h ")&amp;表3[[#This Row],[项目]]</f>
        <v>0517-0 JS mobis</v>
      </c>
      <c r="B127" s="7" t="s">
        <v>2</v>
      </c>
      <c r="C127" s="8">
        <v>43602</v>
      </c>
      <c r="D127" s="27">
        <v>14</v>
      </c>
      <c r="E127" s="34" t="s">
        <v>25</v>
      </c>
      <c r="F127" s="24">
        <v>43598</v>
      </c>
      <c r="G127" s="21" t="s">
        <v>337</v>
      </c>
      <c r="H127" s="9"/>
    </row>
    <row r="128" spans="1:8" hidden="1" x14ac:dyDescent="0.2">
      <c r="A128" s="7" t="str">
        <f>TEXT(表3[[#This Row],[ETD]],"mmdd-h ")&amp;表3[[#This Row],[项目]]</f>
        <v>0517-0 JS mobis</v>
      </c>
      <c r="B128" s="7" t="s">
        <v>2</v>
      </c>
      <c r="C128" s="8">
        <v>43602</v>
      </c>
      <c r="D128" s="27">
        <v>15</v>
      </c>
      <c r="E128" s="34" t="s">
        <v>13</v>
      </c>
      <c r="F128" s="24">
        <v>43598</v>
      </c>
      <c r="G128" s="21" t="s">
        <v>337</v>
      </c>
      <c r="H128" s="9"/>
    </row>
    <row r="129" spans="1:8" hidden="1" x14ac:dyDescent="0.2">
      <c r="A129" s="7" t="str">
        <f>TEXT(表3[[#This Row],[ETD]],"mmdd-h ")&amp;表3[[#This Row],[项目]]</f>
        <v>0517-0 JS mobis</v>
      </c>
      <c r="B129" s="7" t="s">
        <v>2</v>
      </c>
      <c r="C129" s="8">
        <v>43602</v>
      </c>
      <c r="D129" s="27">
        <v>16</v>
      </c>
      <c r="E129" s="34" t="s">
        <v>15</v>
      </c>
      <c r="F129" s="24">
        <v>43598</v>
      </c>
      <c r="G129" s="21" t="s">
        <v>337</v>
      </c>
      <c r="H129" s="9"/>
    </row>
    <row r="130" spans="1:8" hidden="1" x14ac:dyDescent="0.2">
      <c r="A130" s="7" t="str">
        <f>TEXT(表3[[#This Row],[ETD]],"mmdd-h ")&amp;表3[[#This Row],[项目]]</f>
        <v>0517-0 JS mobis</v>
      </c>
      <c r="B130" s="10" t="s">
        <v>2</v>
      </c>
      <c r="C130" s="11">
        <v>43602</v>
      </c>
      <c r="D130" s="27">
        <v>17</v>
      </c>
      <c r="E130" s="36" t="s">
        <v>17</v>
      </c>
      <c r="F130" s="24">
        <v>43598</v>
      </c>
      <c r="G130" s="22" t="s">
        <v>337</v>
      </c>
      <c r="H130" s="12"/>
    </row>
    <row r="131" spans="1:8" hidden="1" x14ac:dyDescent="0.2">
      <c r="A131" s="7" t="str">
        <f>TEXT(表3[[#This Row],[ETD]],"mmdd-h ")&amp;表3[[#This Row],[项目]]</f>
        <v>0517-0 JS mobis</v>
      </c>
      <c r="B131" s="10" t="s">
        <v>2</v>
      </c>
      <c r="C131" s="8">
        <v>43602</v>
      </c>
      <c r="D131" s="27">
        <v>18</v>
      </c>
      <c r="E131" s="36" t="s">
        <v>58</v>
      </c>
      <c r="F131" s="24">
        <v>43598</v>
      </c>
      <c r="G131" s="22" t="s">
        <v>337</v>
      </c>
      <c r="H131" s="12"/>
    </row>
    <row r="132" spans="1:8" hidden="1" x14ac:dyDescent="0.2">
      <c r="A132" s="7" t="str">
        <f>TEXT(表3[[#This Row],[ETD]],"mmdd-h ")&amp;表3[[#This Row],[项目]]</f>
        <v>0517-0 JS mobis</v>
      </c>
      <c r="B132" s="10" t="s">
        <v>2</v>
      </c>
      <c r="C132" s="11">
        <v>43602</v>
      </c>
      <c r="D132" s="27">
        <v>19</v>
      </c>
      <c r="E132" s="36" t="s">
        <v>27</v>
      </c>
      <c r="F132" s="25">
        <v>43599</v>
      </c>
      <c r="G132" s="22" t="s">
        <v>337</v>
      </c>
      <c r="H132" s="12" t="s">
        <v>37</v>
      </c>
    </row>
    <row r="133" spans="1:8" hidden="1" x14ac:dyDescent="0.2">
      <c r="A133" s="10" t="str">
        <f>TEXT(表3[[#This Row],[ETD]],"mmdd-h ")&amp;表3[[#This Row],[项目]]</f>
        <v>0517-0 JS mobis</v>
      </c>
      <c r="B133" s="7" t="s">
        <v>2</v>
      </c>
      <c r="C133" s="8">
        <v>43602</v>
      </c>
      <c r="D133" s="27">
        <v>20</v>
      </c>
      <c r="E133" s="34" t="s">
        <v>39</v>
      </c>
      <c r="F133" s="25">
        <v>43599</v>
      </c>
      <c r="G133" s="21" t="s">
        <v>337</v>
      </c>
      <c r="H133" s="9"/>
    </row>
    <row r="134" spans="1:8" hidden="1" x14ac:dyDescent="0.2">
      <c r="A134" s="10" t="str">
        <f>TEXT(表3[[#This Row],[ETD]],"mmdd-h ")&amp;表3[[#This Row],[项目]]</f>
        <v>0517-0 JS mobis</v>
      </c>
      <c r="B134" s="10" t="s">
        <v>2</v>
      </c>
      <c r="C134" s="11">
        <v>43602</v>
      </c>
      <c r="D134" s="27">
        <v>21</v>
      </c>
      <c r="E134" s="36" t="s">
        <v>42</v>
      </c>
      <c r="F134" s="25">
        <v>43599</v>
      </c>
      <c r="G134" s="22" t="s">
        <v>337</v>
      </c>
      <c r="H134" s="12"/>
    </row>
    <row r="135" spans="1:8" hidden="1" x14ac:dyDescent="0.2">
      <c r="A135" s="7" t="str">
        <f>TEXT(表3[[#This Row],[ETD]],"mmdd-h ")&amp;表3[[#This Row],[项目]]</f>
        <v>0517-0 JS mobis</v>
      </c>
      <c r="B135" s="7" t="s">
        <v>2</v>
      </c>
      <c r="C135" s="11">
        <v>43602</v>
      </c>
      <c r="D135" s="27">
        <v>22</v>
      </c>
      <c r="E135" s="34" t="s">
        <v>46</v>
      </c>
      <c r="F135" s="25">
        <v>43599</v>
      </c>
      <c r="G135" s="21" t="s">
        <v>337</v>
      </c>
      <c r="H135" s="9"/>
    </row>
    <row r="136" spans="1:8" hidden="1" x14ac:dyDescent="0.2">
      <c r="A136" s="7" t="str">
        <f>TEXT(表3[[#This Row],[ETD]],"mmdd-h ")&amp;表3[[#This Row],[项目]]</f>
        <v>0517-0 JS mobis</v>
      </c>
      <c r="B136" s="7" t="s">
        <v>2</v>
      </c>
      <c r="C136" s="11">
        <v>43602</v>
      </c>
      <c r="D136" s="27">
        <v>23</v>
      </c>
      <c r="E136" s="34" t="s">
        <v>43</v>
      </c>
      <c r="F136" s="24">
        <v>43599</v>
      </c>
      <c r="G136" s="21" t="s">
        <v>337</v>
      </c>
      <c r="H136" s="9" t="s">
        <v>44</v>
      </c>
    </row>
    <row r="137" spans="1:8" hidden="1" x14ac:dyDescent="0.2">
      <c r="A137" s="7" t="str">
        <f>TEXT(表3[[#This Row],[ETD]],"mmdd-h ")&amp;表3[[#This Row],[项目]]</f>
        <v>0517-0 JS mobis</v>
      </c>
      <c r="B137" s="7" t="s">
        <v>2</v>
      </c>
      <c r="C137" s="11">
        <v>43602</v>
      </c>
      <c r="D137" s="27">
        <v>24</v>
      </c>
      <c r="E137" s="34" t="s">
        <v>174</v>
      </c>
      <c r="F137" s="24">
        <v>43599</v>
      </c>
      <c r="G137" s="21" t="s">
        <v>337</v>
      </c>
      <c r="H137" s="9" t="s">
        <v>170</v>
      </c>
    </row>
    <row r="138" spans="1:8" hidden="1" x14ac:dyDescent="0.2">
      <c r="A138" s="7" t="str">
        <f>TEXT(表3[[#This Row],[ETD]],"mmdd-h ")&amp;表3[[#This Row],[项目]]</f>
        <v>0517-0 JS mobis</v>
      </c>
      <c r="B138" s="7" t="s">
        <v>2</v>
      </c>
      <c r="C138" s="11">
        <v>43602</v>
      </c>
      <c r="D138" s="27">
        <v>25</v>
      </c>
      <c r="E138" s="34" t="s">
        <v>50</v>
      </c>
      <c r="F138" s="24">
        <v>43599</v>
      </c>
      <c r="G138" s="21" t="s">
        <v>337</v>
      </c>
      <c r="H138" s="9" t="s">
        <v>44</v>
      </c>
    </row>
    <row r="139" spans="1:8" hidden="1" x14ac:dyDescent="0.2">
      <c r="A139" s="7" t="str">
        <f>TEXT(表3[[#This Row],[ETD]],"mmdd-h ")&amp;表3[[#This Row],[项目]]</f>
        <v>0517-0 JS mobis</v>
      </c>
      <c r="B139" s="7" t="s">
        <v>2</v>
      </c>
      <c r="C139" s="11">
        <v>43602</v>
      </c>
      <c r="D139" s="27">
        <v>26</v>
      </c>
      <c r="E139" s="34" t="s">
        <v>56</v>
      </c>
      <c r="F139" s="24">
        <v>43599</v>
      </c>
      <c r="G139" s="21" t="s">
        <v>337</v>
      </c>
      <c r="H139" s="9"/>
    </row>
    <row r="140" spans="1:8" hidden="1" x14ac:dyDescent="0.2">
      <c r="A140" s="7" t="str">
        <f>TEXT(表3[[#This Row],[ETD]],"mmdd-h ")&amp;表3[[#This Row],[项目]]</f>
        <v>0517-0 JS mobis</v>
      </c>
      <c r="B140" s="7" t="s">
        <v>2</v>
      </c>
      <c r="C140" s="11">
        <v>43602</v>
      </c>
      <c r="D140" s="27">
        <v>27</v>
      </c>
      <c r="E140" s="34" t="s">
        <v>87</v>
      </c>
      <c r="F140" s="24">
        <v>43599</v>
      </c>
      <c r="G140" s="21" t="s">
        <v>337</v>
      </c>
      <c r="H140" s="9"/>
    </row>
    <row r="141" spans="1:8" hidden="1" x14ac:dyDescent="0.2">
      <c r="A141" s="7" t="str">
        <f>TEXT(表3[[#This Row],[ETD]],"mmdd-h ")&amp;表3[[#This Row],[项目]]</f>
        <v>0517-0 JS mobis</v>
      </c>
      <c r="B141" s="7" t="s">
        <v>2</v>
      </c>
      <c r="C141" s="11">
        <v>43602</v>
      </c>
      <c r="D141" s="27">
        <v>28</v>
      </c>
      <c r="E141" s="34" t="s">
        <v>68</v>
      </c>
      <c r="F141" s="24">
        <v>43599</v>
      </c>
      <c r="G141" s="21" t="s">
        <v>337</v>
      </c>
      <c r="H141" s="9"/>
    </row>
    <row r="142" spans="1:8" hidden="1" x14ac:dyDescent="0.2">
      <c r="A142" s="7" t="str">
        <f>TEXT(表3[[#This Row],[ETD]],"mmdd-h ")&amp;表3[[#This Row],[项目]]</f>
        <v>0517-0 JS mobis</v>
      </c>
      <c r="B142" s="7" t="s">
        <v>2</v>
      </c>
      <c r="C142" s="11">
        <v>43602</v>
      </c>
      <c r="D142" s="27">
        <v>29</v>
      </c>
      <c r="E142" s="34" t="s">
        <v>83</v>
      </c>
      <c r="F142" s="24">
        <v>43599</v>
      </c>
      <c r="G142" s="21" t="s">
        <v>337</v>
      </c>
      <c r="H142" s="9"/>
    </row>
    <row r="143" spans="1:8" hidden="1" x14ac:dyDescent="0.2">
      <c r="A143" s="7" t="str">
        <f>TEXT(表3[[#This Row],[ETD]],"mmdd-h ")&amp;表3[[#This Row],[项目]]</f>
        <v>0517-0 JS mobis</v>
      </c>
      <c r="B143" s="7" t="s">
        <v>2</v>
      </c>
      <c r="C143" s="11">
        <v>43602</v>
      </c>
      <c r="D143" s="27">
        <v>30</v>
      </c>
      <c r="E143" s="34" t="s">
        <v>85</v>
      </c>
      <c r="F143" s="24">
        <v>43599</v>
      </c>
      <c r="G143" s="21" t="s">
        <v>337</v>
      </c>
      <c r="H143" s="9"/>
    </row>
    <row r="144" spans="1:8" hidden="1" x14ac:dyDescent="0.2">
      <c r="A144" s="7" t="str">
        <f>TEXT(表3[[#This Row],[ETD]],"mmdd-h ")&amp;表3[[#This Row],[项目]]</f>
        <v>0517-0 JS mobis</v>
      </c>
      <c r="B144" s="7" t="s">
        <v>2</v>
      </c>
      <c r="C144" s="11">
        <v>43602</v>
      </c>
      <c r="D144" s="27">
        <v>31</v>
      </c>
      <c r="E144" s="34" t="s">
        <v>75</v>
      </c>
      <c r="F144" s="24">
        <v>43599</v>
      </c>
      <c r="G144" s="21" t="s">
        <v>337</v>
      </c>
      <c r="H144" s="9" t="s">
        <v>72</v>
      </c>
    </row>
    <row r="145" spans="1:8" hidden="1" x14ac:dyDescent="0.2">
      <c r="A145" s="7" t="str">
        <f>TEXT(表3[[#This Row],[ETD]],"mmdd-h ")&amp;表3[[#This Row],[项目]]</f>
        <v>0517-0 JS mobis</v>
      </c>
      <c r="B145" s="7" t="s">
        <v>2</v>
      </c>
      <c r="C145" s="11">
        <v>43602</v>
      </c>
      <c r="D145" s="27">
        <v>32</v>
      </c>
      <c r="E145" s="34" t="s">
        <v>70</v>
      </c>
      <c r="F145" s="24">
        <v>43599</v>
      </c>
      <c r="G145" s="21" t="s">
        <v>337</v>
      </c>
      <c r="H145" s="9"/>
    </row>
    <row r="146" spans="1:8" hidden="1" x14ac:dyDescent="0.2">
      <c r="A146" s="7" t="str">
        <f>TEXT(表3[[#This Row],[ETD]],"mmdd-h ")&amp;表3[[#This Row],[项目]]</f>
        <v>0517-0 JS mobis</v>
      </c>
      <c r="B146" s="7" t="s">
        <v>2</v>
      </c>
      <c r="C146" s="11">
        <v>43602</v>
      </c>
      <c r="D146" s="27">
        <v>33</v>
      </c>
      <c r="E146" s="34" t="s">
        <v>47</v>
      </c>
      <c r="F146" s="24">
        <v>43599</v>
      </c>
      <c r="G146" s="21" t="s">
        <v>337</v>
      </c>
      <c r="H146" s="9" t="s">
        <v>33</v>
      </c>
    </row>
    <row r="147" spans="1:8" hidden="1" x14ac:dyDescent="0.2">
      <c r="A147" s="7" t="str">
        <f>TEXT(表3[[#This Row],[ETD]],"mmdd-h ")&amp;表3[[#This Row],[项目]]</f>
        <v>0517-0 JS mobis</v>
      </c>
      <c r="B147" s="7" t="s">
        <v>2</v>
      </c>
      <c r="C147" s="11">
        <v>43602</v>
      </c>
      <c r="D147" s="27">
        <v>34</v>
      </c>
      <c r="E147" s="34" t="s">
        <v>48</v>
      </c>
      <c r="F147" s="24">
        <v>43599</v>
      </c>
      <c r="G147" s="21" t="s">
        <v>337</v>
      </c>
      <c r="H147" s="9" t="s">
        <v>44</v>
      </c>
    </row>
    <row r="148" spans="1:8" hidden="1" x14ac:dyDescent="0.2">
      <c r="A148" s="7" t="str">
        <f>TEXT(表3[[#This Row],[ETD]],"mmdd-h ")&amp;表3[[#This Row],[项目]]</f>
        <v>0517-0 JS mobis</v>
      </c>
      <c r="B148" s="7" t="s">
        <v>2</v>
      </c>
      <c r="C148" s="11">
        <v>43602</v>
      </c>
      <c r="D148" s="27">
        <v>35</v>
      </c>
      <c r="E148" s="34" t="s">
        <v>74</v>
      </c>
      <c r="F148" s="24">
        <v>43599</v>
      </c>
      <c r="G148" s="21" t="s">
        <v>337</v>
      </c>
      <c r="H148" s="9"/>
    </row>
    <row r="149" spans="1:8" hidden="1" x14ac:dyDescent="0.2">
      <c r="A149" s="10" t="str">
        <f>TEXT(表3[[#This Row],[ETD]],"mmdd-h ")&amp;表3[[#This Row],[项目]]</f>
        <v>0517-0 JS mobis</v>
      </c>
      <c r="B149" s="10" t="s">
        <v>2</v>
      </c>
      <c r="C149" s="11">
        <v>43602</v>
      </c>
      <c r="D149" s="28">
        <v>36</v>
      </c>
      <c r="E149" s="36" t="s">
        <v>77</v>
      </c>
      <c r="F149" s="25">
        <v>43599</v>
      </c>
      <c r="G149" s="22" t="s">
        <v>337</v>
      </c>
      <c r="H149" s="12" t="s">
        <v>79</v>
      </c>
    </row>
    <row r="150" spans="1:8" hidden="1" x14ac:dyDescent="0.2">
      <c r="A150" s="10" t="str">
        <f>TEXT(表3[[#This Row],[ETD]],"mmdd-h ")&amp;表3[[#This Row],[项目]]</f>
        <v>0517-0 JS mobis</v>
      </c>
      <c r="B150" s="10" t="s">
        <v>2</v>
      </c>
      <c r="C150" s="11">
        <v>43602</v>
      </c>
      <c r="D150" s="28">
        <v>37</v>
      </c>
      <c r="E150" s="36" t="s">
        <v>81</v>
      </c>
      <c r="F150" s="25">
        <v>43599</v>
      </c>
      <c r="G150" s="22" t="s">
        <v>337</v>
      </c>
      <c r="H150" s="12"/>
    </row>
    <row r="151" spans="1:8" hidden="1" x14ac:dyDescent="0.2">
      <c r="A151" s="10" t="str">
        <f>TEXT(表3[[#This Row],[ETD]],"mmdd-h ")&amp;表3[[#This Row],[项目]]</f>
        <v>0517-0 JS mobis</v>
      </c>
      <c r="B151" s="10" t="s">
        <v>2</v>
      </c>
      <c r="C151" s="11">
        <v>43602</v>
      </c>
      <c r="D151" s="28">
        <v>38</v>
      </c>
      <c r="E151" s="36" t="s">
        <v>89</v>
      </c>
      <c r="F151" s="25">
        <v>43600</v>
      </c>
      <c r="G151" s="22" t="s">
        <v>337</v>
      </c>
      <c r="H151" s="12"/>
    </row>
    <row r="152" spans="1:8" hidden="1" x14ac:dyDescent="0.2">
      <c r="A152" s="10" t="str">
        <f>TEXT(表3[[#This Row],[ETD]],"mmdd-h ")&amp;表3[[#This Row],[项目]]</f>
        <v>0517-0 JS mobis</v>
      </c>
      <c r="B152" s="10" t="s">
        <v>2</v>
      </c>
      <c r="C152" s="11">
        <v>43602</v>
      </c>
      <c r="D152" s="28">
        <v>39</v>
      </c>
      <c r="E152" s="36" t="s">
        <v>91</v>
      </c>
      <c r="F152" s="25">
        <v>43600</v>
      </c>
      <c r="G152" s="22" t="s">
        <v>338</v>
      </c>
      <c r="H152" s="12"/>
    </row>
    <row r="153" spans="1:8" hidden="1" x14ac:dyDescent="0.2">
      <c r="A153" s="10" t="str">
        <f>TEXT(表3[[#This Row],[ETD]],"mmdd-h ")&amp;表3[[#This Row],[项目]]</f>
        <v>0517-0 JS mobis</v>
      </c>
      <c r="B153" s="10" t="s">
        <v>2</v>
      </c>
      <c r="C153" s="11">
        <v>43602</v>
      </c>
      <c r="D153" s="28">
        <v>40</v>
      </c>
      <c r="E153" s="36" t="s">
        <v>93</v>
      </c>
      <c r="F153" s="25">
        <v>43600</v>
      </c>
      <c r="G153" s="22" t="s">
        <v>337</v>
      </c>
      <c r="H153" s="12"/>
    </row>
    <row r="154" spans="1:8" hidden="1" x14ac:dyDescent="0.2">
      <c r="A154" s="10" t="str">
        <f>TEXT(表3[[#This Row],[ETD]],"mmdd-h ")&amp;表3[[#This Row],[项目]]</f>
        <v>0517-0 JS mobis</v>
      </c>
      <c r="B154" s="10" t="s">
        <v>2</v>
      </c>
      <c r="C154" s="11">
        <v>43602</v>
      </c>
      <c r="D154" s="28">
        <v>41</v>
      </c>
      <c r="E154" s="36" t="s">
        <v>95</v>
      </c>
      <c r="F154" s="25">
        <v>43600</v>
      </c>
      <c r="G154" s="22" t="s">
        <v>337</v>
      </c>
      <c r="H154" s="12"/>
    </row>
    <row r="155" spans="1:8" hidden="1" x14ac:dyDescent="0.2">
      <c r="A155" s="10" t="str">
        <f>TEXT(表3[[#This Row],[ETD]],"mmdd-h ")&amp;表3[[#This Row],[项目]]</f>
        <v>0517-0 JS mobis</v>
      </c>
      <c r="B155" s="10" t="s">
        <v>2</v>
      </c>
      <c r="C155" s="11">
        <v>43602</v>
      </c>
      <c r="D155" s="28">
        <v>42</v>
      </c>
      <c r="E155" s="36" t="s">
        <v>97</v>
      </c>
      <c r="F155" s="25">
        <v>43600</v>
      </c>
      <c r="G155" s="22" t="s">
        <v>337</v>
      </c>
      <c r="H155" s="12"/>
    </row>
    <row r="156" spans="1:8" hidden="1" x14ac:dyDescent="0.2">
      <c r="A156" s="10" t="str">
        <f>TEXT(表3[[#This Row],[ETD]],"mmdd-h ")&amp;表3[[#This Row],[项目]]</f>
        <v>0517-0 JS mobis</v>
      </c>
      <c r="B156" s="10" t="s">
        <v>2</v>
      </c>
      <c r="C156" s="11">
        <v>43602</v>
      </c>
      <c r="D156" s="28">
        <v>43</v>
      </c>
      <c r="E156" s="36" t="s">
        <v>99</v>
      </c>
      <c r="F156" s="25">
        <v>43602</v>
      </c>
      <c r="G156" s="22" t="s">
        <v>337</v>
      </c>
      <c r="H156" s="12"/>
    </row>
    <row r="157" spans="1:8" hidden="1" x14ac:dyDescent="0.2">
      <c r="A157" s="10" t="str">
        <f>TEXT(表3[[#This Row],[ETD]],"mmdd-h ")&amp;表3[[#This Row],[项目]]</f>
        <v>0517-0 JS mobis</v>
      </c>
      <c r="B157" s="10" t="s">
        <v>2</v>
      </c>
      <c r="C157" s="11">
        <v>43602</v>
      </c>
      <c r="D157" s="28">
        <v>44</v>
      </c>
      <c r="E157" s="36" t="s">
        <v>100</v>
      </c>
      <c r="F157" s="25">
        <v>43602</v>
      </c>
      <c r="G157" s="22" t="s">
        <v>337</v>
      </c>
      <c r="H157" s="12"/>
    </row>
    <row r="158" spans="1:8" hidden="1" x14ac:dyDescent="0.2">
      <c r="A158" s="10" t="str">
        <f>TEXT(表3[[#This Row],[ETD]],"mmdd-h ")&amp;表3[[#This Row],[项目]]</f>
        <v>0517-0 JS mobis</v>
      </c>
      <c r="B158" s="10" t="s">
        <v>2</v>
      </c>
      <c r="C158" s="11">
        <v>43602</v>
      </c>
      <c r="D158" s="28">
        <v>45</v>
      </c>
      <c r="E158" s="36" t="s">
        <v>101</v>
      </c>
      <c r="F158" s="25">
        <v>43605</v>
      </c>
      <c r="G158" s="22" t="s">
        <v>337</v>
      </c>
      <c r="H158" s="12" t="s">
        <v>138</v>
      </c>
    </row>
    <row r="159" spans="1:8" hidden="1" x14ac:dyDescent="0.2">
      <c r="A159" s="20" t="str">
        <f>TEXT(表3[[#This Row],[ETD]],"mmdd-h ")&amp;表3[[#This Row],[项目]]</f>
        <v>0517-0 SC glovis</v>
      </c>
      <c r="B159" s="10" t="s">
        <v>185</v>
      </c>
      <c r="C159" s="11">
        <v>43602</v>
      </c>
      <c r="D159" s="28">
        <v>1</v>
      </c>
      <c r="E159" s="36" t="s">
        <v>186</v>
      </c>
      <c r="F159" s="25">
        <v>43592</v>
      </c>
      <c r="G159" s="22" t="s">
        <v>223</v>
      </c>
      <c r="H159" s="12"/>
    </row>
    <row r="160" spans="1:8" hidden="1" x14ac:dyDescent="0.2">
      <c r="A160" s="20" t="str">
        <f>TEXT(表3[[#This Row],[ETD]],"mmdd-h ")&amp;表3[[#This Row],[项目]]</f>
        <v>0517-0 SC glovis</v>
      </c>
      <c r="B160" s="10" t="s">
        <v>185</v>
      </c>
      <c r="C160" s="11">
        <v>43602</v>
      </c>
      <c r="D160" s="28">
        <v>2</v>
      </c>
      <c r="E160" s="36" t="s">
        <v>187</v>
      </c>
      <c r="F160" s="25">
        <v>43592</v>
      </c>
      <c r="G160" s="22" t="s">
        <v>223</v>
      </c>
      <c r="H160" s="12"/>
    </row>
    <row r="161" spans="1:8" hidden="1" x14ac:dyDescent="0.2">
      <c r="A161" s="20" t="str">
        <f>TEXT(表3[[#This Row],[ETD]],"mmdd-h ")&amp;表3[[#This Row],[项目]]</f>
        <v>0517-0 SC glovis</v>
      </c>
      <c r="B161" s="10" t="s">
        <v>185</v>
      </c>
      <c r="C161" s="11">
        <v>43602</v>
      </c>
      <c r="D161" s="28">
        <v>3</v>
      </c>
      <c r="E161" s="36" t="s">
        <v>188</v>
      </c>
      <c r="F161" s="25">
        <v>43593</v>
      </c>
      <c r="G161" s="22" t="s">
        <v>223</v>
      </c>
      <c r="H161" s="12"/>
    </row>
    <row r="162" spans="1:8" hidden="1" x14ac:dyDescent="0.2">
      <c r="A162" s="20" t="str">
        <f>TEXT(表3[[#This Row],[ETD]],"mmdd-h ")&amp;表3[[#This Row],[项目]]</f>
        <v>0517-0 SC glovis</v>
      </c>
      <c r="B162" s="10" t="s">
        <v>185</v>
      </c>
      <c r="C162" s="11">
        <v>43602</v>
      </c>
      <c r="D162" s="28">
        <v>4</v>
      </c>
      <c r="E162" s="36" t="s">
        <v>189</v>
      </c>
      <c r="F162" s="25">
        <v>43593</v>
      </c>
      <c r="G162" s="22" t="s">
        <v>223</v>
      </c>
      <c r="H162" s="12"/>
    </row>
    <row r="163" spans="1:8" hidden="1" x14ac:dyDescent="0.2">
      <c r="A163" s="19" t="str">
        <f>TEXT(表3[[#This Row],[ETD]],"mmdd-h ")&amp;表3[[#This Row],[项目]]</f>
        <v>0517-0 SC glovis</v>
      </c>
      <c r="B163" s="7" t="s">
        <v>185</v>
      </c>
      <c r="C163" s="8">
        <v>43602</v>
      </c>
      <c r="D163" s="28">
        <v>5</v>
      </c>
      <c r="E163" s="34" t="s">
        <v>190</v>
      </c>
      <c r="F163" s="24">
        <v>43598</v>
      </c>
      <c r="G163" s="21" t="s">
        <v>285</v>
      </c>
      <c r="H163" s="9"/>
    </row>
    <row r="164" spans="1:8" hidden="1" x14ac:dyDescent="0.2">
      <c r="A164" s="19" t="str">
        <f>TEXT(表3[[#This Row],[ETD]],"mmdd-h ")&amp;表3[[#This Row],[项目]]</f>
        <v>0517-0 SC glovis</v>
      </c>
      <c r="B164" s="7" t="s">
        <v>185</v>
      </c>
      <c r="C164" s="8">
        <v>43602</v>
      </c>
      <c r="D164" s="27">
        <v>6</v>
      </c>
      <c r="E164" s="34" t="s">
        <v>196</v>
      </c>
      <c r="F164" s="24">
        <v>43598</v>
      </c>
      <c r="G164" s="21" t="s">
        <v>285</v>
      </c>
      <c r="H164" s="9"/>
    </row>
    <row r="165" spans="1:8" hidden="1" x14ac:dyDescent="0.2">
      <c r="A165" s="19" t="str">
        <f>TEXT(表3[[#This Row],[ETD]],"mmdd-h ")&amp;表3[[#This Row],[项目]]</f>
        <v>0517-0 SC glovis</v>
      </c>
      <c r="B165" s="7" t="s">
        <v>185</v>
      </c>
      <c r="C165" s="8">
        <v>43602</v>
      </c>
      <c r="D165" s="27">
        <v>7</v>
      </c>
      <c r="E165" s="34" t="s">
        <v>191</v>
      </c>
      <c r="F165" s="24">
        <v>43598</v>
      </c>
      <c r="G165" s="21" t="s">
        <v>285</v>
      </c>
      <c r="H165" s="9"/>
    </row>
    <row r="166" spans="1:8" hidden="1" x14ac:dyDescent="0.2">
      <c r="A166" s="19" t="str">
        <f>TEXT(表3[[#This Row],[ETD]],"mmdd-h ")&amp;表3[[#This Row],[项目]]</f>
        <v>0517-0 SC glovis</v>
      </c>
      <c r="B166" s="7" t="s">
        <v>185</v>
      </c>
      <c r="C166" s="8">
        <v>43602</v>
      </c>
      <c r="D166" s="27">
        <v>8</v>
      </c>
      <c r="E166" s="34" t="s">
        <v>192</v>
      </c>
      <c r="F166" s="24">
        <v>43598</v>
      </c>
      <c r="G166" s="21" t="s">
        <v>285</v>
      </c>
      <c r="H166" s="9"/>
    </row>
    <row r="167" spans="1:8" hidden="1" x14ac:dyDescent="0.2">
      <c r="A167" s="19" t="str">
        <f>TEXT(表3[[#This Row],[ETD]],"mmdd-h ")&amp;表3[[#This Row],[项目]]</f>
        <v>0517-0 SC glovis</v>
      </c>
      <c r="B167" s="7" t="s">
        <v>185</v>
      </c>
      <c r="C167" s="8">
        <v>43602</v>
      </c>
      <c r="D167" s="27">
        <v>9</v>
      </c>
      <c r="E167" s="34" t="s">
        <v>348</v>
      </c>
      <c r="F167" s="24">
        <v>43598</v>
      </c>
      <c r="G167" s="21" t="s">
        <v>285</v>
      </c>
      <c r="H167" s="9"/>
    </row>
    <row r="168" spans="1:8" hidden="1" x14ac:dyDescent="0.2">
      <c r="A168" s="19" t="str">
        <f>TEXT(表3[[#This Row],[ETD]],"mmdd-h ")&amp;表3[[#This Row],[项目]]</f>
        <v>0517-0 SC glovis</v>
      </c>
      <c r="B168" s="7" t="s">
        <v>185</v>
      </c>
      <c r="C168" s="8">
        <v>43602</v>
      </c>
      <c r="D168" s="27">
        <v>10</v>
      </c>
      <c r="E168" s="34" t="s">
        <v>349</v>
      </c>
      <c r="F168" s="24">
        <v>43599</v>
      </c>
      <c r="G168" s="21" t="s">
        <v>285</v>
      </c>
      <c r="H168" s="9"/>
    </row>
    <row r="169" spans="1:8" hidden="1" x14ac:dyDescent="0.2">
      <c r="A169" s="19" t="str">
        <f>TEXT(表3[[#This Row],[ETD]],"mmdd-h ")&amp;表3[[#This Row],[项目]]</f>
        <v>0517-0 SC glovis</v>
      </c>
      <c r="B169" s="7" t="s">
        <v>185</v>
      </c>
      <c r="C169" s="8">
        <v>43602</v>
      </c>
      <c r="D169" s="27">
        <v>11</v>
      </c>
      <c r="E169" s="34" t="s">
        <v>197</v>
      </c>
      <c r="F169" s="24">
        <v>43598</v>
      </c>
      <c r="G169" s="21" t="s">
        <v>285</v>
      </c>
      <c r="H169" s="9"/>
    </row>
    <row r="170" spans="1:8" hidden="1" x14ac:dyDescent="0.2">
      <c r="A170" s="19" t="str">
        <f>TEXT(表3[[#This Row],[ETD]],"mmdd-h ")&amp;表3[[#This Row],[项目]]</f>
        <v>0517-0 SC glovis</v>
      </c>
      <c r="B170" s="7" t="s">
        <v>185</v>
      </c>
      <c r="C170" s="8">
        <v>43602</v>
      </c>
      <c r="D170" s="27">
        <v>12</v>
      </c>
      <c r="E170" s="34" t="s">
        <v>198</v>
      </c>
      <c r="F170" s="24">
        <v>43598</v>
      </c>
      <c r="G170" s="21" t="s">
        <v>285</v>
      </c>
      <c r="H170" s="9"/>
    </row>
    <row r="171" spans="1:8" hidden="1" x14ac:dyDescent="0.2">
      <c r="A171" s="19" t="str">
        <f>TEXT(表3[[#This Row],[ETD]],"mmdd-h ")&amp;表3[[#This Row],[项目]]</f>
        <v>0517-0 SC glovis</v>
      </c>
      <c r="B171" s="7" t="s">
        <v>185</v>
      </c>
      <c r="C171" s="8">
        <v>43602</v>
      </c>
      <c r="D171" s="27">
        <v>13</v>
      </c>
      <c r="E171" s="34" t="s">
        <v>193</v>
      </c>
      <c r="F171" s="24">
        <v>43599</v>
      </c>
      <c r="G171" s="21" t="s">
        <v>285</v>
      </c>
      <c r="H171" s="9"/>
    </row>
    <row r="172" spans="1:8" hidden="1" x14ac:dyDescent="0.2">
      <c r="A172" s="19" t="str">
        <f>TEXT(表3[[#This Row],[ETD]],"mmdd-h ")&amp;表3[[#This Row],[项目]]</f>
        <v>0517-0 SC glovis</v>
      </c>
      <c r="B172" s="7" t="s">
        <v>185</v>
      </c>
      <c r="C172" s="8">
        <v>43602</v>
      </c>
      <c r="D172" s="27">
        <v>14</v>
      </c>
      <c r="E172" s="34" t="s">
        <v>199</v>
      </c>
      <c r="F172" s="24">
        <v>43599</v>
      </c>
      <c r="G172" s="21" t="s">
        <v>285</v>
      </c>
      <c r="H172" s="9"/>
    </row>
    <row r="173" spans="1:8" hidden="1" x14ac:dyDescent="0.2">
      <c r="A173" s="19" t="str">
        <f>TEXT(表3[[#This Row],[ETD]],"mmdd-h ")&amp;表3[[#This Row],[项目]]</f>
        <v>0517-0 SC glovis</v>
      </c>
      <c r="B173" s="7" t="s">
        <v>185</v>
      </c>
      <c r="C173" s="8">
        <v>43602</v>
      </c>
      <c r="D173" s="27">
        <v>15</v>
      </c>
      <c r="E173" s="34" t="s">
        <v>200</v>
      </c>
      <c r="F173" s="24">
        <v>43599</v>
      </c>
      <c r="G173" s="21" t="s">
        <v>285</v>
      </c>
      <c r="H173" s="9"/>
    </row>
    <row r="174" spans="1:8" hidden="1" x14ac:dyDescent="0.2">
      <c r="A174" s="19" t="str">
        <f>TEXT(表3[[#This Row],[ETD]],"mmdd-h ")&amp;表3[[#This Row],[项目]]</f>
        <v>0517-0 SC glovis</v>
      </c>
      <c r="B174" s="7" t="s">
        <v>185</v>
      </c>
      <c r="C174" s="8">
        <v>43602</v>
      </c>
      <c r="D174" s="27">
        <v>16</v>
      </c>
      <c r="E174" s="34" t="s">
        <v>194</v>
      </c>
      <c r="F174" s="24">
        <v>43599</v>
      </c>
      <c r="G174" s="21" t="s">
        <v>285</v>
      </c>
      <c r="H174" s="9"/>
    </row>
    <row r="175" spans="1:8" hidden="1" x14ac:dyDescent="0.2">
      <c r="A175" s="19" t="str">
        <f>TEXT(表3[[#This Row],[ETD]],"mmdd-h ")&amp;表3[[#This Row],[项目]]</f>
        <v>0517-0 SC glovis</v>
      </c>
      <c r="B175" s="7" t="s">
        <v>185</v>
      </c>
      <c r="C175" s="8">
        <v>43602</v>
      </c>
      <c r="D175" s="27">
        <v>17</v>
      </c>
      <c r="E175" s="34" t="s">
        <v>354</v>
      </c>
      <c r="F175" s="24">
        <v>43599</v>
      </c>
      <c r="G175" s="21" t="s">
        <v>285</v>
      </c>
      <c r="H175" s="9"/>
    </row>
    <row r="176" spans="1:8" hidden="1" x14ac:dyDescent="0.2">
      <c r="A176" s="19" t="str">
        <f>TEXT(表3[[#This Row],[ETD]],"mmdd-h ")&amp;表3[[#This Row],[项目]]</f>
        <v>0517-0 SC glovis</v>
      </c>
      <c r="B176" s="7" t="s">
        <v>185</v>
      </c>
      <c r="C176" s="8">
        <v>43602</v>
      </c>
      <c r="D176" s="27">
        <v>18</v>
      </c>
      <c r="E176" s="34" t="s">
        <v>350</v>
      </c>
      <c r="F176" s="24">
        <v>43600</v>
      </c>
      <c r="G176" s="21" t="s">
        <v>285</v>
      </c>
      <c r="H176" s="9"/>
    </row>
    <row r="177" spans="1:8" hidden="1" x14ac:dyDescent="0.2">
      <c r="A177" s="19" t="str">
        <f>TEXT(表3[[#This Row],[ETD]],"mmdd-h ")&amp;表3[[#This Row],[项目]]</f>
        <v>0517-0 SC glovis</v>
      </c>
      <c r="B177" s="7" t="s">
        <v>185</v>
      </c>
      <c r="C177" s="8">
        <v>43602</v>
      </c>
      <c r="D177" s="27">
        <v>19</v>
      </c>
      <c r="E177" s="34" t="s">
        <v>195</v>
      </c>
      <c r="F177" s="24">
        <v>43605</v>
      </c>
      <c r="G177" s="21" t="s">
        <v>285</v>
      </c>
      <c r="H177" s="9"/>
    </row>
    <row r="178" spans="1:8" hidden="1" x14ac:dyDescent="0.2">
      <c r="A178" s="20" t="str">
        <f>TEXT(表3[[#This Row],[ETD]],"mmdd-h ")&amp;表3[[#This Row],[项目]]</f>
        <v>0517-0 SC glovis</v>
      </c>
      <c r="B178" s="10" t="s">
        <v>185</v>
      </c>
      <c r="C178" s="11">
        <v>43602</v>
      </c>
      <c r="D178" s="27">
        <v>20</v>
      </c>
      <c r="E178" s="36" t="s">
        <v>355</v>
      </c>
      <c r="F178" s="24">
        <v>43606</v>
      </c>
      <c r="G178" s="22" t="s">
        <v>356</v>
      </c>
      <c r="H178" s="12"/>
    </row>
    <row r="179" spans="1:8" hidden="1" x14ac:dyDescent="0.2">
      <c r="A179" s="19" t="str">
        <f>TEXT(表3[[#This Row],[ETD]],"mmdd-h ")&amp;表3[[#This Row],[项目]]</f>
        <v>0517-0 SC glovis</v>
      </c>
      <c r="B179" s="7" t="s">
        <v>185</v>
      </c>
      <c r="C179" s="8">
        <v>43602</v>
      </c>
      <c r="D179" s="27">
        <v>21</v>
      </c>
      <c r="E179" s="34" t="s">
        <v>353</v>
      </c>
      <c r="F179" s="24">
        <v>43606</v>
      </c>
      <c r="G179" s="21" t="s">
        <v>352</v>
      </c>
      <c r="H179" s="9"/>
    </row>
    <row r="180" spans="1:8" hidden="1" x14ac:dyDescent="0.2">
      <c r="A180" s="19" t="str">
        <f>TEXT(表3[[#This Row],[ETD]],"mmdd-h ")&amp;表3[[#This Row],[项目]]</f>
        <v>0522-0 HMI</v>
      </c>
      <c r="B180" s="7" t="s">
        <v>271</v>
      </c>
      <c r="C180" s="8">
        <v>43607</v>
      </c>
      <c r="D180" s="27">
        <v>1</v>
      </c>
      <c r="E180" s="34" t="s">
        <v>272</v>
      </c>
      <c r="F180" s="24">
        <v>43595</v>
      </c>
      <c r="G180" s="21" t="s">
        <v>274</v>
      </c>
      <c r="H180" s="9"/>
    </row>
    <row r="181" spans="1:8" hidden="1" x14ac:dyDescent="0.2">
      <c r="A181" s="19" t="str">
        <f>TEXT(表3[[#This Row],[ETD]],"mmdd-h ")&amp;表3[[#This Row],[项目]]</f>
        <v>0522-0 HMI</v>
      </c>
      <c r="B181" s="7" t="s">
        <v>271</v>
      </c>
      <c r="C181" s="8">
        <v>43607</v>
      </c>
      <c r="D181" s="27">
        <v>2</v>
      </c>
      <c r="E181" s="34" t="s">
        <v>21</v>
      </c>
      <c r="F181" s="24">
        <v>43595</v>
      </c>
      <c r="G181" s="21" t="s">
        <v>280</v>
      </c>
      <c r="H181" s="9"/>
    </row>
    <row r="182" spans="1:8" hidden="1" x14ac:dyDescent="0.2">
      <c r="A182" s="20" t="str">
        <f>TEXT(表3[[#This Row],[ETD]],"mmdd-h ")&amp;表3[[#This Row],[项目]]</f>
        <v>0522-0 HMI</v>
      </c>
      <c r="B182" s="10" t="s">
        <v>271</v>
      </c>
      <c r="C182" s="8">
        <v>43607</v>
      </c>
      <c r="D182" s="28">
        <v>3</v>
      </c>
      <c r="E182" s="36" t="s">
        <v>155</v>
      </c>
      <c r="F182" s="24">
        <v>43599</v>
      </c>
      <c r="G182" s="22" t="s">
        <v>285</v>
      </c>
      <c r="H182" s="12"/>
    </row>
    <row r="183" spans="1:8" hidden="1" x14ac:dyDescent="0.2">
      <c r="A183" s="20" t="str">
        <f>TEXT(表3[[#This Row],[ETD]],"mmdd-h ")&amp;表3[[#This Row],[项目]]</f>
        <v>0522-0 HMI</v>
      </c>
      <c r="B183" s="10" t="s">
        <v>271</v>
      </c>
      <c r="C183" s="8">
        <v>43607</v>
      </c>
      <c r="D183" s="28">
        <v>4</v>
      </c>
      <c r="E183" s="36" t="s">
        <v>156</v>
      </c>
      <c r="F183" s="24">
        <v>43601</v>
      </c>
      <c r="G183" s="22" t="s">
        <v>285</v>
      </c>
      <c r="H183" s="12" t="s">
        <v>143</v>
      </c>
    </row>
    <row r="184" spans="1:8" hidden="1" x14ac:dyDescent="0.2">
      <c r="A184" s="19" t="str">
        <f>TEXT(表3[[#This Row],[ETD]],"mmdd-h ")&amp;表3[[#This Row],[项目]]</f>
        <v>0522-0 HMI</v>
      </c>
      <c r="B184" s="7" t="s">
        <v>271</v>
      </c>
      <c r="C184" s="8">
        <v>43607</v>
      </c>
      <c r="D184" s="28">
        <v>5</v>
      </c>
      <c r="E184" s="34" t="s">
        <v>147</v>
      </c>
      <c r="F184" s="24">
        <v>43602</v>
      </c>
      <c r="G184" s="21" t="s">
        <v>285</v>
      </c>
      <c r="H184" s="9"/>
    </row>
    <row r="185" spans="1:8" hidden="1" x14ac:dyDescent="0.2">
      <c r="A185" s="19" t="str">
        <f>TEXT(表3[[#This Row],[ETD]],"mmdd-h ")&amp;表3[[#This Row],[项目]]</f>
        <v>0522-0 HMI</v>
      </c>
      <c r="B185" s="7" t="s">
        <v>271</v>
      </c>
      <c r="C185" s="8">
        <v>43607</v>
      </c>
      <c r="D185" s="28">
        <v>6</v>
      </c>
      <c r="E185" s="34" t="s">
        <v>145</v>
      </c>
      <c r="F185" s="24">
        <v>43602</v>
      </c>
      <c r="G185" s="21" t="s">
        <v>285</v>
      </c>
      <c r="H185" s="9"/>
    </row>
    <row r="186" spans="1:8" hidden="1" x14ac:dyDescent="0.2">
      <c r="A186" s="19" t="str">
        <f>TEXT(表3[[#This Row],[ETD]],"mmdd-h ")&amp;表3[[#This Row],[项目]]</f>
        <v>0522-0 HMI</v>
      </c>
      <c r="B186" s="7" t="s">
        <v>271</v>
      </c>
      <c r="C186" s="8">
        <v>43607</v>
      </c>
      <c r="D186" s="28">
        <v>7</v>
      </c>
      <c r="E186" s="34" t="s">
        <v>275</v>
      </c>
      <c r="F186" s="24">
        <v>43602</v>
      </c>
      <c r="G186" s="21" t="s">
        <v>285</v>
      </c>
      <c r="H186" s="9" t="s">
        <v>150</v>
      </c>
    </row>
    <row r="187" spans="1:8" hidden="1" x14ac:dyDescent="0.2">
      <c r="A187" s="19" t="str">
        <f>TEXT(表3[[#This Row],[ETD]],"mmdd-h ")&amp;表3[[#This Row],[项目]]</f>
        <v>0522-0 HMI</v>
      </c>
      <c r="B187" s="7" t="s">
        <v>271</v>
      </c>
      <c r="C187" s="8">
        <v>43607</v>
      </c>
      <c r="D187" s="28">
        <v>8</v>
      </c>
      <c r="E187" s="34" t="s">
        <v>158</v>
      </c>
      <c r="F187" s="24">
        <v>43602</v>
      </c>
      <c r="G187" s="21" t="s">
        <v>285</v>
      </c>
      <c r="H187" s="9"/>
    </row>
    <row r="188" spans="1:8" hidden="1" x14ac:dyDescent="0.2">
      <c r="A188" s="19" t="str">
        <f>TEXT(表3[[#This Row],[ETD]],"mmdd-h ")&amp;表3[[#This Row],[项目]]</f>
        <v>0522-0 HMI</v>
      </c>
      <c r="B188" s="7" t="s">
        <v>271</v>
      </c>
      <c r="C188" s="8">
        <v>43607</v>
      </c>
      <c r="D188" s="28">
        <v>9</v>
      </c>
      <c r="E188" s="34" t="s">
        <v>212</v>
      </c>
      <c r="F188" s="24">
        <v>43605</v>
      </c>
      <c r="G188" s="21" t="s">
        <v>285</v>
      </c>
      <c r="H188" s="9" t="s">
        <v>161</v>
      </c>
    </row>
    <row r="189" spans="1:8" hidden="1" x14ac:dyDescent="0.2">
      <c r="A189" s="19" t="str">
        <f>TEXT(表3[[#This Row],[ETD]],"mmdd-h ")&amp;表3[[#This Row],[项目]]</f>
        <v>0522-0 HMI</v>
      </c>
      <c r="B189" s="7" t="s">
        <v>271</v>
      </c>
      <c r="C189" s="8">
        <v>43607</v>
      </c>
      <c r="D189" s="28">
        <v>10</v>
      </c>
      <c r="E189" s="34" t="s">
        <v>439</v>
      </c>
      <c r="F189" s="24">
        <v>43605</v>
      </c>
      <c r="G189" s="21" t="s">
        <v>285</v>
      </c>
      <c r="H189" s="9" t="s">
        <v>213</v>
      </c>
    </row>
    <row r="190" spans="1:8" hidden="1" x14ac:dyDescent="0.2">
      <c r="A190" s="19" t="str">
        <f>TEXT(表3[[#This Row],[ETD]],"mmdd-h ")&amp;表3[[#This Row],[项目]]</f>
        <v>0522-0 HMI</v>
      </c>
      <c r="B190" s="7" t="s">
        <v>271</v>
      </c>
      <c r="C190" s="8">
        <v>43607</v>
      </c>
      <c r="D190" s="28">
        <v>12</v>
      </c>
      <c r="E190" s="34" t="s">
        <v>232</v>
      </c>
      <c r="F190" s="24">
        <v>43605</v>
      </c>
      <c r="G190" s="21" t="s">
        <v>285</v>
      </c>
      <c r="H190" s="9"/>
    </row>
    <row r="191" spans="1:8" hidden="1" x14ac:dyDescent="0.2">
      <c r="A191" s="19" t="str">
        <f>TEXT(表3[[#This Row],[ETD]],"mmdd-h ")&amp;表3[[#This Row],[项目]]</f>
        <v>0522-0 HMI</v>
      </c>
      <c r="B191" s="7" t="s">
        <v>271</v>
      </c>
      <c r="C191" s="8">
        <v>43607</v>
      </c>
      <c r="D191" s="28">
        <v>13</v>
      </c>
      <c r="E191" s="34" t="s">
        <v>286</v>
      </c>
      <c r="F191" s="24">
        <v>43605</v>
      </c>
      <c r="G191" s="21" t="s">
        <v>285</v>
      </c>
      <c r="H191" s="9" t="s">
        <v>153</v>
      </c>
    </row>
    <row r="192" spans="1:8" x14ac:dyDescent="0.2">
      <c r="A192" s="19" t="str">
        <f>TEXT(表3[[#This Row],[ETD]],"mmdd-h ")&amp;表3[[#This Row],[项目]]</f>
        <v>0522-0 HMI</v>
      </c>
      <c r="B192" s="7" t="s">
        <v>271</v>
      </c>
      <c r="C192" s="8">
        <v>43607</v>
      </c>
      <c r="D192" s="28">
        <v>14</v>
      </c>
      <c r="E192" s="34" t="s">
        <v>93</v>
      </c>
      <c r="F192" s="24">
        <v>43605</v>
      </c>
      <c r="G192" s="21" t="s">
        <v>225</v>
      </c>
      <c r="H192" s="9"/>
    </row>
    <row r="193" spans="1:8" x14ac:dyDescent="0.2">
      <c r="A193" s="19" t="str">
        <f>TEXT(表3[[#This Row],[ETD]],"mmdd-h ")&amp;表3[[#This Row],[项目]]</f>
        <v>0522-0 HMI</v>
      </c>
      <c r="B193" s="7" t="s">
        <v>271</v>
      </c>
      <c r="C193" s="8">
        <v>43607</v>
      </c>
      <c r="D193" s="28">
        <v>15</v>
      </c>
      <c r="E193" s="34" t="s">
        <v>95</v>
      </c>
      <c r="F193" s="24">
        <v>43605</v>
      </c>
      <c r="G193" s="21" t="s">
        <v>225</v>
      </c>
      <c r="H193" s="9"/>
    </row>
    <row r="194" spans="1:8" hidden="1" x14ac:dyDescent="0.2">
      <c r="A194" s="19" t="str">
        <f>TEXT(表3[[#This Row],[ETD]],"mmdd-h ")&amp;表3[[#This Row],[项目]]</f>
        <v>0522-0 HMI</v>
      </c>
      <c r="B194" s="7" t="s">
        <v>271</v>
      </c>
      <c r="C194" s="8">
        <v>43607</v>
      </c>
      <c r="D194" s="28">
        <v>16</v>
      </c>
      <c r="E194" s="34" t="s">
        <v>97</v>
      </c>
      <c r="F194" s="24">
        <v>43606</v>
      </c>
      <c r="G194" s="21" t="s">
        <v>225</v>
      </c>
      <c r="H194" s="9"/>
    </row>
    <row r="195" spans="1:8" hidden="1" x14ac:dyDescent="0.2">
      <c r="A195" s="19" t="str">
        <f>TEXT(表3[[#This Row],[ETD]],"mmdd-h ")&amp;表3[[#This Row],[项目]]</f>
        <v>0522-0 HMI</v>
      </c>
      <c r="B195" s="7" t="s">
        <v>271</v>
      </c>
      <c r="C195" s="8">
        <v>43607</v>
      </c>
      <c r="D195" s="28">
        <v>17</v>
      </c>
      <c r="E195" s="34" t="s">
        <v>273</v>
      </c>
      <c r="F195" s="24">
        <v>43607</v>
      </c>
      <c r="G195" s="21" t="s">
        <v>225</v>
      </c>
      <c r="H195" s="9"/>
    </row>
    <row r="196" spans="1:8" hidden="1" x14ac:dyDescent="0.2">
      <c r="A196" s="19" t="str">
        <f>TEXT(表3[[#This Row],[ETD]],"mmdd-h ")&amp;表3[[#This Row],[项目]]</f>
        <v>0522-0 HMI</v>
      </c>
      <c r="B196" s="7" t="s">
        <v>271</v>
      </c>
      <c r="C196" s="8">
        <v>43607</v>
      </c>
      <c r="D196" s="28">
        <v>18</v>
      </c>
      <c r="E196" s="34" t="s">
        <v>281</v>
      </c>
      <c r="F196" s="24">
        <v>43607</v>
      </c>
      <c r="G196" s="21" t="s">
        <v>225</v>
      </c>
      <c r="H196" s="9"/>
    </row>
    <row r="197" spans="1:8" hidden="1" x14ac:dyDescent="0.2">
      <c r="A197" s="19" t="str">
        <f>TEXT(表3[[#This Row],[ETD]],"mmdd-h ")&amp;表3[[#This Row],[项目]]</f>
        <v>0522-0 KMM</v>
      </c>
      <c r="B197" s="7" t="s">
        <v>214</v>
      </c>
      <c r="C197" s="8">
        <v>43607</v>
      </c>
      <c r="D197" s="28">
        <v>1</v>
      </c>
      <c r="E197" s="34" t="s">
        <v>142</v>
      </c>
      <c r="F197" s="24">
        <v>43594</v>
      </c>
      <c r="G197" s="21" t="s">
        <v>223</v>
      </c>
      <c r="H197" s="9"/>
    </row>
    <row r="198" spans="1:8" hidden="1" x14ac:dyDescent="0.2">
      <c r="A198" s="19" t="str">
        <f>TEXT(表3[[#This Row],[ETD]],"mmdd-h ")&amp;表3[[#This Row],[项目]]</f>
        <v>0522-0 KMM</v>
      </c>
      <c r="B198" s="7" t="s">
        <v>166</v>
      </c>
      <c r="C198" s="8">
        <v>43607</v>
      </c>
      <c r="D198" s="28">
        <v>2</v>
      </c>
      <c r="E198" s="34" t="s">
        <v>155</v>
      </c>
      <c r="F198" s="24">
        <v>43594</v>
      </c>
      <c r="G198" s="21" t="s">
        <v>223</v>
      </c>
      <c r="H198" s="9"/>
    </row>
    <row r="199" spans="1:8" hidden="1" x14ac:dyDescent="0.2">
      <c r="A199" s="19" t="str">
        <f>TEXT(表3[[#This Row],[ETD]],"mmdd-h ")&amp;表3[[#This Row],[项目]]</f>
        <v>0522-0 KMM</v>
      </c>
      <c r="B199" s="7" t="s">
        <v>215</v>
      </c>
      <c r="C199" s="8">
        <v>43607</v>
      </c>
      <c r="D199" s="28">
        <v>3</v>
      </c>
      <c r="E199" s="34" t="s">
        <v>21</v>
      </c>
      <c r="F199" s="24">
        <v>43594</v>
      </c>
      <c r="G199" s="21" t="s">
        <v>223</v>
      </c>
      <c r="H199" s="9"/>
    </row>
    <row r="200" spans="1:8" hidden="1" x14ac:dyDescent="0.2">
      <c r="A200" s="19" t="str">
        <f>TEXT(表3[[#This Row],[ETD]],"mmdd-h ")&amp;表3[[#This Row],[项目]]</f>
        <v>0522-0 KMM</v>
      </c>
      <c r="B200" s="7" t="s">
        <v>215</v>
      </c>
      <c r="C200" s="8">
        <v>43607</v>
      </c>
      <c r="D200" s="28">
        <v>4</v>
      </c>
      <c r="E200" s="34" t="s">
        <v>156</v>
      </c>
      <c r="F200" s="24">
        <v>43601</v>
      </c>
      <c r="G200" s="21" t="s">
        <v>285</v>
      </c>
      <c r="H200" s="9" t="s">
        <v>143</v>
      </c>
    </row>
    <row r="201" spans="1:8" hidden="1" x14ac:dyDescent="0.2">
      <c r="A201" s="19" t="str">
        <f>TEXT(表3[[#This Row],[ETD]],"mmdd-h ")&amp;表3[[#This Row],[项目]]</f>
        <v>0522-0 KMM</v>
      </c>
      <c r="B201" s="7" t="s">
        <v>214</v>
      </c>
      <c r="C201" s="8">
        <v>43607</v>
      </c>
      <c r="D201" s="28">
        <v>5</v>
      </c>
      <c r="E201" s="34" t="s">
        <v>147</v>
      </c>
      <c r="F201" s="24">
        <v>43601</v>
      </c>
      <c r="G201" s="21" t="s">
        <v>285</v>
      </c>
      <c r="H201" s="9"/>
    </row>
    <row r="202" spans="1:8" hidden="1" x14ac:dyDescent="0.2">
      <c r="A202" s="19" t="str">
        <f>TEXT(表3[[#This Row],[ETD]],"mmdd-h ")&amp;表3[[#This Row],[项目]]</f>
        <v>0522-0 KMM</v>
      </c>
      <c r="B202" s="7" t="s">
        <v>214</v>
      </c>
      <c r="C202" s="8">
        <v>43607</v>
      </c>
      <c r="D202" s="28">
        <v>6</v>
      </c>
      <c r="E202" s="34" t="s">
        <v>145</v>
      </c>
      <c r="F202" s="24">
        <v>43601</v>
      </c>
      <c r="G202" s="21" t="s">
        <v>285</v>
      </c>
      <c r="H202" s="9"/>
    </row>
    <row r="203" spans="1:8" hidden="1" x14ac:dyDescent="0.2">
      <c r="A203" s="19" t="str">
        <f>TEXT(表3[[#This Row],[ETD]],"mmdd-h ")&amp;表3[[#This Row],[项目]]</f>
        <v>0522-0 KMM</v>
      </c>
      <c r="B203" s="7" t="s">
        <v>214</v>
      </c>
      <c r="C203" s="8">
        <v>43607</v>
      </c>
      <c r="D203" s="28">
        <v>7</v>
      </c>
      <c r="E203" s="34" t="s">
        <v>449</v>
      </c>
      <c r="F203" s="24">
        <v>43601</v>
      </c>
      <c r="G203" s="21" t="s">
        <v>285</v>
      </c>
      <c r="H203" s="9" t="s">
        <v>150</v>
      </c>
    </row>
    <row r="204" spans="1:8" hidden="1" x14ac:dyDescent="0.2">
      <c r="A204" s="19" t="str">
        <f>TEXT(表3[[#This Row],[ETD]],"mmdd-h ")&amp;表3[[#This Row],[项目]]</f>
        <v>0522-0 KMM</v>
      </c>
      <c r="B204" s="7" t="s">
        <v>215</v>
      </c>
      <c r="C204" s="8">
        <v>43607</v>
      </c>
      <c r="D204" s="28">
        <v>8</v>
      </c>
      <c r="E204" s="34" t="s">
        <v>158</v>
      </c>
      <c r="F204" s="24">
        <v>43601</v>
      </c>
      <c r="G204" s="21" t="s">
        <v>285</v>
      </c>
      <c r="H204" s="9"/>
    </row>
    <row r="205" spans="1:8" hidden="1" x14ac:dyDescent="0.2">
      <c r="A205" s="19" t="str">
        <f>TEXT(表3[[#This Row],[ETD]],"mmdd-h ")&amp;表3[[#This Row],[项目]]</f>
        <v>0522-0 KMM</v>
      </c>
      <c r="B205" s="7" t="s">
        <v>215</v>
      </c>
      <c r="C205" s="8">
        <v>43607</v>
      </c>
      <c r="D205" s="28">
        <v>9</v>
      </c>
      <c r="E205" s="34" t="s">
        <v>212</v>
      </c>
      <c r="F205" s="24">
        <v>43602</v>
      </c>
      <c r="G205" s="21" t="s">
        <v>285</v>
      </c>
      <c r="H205" s="9" t="s">
        <v>161</v>
      </c>
    </row>
    <row r="206" spans="1:8" hidden="1" x14ac:dyDescent="0.2">
      <c r="A206" s="19" t="str">
        <f>TEXT(表3[[#This Row],[ETD]],"mmdd-h ")&amp;表3[[#This Row],[项目]]</f>
        <v>0522-0 KMM</v>
      </c>
      <c r="B206" s="7" t="s">
        <v>215</v>
      </c>
      <c r="C206" s="8">
        <v>43607</v>
      </c>
      <c r="D206" s="28">
        <v>10</v>
      </c>
      <c r="E206" s="34" t="s">
        <v>218</v>
      </c>
      <c r="F206" s="24">
        <v>43602</v>
      </c>
      <c r="G206" s="21" t="s">
        <v>285</v>
      </c>
      <c r="H206" s="9" t="s">
        <v>213</v>
      </c>
    </row>
    <row r="207" spans="1:8" hidden="1" x14ac:dyDescent="0.2">
      <c r="A207" s="19" t="str">
        <f>TEXT(表3[[#This Row],[ETD]],"mmdd-h ")&amp;表3[[#This Row],[项目]]</f>
        <v>0522-0 KMM</v>
      </c>
      <c r="B207" s="7" t="s">
        <v>215</v>
      </c>
      <c r="C207" s="8">
        <v>43607</v>
      </c>
      <c r="D207" s="28">
        <v>11</v>
      </c>
      <c r="E207" s="34" t="s">
        <v>152</v>
      </c>
      <c r="F207" s="24">
        <v>43602</v>
      </c>
      <c r="G207" s="21" t="s">
        <v>285</v>
      </c>
      <c r="H207" s="9"/>
    </row>
    <row r="208" spans="1:8" hidden="1" x14ac:dyDescent="0.2">
      <c r="A208" s="19" t="str">
        <f>TEXT(表3[[#This Row],[ETD]],"mmdd-h ")&amp;表3[[#This Row],[项目]]</f>
        <v>0522-0 KMM</v>
      </c>
      <c r="B208" s="7" t="s">
        <v>215</v>
      </c>
      <c r="C208" s="8">
        <v>43607</v>
      </c>
      <c r="D208" s="28">
        <v>12</v>
      </c>
      <c r="E208" s="34" t="s">
        <v>154</v>
      </c>
      <c r="F208" s="24">
        <v>43602</v>
      </c>
      <c r="G208" s="21" t="s">
        <v>285</v>
      </c>
      <c r="H208" s="9" t="s">
        <v>153</v>
      </c>
    </row>
    <row r="209" spans="1:8" hidden="1" x14ac:dyDescent="0.2">
      <c r="A209" s="19" t="str">
        <f>TEXT(表3[[#This Row],[ETD]],"mmdd-h ")&amp;表3[[#This Row],[项目]]</f>
        <v>0522-0 KMM</v>
      </c>
      <c r="B209" s="7" t="s">
        <v>215</v>
      </c>
      <c r="C209" s="8">
        <v>43607</v>
      </c>
      <c r="D209" s="28">
        <v>13</v>
      </c>
      <c r="E209" s="34" t="s">
        <v>93</v>
      </c>
      <c r="F209" s="24">
        <v>43605</v>
      </c>
      <c r="G209" s="21" t="s">
        <v>285</v>
      </c>
      <c r="H209" s="9"/>
    </row>
    <row r="210" spans="1:8" hidden="1" x14ac:dyDescent="0.2">
      <c r="A210" s="19" t="str">
        <f>TEXT(表3[[#This Row],[ETD]],"mmdd-h ")&amp;表3[[#This Row],[项目]]</f>
        <v>0522-0 KMM</v>
      </c>
      <c r="B210" s="7" t="s">
        <v>214</v>
      </c>
      <c r="C210" s="8">
        <v>43607</v>
      </c>
      <c r="D210" s="28">
        <v>14</v>
      </c>
      <c r="E210" s="34" t="s">
        <v>95</v>
      </c>
      <c r="F210" s="24">
        <v>43605</v>
      </c>
      <c r="G210" s="21" t="s">
        <v>285</v>
      </c>
      <c r="H210" s="9"/>
    </row>
    <row r="211" spans="1:8" hidden="1" x14ac:dyDescent="0.2">
      <c r="A211" s="19" t="str">
        <f>TEXT(表3[[#This Row],[ETD]],"mmdd-h ")&amp;表3[[#This Row],[项目]]</f>
        <v>0522-0 KMM</v>
      </c>
      <c r="B211" s="7" t="s">
        <v>215</v>
      </c>
      <c r="C211" s="8">
        <v>43607</v>
      </c>
      <c r="D211" s="28">
        <v>15</v>
      </c>
      <c r="E211" s="34" t="s">
        <v>97</v>
      </c>
      <c r="F211" s="24">
        <v>43606</v>
      </c>
      <c r="G211" s="21" t="s">
        <v>227</v>
      </c>
      <c r="H211" s="9"/>
    </row>
    <row r="212" spans="1:8" hidden="1" x14ac:dyDescent="0.2">
      <c r="A212" s="19" t="str">
        <f>TEXT(表3[[#This Row],[ETD]],"mmdd-h ")&amp;表3[[#This Row],[项目]]</f>
        <v>0522-0 KMM</v>
      </c>
      <c r="B212" s="7" t="s">
        <v>215</v>
      </c>
      <c r="C212" s="8">
        <v>43607</v>
      </c>
      <c r="D212" s="28">
        <v>16</v>
      </c>
      <c r="E212" s="34" t="s">
        <v>281</v>
      </c>
      <c r="F212" s="24">
        <v>43607</v>
      </c>
      <c r="G212" s="21" t="s">
        <v>226</v>
      </c>
      <c r="H212" s="9"/>
    </row>
    <row r="213" spans="1:8" hidden="1" x14ac:dyDescent="0.2">
      <c r="A213" s="19" t="str">
        <f>TEXT(表3[[#This Row],[ETD]],"mmdd-h ")&amp;表3[[#This Row],[项目]]</f>
        <v>0522-0 WX mobis</v>
      </c>
      <c r="B213" s="7" t="s">
        <v>171</v>
      </c>
      <c r="C213" s="8">
        <v>43607</v>
      </c>
      <c r="D213" s="28">
        <v>1</v>
      </c>
      <c r="E213" s="34" t="s">
        <v>235</v>
      </c>
      <c r="F213" s="24">
        <v>43580</v>
      </c>
      <c r="G213" s="21" t="s">
        <v>285</v>
      </c>
      <c r="H213" s="9"/>
    </row>
    <row r="214" spans="1:8" hidden="1" x14ac:dyDescent="0.2">
      <c r="A214" s="19" t="str">
        <f>TEXT(表3[[#This Row],[ETD]],"mmdd-h ")&amp;表3[[#This Row],[项目]]</f>
        <v>0522-0 WX mobis</v>
      </c>
      <c r="B214" s="7" t="s">
        <v>171</v>
      </c>
      <c r="C214" s="8">
        <v>43607</v>
      </c>
      <c r="D214" s="28">
        <v>2</v>
      </c>
      <c r="E214" s="34" t="s">
        <v>236</v>
      </c>
      <c r="F214" s="24">
        <v>43580</v>
      </c>
      <c r="G214" s="21" t="s">
        <v>287</v>
      </c>
      <c r="H214" s="9"/>
    </row>
    <row r="215" spans="1:8" hidden="1" x14ac:dyDescent="0.2">
      <c r="A215" s="19" t="str">
        <f>TEXT(表3[[#This Row],[ETD]],"mmdd-h ")&amp;表3[[#This Row],[项目]]</f>
        <v>0522-0 WX mobis</v>
      </c>
      <c r="B215" s="7" t="s">
        <v>171</v>
      </c>
      <c r="C215" s="8">
        <v>43607</v>
      </c>
      <c r="D215" s="28">
        <v>3</v>
      </c>
      <c r="E215" s="34" t="s">
        <v>237</v>
      </c>
      <c r="F215" s="24">
        <v>43580</v>
      </c>
      <c r="G215" s="21" t="s">
        <v>287</v>
      </c>
      <c r="H215" s="9" t="s">
        <v>238</v>
      </c>
    </row>
    <row r="216" spans="1:8" hidden="1" x14ac:dyDescent="0.2">
      <c r="A216" s="19" t="str">
        <f>TEXT(表3[[#This Row],[ETD]],"mmdd-h ")&amp;表3[[#This Row],[项目]]</f>
        <v>0522-0 WX mobis</v>
      </c>
      <c r="B216" s="7" t="s">
        <v>171</v>
      </c>
      <c r="C216" s="8">
        <v>43607</v>
      </c>
      <c r="D216" s="28">
        <v>4</v>
      </c>
      <c r="E216" s="34" t="s">
        <v>239</v>
      </c>
      <c r="F216" s="24">
        <v>43580</v>
      </c>
      <c r="G216" s="21" t="s">
        <v>287</v>
      </c>
      <c r="H216" s="9"/>
    </row>
    <row r="217" spans="1:8" hidden="1" x14ac:dyDescent="0.2">
      <c r="A217" s="19" t="str">
        <f>TEXT(表3[[#This Row],[ETD]],"mmdd-h ")&amp;表3[[#This Row],[项目]]</f>
        <v>0522-0 WX mobis</v>
      </c>
      <c r="B217" s="7" t="s">
        <v>171</v>
      </c>
      <c r="C217" s="8">
        <v>43607</v>
      </c>
      <c r="D217" s="28">
        <v>5</v>
      </c>
      <c r="E217" s="34" t="s">
        <v>40</v>
      </c>
      <c r="F217" s="24">
        <v>43594</v>
      </c>
      <c r="G217" s="21" t="s">
        <v>287</v>
      </c>
      <c r="H217" s="9"/>
    </row>
    <row r="218" spans="1:8" hidden="1" x14ac:dyDescent="0.2">
      <c r="A218" s="19" t="str">
        <f>TEXT(表3[[#This Row],[ETD]],"mmdd-h ")&amp;表3[[#This Row],[项目]]</f>
        <v>0522-0 WX mobis</v>
      </c>
      <c r="B218" s="7" t="s">
        <v>171</v>
      </c>
      <c r="C218" s="8">
        <v>43607</v>
      </c>
      <c r="D218" s="28">
        <v>6</v>
      </c>
      <c r="E218" s="34" t="s">
        <v>297</v>
      </c>
      <c r="F218" s="24">
        <v>43599</v>
      </c>
      <c r="G218" s="21" t="s">
        <v>285</v>
      </c>
      <c r="H218" s="9" t="s">
        <v>289</v>
      </c>
    </row>
    <row r="219" spans="1:8" hidden="1" x14ac:dyDescent="0.2">
      <c r="A219" s="19" t="str">
        <f>TEXT(表3[[#This Row],[ETD]],"mmdd-h ")&amp;表3[[#This Row],[项目]]</f>
        <v>0522-0 WX mobis</v>
      </c>
      <c r="B219" s="7" t="s">
        <v>171</v>
      </c>
      <c r="C219" s="8">
        <v>43607</v>
      </c>
      <c r="D219" s="28">
        <v>7</v>
      </c>
      <c r="E219" s="34" t="s">
        <v>447</v>
      </c>
      <c r="F219" s="24">
        <v>43599</v>
      </c>
      <c r="G219" s="21" t="s">
        <v>285</v>
      </c>
      <c r="H219" s="9"/>
    </row>
    <row r="220" spans="1:8" hidden="1" x14ac:dyDescent="0.2">
      <c r="A220" s="19" t="str">
        <f>TEXT(表3[[#This Row],[ETD]],"mmdd-h ")&amp;表3[[#This Row],[项目]]</f>
        <v>0522-0 WX mobis</v>
      </c>
      <c r="B220" s="7" t="s">
        <v>171</v>
      </c>
      <c r="C220" s="8">
        <v>43607</v>
      </c>
      <c r="D220" s="28">
        <v>8</v>
      </c>
      <c r="E220" s="34" t="s">
        <v>295</v>
      </c>
      <c r="F220" s="24">
        <v>43599</v>
      </c>
      <c r="G220" s="21" t="s">
        <v>285</v>
      </c>
      <c r="H220" s="9"/>
    </row>
    <row r="221" spans="1:8" hidden="1" x14ac:dyDescent="0.2">
      <c r="A221" s="19" t="str">
        <f>TEXT(表3[[#This Row],[ETD]],"mmdd-h ")&amp;表3[[#This Row],[项目]]</f>
        <v>0522-0 WX mobis</v>
      </c>
      <c r="B221" s="7" t="s">
        <v>171</v>
      </c>
      <c r="C221" s="8">
        <v>43607</v>
      </c>
      <c r="D221" s="28">
        <v>9</v>
      </c>
      <c r="E221" s="34" t="s">
        <v>298</v>
      </c>
      <c r="F221" s="24">
        <v>43599</v>
      </c>
      <c r="G221" s="21" t="s">
        <v>285</v>
      </c>
      <c r="H221" s="9" t="s">
        <v>44</v>
      </c>
    </row>
    <row r="222" spans="1:8" hidden="1" x14ac:dyDescent="0.2">
      <c r="A222" s="19" t="str">
        <f>TEXT(表3[[#This Row],[ETD]],"mmdd-h ")&amp;表3[[#This Row],[项目]]</f>
        <v>0522-0 WX mobis</v>
      </c>
      <c r="B222" s="7" t="s">
        <v>171</v>
      </c>
      <c r="C222" s="8">
        <v>43607</v>
      </c>
      <c r="D222" s="28">
        <v>10</v>
      </c>
      <c r="E222" s="34" t="s">
        <v>291</v>
      </c>
      <c r="F222" s="24">
        <v>43600</v>
      </c>
      <c r="G222" s="21" t="s">
        <v>285</v>
      </c>
      <c r="H222" s="9" t="s">
        <v>33</v>
      </c>
    </row>
    <row r="223" spans="1:8" hidden="1" x14ac:dyDescent="0.2">
      <c r="A223" s="19" t="str">
        <f>TEXT(表3[[#This Row],[ETD]],"mmdd-h ")&amp;表3[[#This Row],[项目]]</f>
        <v>0522-0 WX mobis</v>
      </c>
      <c r="B223" s="7" t="s">
        <v>171</v>
      </c>
      <c r="C223" s="8">
        <v>43607</v>
      </c>
      <c r="D223" s="28">
        <v>11</v>
      </c>
      <c r="E223" s="34" t="s">
        <v>293</v>
      </c>
      <c r="F223" s="24">
        <v>43601</v>
      </c>
      <c r="G223" s="21" t="s">
        <v>285</v>
      </c>
      <c r="H223" s="9" t="s">
        <v>44</v>
      </c>
    </row>
    <row r="224" spans="1:8" hidden="1" x14ac:dyDescent="0.2">
      <c r="A224" s="19" t="str">
        <f>TEXT(表3[[#This Row],[ETD]],"mmdd-h ")&amp;表3[[#This Row],[项目]]</f>
        <v>0522-0 WX mobis</v>
      </c>
      <c r="B224" s="7" t="s">
        <v>171</v>
      </c>
      <c r="C224" s="8">
        <v>43607</v>
      </c>
      <c r="D224" s="28">
        <v>12</v>
      </c>
      <c r="E224" s="34" t="s">
        <v>357</v>
      </c>
      <c r="F224" s="24">
        <v>43601</v>
      </c>
      <c r="G224" s="21" t="s">
        <v>285</v>
      </c>
      <c r="H224" s="9" t="s">
        <v>438</v>
      </c>
    </row>
    <row r="225" spans="1:8" hidden="1" x14ac:dyDescent="0.2">
      <c r="A225" s="19" t="str">
        <f>TEXT(表3[[#This Row],[ETD]],"mmdd-h ")&amp;表3[[#This Row],[项目]]</f>
        <v>0522-0 WX mobis</v>
      </c>
      <c r="B225" s="7" t="s">
        <v>171</v>
      </c>
      <c r="C225" s="8">
        <v>43607</v>
      </c>
      <c r="D225" s="28">
        <v>13</v>
      </c>
      <c r="E225" s="34" t="s">
        <v>306</v>
      </c>
      <c r="F225" s="24">
        <v>43602</v>
      </c>
      <c r="G225" s="21" t="s">
        <v>285</v>
      </c>
      <c r="H225" s="9" t="s">
        <v>304</v>
      </c>
    </row>
    <row r="226" spans="1:8" hidden="1" x14ac:dyDescent="0.2">
      <c r="A226" s="20" t="str">
        <f>TEXT(表3[[#This Row],[ETD]],"mmdd-h ")&amp;表3[[#This Row],[项目]]</f>
        <v>0522-0 WX mobis</v>
      </c>
      <c r="B226" s="10" t="s">
        <v>171</v>
      </c>
      <c r="C226" s="11">
        <v>43607</v>
      </c>
      <c r="D226" s="28">
        <v>14</v>
      </c>
      <c r="E226" s="36" t="s">
        <v>446</v>
      </c>
      <c r="F226" s="25">
        <v>43602</v>
      </c>
      <c r="G226" s="22" t="s">
        <v>285</v>
      </c>
      <c r="H226" s="12"/>
    </row>
    <row r="227" spans="1:8" hidden="1" x14ac:dyDescent="0.2">
      <c r="A227" s="19" t="str">
        <f>TEXT(表3[[#This Row],[ETD]],"mmdd-h ")&amp;表3[[#This Row],[项目]]</f>
        <v>0522-0 WX mobis</v>
      </c>
      <c r="B227" s="7" t="s">
        <v>171</v>
      </c>
      <c r="C227" s="8">
        <v>43607</v>
      </c>
      <c r="D227" s="28">
        <v>15</v>
      </c>
      <c r="E227" s="34" t="s">
        <v>310</v>
      </c>
      <c r="F227" s="24">
        <v>43602</v>
      </c>
      <c r="G227" s="21" t="s">
        <v>285</v>
      </c>
      <c r="H227" s="9"/>
    </row>
    <row r="228" spans="1:8" hidden="1" x14ac:dyDescent="0.2">
      <c r="A228" s="19" t="str">
        <f>TEXT(表3[[#This Row],[ETD]],"mmdd-h ")&amp;表3[[#This Row],[项目]]</f>
        <v>0522-0 WX mobis</v>
      </c>
      <c r="B228" s="7" t="s">
        <v>171</v>
      </c>
      <c r="C228" s="8">
        <v>43607</v>
      </c>
      <c r="D228" s="27">
        <v>16</v>
      </c>
      <c r="E228" s="34" t="s">
        <v>326</v>
      </c>
      <c r="F228" s="24">
        <v>43605</v>
      </c>
      <c r="G228" s="21" t="s">
        <v>285</v>
      </c>
      <c r="H228" s="9"/>
    </row>
    <row r="229" spans="1:8" hidden="1" x14ac:dyDescent="0.2">
      <c r="A229" s="19" t="str">
        <f>TEXT(表3[[#This Row],[ETD]],"mmdd-h ")&amp;表3[[#This Row],[项目]]</f>
        <v>0522-0 WX mobis</v>
      </c>
      <c r="B229" s="7" t="s">
        <v>171</v>
      </c>
      <c r="C229" s="8">
        <v>43607</v>
      </c>
      <c r="D229" s="27">
        <v>17</v>
      </c>
      <c r="E229" s="34" t="s">
        <v>328</v>
      </c>
      <c r="F229" s="24">
        <v>43605</v>
      </c>
      <c r="G229" s="21" t="s">
        <v>285</v>
      </c>
      <c r="H229" s="9"/>
    </row>
    <row r="230" spans="1:8" hidden="1" x14ac:dyDescent="0.2">
      <c r="A230" s="19" t="str">
        <f>TEXT(表3[[#This Row],[ETD]],"mmdd-h ")&amp;表3[[#This Row],[项目]]</f>
        <v>0522-0 WX mobis</v>
      </c>
      <c r="B230" s="7" t="s">
        <v>171</v>
      </c>
      <c r="C230" s="8">
        <v>43607</v>
      </c>
      <c r="D230" s="27">
        <v>18</v>
      </c>
      <c r="E230" s="34" t="s">
        <v>330</v>
      </c>
      <c r="F230" s="24">
        <v>43605</v>
      </c>
      <c r="G230" s="21" t="s">
        <v>285</v>
      </c>
      <c r="H230" s="9"/>
    </row>
    <row r="231" spans="1:8" hidden="1" x14ac:dyDescent="0.2">
      <c r="A231" s="19" t="str">
        <f>TEXT(表3[[#This Row],[ETD]],"mmdd-h ")&amp;表3[[#This Row],[项目]]</f>
        <v>0522-0 WX mobis</v>
      </c>
      <c r="B231" s="7" t="s">
        <v>171</v>
      </c>
      <c r="C231" s="8">
        <v>43607</v>
      </c>
      <c r="D231" s="27">
        <v>19</v>
      </c>
      <c r="E231" s="34" t="s">
        <v>312</v>
      </c>
      <c r="F231" s="24">
        <v>43602</v>
      </c>
      <c r="G231" s="21" t="s">
        <v>285</v>
      </c>
      <c r="H231" s="9"/>
    </row>
    <row r="232" spans="1:8" hidden="1" x14ac:dyDescent="0.2">
      <c r="A232" s="19" t="str">
        <f>TEXT(表3[[#This Row],[ETD]],"mmdd-h ")&amp;表3[[#This Row],[项目]]</f>
        <v>0522-0 WX mobis</v>
      </c>
      <c r="B232" s="7" t="s">
        <v>171</v>
      </c>
      <c r="C232" s="8">
        <v>43607</v>
      </c>
      <c r="D232" s="27">
        <v>20</v>
      </c>
      <c r="E232" s="34" t="s">
        <v>314</v>
      </c>
      <c r="F232" s="24">
        <v>43602</v>
      </c>
      <c r="G232" s="21" t="s">
        <v>285</v>
      </c>
      <c r="H232" s="9"/>
    </row>
    <row r="233" spans="1:8" hidden="1" x14ac:dyDescent="0.2">
      <c r="A233" s="19" t="str">
        <f>TEXT(表3[[#This Row],[ETD]],"mmdd-h ")&amp;表3[[#This Row],[项目]]</f>
        <v>0522-0 WX mobis</v>
      </c>
      <c r="B233" s="7" t="s">
        <v>171</v>
      </c>
      <c r="C233" s="8">
        <v>43607</v>
      </c>
      <c r="D233" s="27">
        <v>21</v>
      </c>
      <c r="E233" s="34" t="s">
        <v>316</v>
      </c>
      <c r="F233" s="24">
        <v>43605</v>
      </c>
      <c r="G233" s="21" t="s">
        <v>285</v>
      </c>
      <c r="H233" s="9"/>
    </row>
    <row r="234" spans="1:8" hidden="1" x14ac:dyDescent="0.2">
      <c r="A234" s="19" t="str">
        <f>TEXT(表3[[#This Row],[ETD]],"mmdd-h ")&amp;表3[[#This Row],[项目]]</f>
        <v>0522-0 WX mobis</v>
      </c>
      <c r="B234" s="7" t="s">
        <v>171</v>
      </c>
      <c r="C234" s="8">
        <v>43607</v>
      </c>
      <c r="D234" s="27">
        <v>22</v>
      </c>
      <c r="E234" s="34" t="s">
        <v>318</v>
      </c>
      <c r="F234" s="24">
        <v>43605</v>
      </c>
      <c r="G234" s="21" t="s">
        <v>285</v>
      </c>
      <c r="H234" s="9"/>
    </row>
    <row r="235" spans="1:8" hidden="1" x14ac:dyDescent="0.2">
      <c r="A235" s="19" t="str">
        <f>TEXT(表3[[#This Row],[ETD]],"mmdd-h ")&amp;表3[[#This Row],[项目]]</f>
        <v>0522-0 WX mobis</v>
      </c>
      <c r="B235" s="7" t="s">
        <v>171</v>
      </c>
      <c r="C235" s="8">
        <v>43607</v>
      </c>
      <c r="D235" s="27">
        <v>23</v>
      </c>
      <c r="E235" s="34" t="s">
        <v>320</v>
      </c>
      <c r="F235" s="24">
        <v>43606</v>
      </c>
      <c r="G235" s="21" t="s">
        <v>225</v>
      </c>
      <c r="H235" s="9"/>
    </row>
    <row r="236" spans="1:8" hidden="1" x14ac:dyDescent="0.2">
      <c r="A236" s="19" t="str">
        <f>TEXT(表3[[#This Row],[ETD]],"mmdd-h ")&amp;表3[[#This Row],[项目]]</f>
        <v>0522-0 WX mobis</v>
      </c>
      <c r="B236" s="7" t="s">
        <v>171</v>
      </c>
      <c r="C236" s="8">
        <v>43607</v>
      </c>
      <c r="D236" s="27">
        <v>24</v>
      </c>
      <c r="E236" s="34" t="s">
        <v>322</v>
      </c>
      <c r="F236" s="24">
        <v>43607</v>
      </c>
      <c r="G236" s="21" t="s">
        <v>225</v>
      </c>
      <c r="H236" s="9"/>
    </row>
    <row r="237" spans="1:8" hidden="1" x14ac:dyDescent="0.2">
      <c r="A237" s="19" t="str">
        <f>TEXT(表3[[#This Row],[ETD]],"mmdd-h ")&amp;表3[[#This Row],[项目]]</f>
        <v>0522-0 WX mobis</v>
      </c>
      <c r="B237" s="7" t="s">
        <v>171</v>
      </c>
      <c r="C237" s="8">
        <v>43607</v>
      </c>
      <c r="D237" s="27">
        <v>25</v>
      </c>
      <c r="E237" s="34" t="s">
        <v>324</v>
      </c>
      <c r="F237" s="24">
        <v>43607</v>
      </c>
      <c r="G237" s="21" t="s">
        <v>225</v>
      </c>
      <c r="H237" s="9"/>
    </row>
    <row r="238" spans="1:8" hidden="1" x14ac:dyDescent="0.2">
      <c r="A238" s="19" t="str">
        <f>TEXT(表3[[#This Row],[ETD]],"mmdd-h ")&amp;表3[[#This Row],[项目]]</f>
        <v>0524-0 JS mobis</v>
      </c>
      <c r="B238" s="7" t="s">
        <v>2</v>
      </c>
      <c r="C238" s="8">
        <v>43609</v>
      </c>
      <c r="D238" s="27">
        <v>1</v>
      </c>
      <c r="E238" s="34" t="s">
        <v>12</v>
      </c>
      <c r="F238" s="24">
        <v>43595</v>
      </c>
      <c r="G238" s="21" t="s">
        <v>244</v>
      </c>
      <c r="H238" s="9" t="s">
        <v>29</v>
      </c>
    </row>
    <row r="239" spans="1:8" hidden="1" x14ac:dyDescent="0.2">
      <c r="A239" s="19" t="str">
        <f>TEXT(表3[[#This Row],[ETD]],"mmdd-h ")&amp;表3[[#This Row],[项目]]</f>
        <v>0524-0 JS mobis</v>
      </c>
      <c r="B239" s="7" t="s">
        <v>2</v>
      </c>
      <c r="C239" s="8">
        <v>43609</v>
      </c>
      <c r="D239" s="27">
        <v>2</v>
      </c>
      <c r="E239" s="34" t="s">
        <v>241</v>
      </c>
      <c r="F239" s="24">
        <v>43595</v>
      </c>
      <c r="G239" s="21" t="s">
        <v>243</v>
      </c>
      <c r="H239" s="9"/>
    </row>
    <row r="240" spans="1:8" hidden="1" x14ac:dyDescent="0.2">
      <c r="A240" s="19" t="str">
        <f>TEXT(表3[[#This Row],[ETD]],"mmdd-h ")&amp;表3[[#This Row],[项目]]</f>
        <v>0524-0 JS mobis</v>
      </c>
      <c r="B240" s="7" t="s">
        <v>2</v>
      </c>
      <c r="C240" s="8">
        <v>43609</v>
      </c>
      <c r="D240" s="27">
        <v>3</v>
      </c>
      <c r="E240" s="34" t="s">
        <v>62</v>
      </c>
      <c r="F240" s="24">
        <v>43598</v>
      </c>
      <c r="G240" s="21" t="s">
        <v>285</v>
      </c>
      <c r="H240" s="9" t="s">
        <v>31</v>
      </c>
    </row>
    <row r="241" spans="1:8" hidden="1" x14ac:dyDescent="0.2">
      <c r="A241" s="19" t="str">
        <f>TEXT(表3[[#This Row],[ETD]],"mmdd-h ")&amp;表3[[#This Row],[项目]]</f>
        <v>0524-0 JS mobis</v>
      </c>
      <c r="B241" s="7" t="s">
        <v>2</v>
      </c>
      <c r="C241" s="8">
        <v>43609</v>
      </c>
      <c r="D241" s="27">
        <v>4</v>
      </c>
      <c r="E241" s="34" t="s">
        <v>64</v>
      </c>
      <c r="F241" s="24">
        <v>43598</v>
      </c>
      <c r="G241" s="21" t="s">
        <v>285</v>
      </c>
      <c r="H241" s="9"/>
    </row>
    <row r="242" spans="1:8" hidden="1" x14ac:dyDescent="0.2">
      <c r="A242" s="19" t="str">
        <f>TEXT(表3[[#This Row],[ETD]],"mmdd-h ")&amp;表3[[#This Row],[项目]]</f>
        <v>0524-0 JS mobis</v>
      </c>
      <c r="B242" s="7" t="s">
        <v>2</v>
      </c>
      <c r="C242" s="8">
        <v>43609</v>
      </c>
      <c r="D242" s="27">
        <v>5</v>
      </c>
      <c r="E242" s="34" t="s">
        <v>66</v>
      </c>
      <c r="F242" s="24">
        <v>43599</v>
      </c>
      <c r="G242" s="21" t="s">
        <v>285</v>
      </c>
      <c r="H242" s="9" t="s">
        <v>44</v>
      </c>
    </row>
    <row r="243" spans="1:8" hidden="1" x14ac:dyDescent="0.2">
      <c r="A243" s="19" t="str">
        <f>TEXT(表3[[#This Row],[ETD]],"mmdd-h ")&amp;表3[[#This Row],[项目]]</f>
        <v>0524-0 JS mobis</v>
      </c>
      <c r="B243" s="7" t="s">
        <v>2</v>
      </c>
      <c r="C243" s="8">
        <v>43609</v>
      </c>
      <c r="D243" s="27">
        <v>6</v>
      </c>
      <c r="E243" s="34" t="s">
        <v>19</v>
      </c>
      <c r="F243" s="24">
        <v>43599</v>
      </c>
      <c r="G243" s="21" t="s">
        <v>285</v>
      </c>
      <c r="H243" s="9"/>
    </row>
    <row r="244" spans="1:8" hidden="1" x14ac:dyDescent="0.2">
      <c r="A244" s="19" t="str">
        <f>TEXT(表3[[#This Row],[ETD]],"mmdd-h ")&amp;表3[[#This Row],[项目]]</f>
        <v>0524-0 JS mobis</v>
      </c>
      <c r="B244" s="7" t="s">
        <v>2</v>
      </c>
      <c r="C244" s="8">
        <v>43609</v>
      </c>
      <c r="D244" s="27">
        <v>7</v>
      </c>
      <c r="E244" s="34" t="s">
        <v>21</v>
      </c>
      <c r="F244" s="24">
        <v>43599</v>
      </c>
      <c r="G244" s="21" t="s">
        <v>285</v>
      </c>
      <c r="H244" s="9"/>
    </row>
    <row r="245" spans="1:8" hidden="1" x14ac:dyDescent="0.2">
      <c r="A245" s="19" t="str">
        <f>TEXT(表3[[#This Row],[ETD]],"mmdd-h ")&amp;表3[[#This Row],[项目]]</f>
        <v>0524-0 JS mobis</v>
      </c>
      <c r="B245" s="7" t="s">
        <v>2</v>
      </c>
      <c r="C245" s="8">
        <v>43609</v>
      </c>
      <c r="D245" s="27">
        <v>8</v>
      </c>
      <c r="E245" s="34" t="s">
        <v>7</v>
      </c>
      <c r="F245" s="24">
        <v>43599</v>
      </c>
      <c r="G245" s="21" t="s">
        <v>285</v>
      </c>
      <c r="H245" s="9"/>
    </row>
    <row r="246" spans="1:8" hidden="1" x14ac:dyDescent="0.2">
      <c r="A246" s="19" t="str">
        <f>TEXT(表3[[#This Row],[ETD]],"mmdd-h ")&amp;表3[[#This Row],[项目]]</f>
        <v>0524-0 JS mobis</v>
      </c>
      <c r="B246" s="7" t="s">
        <v>2</v>
      </c>
      <c r="C246" s="8">
        <v>43609</v>
      </c>
      <c r="D246" s="27">
        <v>9</v>
      </c>
      <c r="E246" s="34" t="s">
        <v>9</v>
      </c>
      <c r="F246" s="24">
        <v>43599</v>
      </c>
      <c r="G246" s="21" t="s">
        <v>285</v>
      </c>
      <c r="H246" s="9"/>
    </row>
    <row r="247" spans="1:8" hidden="1" x14ac:dyDescent="0.2">
      <c r="A247" s="19" t="str">
        <f>TEXT(表3[[#This Row],[ETD]],"mmdd-h ")&amp;表3[[#This Row],[项目]]</f>
        <v>0524-0 JS mobis</v>
      </c>
      <c r="B247" s="7" t="s">
        <v>2</v>
      </c>
      <c r="C247" s="8">
        <v>43609</v>
      </c>
      <c r="D247" s="27">
        <v>10</v>
      </c>
      <c r="E247" s="34" t="s">
        <v>11</v>
      </c>
      <c r="F247" s="24">
        <v>43600</v>
      </c>
      <c r="G247" s="21" t="s">
        <v>285</v>
      </c>
      <c r="H247" s="9" t="s">
        <v>33</v>
      </c>
    </row>
    <row r="248" spans="1:8" hidden="1" x14ac:dyDescent="0.2">
      <c r="A248" s="19" t="str">
        <f>TEXT(表3[[#This Row],[ETD]],"mmdd-h ")&amp;表3[[#This Row],[项目]]</f>
        <v>0524-0 JS mobis</v>
      </c>
      <c r="B248" s="7" t="s">
        <v>2</v>
      </c>
      <c r="C248" s="8">
        <v>43609</v>
      </c>
      <c r="D248" s="27">
        <v>11</v>
      </c>
      <c r="E248" s="34" t="s">
        <v>60</v>
      </c>
      <c r="F248" s="24">
        <v>43600</v>
      </c>
      <c r="G248" s="21" t="s">
        <v>285</v>
      </c>
      <c r="H248" s="9"/>
    </row>
    <row r="249" spans="1:8" hidden="1" x14ac:dyDescent="0.2">
      <c r="A249" s="19" t="str">
        <f>TEXT(表3[[#This Row],[ETD]],"mmdd-h ")&amp;表3[[#This Row],[项目]]</f>
        <v>0524-0 JS mobis</v>
      </c>
      <c r="B249" s="7" t="s">
        <v>2</v>
      </c>
      <c r="C249" s="8">
        <v>43609</v>
      </c>
      <c r="D249" s="27">
        <v>13</v>
      </c>
      <c r="E249" s="34" t="s">
        <v>28</v>
      </c>
      <c r="F249" s="24">
        <v>43605</v>
      </c>
      <c r="G249" s="21" t="s">
        <v>285</v>
      </c>
      <c r="H249" s="9" t="s">
        <v>35</v>
      </c>
    </row>
    <row r="250" spans="1:8" hidden="1" x14ac:dyDescent="0.2">
      <c r="A250" s="19" t="str">
        <f>TEXT(表3[[#This Row],[ETD]],"mmdd-h ")&amp;表3[[#This Row],[项目]]</f>
        <v>0524-0 JS mobis</v>
      </c>
      <c r="B250" s="7" t="s">
        <v>2</v>
      </c>
      <c r="C250" s="8">
        <v>43609</v>
      </c>
      <c r="D250" s="27">
        <v>14</v>
      </c>
      <c r="E250" s="34" t="s">
        <v>40</v>
      </c>
      <c r="F250" s="24">
        <v>43605</v>
      </c>
      <c r="G250" s="21" t="s">
        <v>285</v>
      </c>
      <c r="H250" s="9"/>
    </row>
    <row r="251" spans="1:8" hidden="1" x14ac:dyDescent="0.2">
      <c r="A251" s="19" t="str">
        <f>TEXT(表3[[#This Row],[ETD]],"mmdd-h ")&amp;表3[[#This Row],[项目]]</f>
        <v>0524-0 JS mobis</v>
      </c>
      <c r="B251" s="7" t="s">
        <v>2</v>
      </c>
      <c r="C251" s="8">
        <v>43609</v>
      </c>
      <c r="D251" s="27">
        <v>15</v>
      </c>
      <c r="E251" s="34" t="s">
        <v>23</v>
      </c>
      <c r="F251" s="24">
        <v>43605</v>
      </c>
      <c r="G251" s="21" t="s">
        <v>285</v>
      </c>
      <c r="H251" s="9"/>
    </row>
    <row r="252" spans="1:8" hidden="1" x14ac:dyDescent="0.2">
      <c r="A252" s="19" t="str">
        <f>TEXT(表3[[#This Row],[ETD]],"mmdd-h ")&amp;表3[[#This Row],[项目]]</f>
        <v>0524-0 JS mobis</v>
      </c>
      <c r="B252" s="7" t="s">
        <v>2</v>
      </c>
      <c r="C252" s="8">
        <v>43609</v>
      </c>
      <c r="D252" s="27">
        <v>16</v>
      </c>
      <c r="E252" s="34" t="s">
        <v>25</v>
      </c>
      <c r="F252" s="24">
        <v>43605</v>
      </c>
      <c r="G252" s="21" t="s">
        <v>285</v>
      </c>
      <c r="H252" s="9"/>
    </row>
    <row r="253" spans="1:8" hidden="1" x14ac:dyDescent="0.2">
      <c r="A253" s="19" t="str">
        <f>TEXT(表3[[#This Row],[ETD]],"mmdd-h ")&amp;表3[[#This Row],[项目]]</f>
        <v>0524-0 JS mobis</v>
      </c>
      <c r="B253" s="7" t="s">
        <v>2</v>
      </c>
      <c r="C253" s="8">
        <v>43609</v>
      </c>
      <c r="D253" s="27">
        <v>17</v>
      </c>
      <c r="E253" s="34" t="s">
        <v>13</v>
      </c>
      <c r="F253" s="24">
        <v>43605</v>
      </c>
      <c r="G253" s="21" t="s">
        <v>285</v>
      </c>
      <c r="H253" s="9"/>
    </row>
    <row r="254" spans="1:8" hidden="1" x14ac:dyDescent="0.2">
      <c r="A254" s="19" t="str">
        <f>TEXT(表3[[#This Row],[ETD]],"mmdd-h ")&amp;表3[[#This Row],[项目]]</f>
        <v>0524-0 JS mobis</v>
      </c>
      <c r="B254" s="7" t="s">
        <v>2</v>
      </c>
      <c r="C254" s="8">
        <v>43609</v>
      </c>
      <c r="D254" s="27">
        <v>18</v>
      </c>
      <c r="E254" s="34" t="s">
        <v>15</v>
      </c>
      <c r="F254" s="24">
        <v>43605</v>
      </c>
      <c r="G254" s="21" t="s">
        <v>285</v>
      </c>
      <c r="H254" s="9"/>
    </row>
    <row r="255" spans="1:8" hidden="1" x14ac:dyDescent="0.2">
      <c r="A255" s="19" t="str">
        <f>TEXT(表3[[#This Row],[ETD]],"mmdd-h ")&amp;表3[[#This Row],[项目]]</f>
        <v>0524-0 JS mobis</v>
      </c>
      <c r="B255" s="7" t="s">
        <v>2</v>
      </c>
      <c r="C255" s="8">
        <v>43609</v>
      </c>
      <c r="D255" s="27">
        <v>19</v>
      </c>
      <c r="E255" s="34" t="s">
        <v>17</v>
      </c>
      <c r="F255" s="24">
        <v>43605</v>
      </c>
      <c r="G255" s="21" t="s">
        <v>225</v>
      </c>
      <c r="H255" s="9"/>
    </row>
    <row r="256" spans="1:8" hidden="1" x14ac:dyDescent="0.2">
      <c r="A256" s="19" t="str">
        <f>TEXT(表3[[#This Row],[ETD]],"mmdd-h ")&amp;表3[[#This Row],[项目]]</f>
        <v>0524-0 JS mobis</v>
      </c>
      <c r="B256" s="7" t="s">
        <v>2</v>
      </c>
      <c r="C256" s="8">
        <v>43609</v>
      </c>
      <c r="D256" s="27">
        <v>20</v>
      </c>
      <c r="E256" s="34" t="s">
        <v>58</v>
      </c>
      <c r="F256" s="24">
        <v>43605</v>
      </c>
      <c r="G256" s="21" t="s">
        <v>225</v>
      </c>
      <c r="H256" s="9"/>
    </row>
    <row r="257" spans="1:8" hidden="1" x14ac:dyDescent="0.2">
      <c r="A257" s="19" t="str">
        <f>TEXT(表3[[#This Row],[ETD]],"mmdd-h ")&amp;表3[[#This Row],[项目]]</f>
        <v>0524-0 JS mobis</v>
      </c>
      <c r="B257" s="7" t="s">
        <v>456</v>
      </c>
      <c r="C257" s="8">
        <v>43609</v>
      </c>
      <c r="D257" s="27">
        <v>20.100000000000001</v>
      </c>
      <c r="E257" s="34" t="s">
        <v>457</v>
      </c>
      <c r="F257" s="24">
        <v>43602</v>
      </c>
      <c r="G257" s="21" t="s">
        <v>285</v>
      </c>
      <c r="H257" s="9"/>
    </row>
    <row r="258" spans="1:8" hidden="1" x14ac:dyDescent="0.2">
      <c r="A258" s="19" t="str">
        <f>TEXT(表3[[#This Row],[ETD]],"mmdd-h ")&amp;表3[[#This Row],[项目]]</f>
        <v>0524-0 JS mobis</v>
      </c>
      <c r="B258" s="7" t="s">
        <v>2</v>
      </c>
      <c r="C258" s="8">
        <v>43609</v>
      </c>
      <c r="D258" s="27">
        <v>21</v>
      </c>
      <c r="E258" s="34" t="s">
        <v>489</v>
      </c>
      <c r="F258" s="24">
        <v>43606</v>
      </c>
      <c r="G258" s="21" t="s">
        <v>225</v>
      </c>
      <c r="H258" s="9" t="s">
        <v>37</v>
      </c>
    </row>
    <row r="259" spans="1:8" hidden="1" x14ac:dyDescent="0.2">
      <c r="A259" s="19" t="str">
        <f>TEXT(表3[[#This Row],[ETD]],"mmdd-h ")&amp;表3[[#This Row],[项目]]</f>
        <v>0524-0 JS mobis</v>
      </c>
      <c r="B259" s="7" t="s">
        <v>2</v>
      </c>
      <c r="C259" s="8">
        <v>43609</v>
      </c>
      <c r="D259" s="27">
        <v>22</v>
      </c>
      <c r="E259" s="34" t="s">
        <v>39</v>
      </c>
      <c r="F259" s="24">
        <v>43606</v>
      </c>
      <c r="G259" s="21" t="s">
        <v>225</v>
      </c>
      <c r="H259" s="9"/>
    </row>
    <row r="260" spans="1:8" hidden="1" x14ac:dyDescent="0.2">
      <c r="A260" s="19" t="str">
        <f>TEXT(表3[[#This Row],[ETD]],"mmdd-h ")&amp;表3[[#This Row],[项目]]</f>
        <v>0524-0 JS mobis</v>
      </c>
      <c r="B260" s="7" t="s">
        <v>2</v>
      </c>
      <c r="C260" s="8">
        <v>43609</v>
      </c>
      <c r="D260" s="27">
        <v>23</v>
      </c>
      <c r="E260" s="34" t="s">
        <v>42</v>
      </c>
      <c r="F260" s="24">
        <v>43606</v>
      </c>
      <c r="G260" s="21" t="s">
        <v>225</v>
      </c>
      <c r="H260" s="9"/>
    </row>
    <row r="261" spans="1:8" hidden="1" x14ac:dyDescent="0.2">
      <c r="A261" s="19" t="str">
        <f>TEXT(表3[[#This Row],[ETD]],"mmdd-h ")&amp;表3[[#This Row],[项目]]</f>
        <v>0524-0 JS mobis</v>
      </c>
      <c r="B261" s="7" t="s">
        <v>2</v>
      </c>
      <c r="C261" s="8">
        <v>43609</v>
      </c>
      <c r="D261" s="27">
        <v>24</v>
      </c>
      <c r="E261" s="34" t="s">
        <v>46</v>
      </c>
      <c r="F261" s="24">
        <v>43606</v>
      </c>
      <c r="G261" s="21" t="s">
        <v>225</v>
      </c>
      <c r="H261" s="9"/>
    </row>
    <row r="262" spans="1:8" hidden="1" x14ac:dyDescent="0.2">
      <c r="A262" s="19" t="str">
        <f>TEXT(表3[[#This Row],[ETD]],"mmdd-h ")&amp;表3[[#This Row],[项目]]</f>
        <v>0524-0 JS mobis</v>
      </c>
      <c r="B262" s="7" t="s">
        <v>2</v>
      </c>
      <c r="C262" s="8">
        <v>43609</v>
      </c>
      <c r="D262" s="27">
        <v>25</v>
      </c>
      <c r="E262" s="34" t="s">
        <v>43</v>
      </c>
      <c r="F262" s="24">
        <v>43606</v>
      </c>
      <c r="G262" s="21" t="s">
        <v>225</v>
      </c>
      <c r="H262" s="9" t="s">
        <v>44</v>
      </c>
    </row>
    <row r="263" spans="1:8" hidden="1" x14ac:dyDescent="0.2">
      <c r="A263" s="19" t="str">
        <f>TEXT(表3[[#This Row],[ETD]],"mmdd-h ")&amp;表3[[#This Row],[项目]]</f>
        <v>0524-0 JS mobis</v>
      </c>
      <c r="B263" s="7" t="s">
        <v>2</v>
      </c>
      <c r="C263" s="8">
        <v>43609</v>
      </c>
      <c r="D263" s="27">
        <v>26</v>
      </c>
      <c r="E263" s="34" t="s">
        <v>440</v>
      </c>
      <c r="F263" s="24">
        <v>43606</v>
      </c>
      <c r="G263" s="21" t="s">
        <v>225</v>
      </c>
      <c r="H263" s="9" t="s">
        <v>213</v>
      </c>
    </row>
    <row r="264" spans="1:8" hidden="1" x14ac:dyDescent="0.2">
      <c r="A264" s="19" t="str">
        <f>TEXT(表3[[#This Row],[ETD]],"mmdd-h ")&amp;表3[[#This Row],[项目]]</f>
        <v>0524-0 JS mobis</v>
      </c>
      <c r="B264" s="7" t="s">
        <v>2</v>
      </c>
      <c r="C264" s="8">
        <v>43609</v>
      </c>
      <c r="D264" s="27">
        <v>27</v>
      </c>
      <c r="E264" s="34" t="s">
        <v>87</v>
      </c>
      <c r="F264" s="24">
        <v>43606</v>
      </c>
      <c r="G264" s="21" t="s">
        <v>225</v>
      </c>
      <c r="H264" s="9"/>
    </row>
    <row r="265" spans="1:8" hidden="1" x14ac:dyDescent="0.2">
      <c r="A265" s="19" t="str">
        <f>TEXT(表3[[#This Row],[ETD]],"mmdd-h ")&amp;表3[[#This Row],[项目]]</f>
        <v>0524-0 JS mobis</v>
      </c>
      <c r="B265" s="7" t="s">
        <v>2</v>
      </c>
      <c r="C265" s="8">
        <v>43609</v>
      </c>
      <c r="D265" s="27">
        <v>28</v>
      </c>
      <c r="E265" s="34" t="s">
        <v>68</v>
      </c>
      <c r="F265" s="24">
        <v>43606</v>
      </c>
      <c r="G265" s="21" t="s">
        <v>225</v>
      </c>
      <c r="H265" s="9"/>
    </row>
    <row r="266" spans="1:8" hidden="1" x14ac:dyDescent="0.2">
      <c r="A266" s="19" t="str">
        <f>TEXT(表3[[#This Row],[ETD]],"mmdd-h ")&amp;表3[[#This Row],[项目]]</f>
        <v>0524-0 JS mobis</v>
      </c>
      <c r="B266" s="7" t="s">
        <v>2</v>
      </c>
      <c r="C266" s="8">
        <v>43609</v>
      </c>
      <c r="D266" s="27">
        <v>29</v>
      </c>
      <c r="E266" s="34" t="s">
        <v>83</v>
      </c>
      <c r="F266" s="24">
        <v>43606</v>
      </c>
      <c r="G266" s="21" t="s">
        <v>225</v>
      </c>
      <c r="H266" s="9"/>
    </row>
    <row r="267" spans="1:8" hidden="1" x14ac:dyDescent="0.2">
      <c r="A267" s="19" t="str">
        <f>TEXT(表3[[#This Row],[ETD]],"mmdd-h ")&amp;表3[[#This Row],[项目]]</f>
        <v>0524-0 JS mobis</v>
      </c>
      <c r="B267" s="7" t="s">
        <v>2</v>
      </c>
      <c r="C267" s="8">
        <v>43609</v>
      </c>
      <c r="D267" s="27">
        <v>30</v>
      </c>
      <c r="E267" s="34" t="s">
        <v>85</v>
      </c>
      <c r="F267" s="24">
        <v>43606</v>
      </c>
      <c r="G267" s="21" t="s">
        <v>225</v>
      </c>
      <c r="H267" s="9"/>
    </row>
    <row r="268" spans="1:8" hidden="1" x14ac:dyDescent="0.2">
      <c r="A268" s="19" t="str">
        <f>TEXT(表3[[#This Row],[ETD]],"mmdd-h ")&amp;表3[[#This Row],[项目]]</f>
        <v>0524-0 JS mobis</v>
      </c>
      <c r="B268" s="7" t="s">
        <v>2</v>
      </c>
      <c r="C268" s="8">
        <v>43609</v>
      </c>
      <c r="D268" s="27">
        <v>31</v>
      </c>
      <c r="E268" s="34" t="s">
        <v>241</v>
      </c>
      <c r="F268" s="24">
        <v>43606</v>
      </c>
      <c r="G268" s="21" t="s">
        <v>225</v>
      </c>
      <c r="H268" s="9"/>
    </row>
    <row r="269" spans="1:8" hidden="1" x14ac:dyDescent="0.2">
      <c r="A269" s="19" t="str">
        <f>TEXT(表3[[#This Row],[ETD]],"mmdd-h ")&amp;表3[[#This Row],[项目]]</f>
        <v>0524-0 JS mobis</v>
      </c>
      <c r="B269" s="7" t="s">
        <v>2</v>
      </c>
      <c r="C269" s="8">
        <v>43609</v>
      </c>
      <c r="D269" s="27">
        <v>32</v>
      </c>
      <c r="E269" s="34" t="s">
        <v>50</v>
      </c>
      <c r="F269" s="24">
        <v>43606</v>
      </c>
      <c r="G269" s="21" t="s">
        <v>225</v>
      </c>
      <c r="H269" s="9" t="s">
        <v>44</v>
      </c>
    </row>
    <row r="270" spans="1:8" hidden="1" x14ac:dyDescent="0.2">
      <c r="A270" s="19" t="str">
        <f>TEXT(表3[[#This Row],[ETD]],"mmdd-h ")&amp;表3[[#This Row],[项目]]</f>
        <v>0524-0 JS mobis</v>
      </c>
      <c r="B270" s="7" t="s">
        <v>2</v>
      </c>
      <c r="C270" s="8">
        <v>43609</v>
      </c>
      <c r="D270" s="27">
        <v>33</v>
      </c>
      <c r="E270" s="34" t="s">
        <v>56</v>
      </c>
      <c r="F270" s="24">
        <v>43606</v>
      </c>
      <c r="G270" s="21" t="s">
        <v>225</v>
      </c>
      <c r="H270" s="9"/>
    </row>
    <row r="271" spans="1:8" hidden="1" x14ac:dyDescent="0.2">
      <c r="A271" s="19" t="str">
        <f>TEXT(表3[[#This Row],[ETD]],"mmdd-h ")&amp;表3[[#This Row],[项目]]</f>
        <v>0524-0 JS mobis</v>
      </c>
      <c r="B271" s="7" t="s">
        <v>2</v>
      </c>
      <c r="C271" s="8">
        <v>43609</v>
      </c>
      <c r="D271" s="27">
        <v>34</v>
      </c>
      <c r="E271" s="34" t="s">
        <v>75</v>
      </c>
      <c r="F271" s="24">
        <v>43606</v>
      </c>
      <c r="G271" s="21" t="s">
        <v>225</v>
      </c>
      <c r="H271" s="9" t="s">
        <v>72</v>
      </c>
    </row>
    <row r="272" spans="1:8" hidden="1" x14ac:dyDescent="0.2">
      <c r="A272" s="19" t="str">
        <f>TEXT(表3[[#This Row],[ETD]],"mmdd-h ")&amp;表3[[#This Row],[项目]]</f>
        <v>0524-0 JS mobis</v>
      </c>
      <c r="B272" s="7" t="s">
        <v>2</v>
      </c>
      <c r="C272" s="8">
        <v>43609</v>
      </c>
      <c r="D272" s="27">
        <v>35</v>
      </c>
      <c r="E272" s="34" t="s">
        <v>70</v>
      </c>
      <c r="F272" s="24">
        <v>43606</v>
      </c>
      <c r="G272" s="21" t="s">
        <v>225</v>
      </c>
      <c r="H272" s="9"/>
    </row>
    <row r="273" spans="1:8" hidden="1" x14ac:dyDescent="0.2">
      <c r="A273" s="19" t="str">
        <f>TEXT(表3[[#This Row],[ETD]],"mmdd-h ")&amp;表3[[#This Row],[项目]]</f>
        <v>0524-0 JS mobis</v>
      </c>
      <c r="B273" s="7" t="s">
        <v>2</v>
      </c>
      <c r="C273" s="8">
        <v>43609</v>
      </c>
      <c r="D273" s="27">
        <v>36</v>
      </c>
      <c r="E273" s="34" t="s">
        <v>490</v>
      </c>
      <c r="F273" s="24">
        <v>43606</v>
      </c>
      <c r="G273" s="21" t="s">
        <v>225</v>
      </c>
      <c r="H273" s="9" t="s">
        <v>33</v>
      </c>
    </row>
    <row r="274" spans="1:8" hidden="1" x14ac:dyDescent="0.2">
      <c r="A274" s="19" t="str">
        <f>TEXT(表3[[#This Row],[ETD]],"mmdd-h ")&amp;表3[[#This Row],[项目]]</f>
        <v>0524-0 JS mobis</v>
      </c>
      <c r="B274" s="7" t="s">
        <v>2</v>
      </c>
      <c r="C274" s="8">
        <v>43609</v>
      </c>
      <c r="D274" s="27">
        <v>37</v>
      </c>
      <c r="E274" s="34" t="s">
        <v>491</v>
      </c>
      <c r="F274" s="24">
        <v>43606</v>
      </c>
      <c r="G274" s="21" t="s">
        <v>225</v>
      </c>
      <c r="H274" s="9" t="s">
        <v>44</v>
      </c>
    </row>
    <row r="275" spans="1:8" hidden="1" x14ac:dyDescent="0.2">
      <c r="A275" s="19" t="str">
        <f>TEXT(表3[[#This Row],[ETD]],"mmdd-h ")&amp;表3[[#This Row],[项目]]</f>
        <v>0524-0 JS mobis</v>
      </c>
      <c r="B275" s="7" t="s">
        <v>2</v>
      </c>
      <c r="C275" s="8">
        <v>43609</v>
      </c>
      <c r="D275" s="27">
        <v>38</v>
      </c>
      <c r="E275" s="34" t="s">
        <v>182</v>
      </c>
      <c r="F275" s="24">
        <v>43606</v>
      </c>
      <c r="G275" s="21" t="s">
        <v>225</v>
      </c>
      <c r="H275" s="9"/>
    </row>
    <row r="276" spans="1:8" hidden="1" x14ac:dyDescent="0.2">
      <c r="A276" s="19" t="str">
        <f>TEXT(表3[[#This Row],[ETD]],"mmdd-h ")&amp;表3[[#This Row],[项目]]</f>
        <v>0524-0 JS mobis</v>
      </c>
      <c r="B276" s="7" t="s">
        <v>2</v>
      </c>
      <c r="C276" s="8">
        <v>43609</v>
      </c>
      <c r="D276" s="27">
        <v>39</v>
      </c>
      <c r="E276" s="34" t="s">
        <v>77</v>
      </c>
      <c r="F276" s="24">
        <v>43606</v>
      </c>
      <c r="G276" s="21" t="s">
        <v>225</v>
      </c>
      <c r="H276" s="9" t="s">
        <v>79</v>
      </c>
    </row>
    <row r="277" spans="1:8" hidden="1" x14ac:dyDescent="0.2">
      <c r="A277" s="19" t="str">
        <f>TEXT(表3[[#This Row],[ETD]],"mmdd-h ")&amp;表3[[#This Row],[项目]]</f>
        <v>0524-0 JS mobis</v>
      </c>
      <c r="B277" s="7" t="s">
        <v>2</v>
      </c>
      <c r="C277" s="8">
        <v>43609</v>
      </c>
      <c r="D277" s="27">
        <v>40</v>
      </c>
      <c r="E277" s="34" t="s">
        <v>81</v>
      </c>
      <c r="F277" s="24">
        <v>43606</v>
      </c>
      <c r="G277" s="21" t="s">
        <v>225</v>
      </c>
      <c r="H277" s="9"/>
    </row>
    <row r="278" spans="1:8" hidden="1" x14ac:dyDescent="0.2">
      <c r="A278" s="19" t="str">
        <f>TEXT(表3[[#This Row],[ETD]],"mmdd-h ")&amp;表3[[#This Row],[项目]]</f>
        <v>0524-0 JS mobis</v>
      </c>
      <c r="B278" s="7" t="s">
        <v>2</v>
      </c>
      <c r="C278" s="8">
        <v>43609</v>
      </c>
      <c r="D278" s="27">
        <v>41</v>
      </c>
      <c r="E278" s="34" t="s">
        <v>89</v>
      </c>
      <c r="F278" s="24">
        <v>43607</v>
      </c>
      <c r="G278" s="21" t="s">
        <v>225</v>
      </c>
      <c r="H278" s="9"/>
    </row>
    <row r="279" spans="1:8" hidden="1" x14ac:dyDescent="0.2">
      <c r="A279" s="19" t="str">
        <f>TEXT(表3[[#This Row],[ETD]],"mmdd-h ")&amp;表3[[#This Row],[项目]]</f>
        <v>0524-0 JS mobis</v>
      </c>
      <c r="B279" s="7" t="s">
        <v>2</v>
      </c>
      <c r="C279" s="8">
        <v>43609</v>
      </c>
      <c r="D279" s="27">
        <v>42</v>
      </c>
      <c r="E279" s="34" t="s">
        <v>91</v>
      </c>
      <c r="F279" s="24">
        <v>43607</v>
      </c>
      <c r="G279" s="21" t="s">
        <v>225</v>
      </c>
      <c r="H279" s="9"/>
    </row>
    <row r="280" spans="1:8" hidden="1" x14ac:dyDescent="0.2">
      <c r="A280" s="20" t="str">
        <f>TEXT(表3[[#This Row],[ETD]],"mmdd-h ")&amp;表3[[#This Row],[项目]]</f>
        <v>0524-0 JS mobis</v>
      </c>
      <c r="B280" s="10" t="s">
        <v>2</v>
      </c>
      <c r="C280" s="11">
        <v>43609</v>
      </c>
      <c r="D280" s="27">
        <v>43</v>
      </c>
      <c r="E280" s="36" t="s">
        <v>93</v>
      </c>
      <c r="F280" s="25">
        <v>43607</v>
      </c>
      <c r="G280" s="22" t="s">
        <v>225</v>
      </c>
      <c r="H280" s="12"/>
    </row>
    <row r="281" spans="1:8" hidden="1" x14ac:dyDescent="0.2">
      <c r="A281" s="20" t="str">
        <f>TEXT(表3[[#This Row],[ETD]],"mmdd-h ")&amp;表3[[#This Row],[项目]]</f>
        <v>0524-0 JS mobis</v>
      </c>
      <c r="B281" s="10" t="s">
        <v>2</v>
      </c>
      <c r="C281" s="11">
        <v>43609</v>
      </c>
      <c r="D281" s="27">
        <v>44</v>
      </c>
      <c r="E281" s="36" t="s">
        <v>95</v>
      </c>
      <c r="F281" s="25">
        <v>43607</v>
      </c>
      <c r="G281" s="22" t="s">
        <v>225</v>
      </c>
      <c r="H281" s="12"/>
    </row>
    <row r="282" spans="1:8" hidden="1" x14ac:dyDescent="0.2">
      <c r="A282" s="19" t="str">
        <f>TEXT(表3[[#This Row],[ETD]],"mmdd-h ")&amp;表3[[#This Row],[项目]]</f>
        <v>0524-0 JS mobis</v>
      </c>
      <c r="B282" s="7" t="s">
        <v>2</v>
      </c>
      <c r="C282" s="8">
        <v>43609</v>
      </c>
      <c r="D282" s="27">
        <v>45</v>
      </c>
      <c r="E282" s="34" t="s">
        <v>97</v>
      </c>
      <c r="F282" s="24">
        <v>43608</v>
      </c>
      <c r="G282" s="21" t="s">
        <v>225</v>
      </c>
      <c r="H282" s="9"/>
    </row>
    <row r="283" spans="1:8" hidden="1" x14ac:dyDescent="0.2">
      <c r="A283" s="19" t="str">
        <f>TEXT(表3[[#This Row],[ETD]],"mmdd-h ")&amp;表3[[#This Row],[项目]]</f>
        <v>0524-0 JS mobis</v>
      </c>
      <c r="B283" s="7" t="s">
        <v>2</v>
      </c>
      <c r="C283" s="8">
        <v>43609</v>
      </c>
      <c r="D283" s="27">
        <v>46</v>
      </c>
      <c r="E283" s="34" t="s">
        <v>99</v>
      </c>
      <c r="F283" s="24">
        <v>43608</v>
      </c>
      <c r="G283" s="21" t="s">
        <v>225</v>
      </c>
      <c r="H283" s="9"/>
    </row>
    <row r="284" spans="1:8" hidden="1" x14ac:dyDescent="0.2">
      <c r="A284" s="19" t="str">
        <f>TEXT(表3[[#This Row],[ETD]],"mmdd-h ")&amp;表3[[#This Row],[项目]]</f>
        <v>0524-0 JS mobis</v>
      </c>
      <c r="B284" s="7" t="s">
        <v>2</v>
      </c>
      <c r="C284" s="8">
        <v>43609</v>
      </c>
      <c r="D284" s="27">
        <v>47</v>
      </c>
      <c r="E284" s="34" t="s">
        <v>100</v>
      </c>
      <c r="F284" s="24">
        <v>43608</v>
      </c>
      <c r="G284" s="21" t="s">
        <v>225</v>
      </c>
      <c r="H284" s="9"/>
    </row>
    <row r="285" spans="1:8" hidden="1" x14ac:dyDescent="0.2">
      <c r="A285" s="19" t="str">
        <f>TEXT(表3[[#This Row],[ETD]],"mmdd-h ")&amp;表3[[#This Row],[项目]]</f>
        <v>0524-0 JS mobis</v>
      </c>
      <c r="B285" s="7" t="s">
        <v>2</v>
      </c>
      <c r="C285" s="8">
        <v>43609</v>
      </c>
      <c r="D285" s="27">
        <v>48</v>
      </c>
      <c r="E285" s="34" t="s">
        <v>101</v>
      </c>
      <c r="F285" s="24">
        <v>43609</v>
      </c>
      <c r="G285" s="21" t="s">
        <v>225</v>
      </c>
      <c r="H285" s="9" t="s">
        <v>138</v>
      </c>
    </row>
    <row r="286" spans="1:8" hidden="1" x14ac:dyDescent="0.2">
      <c r="A286" s="19" t="str">
        <f>TEXT(表3[[#This Row],[ETD]],"mmdd-h ")&amp;表3[[#This Row],[项目]]</f>
        <v>0528-0 JS mobis</v>
      </c>
      <c r="B286" s="7" t="s">
        <v>2</v>
      </c>
      <c r="C286" s="8">
        <v>43613</v>
      </c>
      <c r="D286" s="27">
        <v>1</v>
      </c>
      <c r="E286" s="34" t="s">
        <v>12</v>
      </c>
      <c r="F286" s="24">
        <v>43595</v>
      </c>
      <c r="G286" s="21" t="s">
        <v>243</v>
      </c>
      <c r="H286" s="9" t="s">
        <v>29</v>
      </c>
    </row>
    <row r="287" spans="1:8" hidden="1" x14ac:dyDescent="0.2">
      <c r="A287" s="19" t="str">
        <f>TEXT(表3[[#This Row],[ETD]],"mmdd-h ")&amp;表3[[#This Row],[项目]]</f>
        <v>0528-0 JS mobis</v>
      </c>
      <c r="B287" s="7" t="s">
        <v>2</v>
      </c>
      <c r="C287" s="8">
        <v>43613</v>
      </c>
      <c r="D287" s="27">
        <v>2</v>
      </c>
      <c r="E287" s="34" t="s">
        <v>241</v>
      </c>
      <c r="F287" s="24">
        <v>43599</v>
      </c>
      <c r="G287" s="21" t="s">
        <v>243</v>
      </c>
      <c r="H287" s="9"/>
    </row>
    <row r="288" spans="1:8" hidden="1" x14ac:dyDescent="0.2">
      <c r="A288" s="19" t="str">
        <f>TEXT(表3[[#This Row],[ETD]],"mmdd-h ")&amp;表3[[#This Row],[项目]]</f>
        <v>0528-0 JS mobis</v>
      </c>
      <c r="B288" s="7" t="s">
        <v>2</v>
      </c>
      <c r="C288" s="8">
        <v>43613</v>
      </c>
      <c r="D288" s="27">
        <v>3</v>
      </c>
      <c r="E288" s="34" t="s">
        <v>62</v>
      </c>
      <c r="F288" s="24">
        <v>43599</v>
      </c>
      <c r="G288" s="21" t="s">
        <v>285</v>
      </c>
      <c r="H288" s="9" t="s">
        <v>31</v>
      </c>
    </row>
    <row r="289" spans="1:8" hidden="1" x14ac:dyDescent="0.2">
      <c r="A289" s="19" t="str">
        <f>TEXT(表3[[#This Row],[ETD]],"mmdd-h ")&amp;表3[[#This Row],[项目]]</f>
        <v>0528-0 JS mobis</v>
      </c>
      <c r="B289" s="7" t="s">
        <v>2</v>
      </c>
      <c r="C289" s="8">
        <v>43613</v>
      </c>
      <c r="D289" s="27">
        <v>4</v>
      </c>
      <c r="E289" s="34" t="s">
        <v>64</v>
      </c>
      <c r="F289" s="24">
        <v>43599</v>
      </c>
      <c r="G289" s="21" t="s">
        <v>285</v>
      </c>
      <c r="H289" s="9"/>
    </row>
    <row r="290" spans="1:8" hidden="1" x14ac:dyDescent="0.2">
      <c r="A290" s="19" t="str">
        <f>TEXT(表3[[#This Row],[ETD]],"mmdd-h ")&amp;表3[[#This Row],[项目]]</f>
        <v>0528-0 JS mobis</v>
      </c>
      <c r="B290" s="7" t="s">
        <v>2</v>
      </c>
      <c r="C290" s="8">
        <v>43613</v>
      </c>
      <c r="D290" s="27">
        <v>5</v>
      </c>
      <c r="E290" s="34" t="s">
        <v>66</v>
      </c>
      <c r="F290" s="24">
        <v>43599</v>
      </c>
      <c r="G290" s="21" t="s">
        <v>285</v>
      </c>
      <c r="H290" s="9" t="s">
        <v>44</v>
      </c>
    </row>
    <row r="291" spans="1:8" hidden="1" x14ac:dyDescent="0.2">
      <c r="A291" s="19" t="str">
        <f>TEXT(表3[[#This Row],[ETD]],"mmdd-h ")&amp;表3[[#This Row],[项目]]</f>
        <v>0528-0 JS mobis</v>
      </c>
      <c r="B291" s="7" t="s">
        <v>2</v>
      </c>
      <c r="C291" s="8">
        <v>43613</v>
      </c>
      <c r="D291" s="27">
        <v>6</v>
      </c>
      <c r="E291" s="34" t="s">
        <v>19</v>
      </c>
      <c r="F291" s="24">
        <v>43599</v>
      </c>
      <c r="G291" s="21" t="s">
        <v>285</v>
      </c>
      <c r="H291" s="9"/>
    </row>
    <row r="292" spans="1:8" hidden="1" x14ac:dyDescent="0.2">
      <c r="A292" s="19" t="str">
        <f>TEXT(表3[[#This Row],[ETD]],"mmdd-h ")&amp;表3[[#This Row],[项目]]</f>
        <v>0528-0 JS mobis</v>
      </c>
      <c r="B292" s="7" t="s">
        <v>2</v>
      </c>
      <c r="C292" s="8">
        <v>43613</v>
      </c>
      <c r="D292" s="27">
        <v>7</v>
      </c>
      <c r="E292" s="34" t="s">
        <v>21</v>
      </c>
      <c r="F292" s="24">
        <v>43599</v>
      </c>
      <c r="G292" s="21" t="s">
        <v>285</v>
      </c>
      <c r="H292" s="9"/>
    </row>
    <row r="293" spans="1:8" hidden="1" x14ac:dyDescent="0.2">
      <c r="A293" s="19" t="str">
        <f>TEXT(表3[[#This Row],[ETD]],"mmdd-h ")&amp;表3[[#This Row],[项目]]</f>
        <v>0528-0 JS mobis</v>
      </c>
      <c r="B293" s="7" t="s">
        <v>2</v>
      </c>
      <c r="C293" s="8">
        <v>43613</v>
      </c>
      <c r="D293" s="27">
        <v>8</v>
      </c>
      <c r="E293" s="34" t="s">
        <v>7</v>
      </c>
      <c r="F293" s="24">
        <v>43599</v>
      </c>
      <c r="G293" s="21" t="s">
        <v>285</v>
      </c>
      <c r="H293" s="9"/>
    </row>
    <row r="294" spans="1:8" hidden="1" x14ac:dyDescent="0.2">
      <c r="A294" s="19" t="str">
        <f>TEXT(表3[[#This Row],[ETD]],"mmdd-h ")&amp;表3[[#This Row],[项目]]</f>
        <v>0528-0 JS mobis</v>
      </c>
      <c r="B294" s="7" t="s">
        <v>2</v>
      </c>
      <c r="C294" s="8">
        <v>43613</v>
      </c>
      <c r="D294" s="27">
        <v>9</v>
      </c>
      <c r="E294" s="34" t="s">
        <v>9</v>
      </c>
      <c r="F294" s="24">
        <v>43599</v>
      </c>
      <c r="G294" s="21" t="s">
        <v>285</v>
      </c>
      <c r="H294" s="9"/>
    </row>
    <row r="295" spans="1:8" hidden="1" x14ac:dyDescent="0.2">
      <c r="A295" s="19" t="str">
        <f>TEXT(表3[[#This Row],[ETD]],"mmdd-h ")&amp;表3[[#This Row],[项目]]</f>
        <v>0528-0 JS mobis</v>
      </c>
      <c r="B295" s="7" t="s">
        <v>2</v>
      </c>
      <c r="C295" s="8">
        <v>43613</v>
      </c>
      <c r="D295" s="27">
        <v>10</v>
      </c>
      <c r="E295" s="34" t="s">
        <v>11</v>
      </c>
      <c r="F295" s="24">
        <v>43600</v>
      </c>
      <c r="G295" s="21" t="s">
        <v>285</v>
      </c>
      <c r="H295" s="9" t="s">
        <v>33</v>
      </c>
    </row>
    <row r="296" spans="1:8" hidden="1" x14ac:dyDescent="0.2">
      <c r="A296" s="19" t="str">
        <f>TEXT(表3[[#This Row],[ETD]],"mmdd-h ")&amp;表3[[#This Row],[项目]]</f>
        <v>0528-0 JS mobis</v>
      </c>
      <c r="B296" s="7" t="s">
        <v>2</v>
      </c>
      <c r="C296" s="8">
        <v>43613</v>
      </c>
      <c r="D296" s="27">
        <v>11</v>
      </c>
      <c r="E296" s="34" t="s">
        <v>60</v>
      </c>
      <c r="F296" s="24">
        <v>43600</v>
      </c>
      <c r="G296" s="21" t="s">
        <v>285</v>
      </c>
      <c r="H296" s="9"/>
    </row>
    <row r="297" spans="1:8" hidden="1" x14ac:dyDescent="0.2">
      <c r="A297" s="19" t="str">
        <f>TEXT(表3[[#This Row],[ETD]],"mmdd-h ")&amp;表3[[#This Row],[项目]]</f>
        <v>0528-0 JS mobis</v>
      </c>
      <c r="B297" s="7" t="s">
        <v>2</v>
      </c>
      <c r="C297" s="8">
        <v>43613</v>
      </c>
      <c r="D297" s="27">
        <v>12</v>
      </c>
      <c r="E297" s="34" t="s">
        <v>492</v>
      </c>
      <c r="F297" s="24">
        <v>43606</v>
      </c>
      <c r="G297" s="21" t="s">
        <v>225</v>
      </c>
      <c r="H297" s="9" t="s">
        <v>35</v>
      </c>
    </row>
    <row r="298" spans="1:8" hidden="1" x14ac:dyDescent="0.2">
      <c r="A298" s="19" t="str">
        <f>TEXT(表3[[#This Row],[ETD]],"mmdd-h ")&amp;表3[[#This Row],[项目]]</f>
        <v>0528-0 JS mobis</v>
      </c>
      <c r="B298" s="7" t="s">
        <v>2</v>
      </c>
      <c r="C298" s="8">
        <v>43613</v>
      </c>
      <c r="D298" s="27">
        <v>13</v>
      </c>
      <c r="E298" s="34" t="s">
        <v>40</v>
      </c>
      <c r="F298" s="24">
        <v>43607</v>
      </c>
      <c r="G298" s="21" t="s">
        <v>225</v>
      </c>
      <c r="H298" s="9"/>
    </row>
    <row r="299" spans="1:8" hidden="1" x14ac:dyDescent="0.2">
      <c r="A299" s="19" t="str">
        <f>TEXT(表3[[#This Row],[ETD]],"mmdd-h ")&amp;表3[[#This Row],[项目]]</f>
        <v>0528-0 JS mobis</v>
      </c>
      <c r="B299" s="7" t="s">
        <v>2</v>
      </c>
      <c r="C299" s="8">
        <v>43613</v>
      </c>
      <c r="D299" s="27">
        <v>15</v>
      </c>
      <c r="E299" s="34" t="s">
        <v>23</v>
      </c>
      <c r="F299" s="24">
        <v>43607</v>
      </c>
      <c r="G299" s="21" t="s">
        <v>225</v>
      </c>
      <c r="H299" s="9"/>
    </row>
    <row r="300" spans="1:8" hidden="1" x14ac:dyDescent="0.2">
      <c r="A300" s="19" t="str">
        <f>TEXT(表3[[#This Row],[ETD]],"mmdd-h ")&amp;表3[[#This Row],[项目]]</f>
        <v>0528-0 JS mobis</v>
      </c>
      <c r="B300" s="7" t="s">
        <v>2</v>
      </c>
      <c r="C300" s="8">
        <v>43613</v>
      </c>
      <c r="D300" s="27">
        <v>16</v>
      </c>
      <c r="E300" s="34" t="s">
        <v>25</v>
      </c>
      <c r="F300" s="24">
        <v>43607</v>
      </c>
      <c r="G300" s="21" t="s">
        <v>225</v>
      </c>
      <c r="H300" s="9"/>
    </row>
    <row r="301" spans="1:8" hidden="1" x14ac:dyDescent="0.2">
      <c r="A301" s="19" t="str">
        <f>TEXT(表3[[#This Row],[ETD]],"mmdd-h ")&amp;表3[[#This Row],[项目]]</f>
        <v>0528-0 JS mobis</v>
      </c>
      <c r="B301" s="7" t="s">
        <v>2</v>
      </c>
      <c r="C301" s="8">
        <v>43613</v>
      </c>
      <c r="D301" s="27">
        <v>17</v>
      </c>
      <c r="E301" s="34" t="s">
        <v>13</v>
      </c>
      <c r="F301" s="24">
        <v>43607</v>
      </c>
      <c r="G301" s="21" t="s">
        <v>225</v>
      </c>
      <c r="H301" s="9"/>
    </row>
    <row r="302" spans="1:8" hidden="1" x14ac:dyDescent="0.2">
      <c r="A302" s="20" t="str">
        <f>TEXT(表3[[#This Row],[ETD]],"mmdd-h ")&amp;表3[[#This Row],[项目]]</f>
        <v>0528-0 JS mobis</v>
      </c>
      <c r="B302" s="10" t="s">
        <v>2</v>
      </c>
      <c r="C302" s="11">
        <v>43613</v>
      </c>
      <c r="D302" s="27">
        <v>18</v>
      </c>
      <c r="E302" s="36" t="s">
        <v>15</v>
      </c>
      <c r="F302" s="25">
        <v>43607</v>
      </c>
      <c r="G302" s="22" t="s">
        <v>225</v>
      </c>
      <c r="H302" s="12"/>
    </row>
    <row r="303" spans="1:8" hidden="1" x14ac:dyDescent="0.2">
      <c r="A303" s="19" t="str">
        <f>TEXT(表3[[#This Row],[ETD]],"mmdd-h ")&amp;表3[[#This Row],[项目]]</f>
        <v>0528-0 JS mobis</v>
      </c>
      <c r="B303" s="7" t="s">
        <v>2</v>
      </c>
      <c r="C303" s="8">
        <v>43613</v>
      </c>
      <c r="D303" s="27">
        <v>19</v>
      </c>
      <c r="E303" s="34" t="s">
        <v>17</v>
      </c>
      <c r="F303" s="24">
        <v>43607</v>
      </c>
      <c r="G303" s="21" t="s">
        <v>225</v>
      </c>
      <c r="H303" s="9"/>
    </row>
    <row r="304" spans="1:8" hidden="1" x14ac:dyDescent="0.2">
      <c r="A304" s="19" t="str">
        <f>TEXT(表3[[#This Row],[ETD]],"mmdd-h ")&amp;表3[[#This Row],[项目]]</f>
        <v>0528-0 JS mobis</v>
      </c>
      <c r="B304" s="7" t="s">
        <v>2</v>
      </c>
      <c r="C304" s="8">
        <v>43613</v>
      </c>
      <c r="D304" s="27">
        <v>20</v>
      </c>
      <c r="E304" s="34" t="s">
        <v>58</v>
      </c>
      <c r="F304" s="24">
        <v>43607</v>
      </c>
      <c r="G304" s="21" t="s">
        <v>225</v>
      </c>
      <c r="H304" s="9"/>
    </row>
    <row r="305" spans="1:8" hidden="1" x14ac:dyDescent="0.2">
      <c r="A305" s="19" t="str">
        <f>TEXT(表3[[#This Row],[ETD]],"mmdd-h ")&amp;表3[[#This Row],[项目]]</f>
        <v>0528-0 JS mobis</v>
      </c>
      <c r="B305" s="7" t="s">
        <v>2</v>
      </c>
      <c r="C305" s="8">
        <v>43613</v>
      </c>
      <c r="D305" s="27">
        <v>21</v>
      </c>
      <c r="E305" s="34" t="s">
        <v>493</v>
      </c>
      <c r="F305" s="24">
        <v>43608</v>
      </c>
      <c r="G305" s="21" t="s">
        <v>225</v>
      </c>
      <c r="H305" s="9" t="s">
        <v>37</v>
      </c>
    </row>
    <row r="306" spans="1:8" hidden="1" x14ac:dyDescent="0.2">
      <c r="A306" s="19" t="str">
        <f>TEXT(表3[[#This Row],[ETD]],"mmdd-h ")&amp;表3[[#This Row],[项目]]</f>
        <v>0528-0 JS mobis</v>
      </c>
      <c r="B306" s="7" t="s">
        <v>2</v>
      </c>
      <c r="C306" s="8">
        <v>43613</v>
      </c>
      <c r="D306" s="27">
        <v>22</v>
      </c>
      <c r="E306" s="34" t="s">
        <v>39</v>
      </c>
      <c r="F306" s="24">
        <v>43608</v>
      </c>
      <c r="G306" s="21" t="s">
        <v>225</v>
      </c>
      <c r="H306" s="9"/>
    </row>
    <row r="307" spans="1:8" hidden="1" x14ac:dyDescent="0.2">
      <c r="A307" s="20" t="str">
        <f>TEXT(表3[[#This Row],[ETD]],"mmdd-h ")&amp;表3[[#This Row],[项目]]</f>
        <v>0528-0 JS mobis</v>
      </c>
      <c r="B307" s="10" t="s">
        <v>2</v>
      </c>
      <c r="C307" s="11">
        <v>43613</v>
      </c>
      <c r="D307" s="27">
        <v>23</v>
      </c>
      <c r="E307" s="36" t="s">
        <v>42</v>
      </c>
      <c r="F307" s="25">
        <v>43608</v>
      </c>
      <c r="G307" s="22" t="s">
        <v>225</v>
      </c>
      <c r="H307" s="12"/>
    </row>
    <row r="308" spans="1:8" hidden="1" x14ac:dyDescent="0.2">
      <c r="A308" s="20" t="str">
        <f>TEXT(表3[[#This Row],[ETD]],"mmdd-h ")&amp;表3[[#This Row],[项目]]</f>
        <v>0528-0 JS mobis</v>
      </c>
      <c r="B308" s="10" t="s">
        <v>2</v>
      </c>
      <c r="C308" s="8">
        <v>43613</v>
      </c>
      <c r="D308" s="27">
        <v>24</v>
      </c>
      <c r="E308" s="36" t="s">
        <v>46</v>
      </c>
      <c r="F308" s="24">
        <v>43608</v>
      </c>
      <c r="G308" s="22" t="s">
        <v>225</v>
      </c>
      <c r="H308" s="12"/>
    </row>
    <row r="309" spans="1:8" hidden="1" x14ac:dyDescent="0.2">
      <c r="A309" s="20" t="str">
        <f>TEXT(表3[[#This Row],[ETD]],"mmdd-h ")&amp;表3[[#This Row],[项目]]</f>
        <v>0528-0 JS mobis</v>
      </c>
      <c r="B309" s="10" t="s">
        <v>2</v>
      </c>
      <c r="C309" s="11">
        <v>43613</v>
      </c>
      <c r="D309" s="27">
        <v>25</v>
      </c>
      <c r="E309" s="36" t="s">
        <v>43</v>
      </c>
      <c r="F309" s="25">
        <v>43609</v>
      </c>
      <c r="G309" s="22" t="s">
        <v>225</v>
      </c>
      <c r="H309" s="12" t="s">
        <v>44</v>
      </c>
    </row>
    <row r="310" spans="1:8" hidden="1" x14ac:dyDescent="0.2">
      <c r="A310" s="20" t="str">
        <f>TEXT(表3[[#This Row],[ETD]],"mmdd-h ")&amp;表3[[#This Row],[项目]]</f>
        <v>0528-0 JS mobis</v>
      </c>
      <c r="B310" s="10" t="s">
        <v>2</v>
      </c>
      <c r="C310" s="8">
        <v>43613</v>
      </c>
      <c r="D310" s="27">
        <v>26</v>
      </c>
      <c r="E310" s="36" t="s">
        <v>441</v>
      </c>
      <c r="F310" s="24">
        <v>43609</v>
      </c>
      <c r="G310" s="22" t="s">
        <v>225</v>
      </c>
      <c r="H310" s="12" t="s">
        <v>213</v>
      </c>
    </row>
    <row r="311" spans="1:8" hidden="1" x14ac:dyDescent="0.2">
      <c r="A311" s="19" t="str">
        <f>TEXT(表3[[#This Row],[ETD]],"mmdd-h ")&amp;表3[[#This Row],[项目]]</f>
        <v>0528-0 JS mobis</v>
      </c>
      <c r="B311" s="7" t="s">
        <v>2</v>
      </c>
      <c r="C311" s="8">
        <v>43613</v>
      </c>
      <c r="D311" s="27">
        <v>27</v>
      </c>
      <c r="E311" s="34" t="s">
        <v>87</v>
      </c>
      <c r="F311" s="24">
        <v>43609</v>
      </c>
      <c r="G311" s="21" t="s">
        <v>225</v>
      </c>
      <c r="H311" s="9"/>
    </row>
    <row r="312" spans="1:8" hidden="1" x14ac:dyDescent="0.2">
      <c r="A312" s="19" t="str">
        <f>TEXT(表3[[#This Row],[ETD]],"mmdd-h ")&amp;表3[[#This Row],[项目]]</f>
        <v>0528-0 JS mobis</v>
      </c>
      <c r="B312" s="7" t="s">
        <v>2</v>
      </c>
      <c r="C312" s="8">
        <v>43613</v>
      </c>
      <c r="D312" s="27">
        <v>28</v>
      </c>
      <c r="E312" s="34" t="s">
        <v>68</v>
      </c>
      <c r="F312" s="24">
        <v>43609</v>
      </c>
      <c r="G312" s="21" t="s">
        <v>225</v>
      </c>
      <c r="H312" s="9"/>
    </row>
    <row r="313" spans="1:8" hidden="1" x14ac:dyDescent="0.2">
      <c r="A313" s="19" t="str">
        <f>TEXT(表3[[#This Row],[ETD]],"mmdd-h ")&amp;表3[[#This Row],[项目]]</f>
        <v>0528-0 JS mobis</v>
      </c>
      <c r="B313" s="7" t="s">
        <v>2</v>
      </c>
      <c r="C313" s="8">
        <v>43613</v>
      </c>
      <c r="D313" s="27">
        <v>29</v>
      </c>
      <c r="E313" s="34" t="s">
        <v>83</v>
      </c>
      <c r="F313" s="24">
        <v>43609</v>
      </c>
      <c r="G313" s="21" t="s">
        <v>225</v>
      </c>
      <c r="H313" s="9"/>
    </row>
    <row r="314" spans="1:8" hidden="1" x14ac:dyDescent="0.2">
      <c r="A314" s="19" t="str">
        <f>TEXT(表3[[#This Row],[ETD]],"mmdd-h ")&amp;表3[[#This Row],[项目]]</f>
        <v>0528-0 JS mobis</v>
      </c>
      <c r="B314" s="7" t="s">
        <v>2</v>
      </c>
      <c r="C314" s="8">
        <v>43613</v>
      </c>
      <c r="D314" s="27">
        <v>30</v>
      </c>
      <c r="E314" s="34" t="s">
        <v>85</v>
      </c>
      <c r="F314" s="24">
        <v>43609</v>
      </c>
      <c r="G314" s="21" t="s">
        <v>225</v>
      </c>
      <c r="H314" s="9"/>
    </row>
    <row r="315" spans="1:8" hidden="1" x14ac:dyDescent="0.2">
      <c r="A315" s="19" t="str">
        <f>TEXT(表3[[#This Row],[ETD]],"mmdd-h ")&amp;表3[[#This Row],[项目]]</f>
        <v>0528-0 JS mobis</v>
      </c>
      <c r="B315" s="7" t="s">
        <v>2</v>
      </c>
      <c r="C315" s="8">
        <v>43613</v>
      </c>
      <c r="D315" s="27">
        <v>31</v>
      </c>
      <c r="E315" s="34" t="s">
        <v>241</v>
      </c>
      <c r="F315" s="24">
        <v>43609</v>
      </c>
      <c r="G315" s="21" t="s">
        <v>225</v>
      </c>
      <c r="H315" s="9"/>
    </row>
    <row r="316" spans="1:8" hidden="1" x14ac:dyDescent="0.2">
      <c r="A316" s="19" t="str">
        <f>TEXT(表3[[#This Row],[ETD]],"mmdd-h ")&amp;表3[[#This Row],[项目]]</f>
        <v>0528-0 JS mobis</v>
      </c>
      <c r="B316" s="7" t="s">
        <v>2</v>
      </c>
      <c r="C316" s="8">
        <v>43613</v>
      </c>
      <c r="D316" s="27">
        <v>32</v>
      </c>
      <c r="E316" s="34" t="s">
        <v>50</v>
      </c>
      <c r="F316" s="24">
        <v>43609</v>
      </c>
      <c r="G316" s="21" t="s">
        <v>225</v>
      </c>
      <c r="H316" s="9" t="s">
        <v>44</v>
      </c>
    </row>
    <row r="317" spans="1:8" hidden="1" x14ac:dyDescent="0.2">
      <c r="A317" s="19" t="str">
        <f>TEXT(表3[[#This Row],[ETD]],"mmdd-h ")&amp;表3[[#This Row],[项目]]</f>
        <v>0528-0 JS mobis</v>
      </c>
      <c r="B317" s="7" t="s">
        <v>2</v>
      </c>
      <c r="C317" s="8">
        <v>43613</v>
      </c>
      <c r="D317" s="27">
        <v>33</v>
      </c>
      <c r="E317" s="34" t="s">
        <v>56</v>
      </c>
      <c r="F317" s="24">
        <v>43609</v>
      </c>
      <c r="G317" s="21" t="s">
        <v>225</v>
      </c>
      <c r="H317" s="9"/>
    </row>
    <row r="318" spans="1:8" hidden="1" x14ac:dyDescent="0.2">
      <c r="A318" s="19" t="str">
        <f>TEXT(表3[[#This Row],[ETD]],"mmdd-h ")&amp;表3[[#This Row],[项目]]</f>
        <v>0528-0 JS mobis</v>
      </c>
      <c r="B318" s="7" t="s">
        <v>2</v>
      </c>
      <c r="C318" s="8">
        <v>43613</v>
      </c>
      <c r="D318" s="27">
        <v>34</v>
      </c>
      <c r="E318" s="34" t="s">
        <v>75</v>
      </c>
      <c r="F318" s="24">
        <v>43609</v>
      </c>
      <c r="G318" s="21" t="s">
        <v>225</v>
      </c>
      <c r="H318" s="9" t="s">
        <v>72</v>
      </c>
    </row>
    <row r="319" spans="1:8" hidden="1" x14ac:dyDescent="0.2">
      <c r="A319" s="19" t="str">
        <f>TEXT(表3[[#This Row],[ETD]],"mmdd-h ")&amp;表3[[#This Row],[项目]]</f>
        <v>0528-0 JS mobis</v>
      </c>
      <c r="B319" s="7" t="s">
        <v>2</v>
      </c>
      <c r="C319" s="8">
        <v>43613</v>
      </c>
      <c r="D319" s="27">
        <v>35</v>
      </c>
      <c r="E319" s="34" t="s">
        <v>70</v>
      </c>
      <c r="F319" s="24">
        <v>43609</v>
      </c>
      <c r="G319" s="21" t="s">
        <v>225</v>
      </c>
      <c r="H319" s="9"/>
    </row>
    <row r="320" spans="1:8" hidden="1" x14ac:dyDescent="0.2">
      <c r="A320" s="19" t="str">
        <f>TEXT(表3[[#This Row],[ETD]],"mmdd-h ")&amp;表3[[#This Row],[项目]]</f>
        <v>0528-0 JS mobis</v>
      </c>
      <c r="B320" s="7" t="s">
        <v>2</v>
      </c>
      <c r="C320" s="8">
        <v>43613</v>
      </c>
      <c r="D320" s="27">
        <v>36</v>
      </c>
      <c r="E320" s="34" t="s">
        <v>494</v>
      </c>
      <c r="F320" s="24">
        <v>43609</v>
      </c>
      <c r="G320" s="21" t="s">
        <v>225</v>
      </c>
      <c r="H320" s="9" t="s">
        <v>33</v>
      </c>
    </row>
    <row r="321" spans="1:8" hidden="1" x14ac:dyDescent="0.2">
      <c r="A321" s="19" t="str">
        <f>TEXT(表3[[#This Row],[ETD]],"mmdd-h ")&amp;表3[[#This Row],[项目]]</f>
        <v>0528-0 JS mobis</v>
      </c>
      <c r="B321" s="7" t="s">
        <v>2</v>
      </c>
      <c r="C321" s="8">
        <v>43613</v>
      </c>
      <c r="D321" s="27">
        <v>37</v>
      </c>
      <c r="E321" s="34" t="s">
        <v>495</v>
      </c>
      <c r="F321" s="24">
        <v>43609</v>
      </c>
      <c r="G321" s="21" t="s">
        <v>225</v>
      </c>
      <c r="H321" s="9" t="s">
        <v>44</v>
      </c>
    </row>
    <row r="322" spans="1:8" hidden="1" x14ac:dyDescent="0.2">
      <c r="A322" s="19" t="str">
        <f>TEXT(表3[[#This Row],[ETD]],"mmdd-h ")&amp;表3[[#This Row],[项目]]</f>
        <v>0528-0 JS mobis</v>
      </c>
      <c r="B322" s="7" t="s">
        <v>2</v>
      </c>
      <c r="C322" s="8">
        <v>43613</v>
      </c>
      <c r="D322" s="27">
        <v>38</v>
      </c>
      <c r="E322" s="34" t="s">
        <v>182</v>
      </c>
      <c r="F322" s="24">
        <v>43609</v>
      </c>
      <c r="G322" s="21" t="s">
        <v>225</v>
      </c>
      <c r="H322" s="9"/>
    </row>
    <row r="323" spans="1:8" hidden="1" x14ac:dyDescent="0.2">
      <c r="A323" s="19" t="str">
        <f>TEXT(表3[[#This Row],[ETD]],"mmdd-h ")&amp;表3[[#This Row],[项目]]</f>
        <v>0528-0 JS mobis</v>
      </c>
      <c r="B323" s="7" t="s">
        <v>2</v>
      </c>
      <c r="C323" s="8">
        <v>43613</v>
      </c>
      <c r="D323" s="27">
        <v>39</v>
      </c>
      <c r="E323" s="34" t="s">
        <v>77</v>
      </c>
      <c r="F323" s="24">
        <v>43609</v>
      </c>
      <c r="G323" s="21" t="s">
        <v>225</v>
      </c>
      <c r="H323" s="9" t="s">
        <v>79</v>
      </c>
    </row>
    <row r="324" spans="1:8" hidden="1" x14ac:dyDescent="0.2">
      <c r="A324" s="19" t="str">
        <f>TEXT(表3[[#This Row],[ETD]],"mmdd-h ")&amp;表3[[#This Row],[项目]]</f>
        <v>0528-0 JS mobis</v>
      </c>
      <c r="B324" s="7" t="s">
        <v>2</v>
      </c>
      <c r="C324" s="8">
        <v>43613</v>
      </c>
      <c r="D324" s="27">
        <v>40</v>
      </c>
      <c r="E324" s="34" t="s">
        <v>81</v>
      </c>
      <c r="F324" s="24">
        <v>43609</v>
      </c>
      <c r="G324" s="21" t="s">
        <v>225</v>
      </c>
      <c r="H324" s="9"/>
    </row>
    <row r="325" spans="1:8" hidden="1" x14ac:dyDescent="0.2">
      <c r="A325" s="19" t="str">
        <f>TEXT(表3[[#This Row],[ETD]],"mmdd-h ")&amp;表3[[#This Row],[项目]]</f>
        <v>0528-0 JS mobis</v>
      </c>
      <c r="B325" s="7" t="s">
        <v>2</v>
      </c>
      <c r="C325" s="8">
        <v>43613</v>
      </c>
      <c r="D325" s="27">
        <v>41</v>
      </c>
      <c r="E325" s="34" t="s">
        <v>89</v>
      </c>
      <c r="F325" s="24">
        <v>43609</v>
      </c>
      <c r="G325" s="21" t="s">
        <v>225</v>
      </c>
      <c r="H325" s="9"/>
    </row>
    <row r="326" spans="1:8" hidden="1" x14ac:dyDescent="0.2">
      <c r="A326" s="19" t="str">
        <f>TEXT(表3[[#This Row],[ETD]],"mmdd-h ")&amp;表3[[#This Row],[项目]]</f>
        <v>0528-0 JS mobis</v>
      </c>
      <c r="B326" s="7" t="s">
        <v>2</v>
      </c>
      <c r="C326" s="8">
        <v>43613</v>
      </c>
      <c r="D326" s="27">
        <v>42</v>
      </c>
      <c r="E326" s="34" t="s">
        <v>91</v>
      </c>
      <c r="F326" s="24">
        <v>43610</v>
      </c>
      <c r="G326" s="21" t="s">
        <v>225</v>
      </c>
      <c r="H326" s="9"/>
    </row>
    <row r="327" spans="1:8" hidden="1" x14ac:dyDescent="0.2">
      <c r="A327" s="19" t="str">
        <f>TEXT(表3[[#This Row],[ETD]],"mmdd-h ")&amp;表3[[#This Row],[项目]]</f>
        <v>0528-0 JS mobis</v>
      </c>
      <c r="B327" s="7" t="s">
        <v>2</v>
      </c>
      <c r="C327" s="8">
        <v>43613</v>
      </c>
      <c r="D327" s="27">
        <v>43</v>
      </c>
      <c r="E327" s="34" t="s">
        <v>93</v>
      </c>
      <c r="F327" s="24">
        <v>43610</v>
      </c>
      <c r="G327" s="21" t="s">
        <v>225</v>
      </c>
      <c r="H327" s="9"/>
    </row>
    <row r="328" spans="1:8" hidden="1" x14ac:dyDescent="0.2">
      <c r="A328" s="19" t="str">
        <f>TEXT(表3[[#This Row],[ETD]],"mmdd-h ")&amp;表3[[#This Row],[项目]]</f>
        <v>0528-0 JS mobis</v>
      </c>
      <c r="B328" s="7" t="s">
        <v>2</v>
      </c>
      <c r="C328" s="8">
        <v>43613</v>
      </c>
      <c r="D328" s="27">
        <v>44</v>
      </c>
      <c r="E328" s="34" t="s">
        <v>95</v>
      </c>
      <c r="F328" s="24">
        <v>43610</v>
      </c>
      <c r="G328" s="21" t="s">
        <v>225</v>
      </c>
      <c r="H328" s="9"/>
    </row>
    <row r="329" spans="1:8" hidden="1" x14ac:dyDescent="0.2">
      <c r="A329" s="20" t="str">
        <f>TEXT(表3[[#This Row],[ETD]],"mmdd-h ")&amp;表3[[#This Row],[项目]]</f>
        <v>0528-0 JS mobis</v>
      </c>
      <c r="B329" s="10" t="s">
        <v>2</v>
      </c>
      <c r="C329" s="11">
        <v>43613</v>
      </c>
      <c r="D329" s="27">
        <v>45</v>
      </c>
      <c r="E329" s="36" t="s">
        <v>97</v>
      </c>
      <c r="F329" s="25">
        <v>43612</v>
      </c>
      <c r="G329" s="22" t="s">
        <v>225</v>
      </c>
      <c r="H329" s="12"/>
    </row>
    <row r="330" spans="1:8" hidden="1" x14ac:dyDescent="0.2">
      <c r="A330" s="19" t="str">
        <f>TEXT(表3[[#This Row],[ETD]],"mmdd-h ")&amp;表3[[#This Row],[项目]]</f>
        <v>0528-0 JS mobis</v>
      </c>
      <c r="B330" s="7" t="s">
        <v>2</v>
      </c>
      <c r="C330" s="8">
        <v>43613</v>
      </c>
      <c r="D330" s="27">
        <v>46</v>
      </c>
      <c r="E330" s="34" t="s">
        <v>99</v>
      </c>
      <c r="F330" s="24">
        <v>43612</v>
      </c>
      <c r="G330" s="21" t="s">
        <v>225</v>
      </c>
      <c r="H330" s="9"/>
    </row>
    <row r="331" spans="1:8" hidden="1" x14ac:dyDescent="0.2">
      <c r="A331" s="19" t="str">
        <f>TEXT(表3[[#This Row],[ETD]],"mmdd-h ")&amp;表3[[#This Row],[项目]]</f>
        <v>0528-0 JS mobis</v>
      </c>
      <c r="B331" s="7" t="s">
        <v>2</v>
      </c>
      <c r="C331" s="8">
        <v>43613</v>
      </c>
      <c r="D331" s="27">
        <v>47</v>
      </c>
      <c r="E331" s="34" t="s">
        <v>100</v>
      </c>
      <c r="F331" s="24">
        <v>43612</v>
      </c>
      <c r="G331" s="21" t="s">
        <v>225</v>
      </c>
      <c r="H331" s="9"/>
    </row>
    <row r="332" spans="1:8" hidden="1" x14ac:dyDescent="0.2">
      <c r="A332" s="19" t="str">
        <f>TEXT(表3[[#This Row],[ETD]],"mmdd-h ")&amp;表3[[#This Row],[项目]]</f>
        <v>0528-0 JS mobis</v>
      </c>
      <c r="B332" s="7" t="s">
        <v>2</v>
      </c>
      <c r="C332" s="8">
        <v>43613</v>
      </c>
      <c r="D332" s="27">
        <v>48</v>
      </c>
      <c r="E332" s="34" t="s">
        <v>101</v>
      </c>
      <c r="F332" s="24">
        <v>43613</v>
      </c>
      <c r="G332" s="21" t="s">
        <v>225</v>
      </c>
      <c r="H332" s="9" t="s">
        <v>138</v>
      </c>
    </row>
    <row r="333" spans="1:8" hidden="1" x14ac:dyDescent="0.2">
      <c r="A333" s="19" t="str">
        <f>TEXT(表3[[#This Row],[ETD]],"mmdd-h ")&amp;表3[[#This Row],[项目]]</f>
        <v>0528-0 SC glovis</v>
      </c>
      <c r="B333" s="7" t="s">
        <v>359</v>
      </c>
      <c r="C333" s="8">
        <v>43613</v>
      </c>
      <c r="D333" s="27">
        <v>1</v>
      </c>
      <c r="E333" s="34" t="s">
        <v>419</v>
      </c>
      <c r="F333" s="24">
        <v>43600</v>
      </c>
      <c r="G333" s="21" t="s">
        <v>435</v>
      </c>
      <c r="H333" s="9"/>
    </row>
    <row r="334" spans="1:8" hidden="1" x14ac:dyDescent="0.2">
      <c r="A334" s="19" t="str">
        <f>TEXT(表3[[#This Row],[ETD]],"mmdd-h ")&amp;表3[[#This Row],[项目]]</f>
        <v>0528-0 SC glovis</v>
      </c>
      <c r="B334" s="7" t="s">
        <v>359</v>
      </c>
      <c r="C334" s="8">
        <v>43613</v>
      </c>
      <c r="D334" s="27">
        <v>2</v>
      </c>
      <c r="E334" s="34" t="s">
        <v>420</v>
      </c>
      <c r="F334" s="24">
        <v>43600</v>
      </c>
      <c r="G334" s="21" t="s">
        <v>435</v>
      </c>
      <c r="H334" s="9"/>
    </row>
    <row r="335" spans="1:8" hidden="1" x14ac:dyDescent="0.2">
      <c r="A335" s="19" t="str">
        <f>TEXT(表3[[#This Row],[ETD]],"mmdd-h ")&amp;表3[[#This Row],[项目]]</f>
        <v>0528-0 SC glovis</v>
      </c>
      <c r="B335" s="7" t="s">
        <v>359</v>
      </c>
      <c r="C335" s="8">
        <v>43613</v>
      </c>
      <c r="D335" s="27">
        <v>3</v>
      </c>
      <c r="E335" s="34" t="s">
        <v>421</v>
      </c>
      <c r="F335" s="24">
        <v>43601</v>
      </c>
      <c r="G335" s="21" t="s">
        <v>285</v>
      </c>
      <c r="H335" s="9"/>
    </row>
    <row r="336" spans="1:8" hidden="1" x14ac:dyDescent="0.2">
      <c r="A336" s="19" t="str">
        <f>TEXT(表3[[#This Row],[ETD]],"mmdd-h ")&amp;表3[[#This Row],[项目]]</f>
        <v>0528-0 SC glovis</v>
      </c>
      <c r="B336" s="7" t="s">
        <v>359</v>
      </c>
      <c r="C336" s="8">
        <v>43613</v>
      </c>
      <c r="D336" s="27">
        <v>4</v>
      </c>
      <c r="E336" s="34" t="s">
        <v>422</v>
      </c>
      <c r="F336" s="24">
        <v>43601</v>
      </c>
      <c r="G336" s="21" t="s">
        <v>285</v>
      </c>
      <c r="H336" s="9"/>
    </row>
    <row r="337" spans="1:8" hidden="1" x14ac:dyDescent="0.2">
      <c r="A337" s="19" t="str">
        <f>TEXT(表3[[#This Row],[ETD]],"mmdd-h ")&amp;表3[[#This Row],[项目]]</f>
        <v>0528-0 SC glovis</v>
      </c>
      <c r="B337" s="7" t="s">
        <v>359</v>
      </c>
      <c r="C337" s="8">
        <v>43613</v>
      </c>
      <c r="D337" s="27">
        <v>5</v>
      </c>
      <c r="E337" s="34" t="s">
        <v>423</v>
      </c>
      <c r="F337" s="24">
        <v>43607</v>
      </c>
      <c r="G337" s="21" t="s">
        <v>434</v>
      </c>
      <c r="H337" s="9"/>
    </row>
    <row r="338" spans="1:8" hidden="1" x14ac:dyDescent="0.2">
      <c r="A338" s="19" t="str">
        <f>TEXT(表3[[#This Row],[ETD]],"mmdd-h ")&amp;表3[[#This Row],[项目]]</f>
        <v>0528-0 SC glovis</v>
      </c>
      <c r="B338" s="7" t="s">
        <v>359</v>
      </c>
      <c r="C338" s="8">
        <v>43613</v>
      </c>
      <c r="D338" s="27">
        <v>6</v>
      </c>
      <c r="E338" s="34" t="s">
        <v>424</v>
      </c>
      <c r="F338" s="24">
        <v>43607</v>
      </c>
      <c r="G338" s="21" t="s">
        <v>362</v>
      </c>
      <c r="H338" s="9"/>
    </row>
    <row r="339" spans="1:8" hidden="1" x14ac:dyDescent="0.2">
      <c r="A339" s="19" t="str">
        <f>TEXT(表3[[#This Row],[ETD]],"mmdd-h ")&amp;表3[[#This Row],[项目]]</f>
        <v>0528-0 SC glovis</v>
      </c>
      <c r="B339" s="7" t="s">
        <v>359</v>
      </c>
      <c r="C339" s="8">
        <v>43613</v>
      </c>
      <c r="D339" s="27">
        <v>7</v>
      </c>
      <c r="E339" s="34" t="s">
        <v>425</v>
      </c>
      <c r="F339" s="24">
        <v>43607</v>
      </c>
      <c r="G339" s="21" t="s">
        <v>362</v>
      </c>
      <c r="H339" s="9" t="s">
        <v>436</v>
      </c>
    </row>
    <row r="340" spans="1:8" hidden="1" x14ac:dyDescent="0.2">
      <c r="A340" s="19" t="str">
        <f>TEXT(表3[[#This Row],[ETD]],"mmdd-h ")&amp;表3[[#This Row],[项目]]</f>
        <v>0528-0 SC glovis</v>
      </c>
      <c r="B340" s="7" t="s">
        <v>359</v>
      </c>
      <c r="C340" s="8">
        <v>43613</v>
      </c>
      <c r="D340" s="27">
        <v>8</v>
      </c>
      <c r="E340" s="34" t="s">
        <v>426</v>
      </c>
      <c r="F340" s="24">
        <v>43607</v>
      </c>
      <c r="G340" s="21" t="s">
        <v>362</v>
      </c>
      <c r="H340" s="9"/>
    </row>
    <row r="341" spans="1:8" hidden="1" x14ac:dyDescent="0.2">
      <c r="A341" s="19" t="str">
        <f>TEXT(表3[[#This Row],[ETD]],"mmdd-h ")&amp;表3[[#This Row],[项目]]</f>
        <v>0528-0 SC glovis</v>
      </c>
      <c r="B341" s="7" t="s">
        <v>359</v>
      </c>
      <c r="C341" s="8">
        <v>43613</v>
      </c>
      <c r="D341" s="27">
        <v>9</v>
      </c>
      <c r="E341" s="34" t="s">
        <v>437</v>
      </c>
      <c r="F341" s="24">
        <v>43607</v>
      </c>
      <c r="G341" s="21" t="s">
        <v>362</v>
      </c>
      <c r="H341" s="9"/>
    </row>
    <row r="342" spans="1:8" hidden="1" x14ac:dyDescent="0.2">
      <c r="A342" s="19" t="str">
        <f>TEXT(表3[[#This Row],[ETD]],"mmdd-h ")&amp;表3[[#This Row],[项目]]</f>
        <v>0528-0 SC glovis</v>
      </c>
      <c r="B342" s="7" t="s">
        <v>359</v>
      </c>
      <c r="C342" s="8">
        <v>43613</v>
      </c>
      <c r="D342" s="27">
        <v>10</v>
      </c>
      <c r="E342" s="34" t="s">
        <v>427</v>
      </c>
      <c r="F342" s="24">
        <v>43607</v>
      </c>
      <c r="G342" s="21" t="s">
        <v>362</v>
      </c>
      <c r="H342" s="9"/>
    </row>
    <row r="343" spans="1:8" hidden="1" x14ac:dyDescent="0.2">
      <c r="A343" s="19" t="str">
        <f>TEXT(表3[[#This Row],[ETD]],"mmdd-h ")&amp;表3[[#This Row],[项目]]</f>
        <v>0528-0 SC glovis</v>
      </c>
      <c r="B343" s="7" t="s">
        <v>359</v>
      </c>
      <c r="C343" s="8">
        <v>43613</v>
      </c>
      <c r="D343" s="27">
        <v>11</v>
      </c>
      <c r="E343" s="34" t="s">
        <v>428</v>
      </c>
      <c r="F343" s="24">
        <v>43607</v>
      </c>
      <c r="G343" s="21" t="s">
        <v>362</v>
      </c>
      <c r="H343" s="9"/>
    </row>
    <row r="344" spans="1:8" hidden="1" x14ac:dyDescent="0.2">
      <c r="A344" s="19" t="str">
        <f>TEXT(表3[[#This Row],[ETD]],"mmdd-h ")&amp;表3[[#This Row],[项目]]</f>
        <v>0528-0 SC glovis</v>
      </c>
      <c r="B344" s="7" t="s">
        <v>359</v>
      </c>
      <c r="C344" s="8">
        <v>43613</v>
      </c>
      <c r="D344" s="27">
        <v>12</v>
      </c>
      <c r="E344" s="34" t="s">
        <v>429</v>
      </c>
      <c r="F344" s="24">
        <v>43609</v>
      </c>
      <c r="G344" s="21" t="s">
        <v>362</v>
      </c>
      <c r="H344" s="9"/>
    </row>
    <row r="345" spans="1:8" hidden="1" x14ac:dyDescent="0.2">
      <c r="A345" s="19" t="str">
        <f>TEXT(表3[[#This Row],[ETD]],"mmdd-h ")&amp;表3[[#This Row],[项目]]</f>
        <v>0528-0 SC glovis</v>
      </c>
      <c r="B345" s="7" t="s">
        <v>359</v>
      </c>
      <c r="C345" s="8">
        <v>43613</v>
      </c>
      <c r="D345" s="27">
        <v>13</v>
      </c>
      <c r="E345" s="34" t="s">
        <v>430</v>
      </c>
      <c r="F345" s="24">
        <v>43609</v>
      </c>
      <c r="G345" s="21" t="s">
        <v>362</v>
      </c>
      <c r="H345" s="9"/>
    </row>
    <row r="346" spans="1:8" hidden="1" x14ac:dyDescent="0.2">
      <c r="A346" s="19" t="str">
        <f>TEXT(表3[[#This Row],[ETD]],"mmdd-h ")&amp;表3[[#This Row],[项目]]</f>
        <v>0528-0 SC glovis</v>
      </c>
      <c r="B346" s="7" t="s">
        <v>359</v>
      </c>
      <c r="C346" s="8">
        <v>43613</v>
      </c>
      <c r="D346" s="27">
        <v>14</v>
      </c>
      <c r="E346" s="34" t="s">
        <v>77</v>
      </c>
      <c r="F346" s="24">
        <v>43609</v>
      </c>
      <c r="G346" s="21" t="s">
        <v>362</v>
      </c>
      <c r="H346" s="9"/>
    </row>
    <row r="347" spans="1:8" hidden="1" x14ac:dyDescent="0.2">
      <c r="A347" s="19" t="str">
        <f>TEXT(表3[[#This Row],[ETD]],"mmdd-h ")&amp;表3[[#This Row],[项目]]</f>
        <v>0528-0 SC glovis</v>
      </c>
      <c r="B347" s="7" t="s">
        <v>359</v>
      </c>
      <c r="C347" s="8">
        <v>43613</v>
      </c>
      <c r="D347" s="27">
        <v>15</v>
      </c>
      <c r="E347" s="34" t="s">
        <v>431</v>
      </c>
      <c r="F347" s="24">
        <v>43609</v>
      </c>
      <c r="G347" s="21" t="s">
        <v>362</v>
      </c>
      <c r="H347" s="9"/>
    </row>
    <row r="348" spans="1:8" hidden="1" x14ac:dyDescent="0.2">
      <c r="A348" s="20" t="str">
        <f>TEXT(表3[[#This Row],[ETD]],"mmdd-h ")&amp;表3[[#This Row],[项目]]</f>
        <v>0528-0 SC glovis</v>
      </c>
      <c r="B348" s="10" t="s">
        <v>359</v>
      </c>
      <c r="C348" s="8">
        <v>43613</v>
      </c>
      <c r="D348" s="27">
        <v>16</v>
      </c>
      <c r="E348" s="36" t="s">
        <v>432</v>
      </c>
      <c r="F348" s="24">
        <v>43609</v>
      </c>
      <c r="G348" s="22" t="s">
        <v>362</v>
      </c>
      <c r="H348" s="12"/>
    </row>
    <row r="349" spans="1:8" hidden="1" x14ac:dyDescent="0.2">
      <c r="A349" s="19" t="str">
        <f>TEXT(表3[[#This Row],[ETD]],"mmdd-h ")&amp;表3[[#This Row],[项目]]</f>
        <v>0528-0 SC glovis</v>
      </c>
      <c r="B349" s="7" t="s">
        <v>359</v>
      </c>
      <c r="C349" s="8">
        <v>43613</v>
      </c>
      <c r="D349" s="27">
        <v>19</v>
      </c>
      <c r="E349" s="34" t="s">
        <v>364</v>
      </c>
      <c r="F349" s="24">
        <v>43613</v>
      </c>
      <c r="G349" s="21" t="s">
        <v>225</v>
      </c>
      <c r="H349" s="9"/>
    </row>
    <row r="350" spans="1:8" hidden="1" x14ac:dyDescent="0.2">
      <c r="A350" s="19" t="str">
        <f>TEXT(表3[[#This Row],[ETD]],"mmdd-h ")&amp;表3[[#This Row],[项目]]</f>
        <v>0528-0 SC glovis</v>
      </c>
      <c r="B350" s="7" t="s">
        <v>359</v>
      </c>
      <c r="C350" s="8">
        <v>43613</v>
      </c>
      <c r="D350" s="27">
        <v>20</v>
      </c>
      <c r="E350" s="34" t="s">
        <v>101</v>
      </c>
      <c r="F350" s="24">
        <v>43613</v>
      </c>
      <c r="G350" s="21" t="s">
        <v>225</v>
      </c>
      <c r="H350" s="9"/>
    </row>
    <row r="351" spans="1:8" hidden="1" x14ac:dyDescent="0.2">
      <c r="A351" s="19" t="str">
        <f>TEXT(表3[[#This Row],[ETD]],"mmdd-h ")&amp;表3[[#This Row],[项目]]</f>
        <v>0528-0 SC glovis</v>
      </c>
      <c r="B351" s="7" t="s">
        <v>359</v>
      </c>
      <c r="C351" s="8">
        <v>43613</v>
      </c>
      <c r="D351" s="27">
        <v>21</v>
      </c>
      <c r="E351" s="34" t="s">
        <v>433</v>
      </c>
      <c r="F351" s="24">
        <v>43613</v>
      </c>
      <c r="G351" s="21" t="s">
        <v>225</v>
      </c>
      <c r="H351" s="9"/>
    </row>
    <row r="352" spans="1:8" hidden="1" x14ac:dyDescent="0.2">
      <c r="A352" s="19" t="str">
        <f>TEXT(表3[[#This Row],[ETD]],"mmdd-h ")&amp;表3[[#This Row],[项目]]</f>
        <v>0528-1 JS mobis</v>
      </c>
      <c r="B352" s="7" t="s">
        <v>2</v>
      </c>
      <c r="C352" s="8">
        <v>43613.041666666664</v>
      </c>
      <c r="D352" s="27">
        <v>6</v>
      </c>
      <c r="E352" s="34" t="s">
        <v>19</v>
      </c>
      <c r="F352" s="24">
        <v>43600</v>
      </c>
      <c r="G352" s="21" t="s">
        <v>285</v>
      </c>
      <c r="H352" s="9"/>
    </row>
    <row r="353" spans="1:8" hidden="1" x14ac:dyDescent="0.2">
      <c r="A353" s="19" t="str">
        <f>TEXT(表3[[#This Row],[ETD]],"mmdd-h ")&amp;表3[[#This Row],[项目]]</f>
        <v>0528-1 JS mobis</v>
      </c>
      <c r="B353" s="7" t="s">
        <v>2</v>
      </c>
      <c r="C353" s="8">
        <v>43613.041666666664</v>
      </c>
      <c r="D353" s="27">
        <v>7</v>
      </c>
      <c r="E353" s="34" t="s">
        <v>21</v>
      </c>
      <c r="F353" s="24">
        <v>43600</v>
      </c>
      <c r="G353" s="21" t="s">
        <v>285</v>
      </c>
      <c r="H353" s="9"/>
    </row>
    <row r="354" spans="1:8" hidden="1" x14ac:dyDescent="0.2">
      <c r="A354" s="19" t="str">
        <f>TEXT(表3[[#This Row],[ETD]],"mmdd-h ")&amp;表3[[#This Row],[项目]]</f>
        <v>0528-1 JS mobis</v>
      </c>
      <c r="B354" s="7" t="s">
        <v>2</v>
      </c>
      <c r="C354" s="8">
        <v>43613.041666666664</v>
      </c>
      <c r="D354" s="27">
        <v>8</v>
      </c>
      <c r="E354" s="34" t="s">
        <v>7</v>
      </c>
      <c r="F354" s="24">
        <v>43600</v>
      </c>
      <c r="G354" s="21" t="s">
        <v>285</v>
      </c>
      <c r="H354" s="9"/>
    </row>
    <row r="355" spans="1:8" hidden="1" x14ac:dyDescent="0.2">
      <c r="A355" s="19" t="str">
        <f>TEXT(表3[[#This Row],[ETD]],"mmdd-h ")&amp;表3[[#This Row],[项目]]</f>
        <v>0528-1 JS mobis</v>
      </c>
      <c r="B355" s="7" t="s">
        <v>2</v>
      </c>
      <c r="C355" s="8">
        <v>43613.041666666664</v>
      </c>
      <c r="D355" s="27">
        <v>9</v>
      </c>
      <c r="E355" s="34" t="s">
        <v>9</v>
      </c>
      <c r="F355" s="24">
        <v>43600</v>
      </c>
      <c r="G355" s="21" t="s">
        <v>285</v>
      </c>
      <c r="H355" s="9"/>
    </row>
    <row r="356" spans="1:8" hidden="1" x14ac:dyDescent="0.2">
      <c r="A356" s="19" t="str">
        <f>TEXT(表3[[#This Row],[ETD]],"mmdd-h ")&amp;表3[[#This Row],[项目]]</f>
        <v>0528-1 JS mobis</v>
      </c>
      <c r="B356" s="7" t="s">
        <v>2</v>
      </c>
      <c r="C356" s="8">
        <v>43613.041666666664</v>
      </c>
      <c r="D356" s="27">
        <v>10</v>
      </c>
      <c r="E356" s="34" t="s">
        <v>11</v>
      </c>
      <c r="F356" s="24">
        <v>43600</v>
      </c>
      <c r="G356" s="21" t="s">
        <v>285</v>
      </c>
      <c r="H356" s="9" t="s">
        <v>33</v>
      </c>
    </row>
    <row r="357" spans="1:8" hidden="1" x14ac:dyDescent="0.2">
      <c r="A357" s="19" t="str">
        <f>TEXT(表3[[#This Row],[ETD]],"mmdd-h ")&amp;表3[[#This Row],[项目]]</f>
        <v>0528-1 JS mobis</v>
      </c>
      <c r="B357" s="7" t="s">
        <v>2</v>
      </c>
      <c r="C357" s="8">
        <v>43613.041666666664</v>
      </c>
      <c r="D357" s="27">
        <v>11</v>
      </c>
      <c r="E357" s="34" t="s">
        <v>60</v>
      </c>
      <c r="F357" s="24">
        <v>43600</v>
      </c>
      <c r="G357" s="21" t="s">
        <v>285</v>
      </c>
      <c r="H357" s="9"/>
    </row>
    <row r="358" spans="1:8" hidden="1" x14ac:dyDescent="0.2">
      <c r="A358" s="19" t="str">
        <f>TEXT(表3[[#This Row],[ETD]],"mmdd-h ")&amp;表3[[#This Row],[项目]]</f>
        <v>0528-1 JS mobis</v>
      </c>
      <c r="B358" s="7" t="s">
        <v>2</v>
      </c>
      <c r="C358" s="8">
        <v>43613.041666666664</v>
      </c>
      <c r="D358" s="27">
        <v>13</v>
      </c>
      <c r="E358" s="34" t="s">
        <v>496</v>
      </c>
      <c r="F358" s="24">
        <v>43606</v>
      </c>
      <c r="G358" s="21" t="s">
        <v>225</v>
      </c>
      <c r="H358" s="9" t="s">
        <v>35</v>
      </c>
    </row>
    <row r="359" spans="1:8" hidden="1" x14ac:dyDescent="0.2">
      <c r="A359" s="19" t="str">
        <f>TEXT(表3[[#This Row],[ETD]],"mmdd-h ")&amp;表3[[#This Row],[项目]]</f>
        <v>0528-1 JS mobis</v>
      </c>
      <c r="B359" s="7" t="s">
        <v>2</v>
      </c>
      <c r="C359" s="8">
        <v>43613.041666666664</v>
      </c>
      <c r="D359" s="27">
        <v>14</v>
      </c>
      <c r="E359" s="34" t="s">
        <v>40</v>
      </c>
      <c r="F359" s="24">
        <v>43607</v>
      </c>
      <c r="G359" s="21" t="s">
        <v>225</v>
      </c>
      <c r="H359" s="9"/>
    </row>
    <row r="360" spans="1:8" hidden="1" x14ac:dyDescent="0.2">
      <c r="A360" s="19" t="str">
        <f>TEXT(表3[[#This Row],[ETD]],"mmdd-h ")&amp;表3[[#This Row],[项目]]</f>
        <v>0528-1 JS mobis</v>
      </c>
      <c r="B360" s="7" t="s">
        <v>365</v>
      </c>
      <c r="C360" s="8">
        <v>43613.041666666664</v>
      </c>
      <c r="D360" s="27">
        <v>14</v>
      </c>
      <c r="E360" s="34" t="s">
        <v>23</v>
      </c>
      <c r="F360" s="24">
        <v>43607</v>
      </c>
      <c r="G360" s="21" t="s">
        <v>225</v>
      </c>
      <c r="H360" s="9"/>
    </row>
    <row r="361" spans="1:8" hidden="1" x14ac:dyDescent="0.2">
      <c r="A361" s="19" t="str">
        <f>TEXT(表3[[#This Row],[ETD]],"mmdd-h ")&amp;表3[[#This Row],[项目]]</f>
        <v>0528-1 JS mobis</v>
      </c>
      <c r="B361" s="7" t="s">
        <v>2</v>
      </c>
      <c r="C361" s="8">
        <v>43613.041666666664</v>
      </c>
      <c r="D361" s="27">
        <v>15</v>
      </c>
      <c r="E361" s="34" t="s">
        <v>25</v>
      </c>
      <c r="F361" s="24">
        <v>43607</v>
      </c>
      <c r="G361" s="21" t="s">
        <v>225</v>
      </c>
      <c r="H361" s="9"/>
    </row>
    <row r="362" spans="1:8" hidden="1" x14ac:dyDescent="0.2">
      <c r="A362" s="19" t="str">
        <f>TEXT(表3[[#This Row],[ETD]],"mmdd-h ")&amp;表3[[#This Row],[项目]]</f>
        <v>0528-1 JS mobis</v>
      </c>
      <c r="B362" s="7" t="s">
        <v>2</v>
      </c>
      <c r="C362" s="8">
        <v>43613.041666666664</v>
      </c>
      <c r="D362" s="27">
        <v>16</v>
      </c>
      <c r="E362" s="34" t="s">
        <v>13</v>
      </c>
      <c r="F362" s="24">
        <v>43607</v>
      </c>
      <c r="G362" s="21" t="s">
        <v>225</v>
      </c>
      <c r="H362" s="9"/>
    </row>
    <row r="363" spans="1:8" hidden="1" x14ac:dyDescent="0.2">
      <c r="A363" s="19" t="str">
        <f>TEXT(表3[[#This Row],[ETD]],"mmdd-h ")&amp;表3[[#This Row],[项目]]</f>
        <v>0528-1 JS mobis</v>
      </c>
      <c r="B363" s="7" t="s">
        <v>2</v>
      </c>
      <c r="C363" s="8">
        <v>43613.041666666664</v>
      </c>
      <c r="D363" s="27">
        <v>17</v>
      </c>
      <c r="E363" s="34" t="s">
        <v>15</v>
      </c>
      <c r="F363" s="24">
        <v>43607</v>
      </c>
      <c r="G363" s="21" t="s">
        <v>225</v>
      </c>
      <c r="H363" s="9"/>
    </row>
    <row r="364" spans="1:8" hidden="1" x14ac:dyDescent="0.2">
      <c r="A364" s="19" t="str">
        <f>TEXT(表3[[#This Row],[ETD]],"mmdd-h ")&amp;表3[[#This Row],[项目]]</f>
        <v>0528-1 JS mobis</v>
      </c>
      <c r="B364" s="7" t="s">
        <v>2</v>
      </c>
      <c r="C364" s="8">
        <v>43613.041666666664</v>
      </c>
      <c r="D364" s="27">
        <v>18</v>
      </c>
      <c r="E364" s="34" t="s">
        <v>17</v>
      </c>
      <c r="F364" s="24">
        <v>43607</v>
      </c>
      <c r="G364" s="21" t="s">
        <v>225</v>
      </c>
      <c r="H364" s="9"/>
    </row>
    <row r="365" spans="1:8" hidden="1" x14ac:dyDescent="0.2">
      <c r="A365" s="19" t="str">
        <f>TEXT(表3[[#This Row],[ETD]],"mmdd-h ")&amp;表3[[#This Row],[项目]]</f>
        <v>0528-1 JS mobis</v>
      </c>
      <c r="B365" s="7" t="s">
        <v>2</v>
      </c>
      <c r="C365" s="8">
        <v>43613.041666666664</v>
      </c>
      <c r="D365" s="27">
        <v>19</v>
      </c>
      <c r="E365" s="34" t="s">
        <v>58</v>
      </c>
      <c r="F365" s="24">
        <v>43607</v>
      </c>
      <c r="G365" s="21" t="s">
        <v>225</v>
      </c>
      <c r="H365" s="9"/>
    </row>
    <row r="366" spans="1:8" hidden="1" x14ac:dyDescent="0.2">
      <c r="A366" s="19" t="str">
        <f>TEXT(表3[[#This Row],[ETD]],"mmdd-h ")&amp;表3[[#This Row],[项目]]</f>
        <v>0528-1 JS mobis</v>
      </c>
      <c r="B366" s="7" t="s">
        <v>2</v>
      </c>
      <c r="C366" s="8">
        <v>43613.041666666664</v>
      </c>
      <c r="D366" s="27">
        <v>20</v>
      </c>
      <c r="E366" s="34" t="s">
        <v>489</v>
      </c>
      <c r="F366" s="24">
        <v>43608</v>
      </c>
      <c r="G366" s="21" t="s">
        <v>225</v>
      </c>
      <c r="H366" s="9" t="s">
        <v>37</v>
      </c>
    </row>
    <row r="367" spans="1:8" hidden="1" x14ac:dyDescent="0.2">
      <c r="A367" s="20" t="str">
        <f>TEXT(表3[[#This Row],[ETD]],"mmdd-h ")&amp;表3[[#This Row],[项目]]</f>
        <v>0528-1 JS mobis</v>
      </c>
      <c r="B367" s="10" t="s">
        <v>2</v>
      </c>
      <c r="C367" s="8">
        <v>43613.041666666664</v>
      </c>
      <c r="D367" s="28">
        <v>21</v>
      </c>
      <c r="E367" s="36" t="s">
        <v>39</v>
      </c>
      <c r="F367" s="25">
        <v>43608</v>
      </c>
      <c r="G367" s="22" t="s">
        <v>225</v>
      </c>
      <c r="H367" s="12"/>
    </row>
    <row r="368" spans="1:8" hidden="1" x14ac:dyDescent="0.2">
      <c r="A368" s="19" t="str">
        <f>TEXT(表3[[#This Row],[ETD]],"mmdd-h ")&amp;表3[[#This Row],[项目]]</f>
        <v>0528-1 JS mobis</v>
      </c>
      <c r="B368" s="7" t="s">
        <v>2</v>
      </c>
      <c r="C368" s="8">
        <v>43613.041666666664</v>
      </c>
      <c r="D368" s="27">
        <v>22</v>
      </c>
      <c r="E368" s="34" t="s">
        <v>42</v>
      </c>
      <c r="F368" s="24">
        <v>43608</v>
      </c>
      <c r="G368" s="21" t="s">
        <v>225</v>
      </c>
      <c r="H368" s="9"/>
    </row>
    <row r="369" spans="1:8" hidden="1" x14ac:dyDescent="0.2">
      <c r="A369" s="19" t="str">
        <f>TEXT(表3[[#This Row],[ETD]],"mmdd-h ")&amp;表3[[#This Row],[项目]]</f>
        <v>0528-1 JS mobis</v>
      </c>
      <c r="B369" s="7" t="s">
        <v>2</v>
      </c>
      <c r="C369" s="8">
        <v>43613.041666666664</v>
      </c>
      <c r="D369" s="27">
        <v>23</v>
      </c>
      <c r="E369" s="34" t="s">
        <v>46</v>
      </c>
      <c r="F369" s="24">
        <v>43608</v>
      </c>
      <c r="G369" s="21" t="s">
        <v>225</v>
      </c>
      <c r="H369" s="9"/>
    </row>
    <row r="370" spans="1:8" hidden="1" x14ac:dyDescent="0.2">
      <c r="A370" s="19" t="str">
        <f>TEXT(表3[[#This Row],[ETD]],"mmdd-h ")&amp;表3[[#This Row],[项目]]</f>
        <v>0528-1 JS mobis</v>
      </c>
      <c r="B370" s="7" t="s">
        <v>2</v>
      </c>
      <c r="C370" s="8">
        <v>43613.041666666664</v>
      </c>
      <c r="D370" s="27">
        <v>24</v>
      </c>
      <c r="E370" s="34" t="s">
        <v>43</v>
      </c>
      <c r="F370" s="24">
        <v>43609</v>
      </c>
      <c r="G370" s="21" t="s">
        <v>225</v>
      </c>
      <c r="H370" s="9" t="s">
        <v>44</v>
      </c>
    </row>
    <row r="371" spans="1:8" hidden="1" x14ac:dyDescent="0.2">
      <c r="A371" s="19" t="str">
        <f>TEXT(表3[[#This Row],[ETD]],"mmdd-h ")&amp;表3[[#This Row],[项目]]</f>
        <v>0528-1 JS mobis</v>
      </c>
      <c r="B371" s="7" t="s">
        <v>2</v>
      </c>
      <c r="C371" s="8">
        <v>43613.041666666664</v>
      </c>
      <c r="D371" s="27">
        <v>25</v>
      </c>
      <c r="E371" s="34" t="s">
        <v>242</v>
      </c>
      <c r="F371" s="24">
        <v>43609</v>
      </c>
      <c r="G371" s="21" t="s">
        <v>225</v>
      </c>
      <c r="H371" s="9" t="s">
        <v>213</v>
      </c>
    </row>
    <row r="372" spans="1:8" hidden="1" x14ac:dyDescent="0.2">
      <c r="A372" s="19" t="str">
        <f>TEXT(表3[[#This Row],[ETD]],"mmdd-h ")&amp;表3[[#This Row],[项目]]</f>
        <v>0528-1 JS mobis</v>
      </c>
      <c r="B372" s="7" t="s">
        <v>2</v>
      </c>
      <c r="C372" s="8">
        <v>43613.041666666664</v>
      </c>
      <c r="D372" s="27">
        <v>26</v>
      </c>
      <c r="E372" s="34" t="s">
        <v>87</v>
      </c>
      <c r="F372" s="24">
        <v>43609</v>
      </c>
      <c r="G372" s="21" t="s">
        <v>225</v>
      </c>
      <c r="H372" s="9"/>
    </row>
    <row r="373" spans="1:8" hidden="1" x14ac:dyDescent="0.2">
      <c r="A373" s="19" t="str">
        <f>TEXT(表3[[#This Row],[ETD]],"mmdd-h ")&amp;表3[[#This Row],[项目]]</f>
        <v>0528-1 JS mobis</v>
      </c>
      <c r="B373" s="7" t="s">
        <v>2</v>
      </c>
      <c r="C373" s="8">
        <v>43613.041666666664</v>
      </c>
      <c r="D373" s="27">
        <v>27</v>
      </c>
      <c r="E373" s="34" t="s">
        <v>68</v>
      </c>
      <c r="F373" s="24">
        <v>43609</v>
      </c>
      <c r="G373" s="21" t="s">
        <v>225</v>
      </c>
      <c r="H373" s="9"/>
    </row>
    <row r="374" spans="1:8" hidden="1" x14ac:dyDescent="0.2">
      <c r="A374" s="20" t="str">
        <f>TEXT(表3[[#This Row],[ETD]],"mmdd-h ")&amp;表3[[#This Row],[项目]]</f>
        <v>0528-1 JS mobis</v>
      </c>
      <c r="B374" s="10" t="s">
        <v>2</v>
      </c>
      <c r="C374" s="11">
        <v>43613.041666666664</v>
      </c>
      <c r="D374" s="28">
        <v>28</v>
      </c>
      <c r="E374" s="36" t="s">
        <v>83</v>
      </c>
      <c r="F374" s="25">
        <v>43609</v>
      </c>
      <c r="G374" s="22" t="s">
        <v>225</v>
      </c>
      <c r="H374" s="12"/>
    </row>
    <row r="375" spans="1:8" hidden="1" x14ac:dyDescent="0.2">
      <c r="A375" s="20" t="str">
        <f>TEXT(表3[[#This Row],[ETD]],"mmdd-h ")&amp;表3[[#This Row],[项目]]</f>
        <v>0528-1 JS mobis</v>
      </c>
      <c r="B375" s="10" t="s">
        <v>2</v>
      </c>
      <c r="C375" s="11">
        <v>43613.041666666664</v>
      </c>
      <c r="D375" s="28">
        <v>29</v>
      </c>
      <c r="E375" s="36" t="s">
        <v>85</v>
      </c>
      <c r="F375" s="25">
        <v>43609</v>
      </c>
      <c r="G375" s="22" t="s">
        <v>225</v>
      </c>
      <c r="H375" s="12"/>
    </row>
    <row r="376" spans="1:8" hidden="1" x14ac:dyDescent="0.2">
      <c r="A376" s="20" t="str">
        <f>TEXT(表3[[#This Row],[ETD]],"mmdd-h ")&amp;表3[[#This Row],[项目]]</f>
        <v>0528-1 JS mobis</v>
      </c>
      <c r="B376" s="10" t="s">
        <v>2</v>
      </c>
      <c r="C376" s="11">
        <v>43613.041666666664</v>
      </c>
      <c r="D376" s="28">
        <v>30</v>
      </c>
      <c r="E376" s="36" t="s">
        <v>241</v>
      </c>
      <c r="F376" s="25">
        <v>43609</v>
      </c>
      <c r="G376" s="22" t="s">
        <v>225</v>
      </c>
      <c r="H376" s="12"/>
    </row>
    <row r="377" spans="1:8" hidden="1" x14ac:dyDescent="0.2">
      <c r="A377" s="19" t="str">
        <f>TEXT(表3[[#This Row],[ETD]],"mmdd-h ")&amp;表3[[#This Row],[项目]]</f>
        <v>0528-1 JS mobis</v>
      </c>
      <c r="B377" s="7" t="s">
        <v>2</v>
      </c>
      <c r="C377" s="11">
        <v>43613.041666666664</v>
      </c>
      <c r="D377" s="27">
        <v>31</v>
      </c>
      <c r="E377" s="34" t="s">
        <v>50</v>
      </c>
      <c r="F377" s="24">
        <v>43609</v>
      </c>
      <c r="G377" s="21" t="s">
        <v>225</v>
      </c>
      <c r="H377" s="9" t="s">
        <v>44</v>
      </c>
    </row>
    <row r="378" spans="1:8" hidden="1" x14ac:dyDescent="0.2">
      <c r="A378" s="20" t="str">
        <f>TEXT(表3[[#This Row],[ETD]],"mmdd-h ")&amp;表3[[#This Row],[项目]]</f>
        <v>0528-1 JS mobis</v>
      </c>
      <c r="B378" s="10" t="s">
        <v>2</v>
      </c>
      <c r="C378" s="8">
        <v>43613.041666666664</v>
      </c>
      <c r="D378" s="28">
        <v>32</v>
      </c>
      <c r="E378" s="36" t="s">
        <v>56</v>
      </c>
      <c r="F378" s="25">
        <v>43609</v>
      </c>
      <c r="G378" s="22" t="s">
        <v>225</v>
      </c>
      <c r="H378" s="12"/>
    </row>
    <row r="379" spans="1:8" hidden="1" x14ac:dyDescent="0.2">
      <c r="A379" s="20" t="str">
        <f>TEXT(表3[[#This Row],[ETD]],"mmdd-h ")&amp;表3[[#This Row],[项目]]</f>
        <v>0528-1 JS mobis</v>
      </c>
      <c r="B379" s="10" t="s">
        <v>2</v>
      </c>
      <c r="C379" s="8">
        <v>43613.041666666664</v>
      </c>
      <c r="D379" s="28">
        <v>33</v>
      </c>
      <c r="E379" s="36" t="s">
        <v>75</v>
      </c>
      <c r="F379" s="25">
        <v>43609</v>
      </c>
      <c r="G379" s="22" t="s">
        <v>225</v>
      </c>
      <c r="H379" s="12" t="s">
        <v>72</v>
      </c>
    </row>
    <row r="380" spans="1:8" hidden="1" x14ac:dyDescent="0.2">
      <c r="A380" s="19" t="str">
        <f>TEXT(表3[[#This Row],[ETD]],"mmdd-h ")&amp;表3[[#This Row],[项目]]</f>
        <v>0528-1 JS mobis</v>
      </c>
      <c r="B380" s="7" t="s">
        <v>2</v>
      </c>
      <c r="C380" s="8">
        <v>43613.041666666664</v>
      </c>
      <c r="D380" s="27">
        <v>34</v>
      </c>
      <c r="E380" s="34" t="s">
        <v>70</v>
      </c>
      <c r="F380" s="24">
        <v>43609</v>
      </c>
      <c r="G380" s="21" t="s">
        <v>225</v>
      </c>
      <c r="H380" s="9"/>
    </row>
    <row r="381" spans="1:8" hidden="1" x14ac:dyDescent="0.2">
      <c r="A381" s="20" t="str">
        <f>TEXT(表3[[#This Row],[ETD]],"mmdd-h ")&amp;表3[[#This Row],[项目]]</f>
        <v>0528-1 JS mobis</v>
      </c>
      <c r="B381" s="10" t="s">
        <v>2</v>
      </c>
      <c r="C381" s="11">
        <v>43613.041666666664</v>
      </c>
      <c r="D381" s="27">
        <v>35</v>
      </c>
      <c r="E381" s="36" t="s">
        <v>490</v>
      </c>
      <c r="F381" s="25">
        <v>43609</v>
      </c>
      <c r="G381" s="22" t="s">
        <v>225</v>
      </c>
      <c r="H381" s="12" t="s">
        <v>33</v>
      </c>
    </row>
    <row r="382" spans="1:8" hidden="1" x14ac:dyDescent="0.2">
      <c r="A382" s="19" t="str">
        <f>TEXT(表3[[#This Row],[ETD]],"mmdd-h ")&amp;表3[[#This Row],[项目]]</f>
        <v>0528-1 JS mobis</v>
      </c>
      <c r="B382" s="7" t="s">
        <v>2</v>
      </c>
      <c r="C382" s="8">
        <v>43613.041666666664</v>
      </c>
      <c r="D382" s="27">
        <v>36</v>
      </c>
      <c r="E382" s="34" t="s">
        <v>495</v>
      </c>
      <c r="F382" s="24">
        <v>43609</v>
      </c>
      <c r="G382" s="21" t="s">
        <v>225</v>
      </c>
      <c r="H382" s="9" t="s">
        <v>44</v>
      </c>
    </row>
    <row r="383" spans="1:8" hidden="1" x14ac:dyDescent="0.2">
      <c r="A383" s="19" t="str">
        <f>TEXT(表3[[#This Row],[ETD]],"mmdd-h ")&amp;表3[[#This Row],[项目]]</f>
        <v>0528-1 JS mobis</v>
      </c>
      <c r="B383" s="7" t="s">
        <v>2</v>
      </c>
      <c r="C383" s="8">
        <v>43613.041666666664</v>
      </c>
      <c r="D383" s="27">
        <v>37</v>
      </c>
      <c r="E383" s="34" t="s">
        <v>182</v>
      </c>
      <c r="F383" s="24">
        <v>43609</v>
      </c>
      <c r="G383" s="21" t="s">
        <v>225</v>
      </c>
      <c r="H383" s="9"/>
    </row>
    <row r="384" spans="1:8" hidden="1" x14ac:dyDescent="0.2">
      <c r="A384" s="19" t="str">
        <f>TEXT(表3[[#This Row],[ETD]],"mmdd-h ")&amp;表3[[#This Row],[项目]]</f>
        <v>0528-1 JS mobis</v>
      </c>
      <c r="B384" s="7" t="s">
        <v>2</v>
      </c>
      <c r="C384" s="8">
        <v>43613.041666666664</v>
      </c>
      <c r="D384" s="27">
        <v>38</v>
      </c>
      <c r="E384" s="34" t="s">
        <v>77</v>
      </c>
      <c r="F384" s="24">
        <v>43609</v>
      </c>
      <c r="G384" s="21" t="s">
        <v>225</v>
      </c>
      <c r="H384" s="9" t="s">
        <v>79</v>
      </c>
    </row>
    <row r="385" spans="1:8" hidden="1" x14ac:dyDescent="0.2">
      <c r="A385" s="19" t="str">
        <f>TEXT(表3[[#This Row],[ETD]],"mmdd-h ")&amp;表3[[#This Row],[项目]]</f>
        <v>0528-1 JS mobis</v>
      </c>
      <c r="B385" s="7" t="s">
        <v>2</v>
      </c>
      <c r="C385" s="8">
        <v>43613.041666666664</v>
      </c>
      <c r="D385" s="27">
        <v>39</v>
      </c>
      <c r="E385" s="34" t="s">
        <v>81</v>
      </c>
      <c r="F385" s="24">
        <v>43609</v>
      </c>
      <c r="G385" s="21" t="s">
        <v>225</v>
      </c>
      <c r="H385" s="9"/>
    </row>
    <row r="386" spans="1:8" hidden="1" x14ac:dyDescent="0.2">
      <c r="A386" s="19" t="str">
        <f>TEXT(表3[[#This Row],[ETD]],"mmdd-h ")&amp;表3[[#This Row],[项目]]</f>
        <v>0528-1 JS mobis</v>
      </c>
      <c r="B386" s="7" t="s">
        <v>2</v>
      </c>
      <c r="C386" s="8">
        <v>43613.041666666664</v>
      </c>
      <c r="D386" s="27">
        <v>40</v>
      </c>
      <c r="E386" s="34" t="s">
        <v>89</v>
      </c>
      <c r="F386" s="24">
        <v>43609</v>
      </c>
      <c r="G386" s="21" t="s">
        <v>225</v>
      </c>
      <c r="H386" s="9"/>
    </row>
    <row r="387" spans="1:8" hidden="1" x14ac:dyDescent="0.2">
      <c r="A387" s="19" t="str">
        <f>TEXT(表3[[#This Row],[ETD]],"mmdd-h ")&amp;表3[[#This Row],[项目]]</f>
        <v>0528-1 JS mobis</v>
      </c>
      <c r="B387" s="7" t="s">
        <v>2</v>
      </c>
      <c r="C387" s="8">
        <v>43613.041666666664</v>
      </c>
      <c r="D387" s="27">
        <v>41</v>
      </c>
      <c r="E387" s="34" t="s">
        <v>91</v>
      </c>
      <c r="F387" s="24">
        <v>43610</v>
      </c>
      <c r="G387" s="21" t="s">
        <v>225</v>
      </c>
      <c r="H387" s="9"/>
    </row>
    <row r="388" spans="1:8" hidden="1" x14ac:dyDescent="0.2">
      <c r="A388" s="19" t="str">
        <f>TEXT(表3[[#This Row],[ETD]],"mmdd-h ")&amp;表3[[#This Row],[项目]]</f>
        <v>0528-1 JS mobis</v>
      </c>
      <c r="B388" s="7" t="s">
        <v>2</v>
      </c>
      <c r="C388" s="8">
        <v>43613.041666666664</v>
      </c>
      <c r="D388" s="27">
        <v>42</v>
      </c>
      <c r="E388" s="34" t="s">
        <v>93</v>
      </c>
      <c r="F388" s="24">
        <v>43610</v>
      </c>
      <c r="G388" s="21" t="s">
        <v>225</v>
      </c>
      <c r="H388" s="9"/>
    </row>
    <row r="389" spans="1:8" hidden="1" x14ac:dyDescent="0.2">
      <c r="A389" s="19" t="str">
        <f>TEXT(表3[[#This Row],[ETD]],"mmdd-h ")&amp;表3[[#This Row],[项目]]</f>
        <v>0528-1 JS mobis</v>
      </c>
      <c r="B389" s="7" t="s">
        <v>2</v>
      </c>
      <c r="C389" s="8">
        <v>43613.041666666664</v>
      </c>
      <c r="D389" s="27">
        <v>43</v>
      </c>
      <c r="E389" s="34" t="s">
        <v>95</v>
      </c>
      <c r="F389" s="24">
        <v>43610</v>
      </c>
      <c r="G389" s="21" t="s">
        <v>225</v>
      </c>
      <c r="H389" s="9"/>
    </row>
    <row r="390" spans="1:8" hidden="1" x14ac:dyDescent="0.2">
      <c r="A390" s="19" t="str">
        <f>TEXT(表3[[#This Row],[ETD]],"mmdd-h ")&amp;表3[[#This Row],[项目]]</f>
        <v>0528-1 JS mobis</v>
      </c>
      <c r="B390" s="7" t="s">
        <v>2</v>
      </c>
      <c r="C390" s="8">
        <v>43613.041666666664</v>
      </c>
      <c r="D390" s="27">
        <v>44</v>
      </c>
      <c r="E390" s="34" t="s">
        <v>97</v>
      </c>
      <c r="F390" s="24">
        <v>43612</v>
      </c>
      <c r="G390" s="21" t="s">
        <v>225</v>
      </c>
      <c r="H390" s="9"/>
    </row>
    <row r="391" spans="1:8" hidden="1" x14ac:dyDescent="0.2">
      <c r="A391" s="19" t="str">
        <f>TEXT(表3[[#This Row],[ETD]],"mmdd-h ")&amp;表3[[#This Row],[项目]]</f>
        <v>0528-1 JS mobis</v>
      </c>
      <c r="B391" s="7" t="s">
        <v>2</v>
      </c>
      <c r="C391" s="8">
        <v>43613.041666666664</v>
      </c>
      <c r="D391" s="27">
        <v>45</v>
      </c>
      <c r="E391" s="34" t="s">
        <v>363</v>
      </c>
      <c r="F391" s="24">
        <v>43612</v>
      </c>
      <c r="G391" s="21" t="s">
        <v>225</v>
      </c>
      <c r="H391" s="9"/>
    </row>
    <row r="392" spans="1:8" hidden="1" x14ac:dyDescent="0.2">
      <c r="A392" s="19" t="str">
        <f>TEXT(表3[[#This Row],[ETD]],"mmdd-h ")&amp;表3[[#This Row],[项目]]</f>
        <v>0528-1 JS mobis</v>
      </c>
      <c r="B392" s="7" t="s">
        <v>2</v>
      </c>
      <c r="C392" s="8">
        <v>43613.041666666664</v>
      </c>
      <c r="D392" s="27">
        <v>46</v>
      </c>
      <c r="E392" s="34" t="s">
        <v>364</v>
      </c>
      <c r="F392" s="24">
        <v>43613</v>
      </c>
      <c r="G392" s="21" t="s">
        <v>225</v>
      </c>
      <c r="H392" s="9"/>
    </row>
    <row r="393" spans="1:8" hidden="1" x14ac:dyDescent="0.2">
      <c r="A393" s="19" t="str">
        <f>TEXT(表3[[#This Row],[ETD]],"mmdd-h ")&amp;表3[[#This Row],[项目]]</f>
        <v>0528-1 JS mobis</v>
      </c>
      <c r="B393" s="7" t="s">
        <v>2</v>
      </c>
      <c r="C393" s="8">
        <v>43613.041666666664</v>
      </c>
      <c r="D393" s="27">
        <v>47</v>
      </c>
      <c r="E393" s="34" t="s">
        <v>101</v>
      </c>
      <c r="F393" s="24">
        <v>43613</v>
      </c>
      <c r="G393" s="21" t="s">
        <v>225</v>
      </c>
      <c r="H393" s="9" t="s">
        <v>138</v>
      </c>
    </row>
    <row r="394" spans="1:8" hidden="1" x14ac:dyDescent="0.2">
      <c r="A394" s="19" t="str">
        <f>TEXT(表3[[#This Row],[ETD]],"mmdd-h ")&amp;表3[[#This Row],[项目]]</f>
        <v>0529-0 HMI</v>
      </c>
      <c r="B394" s="7" t="s">
        <v>471</v>
      </c>
      <c r="C394" s="8">
        <v>43614</v>
      </c>
      <c r="D394" s="27">
        <v>1</v>
      </c>
      <c r="E394" s="34" t="s">
        <v>469</v>
      </c>
      <c r="F394" s="24">
        <v>43602</v>
      </c>
      <c r="G394" s="21" t="s">
        <v>285</v>
      </c>
      <c r="H394" s="9"/>
    </row>
    <row r="395" spans="1:8" hidden="1" x14ac:dyDescent="0.2">
      <c r="A395" s="19" t="str">
        <f>TEXT(表3[[#This Row],[ETD]],"mmdd-h ")&amp;表3[[#This Row],[项目]]</f>
        <v>0529-0 HMI</v>
      </c>
      <c r="B395" s="7" t="s">
        <v>471</v>
      </c>
      <c r="C395" s="8">
        <v>43614</v>
      </c>
      <c r="D395" s="27">
        <v>2</v>
      </c>
      <c r="E395" s="34" t="s">
        <v>21</v>
      </c>
      <c r="F395" s="24">
        <v>43606</v>
      </c>
      <c r="G395" s="21" t="s">
        <v>225</v>
      </c>
      <c r="H395" s="9"/>
    </row>
    <row r="396" spans="1:8" hidden="1" x14ac:dyDescent="0.2">
      <c r="A396" s="19" t="str">
        <f>TEXT(表3[[#This Row],[ETD]],"mmdd-h ")&amp;表3[[#This Row],[项目]]</f>
        <v>0529-0 HMI</v>
      </c>
      <c r="B396" s="7" t="s">
        <v>471</v>
      </c>
      <c r="C396" s="8">
        <v>43614</v>
      </c>
      <c r="D396" s="27">
        <v>3</v>
      </c>
      <c r="E396" s="34" t="s">
        <v>470</v>
      </c>
      <c r="F396" s="24">
        <v>43606</v>
      </c>
      <c r="G396" s="21" t="s">
        <v>225</v>
      </c>
      <c r="H396" s="9"/>
    </row>
    <row r="397" spans="1:8" hidden="1" x14ac:dyDescent="0.2">
      <c r="A397" s="19" t="str">
        <f>TEXT(表3[[#This Row],[ETD]],"mmdd-h ")&amp;表3[[#This Row],[项目]]</f>
        <v>0529-0 HMI</v>
      </c>
      <c r="B397" s="7" t="s">
        <v>471</v>
      </c>
      <c r="C397" s="8">
        <v>43614</v>
      </c>
      <c r="D397" s="27">
        <v>4</v>
      </c>
      <c r="E397" s="34" t="s">
        <v>156</v>
      </c>
      <c r="F397" s="24">
        <v>43608</v>
      </c>
      <c r="G397" s="21" t="s">
        <v>225</v>
      </c>
      <c r="H397" s="9" t="s">
        <v>143</v>
      </c>
    </row>
    <row r="398" spans="1:8" hidden="1" x14ac:dyDescent="0.2">
      <c r="A398" s="19" t="str">
        <f>TEXT(表3[[#This Row],[ETD]],"mmdd-h ")&amp;表3[[#This Row],[项目]]</f>
        <v>0529-0 HMI</v>
      </c>
      <c r="B398" s="7" t="s">
        <v>471</v>
      </c>
      <c r="C398" s="8">
        <v>43614</v>
      </c>
      <c r="D398" s="27">
        <v>5</v>
      </c>
      <c r="E398" s="34" t="s">
        <v>147</v>
      </c>
      <c r="F398" s="24">
        <v>43608</v>
      </c>
      <c r="G398" s="21" t="s">
        <v>225</v>
      </c>
      <c r="H398" s="9"/>
    </row>
    <row r="399" spans="1:8" hidden="1" x14ac:dyDescent="0.2">
      <c r="A399" s="19" t="str">
        <f>TEXT(表3[[#This Row],[ETD]],"mmdd-h ")&amp;表3[[#This Row],[项目]]</f>
        <v>0529-0 HMI</v>
      </c>
      <c r="B399" s="7" t="s">
        <v>471</v>
      </c>
      <c r="C399" s="8">
        <v>43614</v>
      </c>
      <c r="D399" s="27">
        <v>6</v>
      </c>
      <c r="E399" s="34" t="s">
        <v>145</v>
      </c>
      <c r="F399" s="24">
        <v>43608</v>
      </c>
      <c r="G399" s="21" t="s">
        <v>225</v>
      </c>
      <c r="H399" s="9"/>
    </row>
    <row r="400" spans="1:8" hidden="1" x14ac:dyDescent="0.2">
      <c r="A400" s="19" t="str">
        <f>TEXT(表3[[#This Row],[ETD]],"mmdd-h ")&amp;表3[[#This Row],[项目]]</f>
        <v>0529-0 HMI</v>
      </c>
      <c r="B400" s="7" t="s">
        <v>471</v>
      </c>
      <c r="C400" s="8">
        <v>43614</v>
      </c>
      <c r="D400" s="27">
        <v>7</v>
      </c>
      <c r="E400" s="34" t="s">
        <v>367</v>
      </c>
      <c r="F400" s="24">
        <v>43609</v>
      </c>
      <c r="G400" s="21" t="s">
        <v>225</v>
      </c>
      <c r="H400" s="9" t="s">
        <v>150</v>
      </c>
    </row>
    <row r="401" spans="1:8" hidden="1" x14ac:dyDescent="0.2">
      <c r="A401" s="19" t="str">
        <f>TEXT(表3[[#This Row],[ETD]],"mmdd-h ")&amp;表3[[#This Row],[项目]]</f>
        <v>0529-0 HMI</v>
      </c>
      <c r="B401" s="7" t="s">
        <v>471</v>
      </c>
      <c r="C401" s="8">
        <v>43614</v>
      </c>
      <c r="D401" s="27">
        <v>8</v>
      </c>
      <c r="E401" s="34" t="s">
        <v>158</v>
      </c>
      <c r="F401" s="24">
        <v>43609</v>
      </c>
      <c r="G401" s="21" t="s">
        <v>225</v>
      </c>
      <c r="H401" s="9"/>
    </row>
    <row r="402" spans="1:8" hidden="1" x14ac:dyDescent="0.2">
      <c r="A402" s="19" t="str">
        <f>TEXT(表3[[#This Row],[ETD]],"mmdd-h ")&amp;表3[[#This Row],[项目]]</f>
        <v>0529-0 HMI</v>
      </c>
      <c r="B402" s="7" t="s">
        <v>471</v>
      </c>
      <c r="C402" s="8">
        <v>43614</v>
      </c>
      <c r="D402" s="27">
        <v>9</v>
      </c>
      <c r="E402" s="34" t="s">
        <v>369</v>
      </c>
      <c r="F402" s="24">
        <v>43611</v>
      </c>
      <c r="G402" s="21" t="s">
        <v>225</v>
      </c>
      <c r="H402" s="9"/>
    </row>
    <row r="403" spans="1:8" hidden="1" x14ac:dyDescent="0.2">
      <c r="A403" s="19" t="str">
        <f>TEXT(表3[[#This Row],[ETD]],"mmdd-h ")&amp;表3[[#This Row],[项目]]</f>
        <v>0529-0 HMI</v>
      </c>
      <c r="B403" s="7" t="s">
        <v>471</v>
      </c>
      <c r="C403" s="8">
        <v>43614</v>
      </c>
      <c r="D403" s="27">
        <v>10</v>
      </c>
      <c r="E403" s="34" t="s">
        <v>371</v>
      </c>
      <c r="F403" s="24">
        <v>43611</v>
      </c>
      <c r="G403" s="21" t="s">
        <v>225</v>
      </c>
      <c r="H403" s="9"/>
    </row>
    <row r="404" spans="1:8" hidden="1" x14ac:dyDescent="0.2">
      <c r="A404" s="19" t="str">
        <f>TEXT(表3[[#This Row],[ETD]],"mmdd-h ")&amp;表3[[#This Row],[项目]]</f>
        <v>0529-0 HMI</v>
      </c>
      <c r="B404" s="7" t="s">
        <v>471</v>
      </c>
      <c r="C404" s="8">
        <v>43614</v>
      </c>
      <c r="D404" s="27">
        <v>11</v>
      </c>
      <c r="E404" s="34" t="s">
        <v>368</v>
      </c>
      <c r="F404" s="24">
        <v>43612</v>
      </c>
      <c r="G404" s="21" t="s">
        <v>225</v>
      </c>
      <c r="H404" s="9" t="s">
        <v>161</v>
      </c>
    </row>
    <row r="405" spans="1:8" hidden="1" x14ac:dyDescent="0.2">
      <c r="A405" s="19" t="str">
        <f>TEXT(表3[[#This Row],[ETD]],"mmdd-h ")&amp;表3[[#This Row],[项目]]</f>
        <v>0529-0 HMI</v>
      </c>
      <c r="B405" s="7" t="s">
        <v>471</v>
      </c>
      <c r="C405" s="8">
        <v>43614</v>
      </c>
      <c r="D405" s="27">
        <v>12</v>
      </c>
      <c r="E405" s="34" t="s">
        <v>232</v>
      </c>
      <c r="F405" s="24">
        <v>43612</v>
      </c>
      <c r="G405" s="21" t="s">
        <v>225</v>
      </c>
      <c r="H405" s="9"/>
    </row>
    <row r="406" spans="1:8" hidden="1" x14ac:dyDescent="0.2">
      <c r="A406" s="19" t="str">
        <f>TEXT(表3[[#This Row],[ETD]],"mmdd-h ")&amp;表3[[#This Row],[项目]]</f>
        <v>0529-0 HMI</v>
      </c>
      <c r="B406" s="7" t="s">
        <v>471</v>
      </c>
      <c r="C406" s="8">
        <v>43614</v>
      </c>
      <c r="D406" s="27">
        <v>13</v>
      </c>
      <c r="E406" s="34" t="s">
        <v>372</v>
      </c>
      <c r="F406" s="24">
        <v>43612</v>
      </c>
      <c r="G406" s="21" t="s">
        <v>225</v>
      </c>
      <c r="H406" s="9"/>
    </row>
    <row r="407" spans="1:8" hidden="1" x14ac:dyDescent="0.2">
      <c r="A407" s="19" t="str">
        <f>TEXT(表3[[#This Row],[ETD]],"mmdd-h ")&amp;表3[[#This Row],[项目]]</f>
        <v>0529-0 HMI</v>
      </c>
      <c r="B407" s="7" t="s">
        <v>471</v>
      </c>
      <c r="C407" s="8">
        <v>43614</v>
      </c>
      <c r="D407" s="27">
        <v>14</v>
      </c>
      <c r="E407" s="34" t="s">
        <v>373</v>
      </c>
      <c r="F407" s="24">
        <v>43612</v>
      </c>
      <c r="G407" s="21" t="s">
        <v>225</v>
      </c>
      <c r="H407" s="9"/>
    </row>
    <row r="408" spans="1:8" hidden="1" x14ac:dyDescent="0.2">
      <c r="A408" s="19" t="str">
        <f>TEXT(表3[[#This Row],[ETD]],"mmdd-h ")&amp;表3[[#This Row],[项目]]</f>
        <v>0529-0 HMI</v>
      </c>
      <c r="B408" s="7" t="s">
        <v>471</v>
      </c>
      <c r="C408" s="8">
        <v>43614</v>
      </c>
      <c r="D408" s="27">
        <v>15</v>
      </c>
      <c r="E408" s="34" t="s">
        <v>93</v>
      </c>
      <c r="F408" s="24">
        <v>43612</v>
      </c>
      <c r="G408" s="21" t="s">
        <v>225</v>
      </c>
      <c r="H408" s="9"/>
    </row>
    <row r="409" spans="1:8" hidden="1" x14ac:dyDescent="0.2">
      <c r="A409" s="19" t="str">
        <f>TEXT(表3[[#This Row],[ETD]],"mmdd-h ")&amp;表3[[#This Row],[项目]]</f>
        <v>0529-0 HMI</v>
      </c>
      <c r="B409" s="7" t="s">
        <v>471</v>
      </c>
      <c r="C409" s="8">
        <v>43614</v>
      </c>
      <c r="D409" s="27">
        <v>16</v>
      </c>
      <c r="E409" s="34" t="s">
        <v>95</v>
      </c>
      <c r="F409" s="24">
        <v>43612</v>
      </c>
      <c r="G409" s="21" t="s">
        <v>225</v>
      </c>
      <c r="H409" s="9"/>
    </row>
    <row r="410" spans="1:8" hidden="1" x14ac:dyDescent="0.2">
      <c r="A410" s="19" t="str">
        <f>TEXT(表3[[#This Row],[ETD]],"mmdd-h ")&amp;表3[[#This Row],[项目]]</f>
        <v>0529-0 HMI</v>
      </c>
      <c r="B410" s="7" t="s">
        <v>471</v>
      </c>
      <c r="C410" s="8">
        <v>43614</v>
      </c>
      <c r="D410" s="27">
        <v>17</v>
      </c>
      <c r="E410" s="34" t="s">
        <v>97</v>
      </c>
      <c r="F410" s="24">
        <v>43613</v>
      </c>
      <c r="G410" s="21" t="s">
        <v>225</v>
      </c>
      <c r="H410" s="9"/>
    </row>
    <row r="411" spans="1:8" hidden="1" x14ac:dyDescent="0.2">
      <c r="A411" s="19" t="str">
        <f>TEXT(表3[[#This Row],[ETD]],"mmdd-h ")&amp;表3[[#This Row],[项目]]</f>
        <v>0529-0 HMI</v>
      </c>
      <c r="B411" s="7" t="s">
        <v>471</v>
      </c>
      <c r="C411" s="8">
        <v>43614</v>
      </c>
      <c r="D411" s="27">
        <v>18</v>
      </c>
      <c r="E411" s="34" t="s">
        <v>273</v>
      </c>
      <c r="F411" s="24">
        <v>43614</v>
      </c>
      <c r="G411" s="21" t="s">
        <v>225</v>
      </c>
      <c r="H411" s="9"/>
    </row>
    <row r="412" spans="1:8" hidden="1" x14ac:dyDescent="0.2">
      <c r="A412" s="19" t="str">
        <f>TEXT(表3[[#This Row],[ETD]],"mmdd-h ")&amp;表3[[#This Row],[项目]]</f>
        <v>0529-0 HMI</v>
      </c>
      <c r="B412" s="7" t="s">
        <v>471</v>
      </c>
      <c r="C412" s="8">
        <v>43614</v>
      </c>
      <c r="D412" s="27">
        <v>19</v>
      </c>
      <c r="E412" s="34" t="s">
        <v>281</v>
      </c>
      <c r="F412" s="24">
        <v>43614</v>
      </c>
      <c r="G412" s="21" t="s">
        <v>225</v>
      </c>
      <c r="H412" s="9"/>
    </row>
    <row r="413" spans="1:8" hidden="1" x14ac:dyDescent="0.2">
      <c r="A413" s="19" t="str">
        <f>TEXT(表3[[#This Row],[ETD]],"mmdd-h ")&amp;表3[[#This Row],[项目]]</f>
        <v>0529-0 KMM</v>
      </c>
      <c r="B413" s="7" t="s">
        <v>374</v>
      </c>
      <c r="C413" s="8">
        <v>43614</v>
      </c>
      <c r="D413" s="27">
        <v>1</v>
      </c>
      <c r="E413" s="34" t="s">
        <v>377</v>
      </c>
      <c r="F413" s="24">
        <v>43600</v>
      </c>
      <c r="G413" s="21" t="s">
        <v>285</v>
      </c>
      <c r="H413" s="9"/>
    </row>
    <row r="414" spans="1:8" hidden="1" x14ac:dyDescent="0.2">
      <c r="A414" s="19" t="str">
        <f>TEXT(表3[[#This Row],[ETD]],"mmdd-h ")&amp;表3[[#This Row],[项目]]</f>
        <v>0529-0 KMM</v>
      </c>
      <c r="B414" s="7" t="s">
        <v>375</v>
      </c>
      <c r="C414" s="8">
        <v>43614</v>
      </c>
      <c r="D414" s="27">
        <v>2</v>
      </c>
      <c r="E414" s="34" t="s">
        <v>21</v>
      </c>
      <c r="F414" s="24">
        <v>43600</v>
      </c>
      <c r="G414" s="21" t="s">
        <v>285</v>
      </c>
      <c r="H414" s="9"/>
    </row>
    <row r="415" spans="1:8" hidden="1" x14ac:dyDescent="0.2">
      <c r="A415" s="19" t="str">
        <f>TEXT(表3[[#This Row],[ETD]],"mmdd-h ")&amp;表3[[#This Row],[项目]]</f>
        <v>0529-0 KMM</v>
      </c>
      <c r="B415" s="7" t="s">
        <v>374</v>
      </c>
      <c r="C415" s="8">
        <v>43614</v>
      </c>
      <c r="D415" s="27">
        <v>3</v>
      </c>
      <c r="E415" s="34" t="s">
        <v>378</v>
      </c>
      <c r="F415" s="24">
        <v>43602</v>
      </c>
      <c r="G415" s="21" t="s">
        <v>285</v>
      </c>
      <c r="H415" s="9"/>
    </row>
    <row r="416" spans="1:8" hidden="1" x14ac:dyDescent="0.2">
      <c r="A416" s="19" t="str">
        <f>TEXT(表3[[#This Row],[ETD]],"mmdd-h ")&amp;表3[[#This Row],[项目]]</f>
        <v>0529-0 KMM</v>
      </c>
      <c r="B416" s="7" t="s">
        <v>374</v>
      </c>
      <c r="C416" s="8">
        <v>43614</v>
      </c>
      <c r="D416" s="27">
        <v>4</v>
      </c>
      <c r="E416" s="34" t="s">
        <v>156</v>
      </c>
      <c r="F416" s="24">
        <v>43608</v>
      </c>
      <c r="G416" s="21" t="s">
        <v>225</v>
      </c>
      <c r="H416" s="9" t="s">
        <v>143</v>
      </c>
    </row>
    <row r="417" spans="1:8" hidden="1" x14ac:dyDescent="0.2">
      <c r="A417" s="19" t="str">
        <f>TEXT(表3[[#This Row],[ETD]],"mmdd-h ")&amp;表3[[#This Row],[项目]]</f>
        <v>0529-0 KMM</v>
      </c>
      <c r="B417" s="7" t="s">
        <v>374</v>
      </c>
      <c r="C417" s="8">
        <v>43614</v>
      </c>
      <c r="D417" s="27">
        <v>5</v>
      </c>
      <c r="E417" s="34" t="s">
        <v>147</v>
      </c>
      <c r="F417" s="24">
        <v>43608</v>
      </c>
      <c r="G417" s="21" t="s">
        <v>225</v>
      </c>
      <c r="H417" s="9"/>
    </row>
    <row r="418" spans="1:8" hidden="1" x14ac:dyDescent="0.2">
      <c r="A418" s="19" t="str">
        <f>TEXT(表3[[#This Row],[ETD]],"mmdd-h ")&amp;表3[[#This Row],[项目]]</f>
        <v>0529-0 KMM</v>
      </c>
      <c r="B418" s="7" t="s">
        <v>374</v>
      </c>
      <c r="C418" s="8">
        <v>43614</v>
      </c>
      <c r="D418" s="27">
        <v>6</v>
      </c>
      <c r="E418" s="34" t="s">
        <v>145</v>
      </c>
      <c r="F418" s="24">
        <v>43608</v>
      </c>
      <c r="G418" s="21" t="s">
        <v>225</v>
      </c>
      <c r="H418" s="9"/>
    </row>
    <row r="419" spans="1:8" hidden="1" x14ac:dyDescent="0.2">
      <c r="A419" s="19" t="str">
        <f>TEXT(表3[[#This Row],[ETD]],"mmdd-h ")&amp;表3[[#This Row],[项目]]</f>
        <v>0529-0 KMM</v>
      </c>
      <c r="B419" s="7" t="s">
        <v>374</v>
      </c>
      <c r="C419" s="8">
        <v>43614</v>
      </c>
      <c r="D419" s="27">
        <v>7</v>
      </c>
      <c r="E419" s="34" t="s">
        <v>367</v>
      </c>
      <c r="F419" s="24">
        <v>43608</v>
      </c>
      <c r="G419" s="21" t="s">
        <v>225</v>
      </c>
      <c r="H419" s="9" t="s">
        <v>150</v>
      </c>
    </row>
    <row r="420" spans="1:8" hidden="1" x14ac:dyDescent="0.2">
      <c r="A420" s="19" t="str">
        <f>TEXT(表3[[#This Row],[ETD]],"mmdd-h ")&amp;表3[[#This Row],[项目]]</f>
        <v>0529-0 KMM</v>
      </c>
      <c r="B420" s="7" t="s">
        <v>374</v>
      </c>
      <c r="C420" s="8">
        <v>43614</v>
      </c>
      <c r="D420" s="27">
        <v>8</v>
      </c>
      <c r="E420" s="34" t="s">
        <v>158</v>
      </c>
      <c r="F420" s="24">
        <v>43608</v>
      </c>
      <c r="G420" s="21" t="s">
        <v>225</v>
      </c>
      <c r="H420" s="9"/>
    </row>
    <row r="421" spans="1:8" hidden="1" x14ac:dyDescent="0.2">
      <c r="A421" s="19" t="str">
        <f>TEXT(表3[[#This Row],[ETD]],"mmdd-h ")&amp;表3[[#This Row],[项目]]</f>
        <v>0529-0 KMM</v>
      </c>
      <c r="B421" s="7" t="s">
        <v>374</v>
      </c>
      <c r="C421" s="8">
        <v>43614</v>
      </c>
      <c r="D421" s="27">
        <v>9</v>
      </c>
      <c r="E421" s="34" t="s">
        <v>368</v>
      </c>
      <c r="F421" s="24">
        <v>43609</v>
      </c>
      <c r="G421" s="21" t="s">
        <v>225</v>
      </c>
      <c r="H421" s="9" t="s">
        <v>161</v>
      </c>
    </row>
    <row r="422" spans="1:8" hidden="1" x14ac:dyDescent="0.2">
      <c r="A422" s="19" t="str">
        <f>TEXT(表3[[#This Row],[ETD]],"mmdd-h ")&amp;表3[[#This Row],[项目]]</f>
        <v>0529-0 KMM</v>
      </c>
      <c r="B422" s="7" t="s">
        <v>375</v>
      </c>
      <c r="C422" s="8">
        <v>43614</v>
      </c>
      <c r="D422" s="27">
        <v>12</v>
      </c>
      <c r="E422" s="34" t="s">
        <v>232</v>
      </c>
      <c r="F422" s="24">
        <v>43609</v>
      </c>
      <c r="G422" s="21" t="s">
        <v>225</v>
      </c>
      <c r="H422" s="9"/>
    </row>
    <row r="423" spans="1:8" hidden="1" x14ac:dyDescent="0.2">
      <c r="A423" s="20" t="str">
        <f>TEXT(表3[[#This Row],[ETD]],"mmdd-h ")&amp;表3[[#This Row],[项目]]</f>
        <v>0529-0 KMM</v>
      </c>
      <c r="B423" s="10" t="s">
        <v>374</v>
      </c>
      <c r="C423" s="11">
        <v>43614</v>
      </c>
      <c r="D423" s="28">
        <v>13</v>
      </c>
      <c r="E423" s="36" t="s">
        <v>369</v>
      </c>
      <c r="F423" s="25">
        <v>43609</v>
      </c>
      <c r="G423" s="22" t="s">
        <v>225</v>
      </c>
      <c r="H423" s="12" t="s">
        <v>370</v>
      </c>
    </row>
    <row r="424" spans="1:8" hidden="1" x14ac:dyDescent="0.2">
      <c r="A424" s="19" t="str">
        <f>TEXT(表3[[#This Row],[ETD]],"mmdd-h ")&amp;表3[[#This Row],[项目]]</f>
        <v>0529-0 KMM</v>
      </c>
      <c r="B424" s="7" t="s">
        <v>374</v>
      </c>
      <c r="C424" s="8">
        <v>43614</v>
      </c>
      <c r="D424" s="27">
        <v>13</v>
      </c>
      <c r="E424" s="34" t="s">
        <v>371</v>
      </c>
      <c r="F424" s="24">
        <v>43609</v>
      </c>
      <c r="G424" s="21" t="s">
        <v>225</v>
      </c>
      <c r="H424" s="9" t="s">
        <v>370</v>
      </c>
    </row>
    <row r="425" spans="1:8" hidden="1" x14ac:dyDescent="0.2">
      <c r="A425" s="19" t="str">
        <f>TEXT(表3[[#This Row],[ETD]],"mmdd-h ")&amp;表3[[#This Row],[项目]]</f>
        <v>0529-0 KMM</v>
      </c>
      <c r="B425" s="7" t="s">
        <v>375</v>
      </c>
      <c r="C425" s="8">
        <v>43614</v>
      </c>
      <c r="D425" s="27">
        <v>13</v>
      </c>
      <c r="E425" s="34" t="s">
        <v>372</v>
      </c>
      <c r="F425" s="24">
        <v>43609</v>
      </c>
      <c r="G425" s="21" t="s">
        <v>225</v>
      </c>
      <c r="H425" s="9" t="s">
        <v>370</v>
      </c>
    </row>
    <row r="426" spans="1:8" hidden="1" x14ac:dyDescent="0.2">
      <c r="A426" s="19" t="str">
        <f>TEXT(表3[[#This Row],[ETD]],"mmdd-h ")&amp;表3[[#This Row],[项目]]</f>
        <v>0529-0 KMM</v>
      </c>
      <c r="B426" s="7" t="s">
        <v>374</v>
      </c>
      <c r="C426" s="8">
        <v>43614</v>
      </c>
      <c r="D426" s="27">
        <v>13</v>
      </c>
      <c r="E426" s="34" t="s">
        <v>373</v>
      </c>
      <c r="F426" s="24">
        <v>43609</v>
      </c>
      <c r="G426" s="21" t="s">
        <v>225</v>
      </c>
      <c r="H426" s="9" t="s">
        <v>370</v>
      </c>
    </row>
    <row r="427" spans="1:8" hidden="1" x14ac:dyDescent="0.2">
      <c r="A427" s="19" t="str">
        <f>TEXT(表3[[#This Row],[ETD]],"mmdd-h ")&amp;表3[[#This Row],[项目]]</f>
        <v>0529-0 KMM</v>
      </c>
      <c r="B427" s="7" t="s">
        <v>374</v>
      </c>
      <c r="C427" s="8">
        <v>43614</v>
      </c>
      <c r="D427" s="27">
        <v>17</v>
      </c>
      <c r="E427" s="34" t="s">
        <v>93</v>
      </c>
      <c r="F427" s="24">
        <v>43609</v>
      </c>
      <c r="G427" s="21" t="s">
        <v>225</v>
      </c>
      <c r="H427" s="9"/>
    </row>
    <row r="428" spans="1:8" hidden="1" x14ac:dyDescent="0.2">
      <c r="A428" s="19" t="str">
        <f>TEXT(表3[[#This Row],[ETD]],"mmdd-h ")&amp;表3[[#This Row],[项目]]</f>
        <v>0529-0 KMM</v>
      </c>
      <c r="B428" s="7" t="s">
        <v>375</v>
      </c>
      <c r="C428" s="8">
        <v>43614</v>
      </c>
      <c r="D428" s="27">
        <v>18</v>
      </c>
      <c r="E428" s="34" t="s">
        <v>95</v>
      </c>
      <c r="F428" s="24">
        <v>43611</v>
      </c>
      <c r="G428" s="21" t="s">
        <v>225</v>
      </c>
      <c r="H428" s="9"/>
    </row>
    <row r="429" spans="1:8" hidden="1" x14ac:dyDescent="0.2">
      <c r="A429" s="19" t="str">
        <f>TEXT(表3[[#This Row],[ETD]],"mmdd-h ")&amp;表3[[#This Row],[项目]]</f>
        <v>0529-0 KMM</v>
      </c>
      <c r="B429" s="7" t="s">
        <v>374</v>
      </c>
      <c r="C429" s="8">
        <v>43614</v>
      </c>
      <c r="D429" s="27">
        <v>19</v>
      </c>
      <c r="E429" s="34" t="s">
        <v>97</v>
      </c>
      <c r="F429" s="24">
        <v>43613</v>
      </c>
      <c r="G429" s="21" t="s">
        <v>225</v>
      </c>
      <c r="H429" s="9"/>
    </row>
    <row r="430" spans="1:8" hidden="1" x14ac:dyDescent="0.2">
      <c r="A430" s="19" t="str">
        <f>TEXT(表3[[#This Row],[ETD]],"mmdd-h ")&amp;表3[[#This Row],[项目]]</f>
        <v>0529-0 KMM</v>
      </c>
      <c r="B430" s="7" t="s">
        <v>375</v>
      </c>
      <c r="C430" s="8">
        <v>43614</v>
      </c>
      <c r="D430" s="27">
        <v>20</v>
      </c>
      <c r="E430" s="34" t="s">
        <v>273</v>
      </c>
      <c r="F430" s="24">
        <v>43614</v>
      </c>
      <c r="G430" s="21" t="s">
        <v>225</v>
      </c>
      <c r="H430" s="9"/>
    </row>
    <row r="431" spans="1:8" hidden="1" x14ac:dyDescent="0.2">
      <c r="A431" s="19" t="str">
        <f>TEXT(表3[[#This Row],[ETD]],"mmdd-h ")&amp;表3[[#This Row],[项目]]</f>
        <v>0529-0 KMM</v>
      </c>
      <c r="B431" s="7" t="s">
        <v>374</v>
      </c>
      <c r="C431" s="8">
        <v>43614</v>
      </c>
      <c r="D431" s="27">
        <v>21</v>
      </c>
      <c r="E431" s="34" t="s">
        <v>281</v>
      </c>
      <c r="F431" s="24">
        <v>43612</v>
      </c>
      <c r="G431" s="21" t="s">
        <v>225</v>
      </c>
      <c r="H431" s="9"/>
    </row>
    <row r="432" spans="1:8" hidden="1" x14ac:dyDescent="0.2">
      <c r="A432" s="19" t="str">
        <f>TEXT(表3[[#This Row],[ETD]],"mmdd-h ")&amp;表3[[#This Row],[项目]]</f>
        <v>0529-0 WX mobis</v>
      </c>
      <c r="B432" s="7" t="s">
        <v>171</v>
      </c>
      <c r="C432" s="8">
        <v>43614</v>
      </c>
      <c r="D432" s="27">
        <v>1</v>
      </c>
      <c r="E432" s="34" t="s">
        <v>235</v>
      </c>
      <c r="F432" s="24">
        <v>43580</v>
      </c>
      <c r="G432" s="21" t="s">
        <v>287</v>
      </c>
      <c r="H432" s="9"/>
    </row>
    <row r="433" spans="1:8" hidden="1" x14ac:dyDescent="0.2">
      <c r="A433" s="19" t="str">
        <f>TEXT(表3[[#This Row],[ETD]],"mmdd-h ")&amp;表3[[#This Row],[项目]]</f>
        <v>0529-0 WX mobis</v>
      </c>
      <c r="B433" s="7" t="s">
        <v>171</v>
      </c>
      <c r="C433" s="8">
        <v>43614</v>
      </c>
      <c r="D433" s="27">
        <v>2</v>
      </c>
      <c r="E433" s="34" t="s">
        <v>236</v>
      </c>
      <c r="F433" s="24">
        <v>43580</v>
      </c>
      <c r="G433" s="21" t="s">
        <v>287</v>
      </c>
      <c r="H433" s="9"/>
    </row>
    <row r="434" spans="1:8" hidden="1" x14ac:dyDescent="0.2">
      <c r="A434" s="19" t="str">
        <f>TEXT(表3[[#This Row],[ETD]],"mmdd-h ")&amp;表3[[#This Row],[项目]]</f>
        <v>0529-0 WX mobis</v>
      </c>
      <c r="B434" s="7" t="s">
        <v>171</v>
      </c>
      <c r="C434" s="8">
        <v>43614</v>
      </c>
      <c r="D434" s="27">
        <v>3</v>
      </c>
      <c r="E434" s="34" t="s">
        <v>237</v>
      </c>
      <c r="F434" s="24">
        <v>43580</v>
      </c>
      <c r="G434" s="21" t="s">
        <v>287</v>
      </c>
      <c r="H434" s="9" t="s">
        <v>238</v>
      </c>
    </row>
    <row r="435" spans="1:8" hidden="1" x14ac:dyDescent="0.2">
      <c r="A435" s="19" t="str">
        <f>TEXT(表3[[#This Row],[ETD]],"mmdd-h ")&amp;表3[[#This Row],[项目]]</f>
        <v>0529-0 WX mobis</v>
      </c>
      <c r="B435" s="7" t="s">
        <v>171</v>
      </c>
      <c r="C435" s="8">
        <v>43614</v>
      </c>
      <c r="D435" s="27">
        <v>4</v>
      </c>
      <c r="E435" s="34" t="s">
        <v>239</v>
      </c>
      <c r="F435" s="24">
        <v>43580</v>
      </c>
      <c r="G435" s="21" t="s">
        <v>287</v>
      </c>
      <c r="H435" s="9"/>
    </row>
    <row r="436" spans="1:8" hidden="1" x14ac:dyDescent="0.2">
      <c r="A436" s="19" t="str">
        <f>TEXT(表3[[#This Row],[ETD]],"mmdd-h ")&amp;表3[[#This Row],[项目]]</f>
        <v>0529-0 WX mobis</v>
      </c>
      <c r="B436" s="7" t="s">
        <v>171</v>
      </c>
      <c r="C436" s="8">
        <v>43614</v>
      </c>
      <c r="D436" s="27">
        <v>5</v>
      </c>
      <c r="E436" s="34" t="s">
        <v>40</v>
      </c>
      <c r="F436" s="24">
        <v>43594</v>
      </c>
      <c r="G436" s="21" t="s">
        <v>287</v>
      </c>
      <c r="H436" s="9"/>
    </row>
    <row r="437" spans="1:8" hidden="1" x14ac:dyDescent="0.2">
      <c r="A437" s="19" t="str">
        <f>TEXT(表3[[#This Row],[ETD]],"mmdd-h ")&amp;表3[[#This Row],[项目]]</f>
        <v>0529-0 WX mobis</v>
      </c>
      <c r="B437" s="7" t="s">
        <v>171</v>
      </c>
      <c r="C437" s="8">
        <v>43614</v>
      </c>
      <c r="D437" s="27">
        <v>6</v>
      </c>
      <c r="E437" s="34" t="s">
        <v>297</v>
      </c>
      <c r="F437" s="24">
        <v>43607</v>
      </c>
      <c r="G437" s="21" t="s">
        <v>225</v>
      </c>
      <c r="H437" s="9" t="s">
        <v>289</v>
      </c>
    </row>
    <row r="438" spans="1:8" hidden="1" x14ac:dyDescent="0.2">
      <c r="A438" s="19" t="str">
        <f>TEXT(表3[[#This Row],[ETD]],"mmdd-h ")&amp;表3[[#This Row],[项目]]</f>
        <v>0529-0 WX mobis</v>
      </c>
      <c r="B438" s="7" t="s">
        <v>171</v>
      </c>
      <c r="C438" s="8">
        <v>43614</v>
      </c>
      <c r="D438" s="27">
        <v>7</v>
      </c>
      <c r="E438" s="34" t="s">
        <v>447</v>
      </c>
      <c r="F438" s="24">
        <v>43607</v>
      </c>
      <c r="G438" s="21" t="s">
        <v>225</v>
      </c>
      <c r="H438" s="9"/>
    </row>
    <row r="439" spans="1:8" hidden="1" x14ac:dyDescent="0.2">
      <c r="A439" s="19" t="str">
        <f>TEXT(表3[[#This Row],[ETD]],"mmdd-h ")&amp;表3[[#This Row],[项目]]</f>
        <v>0529-0 WX mobis</v>
      </c>
      <c r="B439" s="7" t="s">
        <v>171</v>
      </c>
      <c r="C439" s="8">
        <v>43614</v>
      </c>
      <c r="D439" s="27">
        <v>8</v>
      </c>
      <c r="E439" s="34" t="s">
        <v>295</v>
      </c>
      <c r="F439" s="24">
        <v>43607</v>
      </c>
      <c r="G439" s="21" t="s">
        <v>225</v>
      </c>
      <c r="H439" s="9"/>
    </row>
    <row r="440" spans="1:8" hidden="1" x14ac:dyDescent="0.2">
      <c r="A440" s="19" t="str">
        <f>TEXT(表3[[#This Row],[ETD]],"mmdd-h ")&amp;表3[[#This Row],[项目]]</f>
        <v>0529-0 WX mobis</v>
      </c>
      <c r="B440" s="7" t="s">
        <v>171</v>
      </c>
      <c r="C440" s="8">
        <v>43614</v>
      </c>
      <c r="D440" s="27">
        <v>9</v>
      </c>
      <c r="E440" s="34" t="s">
        <v>298</v>
      </c>
      <c r="F440" s="24">
        <v>43607</v>
      </c>
      <c r="G440" s="21" t="s">
        <v>225</v>
      </c>
      <c r="H440" s="9" t="s">
        <v>44</v>
      </c>
    </row>
    <row r="441" spans="1:8" hidden="1" x14ac:dyDescent="0.2">
      <c r="A441" s="19" t="str">
        <f>TEXT(表3[[#This Row],[ETD]],"mmdd-h ")&amp;表3[[#This Row],[项目]]</f>
        <v>0529-0 WX mobis</v>
      </c>
      <c r="B441" s="7" t="s">
        <v>171</v>
      </c>
      <c r="C441" s="8">
        <v>43614</v>
      </c>
      <c r="D441" s="27">
        <v>10</v>
      </c>
      <c r="E441" s="34" t="s">
        <v>291</v>
      </c>
      <c r="F441" s="24">
        <v>43607</v>
      </c>
      <c r="G441" s="21" t="s">
        <v>225</v>
      </c>
      <c r="H441" s="9" t="s">
        <v>33</v>
      </c>
    </row>
    <row r="442" spans="1:8" hidden="1" x14ac:dyDescent="0.2">
      <c r="A442" s="20" t="str">
        <f>TEXT(表3[[#This Row],[ETD]],"mmdd-h ")&amp;表3[[#This Row],[项目]]</f>
        <v>0529-0 WX mobis</v>
      </c>
      <c r="B442" s="10" t="s">
        <v>171</v>
      </c>
      <c r="C442" s="11">
        <v>43614</v>
      </c>
      <c r="D442" s="28">
        <v>11</v>
      </c>
      <c r="E442" s="36" t="s">
        <v>293</v>
      </c>
      <c r="F442" s="24">
        <v>43607</v>
      </c>
      <c r="G442" s="22" t="s">
        <v>225</v>
      </c>
      <c r="H442" s="12" t="s">
        <v>44</v>
      </c>
    </row>
    <row r="443" spans="1:8" hidden="1" x14ac:dyDescent="0.2">
      <c r="A443" s="19" t="str">
        <f>TEXT(表3[[#This Row],[ETD]],"mmdd-h ")&amp;表3[[#This Row],[项目]]</f>
        <v>0529-0 WX mobis</v>
      </c>
      <c r="B443" s="7" t="s">
        <v>171</v>
      </c>
      <c r="C443" s="8">
        <v>43614</v>
      </c>
      <c r="D443" s="27">
        <v>12</v>
      </c>
      <c r="E443" s="34" t="s">
        <v>303</v>
      </c>
      <c r="F443" s="24">
        <v>43608</v>
      </c>
      <c r="G443" s="21" t="s">
        <v>225</v>
      </c>
      <c r="H443" s="9" t="s">
        <v>301</v>
      </c>
    </row>
    <row r="444" spans="1:8" hidden="1" x14ac:dyDescent="0.2">
      <c r="A444" s="19" t="str">
        <f>TEXT(表3[[#This Row],[ETD]],"mmdd-h ")&amp;表3[[#This Row],[项目]]</f>
        <v>0529-0 WX mobis</v>
      </c>
      <c r="B444" s="7" t="s">
        <v>171</v>
      </c>
      <c r="C444" s="8">
        <v>43614</v>
      </c>
      <c r="D444" s="27">
        <v>13</v>
      </c>
      <c r="E444" s="34" t="s">
        <v>306</v>
      </c>
      <c r="F444" s="24">
        <v>43609</v>
      </c>
      <c r="G444" s="21" t="s">
        <v>225</v>
      </c>
      <c r="H444" s="9" t="s">
        <v>304</v>
      </c>
    </row>
    <row r="445" spans="1:8" hidden="1" x14ac:dyDescent="0.2">
      <c r="A445" s="19" t="str">
        <f>TEXT(表3[[#This Row],[ETD]],"mmdd-h ")&amp;表3[[#This Row],[项目]]</f>
        <v>0529-0 WX mobis</v>
      </c>
      <c r="B445" s="7" t="s">
        <v>171</v>
      </c>
      <c r="C445" s="8">
        <v>43614</v>
      </c>
      <c r="D445" s="27">
        <v>14</v>
      </c>
      <c r="E445" s="34" t="s">
        <v>308</v>
      </c>
      <c r="F445" s="24">
        <v>43609</v>
      </c>
      <c r="G445" s="21" t="s">
        <v>225</v>
      </c>
      <c r="H445" s="9"/>
    </row>
    <row r="446" spans="1:8" hidden="1" x14ac:dyDescent="0.2">
      <c r="A446" s="19" t="str">
        <f>TEXT(表3[[#This Row],[ETD]],"mmdd-h ")&amp;表3[[#This Row],[项目]]</f>
        <v>0529-0 WX mobis</v>
      </c>
      <c r="B446" s="7" t="s">
        <v>171</v>
      </c>
      <c r="C446" s="8">
        <v>43614</v>
      </c>
      <c r="D446" s="27">
        <v>15</v>
      </c>
      <c r="E446" s="34" t="s">
        <v>310</v>
      </c>
      <c r="F446" s="24">
        <v>43609</v>
      </c>
      <c r="G446" s="21" t="s">
        <v>225</v>
      </c>
      <c r="H446" s="9"/>
    </row>
    <row r="447" spans="1:8" hidden="1" x14ac:dyDescent="0.2">
      <c r="A447" s="19" t="str">
        <f>TEXT(表3[[#This Row],[ETD]],"mmdd-h ")&amp;表3[[#This Row],[项目]]</f>
        <v>0529-0 WX mobis</v>
      </c>
      <c r="B447" s="7" t="s">
        <v>171</v>
      </c>
      <c r="C447" s="8">
        <v>43614</v>
      </c>
      <c r="D447" s="27">
        <v>16</v>
      </c>
      <c r="E447" s="34" t="s">
        <v>326</v>
      </c>
      <c r="F447" s="24">
        <v>43609</v>
      </c>
      <c r="G447" s="21" t="s">
        <v>225</v>
      </c>
      <c r="H447" s="9"/>
    </row>
    <row r="448" spans="1:8" hidden="1" x14ac:dyDescent="0.2">
      <c r="A448" s="19" t="str">
        <f>TEXT(表3[[#This Row],[ETD]],"mmdd-h ")&amp;表3[[#This Row],[项目]]</f>
        <v>0529-0 WX mobis</v>
      </c>
      <c r="B448" s="7" t="s">
        <v>171</v>
      </c>
      <c r="C448" s="8">
        <v>43614</v>
      </c>
      <c r="D448" s="27">
        <v>17</v>
      </c>
      <c r="E448" s="34" t="s">
        <v>328</v>
      </c>
      <c r="F448" s="24">
        <v>43609</v>
      </c>
      <c r="G448" s="21" t="s">
        <v>225</v>
      </c>
      <c r="H448" s="9"/>
    </row>
    <row r="449" spans="1:8" hidden="1" x14ac:dyDescent="0.2">
      <c r="A449" s="19" t="str">
        <f>TEXT(表3[[#This Row],[ETD]],"mmdd-h ")&amp;表3[[#This Row],[项目]]</f>
        <v>0529-0 WX mobis</v>
      </c>
      <c r="B449" s="7" t="s">
        <v>171</v>
      </c>
      <c r="C449" s="8">
        <v>43614</v>
      </c>
      <c r="D449" s="27">
        <v>18</v>
      </c>
      <c r="E449" s="34" t="s">
        <v>330</v>
      </c>
      <c r="F449" s="24">
        <v>43609</v>
      </c>
      <c r="G449" s="21" t="s">
        <v>225</v>
      </c>
      <c r="H449" s="9"/>
    </row>
    <row r="450" spans="1:8" hidden="1" x14ac:dyDescent="0.2">
      <c r="A450" s="19" t="str">
        <f>TEXT(表3[[#This Row],[ETD]],"mmdd-h ")&amp;表3[[#This Row],[项目]]</f>
        <v>0529-0 WX mobis</v>
      </c>
      <c r="B450" s="7" t="s">
        <v>171</v>
      </c>
      <c r="C450" s="8">
        <v>43614</v>
      </c>
      <c r="D450" s="27">
        <v>19</v>
      </c>
      <c r="E450" s="34" t="s">
        <v>312</v>
      </c>
      <c r="F450" s="24">
        <v>43609</v>
      </c>
      <c r="G450" s="21" t="s">
        <v>225</v>
      </c>
      <c r="H450" s="9"/>
    </row>
    <row r="451" spans="1:8" hidden="1" x14ac:dyDescent="0.2">
      <c r="A451" s="19" t="str">
        <f>TEXT(表3[[#This Row],[ETD]],"mmdd-h ")&amp;表3[[#This Row],[项目]]</f>
        <v>0529-0 WX mobis</v>
      </c>
      <c r="B451" s="7" t="s">
        <v>171</v>
      </c>
      <c r="C451" s="8">
        <v>43614</v>
      </c>
      <c r="D451" s="27">
        <v>20</v>
      </c>
      <c r="E451" s="34" t="s">
        <v>314</v>
      </c>
      <c r="F451" s="24">
        <v>43609</v>
      </c>
      <c r="G451" s="21" t="s">
        <v>225</v>
      </c>
      <c r="H451" s="9"/>
    </row>
    <row r="452" spans="1:8" hidden="1" x14ac:dyDescent="0.2">
      <c r="A452" s="19" t="str">
        <f>TEXT(表3[[#This Row],[ETD]],"mmdd-h ")&amp;表3[[#This Row],[项目]]</f>
        <v>0529-0 WX mobis</v>
      </c>
      <c r="B452" s="7" t="s">
        <v>171</v>
      </c>
      <c r="C452" s="8">
        <v>43614</v>
      </c>
      <c r="D452" s="27">
        <v>21</v>
      </c>
      <c r="E452" s="34" t="s">
        <v>316</v>
      </c>
      <c r="F452" s="24">
        <v>43609</v>
      </c>
      <c r="G452" s="21" t="s">
        <v>225</v>
      </c>
      <c r="H452" s="9"/>
    </row>
    <row r="453" spans="1:8" hidden="1" x14ac:dyDescent="0.2">
      <c r="A453" s="19" t="str">
        <f>TEXT(表3[[#This Row],[ETD]],"mmdd-h ")&amp;表3[[#This Row],[项目]]</f>
        <v>0529-0 WX mobis</v>
      </c>
      <c r="B453" s="7" t="s">
        <v>171</v>
      </c>
      <c r="C453" s="8">
        <v>43614</v>
      </c>
      <c r="D453" s="27">
        <v>22</v>
      </c>
      <c r="E453" s="34" t="s">
        <v>318</v>
      </c>
      <c r="F453" s="24">
        <v>43612</v>
      </c>
      <c r="G453" s="21" t="s">
        <v>225</v>
      </c>
      <c r="H453" s="9"/>
    </row>
    <row r="454" spans="1:8" hidden="1" x14ac:dyDescent="0.2">
      <c r="A454" s="19" t="str">
        <f>TEXT(表3[[#This Row],[ETD]],"mmdd-h ")&amp;表3[[#This Row],[项目]]</f>
        <v>0529-0 WX mobis</v>
      </c>
      <c r="B454" s="7" t="s">
        <v>171</v>
      </c>
      <c r="C454" s="8">
        <v>43614</v>
      </c>
      <c r="D454" s="27">
        <v>23</v>
      </c>
      <c r="E454" s="34" t="s">
        <v>320</v>
      </c>
      <c r="F454" s="24">
        <v>43613</v>
      </c>
      <c r="G454" s="21" t="s">
        <v>225</v>
      </c>
      <c r="H454" s="9"/>
    </row>
    <row r="455" spans="1:8" hidden="1" x14ac:dyDescent="0.2">
      <c r="A455" s="19" t="str">
        <f>TEXT(表3[[#This Row],[ETD]],"mmdd-h ")&amp;表3[[#This Row],[项目]]</f>
        <v>0529-0 WX mobis</v>
      </c>
      <c r="B455" s="7" t="s">
        <v>171</v>
      </c>
      <c r="C455" s="8">
        <v>43614</v>
      </c>
      <c r="D455" s="27">
        <v>24</v>
      </c>
      <c r="E455" s="34" t="s">
        <v>322</v>
      </c>
      <c r="F455" s="24">
        <v>43614</v>
      </c>
      <c r="G455" s="21" t="s">
        <v>225</v>
      </c>
      <c r="H455" s="9"/>
    </row>
    <row r="456" spans="1:8" hidden="1" x14ac:dyDescent="0.2">
      <c r="A456" s="19" t="str">
        <f>TEXT(表3[[#This Row],[ETD]],"mmdd-h ")&amp;表3[[#This Row],[项目]]</f>
        <v>0529-0 WX mobis</v>
      </c>
      <c r="B456" s="7" t="s">
        <v>171</v>
      </c>
      <c r="C456" s="8">
        <v>43614</v>
      </c>
      <c r="D456" s="27">
        <v>25</v>
      </c>
      <c r="E456" s="34" t="s">
        <v>324</v>
      </c>
      <c r="F456" s="24">
        <v>43615</v>
      </c>
      <c r="G456" s="21" t="s">
        <v>225</v>
      </c>
      <c r="H456" s="9"/>
    </row>
    <row r="457" spans="1:8" hidden="1" x14ac:dyDescent="0.2">
      <c r="A457" s="19" t="str">
        <f>TEXT(表3[[#This Row],[ETD]],"mmdd-h ")&amp;表3[[#This Row],[项目]]</f>
        <v>0531-0 JS mobis</v>
      </c>
      <c r="B457" s="7" t="s">
        <v>2</v>
      </c>
      <c r="C457" s="8">
        <v>43616</v>
      </c>
      <c r="D457" s="27">
        <v>1</v>
      </c>
      <c r="E457" s="34" t="s">
        <v>12</v>
      </c>
      <c r="F457" s="24">
        <v>43602</v>
      </c>
      <c r="G457" s="21" t="s">
        <v>285</v>
      </c>
      <c r="H457" s="9" t="s">
        <v>29</v>
      </c>
    </row>
    <row r="458" spans="1:8" hidden="1" x14ac:dyDescent="0.2">
      <c r="A458" s="19" t="str">
        <f>TEXT(表3[[#This Row],[ETD]],"mmdd-h ")&amp;表3[[#This Row],[项目]]</f>
        <v>0531-0 JS mobis</v>
      </c>
      <c r="B458" s="7" t="s">
        <v>2</v>
      </c>
      <c r="C458" s="8">
        <v>43616</v>
      </c>
      <c r="D458" s="27">
        <v>2</v>
      </c>
      <c r="E458" s="34" t="s">
        <v>241</v>
      </c>
      <c r="F458" s="24">
        <v>43602</v>
      </c>
      <c r="G458" s="21" t="s">
        <v>285</v>
      </c>
      <c r="H458" s="9"/>
    </row>
    <row r="459" spans="1:8" hidden="1" x14ac:dyDescent="0.2">
      <c r="A459" s="19" t="str">
        <f>TEXT(表3[[#This Row],[ETD]],"mmdd-h ")&amp;表3[[#This Row],[项目]]</f>
        <v>0531-0 JS mobis</v>
      </c>
      <c r="B459" s="7" t="s">
        <v>2</v>
      </c>
      <c r="C459" s="8">
        <v>43616</v>
      </c>
      <c r="D459" s="27">
        <v>3</v>
      </c>
      <c r="E459" s="34" t="s">
        <v>62</v>
      </c>
      <c r="F459" s="24">
        <v>43605</v>
      </c>
      <c r="G459" s="21" t="s">
        <v>285</v>
      </c>
      <c r="H459" s="9" t="s">
        <v>31</v>
      </c>
    </row>
    <row r="460" spans="1:8" hidden="1" x14ac:dyDescent="0.2">
      <c r="A460" s="19" t="str">
        <f>TEXT(表3[[#This Row],[ETD]],"mmdd-h ")&amp;表3[[#This Row],[项目]]</f>
        <v>0531-0 JS mobis</v>
      </c>
      <c r="B460" s="7" t="s">
        <v>2</v>
      </c>
      <c r="C460" s="8">
        <v>43616</v>
      </c>
      <c r="D460" s="27">
        <v>4</v>
      </c>
      <c r="E460" s="34" t="s">
        <v>64</v>
      </c>
      <c r="F460" s="24">
        <v>43605</v>
      </c>
      <c r="G460" s="21" t="s">
        <v>285</v>
      </c>
      <c r="H460" s="9"/>
    </row>
    <row r="461" spans="1:8" hidden="1" x14ac:dyDescent="0.2">
      <c r="A461" s="20" t="str">
        <f>TEXT(表3[[#This Row],[ETD]],"mmdd-h ")&amp;表3[[#This Row],[项目]]</f>
        <v>0531-0 JS mobis</v>
      </c>
      <c r="B461" s="10" t="s">
        <v>2</v>
      </c>
      <c r="C461" s="11">
        <v>43616</v>
      </c>
      <c r="D461" s="28">
        <v>5</v>
      </c>
      <c r="E461" s="36" t="s">
        <v>66</v>
      </c>
      <c r="F461" s="25">
        <v>43605</v>
      </c>
      <c r="G461" s="22" t="s">
        <v>225</v>
      </c>
      <c r="H461" s="12" t="s">
        <v>44</v>
      </c>
    </row>
    <row r="462" spans="1:8" hidden="1" x14ac:dyDescent="0.2">
      <c r="A462" s="20" t="str">
        <f>TEXT(表3[[#This Row],[ETD]],"mmdd-h ")&amp;表3[[#This Row],[项目]]</f>
        <v>0531-0 JS mobis</v>
      </c>
      <c r="B462" s="10" t="s">
        <v>2</v>
      </c>
      <c r="C462" s="11">
        <v>43616</v>
      </c>
      <c r="D462" s="28">
        <v>6</v>
      </c>
      <c r="E462" s="36" t="s">
        <v>19</v>
      </c>
      <c r="F462" s="25">
        <v>43605</v>
      </c>
      <c r="G462" s="22" t="s">
        <v>225</v>
      </c>
      <c r="H462" s="12"/>
    </row>
    <row r="463" spans="1:8" hidden="1" x14ac:dyDescent="0.2">
      <c r="A463" s="19" t="str">
        <f>TEXT(表3[[#This Row],[ETD]],"mmdd-h ")&amp;表3[[#This Row],[项目]]</f>
        <v>0531-0 JS mobis</v>
      </c>
      <c r="B463" s="7" t="s">
        <v>2</v>
      </c>
      <c r="C463" s="8">
        <v>43616</v>
      </c>
      <c r="D463" s="27">
        <v>7</v>
      </c>
      <c r="E463" s="34" t="s">
        <v>21</v>
      </c>
      <c r="F463" s="24">
        <v>43605</v>
      </c>
      <c r="G463" s="21" t="s">
        <v>225</v>
      </c>
      <c r="H463" s="9"/>
    </row>
    <row r="464" spans="1:8" hidden="1" x14ac:dyDescent="0.2">
      <c r="A464" s="19" t="str">
        <f>TEXT(表3[[#This Row],[ETD]],"mmdd-h ")&amp;表3[[#This Row],[项目]]</f>
        <v>0531-0 JS mobis</v>
      </c>
      <c r="B464" s="7" t="s">
        <v>2</v>
      </c>
      <c r="C464" s="8">
        <v>43616</v>
      </c>
      <c r="D464" s="27">
        <v>8</v>
      </c>
      <c r="E464" s="34" t="s">
        <v>7</v>
      </c>
      <c r="F464" s="24">
        <v>43605</v>
      </c>
      <c r="G464" s="21" t="s">
        <v>225</v>
      </c>
      <c r="H464" s="9"/>
    </row>
    <row r="465" spans="1:8" hidden="1" x14ac:dyDescent="0.2">
      <c r="A465" s="19" t="str">
        <f>TEXT(表3[[#This Row],[ETD]],"mmdd-h ")&amp;表3[[#This Row],[项目]]</f>
        <v>0531-0 JS mobis</v>
      </c>
      <c r="B465" s="7" t="s">
        <v>2</v>
      </c>
      <c r="C465" s="8">
        <v>43616</v>
      </c>
      <c r="D465" s="27">
        <v>9</v>
      </c>
      <c r="E465" s="34" t="s">
        <v>9</v>
      </c>
      <c r="F465" s="24">
        <v>43605</v>
      </c>
      <c r="G465" s="21" t="s">
        <v>225</v>
      </c>
      <c r="H465" s="9"/>
    </row>
    <row r="466" spans="1:8" hidden="1" x14ac:dyDescent="0.2">
      <c r="A466" s="19" t="str">
        <f>TEXT(表3[[#This Row],[ETD]],"mmdd-h ")&amp;表3[[#This Row],[项目]]</f>
        <v>0531-0 JS mobis</v>
      </c>
      <c r="B466" s="7" t="s">
        <v>2</v>
      </c>
      <c r="C466" s="8">
        <v>43616</v>
      </c>
      <c r="D466" s="27">
        <v>10</v>
      </c>
      <c r="E466" s="34" t="s">
        <v>11</v>
      </c>
      <c r="F466" s="24">
        <v>43605</v>
      </c>
      <c r="G466" s="21" t="s">
        <v>225</v>
      </c>
      <c r="H466" s="9" t="s">
        <v>33</v>
      </c>
    </row>
    <row r="467" spans="1:8" hidden="1" x14ac:dyDescent="0.2">
      <c r="A467" s="19" t="str">
        <f>TEXT(表3[[#This Row],[ETD]],"mmdd-h ")&amp;表3[[#This Row],[项目]]</f>
        <v>0531-0 JS mobis</v>
      </c>
      <c r="B467" s="7" t="s">
        <v>2</v>
      </c>
      <c r="C467" s="8">
        <v>43616</v>
      </c>
      <c r="D467" s="27">
        <v>11</v>
      </c>
      <c r="E467" s="34" t="s">
        <v>60</v>
      </c>
      <c r="F467" s="24">
        <v>43605</v>
      </c>
      <c r="G467" s="21" t="s">
        <v>225</v>
      </c>
      <c r="H467" s="9"/>
    </row>
    <row r="468" spans="1:8" hidden="1" x14ac:dyDescent="0.2">
      <c r="A468" s="19" t="str">
        <f>TEXT(表3[[#This Row],[ETD]],"mmdd-h ")&amp;表3[[#This Row],[项目]]</f>
        <v>0531-0 JS mobis</v>
      </c>
      <c r="B468" s="7" t="s">
        <v>2</v>
      </c>
      <c r="C468" s="8">
        <v>43616</v>
      </c>
      <c r="D468" s="27">
        <v>12</v>
      </c>
      <c r="E468" s="34" t="s">
        <v>497</v>
      </c>
      <c r="F468" s="24">
        <v>43609</v>
      </c>
      <c r="G468" s="21" t="s">
        <v>225</v>
      </c>
      <c r="H468" s="9" t="s">
        <v>35</v>
      </c>
    </row>
    <row r="469" spans="1:8" hidden="1" x14ac:dyDescent="0.2">
      <c r="A469" s="19" t="str">
        <f>TEXT(表3[[#This Row],[ETD]],"mmdd-h ")&amp;表3[[#This Row],[项目]]</f>
        <v>0531-0 JS mobis</v>
      </c>
      <c r="B469" s="7" t="s">
        <v>2</v>
      </c>
      <c r="C469" s="8">
        <v>43616</v>
      </c>
      <c r="D469" s="27">
        <v>13</v>
      </c>
      <c r="E469" s="34" t="s">
        <v>40</v>
      </c>
      <c r="F469" s="24">
        <v>43609</v>
      </c>
      <c r="G469" s="21" t="s">
        <v>225</v>
      </c>
      <c r="H469" s="9"/>
    </row>
    <row r="470" spans="1:8" hidden="1" x14ac:dyDescent="0.2">
      <c r="A470" s="19" t="str">
        <f>TEXT(表3[[#This Row],[ETD]],"mmdd-h ")&amp;表3[[#This Row],[项目]]</f>
        <v>0531-0 JS mobis</v>
      </c>
      <c r="B470" s="7" t="s">
        <v>2</v>
      </c>
      <c r="C470" s="8">
        <v>43616</v>
      </c>
      <c r="D470" s="27">
        <v>14</v>
      </c>
      <c r="E470" s="34" t="s">
        <v>23</v>
      </c>
      <c r="F470" s="24">
        <v>43609</v>
      </c>
      <c r="G470" s="21" t="s">
        <v>225</v>
      </c>
      <c r="H470" s="9"/>
    </row>
    <row r="471" spans="1:8" hidden="1" x14ac:dyDescent="0.2">
      <c r="A471" s="19" t="str">
        <f>TEXT(表3[[#This Row],[ETD]],"mmdd-h ")&amp;表3[[#This Row],[项目]]</f>
        <v>0531-0 JS mobis</v>
      </c>
      <c r="B471" s="7" t="s">
        <v>2</v>
      </c>
      <c r="C471" s="8">
        <v>43616</v>
      </c>
      <c r="D471" s="27">
        <v>15</v>
      </c>
      <c r="E471" s="34" t="s">
        <v>25</v>
      </c>
      <c r="F471" s="24">
        <v>43609</v>
      </c>
      <c r="G471" s="21" t="s">
        <v>225</v>
      </c>
      <c r="H471" s="9"/>
    </row>
    <row r="472" spans="1:8" hidden="1" x14ac:dyDescent="0.2">
      <c r="A472" s="19" t="str">
        <f>TEXT(表3[[#This Row],[ETD]],"mmdd-h ")&amp;表3[[#This Row],[项目]]</f>
        <v>0531-0 JS mobis</v>
      </c>
      <c r="B472" s="7" t="s">
        <v>2</v>
      </c>
      <c r="C472" s="8">
        <v>43616</v>
      </c>
      <c r="D472" s="27">
        <v>16</v>
      </c>
      <c r="E472" s="34" t="s">
        <v>13</v>
      </c>
      <c r="F472" s="24">
        <v>43609</v>
      </c>
      <c r="G472" s="21" t="s">
        <v>225</v>
      </c>
      <c r="H472" s="9"/>
    </row>
    <row r="473" spans="1:8" hidden="1" x14ac:dyDescent="0.2">
      <c r="A473" s="19" t="str">
        <f>TEXT(表3[[#This Row],[ETD]],"mmdd-h ")&amp;表3[[#This Row],[项目]]</f>
        <v>0531-0 JS mobis</v>
      </c>
      <c r="B473" s="7" t="s">
        <v>2</v>
      </c>
      <c r="C473" s="8">
        <v>43616</v>
      </c>
      <c r="D473" s="27">
        <v>17</v>
      </c>
      <c r="E473" s="34" t="s">
        <v>15</v>
      </c>
      <c r="F473" s="24">
        <v>43609</v>
      </c>
      <c r="G473" s="21" t="s">
        <v>225</v>
      </c>
      <c r="H473" s="9"/>
    </row>
    <row r="474" spans="1:8" hidden="1" x14ac:dyDescent="0.2">
      <c r="A474" s="19" t="str">
        <f>TEXT(表3[[#This Row],[ETD]],"mmdd-h ")&amp;表3[[#This Row],[项目]]</f>
        <v>0531-0 JS mobis</v>
      </c>
      <c r="B474" s="7" t="s">
        <v>2</v>
      </c>
      <c r="C474" s="8">
        <v>43616</v>
      </c>
      <c r="D474" s="27">
        <v>18</v>
      </c>
      <c r="E474" s="34" t="s">
        <v>17</v>
      </c>
      <c r="F474" s="24">
        <v>43609</v>
      </c>
      <c r="G474" s="21" t="s">
        <v>225</v>
      </c>
      <c r="H474" s="9"/>
    </row>
    <row r="475" spans="1:8" hidden="1" x14ac:dyDescent="0.2">
      <c r="A475" s="19" t="str">
        <f>TEXT(表3[[#This Row],[ETD]],"mmdd-h ")&amp;表3[[#This Row],[项目]]</f>
        <v>0531-0 JS mobis</v>
      </c>
      <c r="B475" s="7" t="s">
        <v>2</v>
      </c>
      <c r="C475" s="8">
        <v>43616</v>
      </c>
      <c r="D475" s="27">
        <v>19</v>
      </c>
      <c r="E475" s="34" t="s">
        <v>58</v>
      </c>
      <c r="F475" s="24">
        <v>43609</v>
      </c>
      <c r="G475" s="21" t="s">
        <v>225</v>
      </c>
      <c r="H475" s="9"/>
    </row>
    <row r="476" spans="1:8" hidden="1" x14ac:dyDescent="0.2">
      <c r="A476" s="19" t="str">
        <f>TEXT(表3[[#This Row],[ETD]],"mmdd-h ")&amp;表3[[#This Row],[项目]]</f>
        <v>0531-0 JS mobis</v>
      </c>
      <c r="B476" s="7" t="s">
        <v>2</v>
      </c>
      <c r="C476" s="8">
        <v>43616</v>
      </c>
      <c r="D476" s="27">
        <v>20</v>
      </c>
      <c r="E476" s="34" t="s">
        <v>489</v>
      </c>
      <c r="F476" s="24">
        <v>43612</v>
      </c>
      <c r="G476" s="21" t="s">
        <v>225</v>
      </c>
      <c r="H476" s="9" t="s">
        <v>37</v>
      </c>
    </row>
    <row r="477" spans="1:8" hidden="1" x14ac:dyDescent="0.2">
      <c r="A477" s="19" t="str">
        <f>TEXT(表3[[#This Row],[ETD]],"mmdd-h ")&amp;表3[[#This Row],[项目]]</f>
        <v>0531-0 JS mobis</v>
      </c>
      <c r="B477" s="7" t="s">
        <v>2</v>
      </c>
      <c r="C477" s="8">
        <v>43616</v>
      </c>
      <c r="D477" s="27">
        <v>21</v>
      </c>
      <c r="E477" s="34" t="s">
        <v>39</v>
      </c>
      <c r="F477" s="24">
        <v>43612</v>
      </c>
      <c r="G477" s="21" t="s">
        <v>225</v>
      </c>
      <c r="H477" s="9"/>
    </row>
    <row r="478" spans="1:8" hidden="1" x14ac:dyDescent="0.2">
      <c r="A478" s="19" t="str">
        <f>TEXT(表3[[#This Row],[ETD]],"mmdd-h ")&amp;表3[[#This Row],[项目]]</f>
        <v>0531-0 JS mobis</v>
      </c>
      <c r="B478" s="7" t="s">
        <v>2</v>
      </c>
      <c r="C478" s="8">
        <v>43616</v>
      </c>
      <c r="D478" s="27">
        <v>22</v>
      </c>
      <c r="E478" s="34" t="s">
        <v>42</v>
      </c>
      <c r="F478" s="24">
        <v>43612</v>
      </c>
      <c r="G478" s="21" t="s">
        <v>225</v>
      </c>
      <c r="H478" s="9"/>
    </row>
    <row r="479" spans="1:8" hidden="1" x14ac:dyDescent="0.2">
      <c r="A479" s="19" t="str">
        <f>TEXT(表3[[#This Row],[ETD]],"mmdd-h ")&amp;表3[[#This Row],[项目]]</f>
        <v>0531-0 JS mobis</v>
      </c>
      <c r="B479" s="7" t="s">
        <v>2</v>
      </c>
      <c r="C479" s="8">
        <v>43616</v>
      </c>
      <c r="D479" s="27">
        <v>23</v>
      </c>
      <c r="E479" s="34" t="s">
        <v>46</v>
      </c>
      <c r="F479" s="24">
        <v>43612</v>
      </c>
      <c r="G479" s="21" t="s">
        <v>225</v>
      </c>
      <c r="H479" s="9"/>
    </row>
    <row r="480" spans="1:8" hidden="1" x14ac:dyDescent="0.2">
      <c r="A480" s="19" t="str">
        <f>TEXT(表3[[#This Row],[ETD]],"mmdd-h ")&amp;表3[[#This Row],[项目]]</f>
        <v>0531-0 JS mobis</v>
      </c>
      <c r="B480" s="7" t="s">
        <v>2</v>
      </c>
      <c r="C480" s="8">
        <v>43616</v>
      </c>
      <c r="D480" s="27">
        <v>24</v>
      </c>
      <c r="E480" s="34" t="s">
        <v>43</v>
      </c>
      <c r="F480" s="24">
        <v>43612</v>
      </c>
      <c r="G480" s="21" t="s">
        <v>225</v>
      </c>
      <c r="H480" s="9" t="s">
        <v>44</v>
      </c>
    </row>
    <row r="481" spans="1:8" hidden="1" x14ac:dyDescent="0.2">
      <c r="A481" s="19" t="str">
        <f>TEXT(表3[[#This Row],[ETD]],"mmdd-h ")&amp;表3[[#This Row],[项目]]</f>
        <v>0531-0 JS mobis</v>
      </c>
      <c r="B481" s="7" t="s">
        <v>2</v>
      </c>
      <c r="C481" s="8">
        <v>43616</v>
      </c>
      <c r="D481" s="27">
        <v>25</v>
      </c>
      <c r="E481" s="34" t="s">
        <v>242</v>
      </c>
      <c r="F481" s="24">
        <v>43612</v>
      </c>
      <c r="G481" s="21" t="s">
        <v>225</v>
      </c>
      <c r="H481" s="9" t="s">
        <v>213</v>
      </c>
    </row>
    <row r="482" spans="1:8" hidden="1" x14ac:dyDescent="0.2">
      <c r="A482" s="19" t="str">
        <f>TEXT(表3[[#This Row],[ETD]],"mmdd-h ")&amp;表3[[#This Row],[项目]]</f>
        <v>0531-0 JS mobis</v>
      </c>
      <c r="B482" s="7" t="s">
        <v>2</v>
      </c>
      <c r="C482" s="8">
        <v>43616</v>
      </c>
      <c r="D482" s="27">
        <v>26</v>
      </c>
      <c r="E482" s="34" t="s">
        <v>87</v>
      </c>
      <c r="F482" s="24">
        <v>43612</v>
      </c>
      <c r="G482" s="21" t="s">
        <v>225</v>
      </c>
      <c r="H482" s="9"/>
    </row>
    <row r="483" spans="1:8" hidden="1" x14ac:dyDescent="0.2">
      <c r="A483" s="19" t="str">
        <f>TEXT(表3[[#This Row],[ETD]],"mmdd-h ")&amp;表3[[#This Row],[项目]]</f>
        <v>0531-0 JS mobis</v>
      </c>
      <c r="B483" s="7" t="s">
        <v>2</v>
      </c>
      <c r="C483" s="8">
        <v>43616</v>
      </c>
      <c r="D483" s="27">
        <v>27</v>
      </c>
      <c r="E483" s="34" t="s">
        <v>68</v>
      </c>
      <c r="F483" s="24">
        <v>43612</v>
      </c>
      <c r="G483" s="21" t="s">
        <v>225</v>
      </c>
      <c r="H483" s="9"/>
    </row>
    <row r="484" spans="1:8" hidden="1" x14ac:dyDescent="0.2">
      <c r="A484" s="19" t="str">
        <f>TEXT(表3[[#This Row],[ETD]],"mmdd-h ")&amp;表3[[#This Row],[项目]]</f>
        <v>0531-0 JS mobis</v>
      </c>
      <c r="B484" s="7" t="s">
        <v>2</v>
      </c>
      <c r="C484" s="8">
        <v>43616</v>
      </c>
      <c r="D484" s="27">
        <v>28</v>
      </c>
      <c r="E484" s="34" t="s">
        <v>83</v>
      </c>
      <c r="F484" s="24">
        <v>43612</v>
      </c>
      <c r="G484" s="21" t="s">
        <v>225</v>
      </c>
      <c r="H484" s="9"/>
    </row>
    <row r="485" spans="1:8" hidden="1" x14ac:dyDescent="0.2">
      <c r="A485" s="19" t="str">
        <f>TEXT(表3[[#This Row],[ETD]],"mmdd-h ")&amp;表3[[#This Row],[项目]]</f>
        <v>0531-0 JS mobis</v>
      </c>
      <c r="B485" s="7" t="s">
        <v>2</v>
      </c>
      <c r="C485" s="8">
        <v>43616</v>
      </c>
      <c r="D485" s="27">
        <v>29</v>
      </c>
      <c r="E485" s="34" t="s">
        <v>85</v>
      </c>
      <c r="F485" s="24">
        <v>43612</v>
      </c>
      <c r="G485" s="21" t="s">
        <v>225</v>
      </c>
      <c r="H485" s="9"/>
    </row>
    <row r="486" spans="1:8" hidden="1" x14ac:dyDescent="0.2">
      <c r="A486" s="19" t="str">
        <f>TEXT(表3[[#This Row],[ETD]],"mmdd-h ")&amp;表3[[#This Row],[项目]]</f>
        <v>0531-0 JS mobis</v>
      </c>
      <c r="B486" s="7" t="s">
        <v>2</v>
      </c>
      <c r="C486" s="8">
        <v>43616</v>
      </c>
      <c r="D486" s="27">
        <v>30</v>
      </c>
      <c r="E486" s="34" t="s">
        <v>241</v>
      </c>
      <c r="F486" s="24">
        <v>43612</v>
      </c>
      <c r="G486" s="21" t="s">
        <v>225</v>
      </c>
      <c r="H486" s="9"/>
    </row>
    <row r="487" spans="1:8" hidden="1" x14ac:dyDescent="0.2">
      <c r="A487" s="19" t="str">
        <f>TEXT(表3[[#This Row],[ETD]],"mmdd-h ")&amp;表3[[#This Row],[项目]]</f>
        <v>0531-0 JS mobis</v>
      </c>
      <c r="B487" s="7" t="s">
        <v>2</v>
      </c>
      <c r="C487" s="8">
        <v>43616</v>
      </c>
      <c r="D487" s="27">
        <v>31</v>
      </c>
      <c r="E487" s="34" t="s">
        <v>50</v>
      </c>
      <c r="F487" s="24">
        <v>43612</v>
      </c>
      <c r="G487" s="21" t="s">
        <v>225</v>
      </c>
      <c r="H487" s="9" t="s">
        <v>44</v>
      </c>
    </row>
    <row r="488" spans="1:8" hidden="1" x14ac:dyDescent="0.2">
      <c r="A488" s="19" t="str">
        <f>TEXT(表3[[#This Row],[ETD]],"mmdd-h ")&amp;表3[[#This Row],[项目]]</f>
        <v>0531-0 JS mobis</v>
      </c>
      <c r="B488" s="7" t="s">
        <v>2</v>
      </c>
      <c r="C488" s="8">
        <v>43616</v>
      </c>
      <c r="D488" s="27">
        <v>32</v>
      </c>
      <c r="E488" s="34" t="s">
        <v>56</v>
      </c>
      <c r="F488" s="24">
        <v>43612</v>
      </c>
      <c r="G488" s="21" t="s">
        <v>225</v>
      </c>
      <c r="H488" s="9"/>
    </row>
    <row r="489" spans="1:8" hidden="1" x14ac:dyDescent="0.2">
      <c r="A489" s="19" t="str">
        <f>TEXT(表3[[#This Row],[ETD]],"mmdd-h ")&amp;表3[[#This Row],[项目]]</f>
        <v>0531-0 JS mobis</v>
      </c>
      <c r="B489" s="7" t="s">
        <v>2</v>
      </c>
      <c r="C489" s="8">
        <v>43616</v>
      </c>
      <c r="D489" s="27">
        <v>33</v>
      </c>
      <c r="E489" s="34" t="s">
        <v>75</v>
      </c>
      <c r="F489" s="24">
        <v>43612</v>
      </c>
      <c r="G489" s="21" t="s">
        <v>225</v>
      </c>
      <c r="H489" s="9" t="s">
        <v>72</v>
      </c>
    </row>
    <row r="490" spans="1:8" hidden="1" x14ac:dyDescent="0.2">
      <c r="A490" s="19" t="str">
        <f>TEXT(表3[[#This Row],[ETD]],"mmdd-h ")&amp;表3[[#This Row],[项目]]</f>
        <v>0531-0 JS mobis</v>
      </c>
      <c r="B490" s="7" t="s">
        <v>2</v>
      </c>
      <c r="C490" s="8">
        <v>43616</v>
      </c>
      <c r="D490" s="27">
        <v>34</v>
      </c>
      <c r="E490" s="34" t="s">
        <v>70</v>
      </c>
      <c r="F490" s="24">
        <v>43612</v>
      </c>
      <c r="G490" s="21" t="s">
        <v>225</v>
      </c>
      <c r="H490" s="9"/>
    </row>
    <row r="491" spans="1:8" hidden="1" x14ac:dyDescent="0.2">
      <c r="A491" s="19" t="str">
        <f>TEXT(表3[[#This Row],[ETD]],"mmdd-h ")&amp;表3[[#This Row],[项目]]</f>
        <v>0531-0 JS mobis</v>
      </c>
      <c r="B491" s="7" t="s">
        <v>2</v>
      </c>
      <c r="C491" s="8">
        <v>43616</v>
      </c>
      <c r="D491" s="27">
        <v>35</v>
      </c>
      <c r="E491" s="34" t="s">
        <v>494</v>
      </c>
      <c r="F491" s="24">
        <v>43612</v>
      </c>
      <c r="G491" s="21" t="s">
        <v>225</v>
      </c>
      <c r="H491" s="9" t="s">
        <v>33</v>
      </c>
    </row>
    <row r="492" spans="1:8" hidden="1" x14ac:dyDescent="0.2">
      <c r="A492" s="19" t="str">
        <f>TEXT(表3[[#This Row],[ETD]],"mmdd-h ")&amp;表3[[#This Row],[项目]]</f>
        <v>0531-0 JS mobis</v>
      </c>
      <c r="B492" s="7" t="s">
        <v>2</v>
      </c>
      <c r="C492" s="8">
        <v>43616</v>
      </c>
      <c r="D492" s="27">
        <v>36</v>
      </c>
      <c r="E492" s="34" t="s">
        <v>495</v>
      </c>
      <c r="F492" s="24">
        <v>43612</v>
      </c>
      <c r="G492" s="21" t="s">
        <v>225</v>
      </c>
      <c r="H492" s="9" t="s">
        <v>44</v>
      </c>
    </row>
    <row r="493" spans="1:8" hidden="1" x14ac:dyDescent="0.2">
      <c r="A493" s="19" t="str">
        <f>TEXT(表3[[#This Row],[ETD]],"mmdd-h ")&amp;表3[[#This Row],[项目]]</f>
        <v>0531-0 JS mobis</v>
      </c>
      <c r="B493" s="7" t="s">
        <v>2</v>
      </c>
      <c r="C493" s="8">
        <v>43616</v>
      </c>
      <c r="D493" s="27">
        <v>37</v>
      </c>
      <c r="E493" s="34" t="s">
        <v>182</v>
      </c>
      <c r="F493" s="24">
        <v>43612</v>
      </c>
      <c r="G493" s="21" t="s">
        <v>225</v>
      </c>
      <c r="H493" s="9"/>
    </row>
    <row r="494" spans="1:8" hidden="1" x14ac:dyDescent="0.2">
      <c r="A494" s="19" t="str">
        <f>TEXT(表3[[#This Row],[ETD]],"mmdd-h ")&amp;表3[[#This Row],[项目]]</f>
        <v>0531-0 JS mobis</v>
      </c>
      <c r="B494" s="7" t="s">
        <v>2</v>
      </c>
      <c r="C494" s="8">
        <v>43616</v>
      </c>
      <c r="D494" s="27">
        <v>38</v>
      </c>
      <c r="E494" s="34" t="s">
        <v>77</v>
      </c>
      <c r="F494" s="24">
        <v>43612</v>
      </c>
      <c r="G494" s="21" t="s">
        <v>225</v>
      </c>
      <c r="H494" s="9" t="s">
        <v>79</v>
      </c>
    </row>
    <row r="495" spans="1:8" hidden="1" x14ac:dyDescent="0.2">
      <c r="A495" s="19" t="str">
        <f>TEXT(表3[[#This Row],[ETD]],"mmdd-h ")&amp;表3[[#This Row],[项目]]</f>
        <v>0531-0 JS mobis</v>
      </c>
      <c r="B495" s="7" t="s">
        <v>2</v>
      </c>
      <c r="C495" s="8">
        <v>43616</v>
      </c>
      <c r="D495" s="27">
        <v>39</v>
      </c>
      <c r="E495" s="34" t="s">
        <v>81</v>
      </c>
      <c r="F495" s="24">
        <v>43612</v>
      </c>
      <c r="G495" s="21" t="s">
        <v>225</v>
      </c>
      <c r="H495" s="9"/>
    </row>
    <row r="496" spans="1:8" hidden="1" x14ac:dyDescent="0.2">
      <c r="A496" s="19" t="str">
        <f>TEXT(表3[[#This Row],[ETD]],"mmdd-h ")&amp;表3[[#This Row],[项目]]</f>
        <v>0531-0 JS mobis</v>
      </c>
      <c r="B496" s="7" t="s">
        <v>2</v>
      </c>
      <c r="C496" s="8">
        <v>43616</v>
      </c>
      <c r="D496" s="27">
        <v>40</v>
      </c>
      <c r="E496" s="34" t="s">
        <v>89</v>
      </c>
      <c r="F496" s="24">
        <v>43613</v>
      </c>
      <c r="G496" s="21" t="s">
        <v>225</v>
      </c>
      <c r="H496" s="9"/>
    </row>
    <row r="497" spans="1:8" hidden="1" x14ac:dyDescent="0.2">
      <c r="A497" s="19" t="str">
        <f>TEXT(表3[[#This Row],[ETD]],"mmdd-h ")&amp;表3[[#This Row],[项目]]</f>
        <v>0531-0 JS mobis</v>
      </c>
      <c r="B497" s="7" t="s">
        <v>2</v>
      </c>
      <c r="C497" s="8">
        <v>43616</v>
      </c>
      <c r="D497" s="27">
        <v>41</v>
      </c>
      <c r="E497" s="34" t="s">
        <v>91</v>
      </c>
      <c r="F497" s="24">
        <v>43613</v>
      </c>
      <c r="G497" s="21" t="s">
        <v>225</v>
      </c>
      <c r="H497" s="9"/>
    </row>
    <row r="498" spans="1:8" hidden="1" x14ac:dyDescent="0.2">
      <c r="A498" s="19" t="str">
        <f>TEXT(表3[[#This Row],[ETD]],"mmdd-h ")&amp;表3[[#This Row],[项目]]</f>
        <v>0531-0 JS mobis</v>
      </c>
      <c r="B498" s="7" t="s">
        <v>2</v>
      </c>
      <c r="C498" s="8">
        <v>43616</v>
      </c>
      <c r="D498" s="27">
        <v>42</v>
      </c>
      <c r="E498" s="34" t="s">
        <v>93</v>
      </c>
      <c r="F498" s="24">
        <v>43613</v>
      </c>
      <c r="G498" s="21" t="s">
        <v>225</v>
      </c>
      <c r="H498" s="9"/>
    </row>
    <row r="499" spans="1:8" hidden="1" x14ac:dyDescent="0.2">
      <c r="A499" s="19" t="str">
        <f>TEXT(表3[[#This Row],[ETD]],"mmdd-h ")&amp;表3[[#This Row],[项目]]</f>
        <v>0531-0 JS mobis</v>
      </c>
      <c r="B499" s="7" t="s">
        <v>2</v>
      </c>
      <c r="C499" s="8">
        <v>43616</v>
      </c>
      <c r="D499" s="27">
        <v>43</v>
      </c>
      <c r="E499" s="34" t="s">
        <v>95</v>
      </c>
      <c r="F499" s="24">
        <v>43614</v>
      </c>
      <c r="G499" s="21" t="s">
        <v>225</v>
      </c>
      <c r="H499" s="9"/>
    </row>
    <row r="500" spans="1:8" hidden="1" x14ac:dyDescent="0.2">
      <c r="A500" s="19" t="str">
        <f>TEXT(表3[[#This Row],[ETD]],"mmdd-h ")&amp;表3[[#This Row],[项目]]</f>
        <v>0531-0 JS mobis</v>
      </c>
      <c r="B500" s="7" t="s">
        <v>2</v>
      </c>
      <c r="C500" s="8">
        <v>43616</v>
      </c>
      <c r="D500" s="27">
        <v>44</v>
      </c>
      <c r="E500" s="34" t="s">
        <v>97</v>
      </c>
      <c r="F500" s="24">
        <v>43615</v>
      </c>
      <c r="G500" s="21" t="s">
        <v>225</v>
      </c>
      <c r="H500" s="9"/>
    </row>
    <row r="501" spans="1:8" hidden="1" x14ac:dyDescent="0.2">
      <c r="A501" s="19" t="str">
        <f>TEXT(表3[[#This Row],[ETD]],"mmdd-h ")&amp;表3[[#This Row],[项目]]</f>
        <v>0531-0 JS mobis</v>
      </c>
      <c r="B501" s="7" t="s">
        <v>2</v>
      </c>
      <c r="C501" s="8">
        <v>43616</v>
      </c>
      <c r="D501" s="27">
        <v>45</v>
      </c>
      <c r="E501" s="34" t="s">
        <v>363</v>
      </c>
      <c r="F501" s="24">
        <v>43615</v>
      </c>
      <c r="G501" s="21" t="s">
        <v>225</v>
      </c>
      <c r="H501" s="9"/>
    </row>
    <row r="502" spans="1:8" hidden="1" x14ac:dyDescent="0.2">
      <c r="A502" s="19" t="str">
        <f>TEXT(表3[[#This Row],[ETD]],"mmdd-h ")&amp;表3[[#This Row],[项目]]</f>
        <v>0531-0 JS mobis</v>
      </c>
      <c r="B502" s="7" t="s">
        <v>2</v>
      </c>
      <c r="C502" s="8">
        <v>43616</v>
      </c>
      <c r="D502" s="27">
        <v>46</v>
      </c>
      <c r="E502" s="34" t="s">
        <v>364</v>
      </c>
      <c r="F502" s="24">
        <v>43616</v>
      </c>
      <c r="G502" s="21" t="s">
        <v>225</v>
      </c>
      <c r="H502" s="9"/>
    </row>
    <row r="503" spans="1:8" hidden="1" x14ac:dyDescent="0.2">
      <c r="A503" s="19" t="str">
        <f>TEXT(表3[[#This Row],[ETD]],"mmdd-h ")&amp;表3[[#This Row],[项目]]</f>
        <v>0531-0 JS mobis</v>
      </c>
      <c r="B503" s="7" t="s">
        <v>2</v>
      </c>
      <c r="C503" s="8">
        <v>43616</v>
      </c>
      <c r="D503" s="27">
        <v>47</v>
      </c>
      <c r="E503" s="34" t="s">
        <v>101</v>
      </c>
      <c r="F503" s="24">
        <v>43616</v>
      </c>
      <c r="G503" s="21" t="s">
        <v>225</v>
      </c>
      <c r="H503" s="9" t="s">
        <v>138</v>
      </c>
    </row>
    <row r="504" spans="1:8" hidden="1" x14ac:dyDescent="0.2">
      <c r="A504" s="19" t="str">
        <f>TEXT(表3[[#This Row],[ETD]],"mmdd-h ")&amp;表3[[#This Row],[项目]]</f>
        <v>0531-1 JS mobis</v>
      </c>
      <c r="B504" s="7" t="s">
        <v>2</v>
      </c>
      <c r="C504" s="8">
        <v>43616.041666666664</v>
      </c>
      <c r="D504" s="27">
        <v>1</v>
      </c>
      <c r="E504" s="34" t="s">
        <v>12</v>
      </c>
      <c r="F504" s="24">
        <v>43602</v>
      </c>
      <c r="G504" s="21" t="s">
        <v>285</v>
      </c>
      <c r="H504" s="9" t="s">
        <v>29</v>
      </c>
    </row>
    <row r="505" spans="1:8" hidden="1" x14ac:dyDescent="0.2">
      <c r="A505" s="19" t="str">
        <f>TEXT(表3[[#This Row],[ETD]],"mmdd-h ")&amp;表3[[#This Row],[项目]]</f>
        <v>0531-1 JS mobis</v>
      </c>
      <c r="B505" s="7" t="s">
        <v>2</v>
      </c>
      <c r="C505" s="8">
        <v>43616.041666666664</v>
      </c>
      <c r="D505" s="27">
        <v>2</v>
      </c>
      <c r="E505" s="34" t="s">
        <v>241</v>
      </c>
      <c r="F505" s="24">
        <v>43602</v>
      </c>
      <c r="G505" s="21" t="s">
        <v>285</v>
      </c>
      <c r="H505" s="9"/>
    </row>
    <row r="506" spans="1:8" hidden="1" x14ac:dyDescent="0.2">
      <c r="A506" s="19" t="str">
        <f>TEXT(表3[[#This Row],[ETD]],"mmdd-h ")&amp;表3[[#This Row],[项目]]</f>
        <v>0531-1 JS mobis</v>
      </c>
      <c r="B506" s="7" t="s">
        <v>2</v>
      </c>
      <c r="C506" s="8">
        <v>43616.041666666664</v>
      </c>
      <c r="D506" s="27">
        <v>3</v>
      </c>
      <c r="E506" s="34" t="s">
        <v>62</v>
      </c>
      <c r="F506" s="24">
        <v>43605</v>
      </c>
      <c r="G506" s="21" t="s">
        <v>285</v>
      </c>
      <c r="H506" s="9" t="s">
        <v>31</v>
      </c>
    </row>
    <row r="507" spans="1:8" hidden="1" x14ac:dyDescent="0.2">
      <c r="A507" s="19" t="str">
        <f>TEXT(表3[[#This Row],[ETD]],"mmdd-h ")&amp;表3[[#This Row],[项目]]</f>
        <v>0531-1 JS mobis</v>
      </c>
      <c r="B507" s="7" t="s">
        <v>2</v>
      </c>
      <c r="C507" s="8">
        <v>43616.041666666664</v>
      </c>
      <c r="D507" s="27">
        <v>4</v>
      </c>
      <c r="E507" s="34" t="s">
        <v>64</v>
      </c>
      <c r="F507" s="24">
        <v>43605</v>
      </c>
      <c r="G507" s="21" t="s">
        <v>285</v>
      </c>
      <c r="H507" s="9"/>
    </row>
    <row r="508" spans="1:8" hidden="1" x14ac:dyDescent="0.2">
      <c r="A508" s="19" t="str">
        <f>TEXT(表3[[#This Row],[ETD]],"mmdd-h ")&amp;表3[[#This Row],[项目]]</f>
        <v>0531-1 JS mobis</v>
      </c>
      <c r="B508" s="7" t="s">
        <v>2</v>
      </c>
      <c r="C508" s="8">
        <v>43616.041666666664</v>
      </c>
      <c r="D508" s="27">
        <v>5</v>
      </c>
      <c r="E508" s="34" t="s">
        <v>66</v>
      </c>
      <c r="F508" s="24">
        <v>43605</v>
      </c>
      <c r="G508" s="21" t="s">
        <v>225</v>
      </c>
      <c r="H508" s="9" t="s">
        <v>44</v>
      </c>
    </row>
    <row r="509" spans="1:8" hidden="1" x14ac:dyDescent="0.2">
      <c r="A509" s="20" t="str">
        <f>TEXT(表3[[#This Row],[ETD]],"mmdd-h ")&amp;表3[[#This Row],[项目]]</f>
        <v>0531-1 JS mobis</v>
      </c>
      <c r="B509" s="10" t="s">
        <v>2</v>
      </c>
      <c r="C509" s="11">
        <v>43616.041666666664</v>
      </c>
      <c r="D509" s="28">
        <v>6</v>
      </c>
      <c r="E509" s="36" t="s">
        <v>19</v>
      </c>
      <c r="F509" s="25">
        <v>43605</v>
      </c>
      <c r="G509" s="22" t="s">
        <v>225</v>
      </c>
      <c r="H509" s="12"/>
    </row>
    <row r="510" spans="1:8" hidden="1" x14ac:dyDescent="0.2">
      <c r="A510" s="19" t="str">
        <f>TEXT(表3[[#This Row],[ETD]],"mmdd-h ")&amp;表3[[#This Row],[项目]]</f>
        <v>0531-1 JS mobis</v>
      </c>
      <c r="B510" s="7" t="s">
        <v>2</v>
      </c>
      <c r="C510" s="8">
        <v>43616.041666666664</v>
      </c>
      <c r="D510" s="27">
        <v>7</v>
      </c>
      <c r="E510" s="34" t="s">
        <v>21</v>
      </c>
      <c r="F510" s="24">
        <v>43605</v>
      </c>
      <c r="G510" s="21" t="s">
        <v>225</v>
      </c>
      <c r="H510" s="9"/>
    </row>
    <row r="511" spans="1:8" hidden="1" x14ac:dyDescent="0.2">
      <c r="A511" s="19" t="str">
        <f>TEXT(表3[[#This Row],[ETD]],"mmdd-h ")&amp;表3[[#This Row],[项目]]</f>
        <v>0531-1 JS mobis</v>
      </c>
      <c r="B511" s="7" t="s">
        <v>2</v>
      </c>
      <c r="C511" s="8">
        <v>43616.041666666664</v>
      </c>
      <c r="D511" s="27">
        <v>8</v>
      </c>
      <c r="E511" s="34" t="s">
        <v>7</v>
      </c>
      <c r="F511" s="24">
        <v>43605</v>
      </c>
      <c r="G511" s="21" t="s">
        <v>225</v>
      </c>
      <c r="H511" s="9"/>
    </row>
    <row r="512" spans="1:8" hidden="1" x14ac:dyDescent="0.2">
      <c r="A512" s="19" t="str">
        <f>TEXT(表3[[#This Row],[ETD]],"mmdd-h ")&amp;表3[[#This Row],[项目]]</f>
        <v>0531-1 JS mobis</v>
      </c>
      <c r="B512" s="7" t="s">
        <v>2</v>
      </c>
      <c r="C512" s="8">
        <v>43616.041666666664</v>
      </c>
      <c r="D512" s="27">
        <v>9</v>
      </c>
      <c r="E512" s="34" t="s">
        <v>9</v>
      </c>
      <c r="F512" s="24">
        <v>43605</v>
      </c>
      <c r="G512" s="21" t="s">
        <v>225</v>
      </c>
      <c r="H512" s="9"/>
    </row>
    <row r="513" spans="1:8" hidden="1" x14ac:dyDescent="0.2">
      <c r="A513" s="19" t="str">
        <f>TEXT(表3[[#This Row],[ETD]],"mmdd-h ")&amp;表3[[#This Row],[项目]]</f>
        <v>0531-1 JS mobis</v>
      </c>
      <c r="B513" s="7" t="s">
        <v>2</v>
      </c>
      <c r="C513" s="8">
        <v>43616.041666666664</v>
      </c>
      <c r="D513" s="27">
        <v>10</v>
      </c>
      <c r="E513" s="34" t="s">
        <v>11</v>
      </c>
      <c r="F513" s="24">
        <v>43605</v>
      </c>
      <c r="G513" s="21" t="s">
        <v>225</v>
      </c>
      <c r="H513" s="9" t="s">
        <v>33</v>
      </c>
    </row>
    <row r="514" spans="1:8" hidden="1" x14ac:dyDescent="0.2">
      <c r="A514" s="19" t="str">
        <f>TEXT(表3[[#This Row],[ETD]],"mmdd-h ")&amp;表3[[#This Row],[项目]]</f>
        <v>0531-1 JS mobis</v>
      </c>
      <c r="B514" s="7" t="s">
        <v>2</v>
      </c>
      <c r="C514" s="8">
        <v>43616.041666666664</v>
      </c>
      <c r="D514" s="27">
        <v>11</v>
      </c>
      <c r="E514" s="34" t="s">
        <v>60</v>
      </c>
      <c r="F514" s="24">
        <v>43605</v>
      </c>
      <c r="G514" s="21" t="s">
        <v>225</v>
      </c>
      <c r="H514" s="9"/>
    </row>
    <row r="515" spans="1:8" hidden="1" x14ac:dyDescent="0.2">
      <c r="A515" s="19" t="str">
        <f>TEXT(表3[[#This Row],[ETD]],"mmdd-h ")&amp;表3[[#This Row],[项目]]</f>
        <v>0531-1 JS mobis</v>
      </c>
      <c r="B515" s="7" t="s">
        <v>2</v>
      </c>
      <c r="C515" s="8">
        <v>43616.041666666664</v>
      </c>
      <c r="D515" s="27">
        <v>12</v>
      </c>
      <c r="E515" s="34" t="s">
        <v>497</v>
      </c>
      <c r="F515" s="24">
        <v>43609</v>
      </c>
      <c r="G515" s="21" t="s">
        <v>225</v>
      </c>
      <c r="H515" s="9" t="s">
        <v>35</v>
      </c>
    </row>
    <row r="516" spans="1:8" hidden="1" x14ac:dyDescent="0.2">
      <c r="A516" s="19" t="str">
        <f>TEXT(表3[[#This Row],[ETD]],"mmdd-h ")&amp;表3[[#This Row],[项目]]</f>
        <v>0531-1 JS mobis</v>
      </c>
      <c r="B516" s="7" t="s">
        <v>2</v>
      </c>
      <c r="C516" s="8">
        <v>43616.041666666664</v>
      </c>
      <c r="D516" s="27">
        <v>13</v>
      </c>
      <c r="E516" s="34" t="s">
        <v>40</v>
      </c>
      <c r="F516" s="24">
        <v>43609</v>
      </c>
      <c r="G516" s="21" t="s">
        <v>225</v>
      </c>
      <c r="H516" s="9"/>
    </row>
    <row r="517" spans="1:8" hidden="1" x14ac:dyDescent="0.2">
      <c r="A517" s="19" t="str">
        <f>TEXT(表3[[#This Row],[ETD]],"mmdd-h ")&amp;表3[[#This Row],[项目]]</f>
        <v>0531-1 JS mobis</v>
      </c>
      <c r="B517" s="7" t="s">
        <v>2</v>
      </c>
      <c r="C517" s="8">
        <v>43616.041666666664</v>
      </c>
      <c r="D517" s="27">
        <v>14</v>
      </c>
      <c r="E517" s="34" t="s">
        <v>23</v>
      </c>
      <c r="F517" s="24">
        <v>43609</v>
      </c>
      <c r="G517" s="21" t="s">
        <v>225</v>
      </c>
      <c r="H517" s="9"/>
    </row>
    <row r="518" spans="1:8" hidden="1" x14ac:dyDescent="0.2">
      <c r="A518" s="19" t="str">
        <f>TEXT(表3[[#This Row],[ETD]],"mmdd-h ")&amp;表3[[#This Row],[项目]]</f>
        <v>0531-1 JS mobis</v>
      </c>
      <c r="B518" s="7" t="s">
        <v>2</v>
      </c>
      <c r="C518" s="8">
        <v>43616.041666666664</v>
      </c>
      <c r="D518" s="27">
        <v>15</v>
      </c>
      <c r="E518" s="34" t="s">
        <v>25</v>
      </c>
      <c r="F518" s="24">
        <v>43609</v>
      </c>
      <c r="G518" s="21" t="s">
        <v>225</v>
      </c>
      <c r="H518" s="9"/>
    </row>
    <row r="519" spans="1:8" hidden="1" x14ac:dyDescent="0.2">
      <c r="A519" s="19" t="str">
        <f>TEXT(表3[[#This Row],[ETD]],"mmdd-h ")&amp;表3[[#This Row],[项目]]</f>
        <v>0531-1 JS mobis</v>
      </c>
      <c r="B519" s="7" t="s">
        <v>2</v>
      </c>
      <c r="C519" s="8">
        <v>43616.041666666664</v>
      </c>
      <c r="D519" s="27">
        <v>16</v>
      </c>
      <c r="E519" s="34" t="s">
        <v>13</v>
      </c>
      <c r="F519" s="24">
        <v>43609</v>
      </c>
      <c r="G519" s="21" t="s">
        <v>225</v>
      </c>
      <c r="H519" s="9"/>
    </row>
    <row r="520" spans="1:8" hidden="1" x14ac:dyDescent="0.2">
      <c r="A520" s="19" t="str">
        <f>TEXT(表3[[#This Row],[ETD]],"mmdd-h ")&amp;表3[[#This Row],[项目]]</f>
        <v>0531-1 JS mobis</v>
      </c>
      <c r="B520" s="7" t="s">
        <v>2</v>
      </c>
      <c r="C520" s="8">
        <v>43616.041666666664</v>
      </c>
      <c r="D520" s="27">
        <v>17</v>
      </c>
      <c r="E520" s="34" t="s">
        <v>15</v>
      </c>
      <c r="F520" s="24">
        <v>43609</v>
      </c>
      <c r="G520" s="21" t="s">
        <v>225</v>
      </c>
      <c r="H520" s="9"/>
    </row>
    <row r="521" spans="1:8" hidden="1" x14ac:dyDescent="0.2">
      <c r="A521" s="19" t="str">
        <f>TEXT(表3[[#This Row],[ETD]],"mmdd-h ")&amp;表3[[#This Row],[项目]]</f>
        <v>0531-1 JS mobis</v>
      </c>
      <c r="B521" s="7" t="s">
        <v>2</v>
      </c>
      <c r="C521" s="8">
        <v>43616.041666666664</v>
      </c>
      <c r="D521" s="27">
        <v>18</v>
      </c>
      <c r="E521" s="34" t="s">
        <v>17</v>
      </c>
      <c r="F521" s="24">
        <v>43609</v>
      </c>
      <c r="G521" s="21" t="s">
        <v>225</v>
      </c>
      <c r="H521" s="9"/>
    </row>
    <row r="522" spans="1:8" hidden="1" x14ac:dyDescent="0.2">
      <c r="A522" s="19" t="str">
        <f>TEXT(表3[[#This Row],[ETD]],"mmdd-h ")&amp;表3[[#This Row],[项目]]</f>
        <v>0531-1 JS mobis</v>
      </c>
      <c r="B522" s="7" t="s">
        <v>2</v>
      </c>
      <c r="C522" s="8">
        <v>43616.041666666664</v>
      </c>
      <c r="D522" s="27">
        <v>19</v>
      </c>
      <c r="E522" s="34" t="s">
        <v>58</v>
      </c>
      <c r="F522" s="24">
        <v>43609</v>
      </c>
      <c r="G522" s="21" t="s">
        <v>225</v>
      </c>
      <c r="H522" s="9"/>
    </row>
    <row r="523" spans="1:8" hidden="1" x14ac:dyDescent="0.2">
      <c r="A523" s="19" t="str">
        <f>TEXT(表3[[#This Row],[ETD]],"mmdd-h ")&amp;表3[[#This Row],[项目]]</f>
        <v>0531-1 JS mobis</v>
      </c>
      <c r="B523" s="7" t="s">
        <v>2</v>
      </c>
      <c r="C523" s="8">
        <v>43616.041666666664</v>
      </c>
      <c r="D523" s="27">
        <v>20</v>
      </c>
      <c r="E523" s="34" t="s">
        <v>489</v>
      </c>
      <c r="F523" s="24">
        <v>43612</v>
      </c>
      <c r="G523" s="21" t="s">
        <v>225</v>
      </c>
      <c r="H523" s="9" t="s">
        <v>37</v>
      </c>
    </row>
    <row r="524" spans="1:8" hidden="1" x14ac:dyDescent="0.2">
      <c r="A524" s="19" t="str">
        <f>TEXT(表3[[#This Row],[ETD]],"mmdd-h ")&amp;表3[[#This Row],[项目]]</f>
        <v>0531-1 JS mobis</v>
      </c>
      <c r="B524" s="7" t="s">
        <v>2</v>
      </c>
      <c r="C524" s="8">
        <v>43616.041666666664</v>
      </c>
      <c r="D524" s="27">
        <v>21</v>
      </c>
      <c r="E524" s="34" t="s">
        <v>39</v>
      </c>
      <c r="F524" s="24">
        <v>43612</v>
      </c>
      <c r="G524" s="21" t="s">
        <v>225</v>
      </c>
      <c r="H524" s="9"/>
    </row>
    <row r="525" spans="1:8" hidden="1" x14ac:dyDescent="0.2">
      <c r="A525" s="19" t="str">
        <f>TEXT(表3[[#This Row],[ETD]],"mmdd-h ")&amp;表3[[#This Row],[项目]]</f>
        <v>0531-1 JS mobis</v>
      </c>
      <c r="B525" s="7" t="s">
        <v>2</v>
      </c>
      <c r="C525" s="8">
        <v>43616.041666666664</v>
      </c>
      <c r="D525" s="27">
        <v>22</v>
      </c>
      <c r="E525" s="34" t="s">
        <v>42</v>
      </c>
      <c r="F525" s="24">
        <v>43612</v>
      </c>
      <c r="G525" s="21" t="s">
        <v>225</v>
      </c>
      <c r="H525" s="9"/>
    </row>
    <row r="526" spans="1:8" hidden="1" x14ac:dyDescent="0.2">
      <c r="A526" s="19" t="str">
        <f>TEXT(表3[[#This Row],[ETD]],"mmdd-h ")&amp;表3[[#This Row],[项目]]</f>
        <v>0531-1 JS mobis</v>
      </c>
      <c r="B526" s="7" t="s">
        <v>2</v>
      </c>
      <c r="C526" s="8">
        <v>43616.041666666664</v>
      </c>
      <c r="D526" s="27">
        <v>23</v>
      </c>
      <c r="E526" s="34" t="s">
        <v>46</v>
      </c>
      <c r="F526" s="24">
        <v>43612</v>
      </c>
      <c r="G526" s="21" t="s">
        <v>225</v>
      </c>
      <c r="H526" s="9"/>
    </row>
    <row r="527" spans="1:8" hidden="1" x14ac:dyDescent="0.2">
      <c r="A527" s="19" t="str">
        <f>TEXT(表3[[#This Row],[ETD]],"mmdd-h ")&amp;表3[[#This Row],[项目]]</f>
        <v>0531-1 JS mobis</v>
      </c>
      <c r="B527" s="7" t="s">
        <v>2</v>
      </c>
      <c r="C527" s="8">
        <v>43616.041666666664</v>
      </c>
      <c r="D527" s="27">
        <v>24</v>
      </c>
      <c r="E527" s="34" t="s">
        <v>43</v>
      </c>
      <c r="F527" s="24">
        <v>43612</v>
      </c>
      <c r="G527" s="21" t="s">
        <v>225</v>
      </c>
      <c r="H527" s="9" t="s">
        <v>44</v>
      </c>
    </row>
    <row r="528" spans="1:8" hidden="1" x14ac:dyDescent="0.2">
      <c r="A528" s="19" t="str">
        <f>TEXT(表3[[#This Row],[ETD]],"mmdd-h ")&amp;表3[[#This Row],[项目]]</f>
        <v>0531-1 JS mobis</v>
      </c>
      <c r="B528" s="7" t="s">
        <v>2</v>
      </c>
      <c r="C528" s="8">
        <v>43616.041666666664</v>
      </c>
      <c r="D528" s="27">
        <v>25</v>
      </c>
      <c r="E528" s="34" t="s">
        <v>242</v>
      </c>
      <c r="F528" s="24">
        <v>43612</v>
      </c>
      <c r="G528" s="21" t="s">
        <v>225</v>
      </c>
      <c r="H528" s="9" t="s">
        <v>213</v>
      </c>
    </row>
    <row r="529" spans="1:8" hidden="1" x14ac:dyDescent="0.2">
      <c r="A529" s="19" t="str">
        <f>TEXT(表3[[#This Row],[ETD]],"mmdd-h ")&amp;表3[[#This Row],[项目]]</f>
        <v>0531-1 JS mobis</v>
      </c>
      <c r="B529" s="7" t="s">
        <v>2</v>
      </c>
      <c r="C529" s="8">
        <v>43616.041666666664</v>
      </c>
      <c r="D529" s="27">
        <v>26</v>
      </c>
      <c r="E529" s="34" t="s">
        <v>87</v>
      </c>
      <c r="F529" s="24">
        <v>43612</v>
      </c>
      <c r="G529" s="21" t="s">
        <v>225</v>
      </c>
      <c r="H529" s="9"/>
    </row>
    <row r="530" spans="1:8" hidden="1" x14ac:dyDescent="0.2">
      <c r="A530" s="19" t="str">
        <f>TEXT(表3[[#This Row],[ETD]],"mmdd-h ")&amp;表3[[#This Row],[项目]]</f>
        <v>0531-1 JS mobis</v>
      </c>
      <c r="B530" s="7" t="s">
        <v>2</v>
      </c>
      <c r="C530" s="8">
        <v>43616.041666666664</v>
      </c>
      <c r="D530" s="27">
        <v>27</v>
      </c>
      <c r="E530" s="34" t="s">
        <v>68</v>
      </c>
      <c r="F530" s="24">
        <v>43612</v>
      </c>
      <c r="G530" s="21" t="s">
        <v>225</v>
      </c>
      <c r="H530" s="9"/>
    </row>
    <row r="531" spans="1:8" hidden="1" x14ac:dyDescent="0.2">
      <c r="A531" s="19" t="str">
        <f>TEXT(表3[[#This Row],[ETD]],"mmdd-h ")&amp;表3[[#This Row],[项目]]</f>
        <v>0531-1 JS mobis</v>
      </c>
      <c r="B531" s="7" t="s">
        <v>2</v>
      </c>
      <c r="C531" s="8">
        <v>43616.041666666664</v>
      </c>
      <c r="D531" s="27">
        <v>28</v>
      </c>
      <c r="E531" s="34" t="s">
        <v>83</v>
      </c>
      <c r="F531" s="24">
        <v>43612</v>
      </c>
      <c r="G531" s="21" t="s">
        <v>225</v>
      </c>
      <c r="H531" s="9"/>
    </row>
    <row r="532" spans="1:8" hidden="1" x14ac:dyDescent="0.2">
      <c r="A532" s="19" t="str">
        <f>TEXT(表3[[#This Row],[ETD]],"mmdd-h ")&amp;表3[[#This Row],[项目]]</f>
        <v>0531-1 JS mobis</v>
      </c>
      <c r="B532" s="7" t="s">
        <v>2</v>
      </c>
      <c r="C532" s="8">
        <v>43616.041666666664</v>
      </c>
      <c r="D532" s="27">
        <v>29</v>
      </c>
      <c r="E532" s="34" t="s">
        <v>85</v>
      </c>
      <c r="F532" s="24">
        <v>43612</v>
      </c>
      <c r="G532" s="21" t="s">
        <v>225</v>
      </c>
      <c r="H532" s="9"/>
    </row>
    <row r="533" spans="1:8" hidden="1" x14ac:dyDescent="0.2">
      <c r="A533" s="19" t="str">
        <f>TEXT(表3[[#This Row],[ETD]],"mmdd-h ")&amp;表3[[#This Row],[项目]]</f>
        <v>0531-1 JS mobis</v>
      </c>
      <c r="B533" s="7" t="s">
        <v>2</v>
      </c>
      <c r="C533" s="8">
        <v>43616.041666666664</v>
      </c>
      <c r="D533" s="27">
        <v>30</v>
      </c>
      <c r="E533" s="34" t="s">
        <v>241</v>
      </c>
      <c r="F533" s="24">
        <v>43612</v>
      </c>
      <c r="G533" s="21" t="s">
        <v>225</v>
      </c>
      <c r="H533" s="9"/>
    </row>
    <row r="534" spans="1:8" hidden="1" x14ac:dyDescent="0.2">
      <c r="A534" s="19" t="str">
        <f>TEXT(表3[[#This Row],[ETD]],"mmdd-h ")&amp;表3[[#This Row],[项目]]</f>
        <v>0531-1 JS mobis</v>
      </c>
      <c r="B534" s="7" t="s">
        <v>2</v>
      </c>
      <c r="C534" s="8">
        <v>43616.041666666664</v>
      </c>
      <c r="D534" s="27">
        <v>31</v>
      </c>
      <c r="E534" s="34" t="s">
        <v>50</v>
      </c>
      <c r="F534" s="24">
        <v>43612</v>
      </c>
      <c r="G534" s="21" t="s">
        <v>225</v>
      </c>
      <c r="H534" s="9" t="s">
        <v>44</v>
      </c>
    </row>
    <row r="535" spans="1:8" hidden="1" x14ac:dyDescent="0.2">
      <c r="A535" s="19" t="str">
        <f>TEXT(表3[[#This Row],[ETD]],"mmdd-h ")&amp;表3[[#This Row],[项目]]</f>
        <v>0531-1 JS mobis</v>
      </c>
      <c r="B535" s="7" t="s">
        <v>2</v>
      </c>
      <c r="C535" s="8">
        <v>43616.041666666664</v>
      </c>
      <c r="D535" s="27">
        <v>32</v>
      </c>
      <c r="E535" s="34" t="s">
        <v>56</v>
      </c>
      <c r="F535" s="24">
        <v>43612</v>
      </c>
      <c r="G535" s="21" t="s">
        <v>225</v>
      </c>
      <c r="H535" s="9"/>
    </row>
    <row r="536" spans="1:8" hidden="1" x14ac:dyDescent="0.2">
      <c r="A536" s="19" t="str">
        <f>TEXT(表3[[#This Row],[ETD]],"mmdd-h ")&amp;表3[[#This Row],[项目]]</f>
        <v>0531-1 JS mobis</v>
      </c>
      <c r="B536" s="7" t="s">
        <v>2</v>
      </c>
      <c r="C536" s="8">
        <v>43616.041666666664</v>
      </c>
      <c r="D536" s="27">
        <v>33</v>
      </c>
      <c r="E536" s="34" t="s">
        <v>75</v>
      </c>
      <c r="F536" s="24">
        <v>43612</v>
      </c>
      <c r="G536" s="21" t="s">
        <v>225</v>
      </c>
      <c r="H536" s="9" t="s">
        <v>72</v>
      </c>
    </row>
    <row r="537" spans="1:8" hidden="1" x14ac:dyDescent="0.2">
      <c r="A537" s="19" t="str">
        <f>TEXT(表3[[#This Row],[ETD]],"mmdd-h ")&amp;表3[[#This Row],[项目]]</f>
        <v>0531-1 JS mobis</v>
      </c>
      <c r="B537" s="7" t="s">
        <v>2</v>
      </c>
      <c r="C537" s="8">
        <v>43616.041666666664</v>
      </c>
      <c r="D537" s="27">
        <v>34</v>
      </c>
      <c r="E537" s="34" t="s">
        <v>70</v>
      </c>
      <c r="F537" s="24">
        <v>43612</v>
      </c>
      <c r="G537" s="21" t="s">
        <v>225</v>
      </c>
      <c r="H537" s="9"/>
    </row>
    <row r="538" spans="1:8" hidden="1" x14ac:dyDescent="0.2">
      <c r="A538" s="19" t="str">
        <f>TEXT(表3[[#This Row],[ETD]],"mmdd-h ")&amp;表3[[#This Row],[项目]]</f>
        <v>0531-1 JS mobis</v>
      </c>
      <c r="B538" s="7" t="s">
        <v>2</v>
      </c>
      <c r="C538" s="8">
        <v>43616.041666666664</v>
      </c>
      <c r="D538" s="27">
        <v>35</v>
      </c>
      <c r="E538" s="34" t="s">
        <v>490</v>
      </c>
      <c r="F538" s="24">
        <v>43612</v>
      </c>
      <c r="G538" s="21" t="s">
        <v>225</v>
      </c>
      <c r="H538" s="9" t="s">
        <v>33</v>
      </c>
    </row>
    <row r="539" spans="1:8" hidden="1" x14ac:dyDescent="0.2">
      <c r="A539" s="19" t="str">
        <f>TEXT(表3[[#This Row],[ETD]],"mmdd-h ")&amp;表3[[#This Row],[项目]]</f>
        <v>0531-1 JS mobis</v>
      </c>
      <c r="B539" s="7" t="s">
        <v>2</v>
      </c>
      <c r="C539" s="8">
        <v>43616.041666666664</v>
      </c>
      <c r="D539" s="27">
        <v>36</v>
      </c>
      <c r="E539" s="34" t="s">
        <v>495</v>
      </c>
      <c r="F539" s="24">
        <v>43612</v>
      </c>
      <c r="G539" s="21" t="s">
        <v>225</v>
      </c>
      <c r="H539" s="9" t="s">
        <v>44</v>
      </c>
    </row>
    <row r="540" spans="1:8" hidden="1" x14ac:dyDescent="0.2">
      <c r="A540" s="19" t="str">
        <f>TEXT(表3[[#This Row],[ETD]],"mmdd-h ")&amp;表3[[#This Row],[项目]]</f>
        <v>0531-1 JS mobis</v>
      </c>
      <c r="B540" s="7" t="s">
        <v>2</v>
      </c>
      <c r="C540" s="8">
        <v>43616.041666666664</v>
      </c>
      <c r="D540" s="27">
        <v>37</v>
      </c>
      <c r="E540" s="34" t="s">
        <v>182</v>
      </c>
      <c r="F540" s="24">
        <v>43612</v>
      </c>
      <c r="G540" s="21" t="s">
        <v>225</v>
      </c>
      <c r="H540" s="9"/>
    </row>
    <row r="541" spans="1:8" hidden="1" x14ac:dyDescent="0.2">
      <c r="A541" s="19" t="str">
        <f>TEXT(表3[[#This Row],[ETD]],"mmdd-h ")&amp;表3[[#This Row],[项目]]</f>
        <v>0531-1 JS mobis</v>
      </c>
      <c r="B541" s="7" t="s">
        <v>2</v>
      </c>
      <c r="C541" s="8">
        <v>43616.041666666664</v>
      </c>
      <c r="D541" s="27">
        <v>38</v>
      </c>
      <c r="E541" s="34" t="s">
        <v>77</v>
      </c>
      <c r="F541" s="24">
        <v>43612</v>
      </c>
      <c r="G541" s="21" t="s">
        <v>225</v>
      </c>
      <c r="H541" s="9" t="s">
        <v>79</v>
      </c>
    </row>
    <row r="542" spans="1:8" hidden="1" x14ac:dyDescent="0.2">
      <c r="A542" s="19" t="str">
        <f>TEXT(表3[[#This Row],[ETD]],"mmdd-h ")&amp;表3[[#This Row],[项目]]</f>
        <v>0531-1 JS mobis</v>
      </c>
      <c r="B542" s="7" t="s">
        <v>2</v>
      </c>
      <c r="C542" s="8">
        <v>43616.041666666664</v>
      </c>
      <c r="D542" s="27">
        <v>39</v>
      </c>
      <c r="E542" s="34" t="s">
        <v>81</v>
      </c>
      <c r="F542" s="24">
        <v>43612</v>
      </c>
      <c r="G542" s="21" t="s">
        <v>225</v>
      </c>
      <c r="H542" s="9"/>
    </row>
    <row r="543" spans="1:8" hidden="1" x14ac:dyDescent="0.2">
      <c r="A543" s="19" t="str">
        <f>TEXT(表3[[#This Row],[ETD]],"mmdd-h ")&amp;表3[[#This Row],[项目]]</f>
        <v>0531-1 JS mobis</v>
      </c>
      <c r="B543" s="7" t="s">
        <v>2</v>
      </c>
      <c r="C543" s="8">
        <v>43616.041666666664</v>
      </c>
      <c r="D543" s="27">
        <v>40</v>
      </c>
      <c r="E543" s="34" t="s">
        <v>89</v>
      </c>
      <c r="F543" s="24">
        <v>43613</v>
      </c>
      <c r="G543" s="21" t="s">
        <v>225</v>
      </c>
      <c r="H543" s="9"/>
    </row>
    <row r="544" spans="1:8" hidden="1" x14ac:dyDescent="0.2">
      <c r="A544" s="19" t="str">
        <f>TEXT(表3[[#This Row],[ETD]],"mmdd-h ")&amp;表3[[#This Row],[项目]]</f>
        <v>0531-1 JS mobis</v>
      </c>
      <c r="B544" s="7" t="s">
        <v>2</v>
      </c>
      <c r="C544" s="8">
        <v>43616.041666666664</v>
      </c>
      <c r="D544" s="27">
        <v>41</v>
      </c>
      <c r="E544" s="34" t="s">
        <v>91</v>
      </c>
      <c r="F544" s="24">
        <v>43613</v>
      </c>
      <c r="G544" s="21" t="s">
        <v>225</v>
      </c>
      <c r="H544" s="9"/>
    </row>
    <row r="545" spans="1:8" hidden="1" x14ac:dyDescent="0.2">
      <c r="A545" s="19" t="str">
        <f>TEXT(表3[[#This Row],[ETD]],"mmdd-h ")&amp;表3[[#This Row],[项目]]</f>
        <v>0531-1 JS mobis</v>
      </c>
      <c r="B545" s="7" t="s">
        <v>2</v>
      </c>
      <c r="C545" s="8">
        <v>43616.041666666664</v>
      </c>
      <c r="D545" s="27">
        <v>42</v>
      </c>
      <c r="E545" s="34" t="s">
        <v>93</v>
      </c>
      <c r="F545" s="24">
        <v>43613</v>
      </c>
      <c r="G545" s="21" t="s">
        <v>225</v>
      </c>
      <c r="H545" s="9"/>
    </row>
    <row r="546" spans="1:8" hidden="1" x14ac:dyDescent="0.2">
      <c r="A546" s="19" t="str">
        <f>TEXT(表3[[#This Row],[ETD]],"mmdd-h ")&amp;表3[[#This Row],[项目]]</f>
        <v>0531-1 JS mobis</v>
      </c>
      <c r="B546" s="7" t="s">
        <v>2</v>
      </c>
      <c r="C546" s="8">
        <v>43616.041666666664</v>
      </c>
      <c r="D546" s="27">
        <v>43</v>
      </c>
      <c r="E546" s="34" t="s">
        <v>95</v>
      </c>
      <c r="F546" s="24">
        <v>43614</v>
      </c>
      <c r="G546" s="21" t="s">
        <v>225</v>
      </c>
      <c r="H546" s="9"/>
    </row>
    <row r="547" spans="1:8" hidden="1" x14ac:dyDescent="0.2">
      <c r="A547" s="19" t="str">
        <f>TEXT(表3[[#This Row],[ETD]],"mmdd-h ")&amp;表3[[#This Row],[项目]]</f>
        <v>0531-1 JS mobis</v>
      </c>
      <c r="B547" s="7" t="s">
        <v>2</v>
      </c>
      <c r="C547" s="8">
        <v>43616.041666666664</v>
      </c>
      <c r="D547" s="27">
        <v>44</v>
      </c>
      <c r="E547" s="34" t="s">
        <v>97</v>
      </c>
      <c r="F547" s="24">
        <v>43615</v>
      </c>
      <c r="G547" s="21" t="s">
        <v>225</v>
      </c>
      <c r="H547" s="9"/>
    </row>
    <row r="548" spans="1:8" hidden="1" x14ac:dyDescent="0.2">
      <c r="A548" s="19" t="str">
        <f>TEXT(表3[[#This Row],[ETD]],"mmdd-h ")&amp;表3[[#This Row],[项目]]</f>
        <v>0531-1 JS mobis</v>
      </c>
      <c r="B548" s="7" t="s">
        <v>2</v>
      </c>
      <c r="C548" s="8">
        <v>43616.041666666664</v>
      </c>
      <c r="D548" s="27">
        <v>45</v>
      </c>
      <c r="E548" s="34" t="s">
        <v>363</v>
      </c>
      <c r="F548" s="24">
        <v>43615</v>
      </c>
      <c r="G548" s="21" t="s">
        <v>225</v>
      </c>
      <c r="H548" s="9"/>
    </row>
    <row r="549" spans="1:8" hidden="1" x14ac:dyDescent="0.2">
      <c r="A549" s="19" t="str">
        <f>TEXT(表3[[#This Row],[ETD]],"mmdd-h ")&amp;表3[[#This Row],[项目]]</f>
        <v>0531-1 JS mobis</v>
      </c>
      <c r="B549" s="7" t="s">
        <v>2</v>
      </c>
      <c r="C549" s="8">
        <v>43616.041666666664</v>
      </c>
      <c r="D549" s="27">
        <v>46</v>
      </c>
      <c r="E549" s="34" t="s">
        <v>364</v>
      </c>
      <c r="F549" s="24">
        <v>43616</v>
      </c>
      <c r="G549" s="21" t="s">
        <v>225</v>
      </c>
      <c r="H549" s="9"/>
    </row>
    <row r="550" spans="1:8" hidden="1" x14ac:dyDescent="0.2">
      <c r="A550" s="19" t="str">
        <f>TEXT(表3[[#This Row],[ETD]],"mmdd-h ")&amp;表3[[#This Row],[项目]]</f>
        <v>0531-1 JS mobis</v>
      </c>
      <c r="B550" s="7" t="s">
        <v>2</v>
      </c>
      <c r="C550" s="8">
        <v>43616.041666666664</v>
      </c>
      <c r="D550" s="27">
        <v>47</v>
      </c>
      <c r="E550" s="34" t="s">
        <v>101</v>
      </c>
      <c r="F550" s="24">
        <v>43616</v>
      </c>
      <c r="G550" s="21" t="s">
        <v>225</v>
      </c>
      <c r="H550" s="9" t="s">
        <v>138</v>
      </c>
    </row>
    <row r="551" spans="1:8" hidden="1" x14ac:dyDescent="0.2">
      <c r="A551" s="19" t="str">
        <f>TEXT(表3[[#This Row],[ETD]],"mmdd-h ")&amp;表3[[#This Row],[项目]]</f>
        <v>0619-0 WX mobis</v>
      </c>
      <c r="B551" s="7" t="s">
        <v>171</v>
      </c>
      <c r="C551" s="8">
        <v>43635</v>
      </c>
      <c r="D551" s="27">
        <v>1</v>
      </c>
      <c r="E551" s="34" t="s">
        <v>235</v>
      </c>
      <c r="F551" s="24">
        <v>43595</v>
      </c>
      <c r="G551" s="21" t="s">
        <v>223</v>
      </c>
      <c r="H551" s="9"/>
    </row>
    <row r="552" spans="1:8" hidden="1" x14ac:dyDescent="0.2">
      <c r="A552" s="19" t="str">
        <f>TEXT(表3[[#This Row],[ETD]],"mmdd-h ")&amp;表3[[#This Row],[项目]]</f>
        <v>0619-0 WX mobis</v>
      </c>
      <c r="B552" s="7" t="s">
        <v>171</v>
      </c>
      <c r="C552" s="8">
        <v>43635</v>
      </c>
      <c r="D552" s="27">
        <v>2</v>
      </c>
      <c r="E552" s="34" t="s">
        <v>236</v>
      </c>
      <c r="F552" s="24">
        <v>43595</v>
      </c>
      <c r="G552" s="21" t="s">
        <v>223</v>
      </c>
      <c r="H552" s="9"/>
    </row>
    <row r="553" spans="1:8" hidden="1" x14ac:dyDescent="0.2">
      <c r="A553" s="19" t="str">
        <f>TEXT(表3[[#This Row],[ETD]],"mmdd-h ")&amp;表3[[#This Row],[项目]]</f>
        <v>0619-0 WX mobis</v>
      </c>
      <c r="B553" s="7" t="s">
        <v>171</v>
      </c>
      <c r="C553" s="8">
        <v>43635</v>
      </c>
      <c r="D553" s="27">
        <v>3</v>
      </c>
      <c r="E553" s="34" t="s">
        <v>237</v>
      </c>
      <c r="F553" s="24">
        <v>43595</v>
      </c>
      <c r="G553" s="21" t="s">
        <v>283</v>
      </c>
      <c r="H553" s="9" t="s">
        <v>238</v>
      </c>
    </row>
    <row r="554" spans="1:8" hidden="1" x14ac:dyDescent="0.2">
      <c r="A554" s="19" t="str">
        <f>TEXT(表3[[#This Row],[ETD]],"mmdd-h ")&amp;表3[[#This Row],[项目]]</f>
        <v>0619-0 WX mobis</v>
      </c>
      <c r="B554" s="7" t="s">
        <v>171</v>
      </c>
      <c r="C554" s="8">
        <v>43635</v>
      </c>
      <c r="D554" s="27">
        <v>4</v>
      </c>
      <c r="E554" s="34" t="s">
        <v>239</v>
      </c>
      <c r="F554" s="24">
        <v>43595</v>
      </c>
      <c r="G554" s="21" t="s">
        <v>283</v>
      </c>
      <c r="H554" s="9"/>
    </row>
    <row r="555" spans="1:8" hidden="1" x14ac:dyDescent="0.2">
      <c r="A555" s="19" t="str">
        <f>TEXT(表3[[#This Row],[ETD]],"mmdd-h ")&amp;表3[[#This Row],[项目]]</f>
        <v>0619-0 WX mobis</v>
      </c>
      <c r="B555" s="7" t="s">
        <v>171</v>
      </c>
      <c r="C555" s="8">
        <v>43635</v>
      </c>
      <c r="D555" s="27">
        <v>5</v>
      </c>
      <c r="E555" s="34" t="s">
        <v>40</v>
      </c>
      <c r="F555" s="24">
        <v>43596</v>
      </c>
      <c r="G555" s="21" t="s">
        <v>287</v>
      </c>
      <c r="H555" s="9"/>
    </row>
    <row r="556" spans="1:8" hidden="1" x14ac:dyDescent="0.2">
      <c r="A556" s="20" t="str">
        <f>TEXT(表3[[#This Row],[ETD]],"mmdd-h ")&amp;表3[[#This Row],[项目]]</f>
        <v>0619-0 WX mobis</v>
      </c>
      <c r="B556" s="10" t="s">
        <v>171</v>
      </c>
      <c r="C556" s="11">
        <v>43635</v>
      </c>
      <c r="D556" s="28">
        <v>6</v>
      </c>
      <c r="E556" s="36" t="s">
        <v>297</v>
      </c>
      <c r="F556" s="24">
        <v>43628</v>
      </c>
      <c r="G556" s="22" t="s">
        <v>225</v>
      </c>
      <c r="H556" s="12" t="s">
        <v>289</v>
      </c>
    </row>
    <row r="557" spans="1:8" hidden="1" x14ac:dyDescent="0.2">
      <c r="A557" s="19" t="str">
        <f>TEXT(表3[[#This Row],[ETD]],"mmdd-h ")&amp;表3[[#This Row],[项目]]</f>
        <v>0619-0 WX mobis</v>
      </c>
      <c r="B557" s="7" t="s">
        <v>171</v>
      </c>
      <c r="C557" s="8">
        <v>43635</v>
      </c>
      <c r="D557" s="27">
        <v>7</v>
      </c>
      <c r="E557" s="34" t="s">
        <v>447</v>
      </c>
      <c r="F557" s="24">
        <v>43628</v>
      </c>
      <c r="G557" s="21" t="s">
        <v>225</v>
      </c>
      <c r="H557" s="9"/>
    </row>
    <row r="558" spans="1:8" hidden="1" x14ac:dyDescent="0.2">
      <c r="A558" s="19" t="str">
        <f>TEXT(表3[[#This Row],[ETD]],"mmdd-h ")&amp;表3[[#This Row],[项目]]</f>
        <v>0619-0 WX mobis</v>
      </c>
      <c r="B558" s="7" t="s">
        <v>171</v>
      </c>
      <c r="C558" s="8">
        <v>43635</v>
      </c>
      <c r="D558" s="27">
        <v>8</v>
      </c>
      <c r="E558" s="34" t="s">
        <v>295</v>
      </c>
      <c r="F558" s="24">
        <v>43628</v>
      </c>
      <c r="G558" s="21" t="s">
        <v>225</v>
      </c>
      <c r="H558" s="9"/>
    </row>
    <row r="559" spans="1:8" hidden="1" x14ac:dyDescent="0.2">
      <c r="A559" s="19" t="str">
        <f>TEXT(表3[[#This Row],[ETD]],"mmdd-h ")&amp;表3[[#This Row],[项目]]</f>
        <v>0619-0 WX mobis</v>
      </c>
      <c r="B559" s="7" t="s">
        <v>171</v>
      </c>
      <c r="C559" s="8">
        <v>43635</v>
      </c>
      <c r="D559" s="27">
        <v>9</v>
      </c>
      <c r="E559" s="34" t="s">
        <v>298</v>
      </c>
      <c r="F559" s="24">
        <v>43628</v>
      </c>
      <c r="G559" s="21" t="s">
        <v>225</v>
      </c>
      <c r="H559" s="9" t="s">
        <v>44</v>
      </c>
    </row>
    <row r="560" spans="1:8" hidden="1" x14ac:dyDescent="0.2">
      <c r="A560" s="19" t="str">
        <f>TEXT(表3[[#This Row],[ETD]],"mmdd-h ")&amp;表3[[#This Row],[项目]]</f>
        <v>0619-0 WX mobis</v>
      </c>
      <c r="B560" s="7" t="s">
        <v>171</v>
      </c>
      <c r="C560" s="8">
        <v>43635</v>
      </c>
      <c r="D560" s="27">
        <v>10</v>
      </c>
      <c r="E560" s="34" t="s">
        <v>291</v>
      </c>
      <c r="F560" s="24">
        <v>43628</v>
      </c>
      <c r="G560" s="21" t="s">
        <v>225</v>
      </c>
      <c r="H560" s="9" t="s">
        <v>33</v>
      </c>
    </row>
    <row r="561" spans="1:8" hidden="1" x14ac:dyDescent="0.2">
      <c r="A561" s="19" t="str">
        <f>TEXT(表3[[#This Row],[ETD]],"mmdd-h ")&amp;表3[[#This Row],[项目]]</f>
        <v>0619-0 WX mobis</v>
      </c>
      <c r="B561" s="7" t="s">
        <v>171</v>
      </c>
      <c r="C561" s="8">
        <v>43635</v>
      </c>
      <c r="D561" s="27">
        <v>11</v>
      </c>
      <c r="E561" s="34" t="s">
        <v>293</v>
      </c>
      <c r="F561" s="24">
        <v>43628</v>
      </c>
      <c r="G561" s="21" t="s">
        <v>225</v>
      </c>
      <c r="H561" s="9" t="s">
        <v>44</v>
      </c>
    </row>
    <row r="562" spans="1:8" hidden="1" x14ac:dyDescent="0.2">
      <c r="A562" s="19" t="str">
        <f>TEXT(表3[[#This Row],[ETD]],"mmdd-h ")&amp;表3[[#This Row],[项目]]</f>
        <v>0619-0 WX mobis</v>
      </c>
      <c r="B562" s="7" t="s">
        <v>171</v>
      </c>
      <c r="C562" s="8">
        <v>43635</v>
      </c>
      <c r="D562" s="27">
        <v>12</v>
      </c>
      <c r="E562" s="34" t="s">
        <v>360</v>
      </c>
      <c r="F562" s="24">
        <v>43629</v>
      </c>
      <c r="G562" s="21" t="s">
        <v>225</v>
      </c>
      <c r="H562" s="9" t="s">
        <v>301</v>
      </c>
    </row>
    <row r="563" spans="1:8" hidden="1" x14ac:dyDescent="0.2">
      <c r="A563" s="19" t="str">
        <f>TEXT(表3[[#This Row],[ETD]],"mmdd-h ")&amp;表3[[#This Row],[项目]]</f>
        <v>0619-0 WX mobis</v>
      </c>
      <c r="B563" s="7" t="s">
        <v>171</v>
      </c>
      <c r="C563" s="8">
        <v>43635</v>
      </c>
      <c r="D563" s="27">
        <v>13</v>
      </c>
      <c r="E563" s="34" t="s">
        <v>306</v>
      </c>
      <c r="F563" s="24">
        <v>43630</v>
      </c>
      <c r="G563" s="21" t="s">
        <v>225</v>
      </c>
      <c r="H563" s="9" t="s">
        <v>304</v>
      </c>
    </row>
    <row r="564" spans="1:8" hidden="1" x14ac:dyDescent="0.2">
      <c r="A564" s="19" t="str">
        <f>TEXT(表3[[#This Row],[ETD]],"mmdd-h ")&amp;表3[[#This Row],[项目]]</f>
        <v>0619-0 WX mobis</v>
      </c>
      <c r="B564" s="7" t="s">
        <v>171</v>
      </c>
      <c r="C564" s="8">
        <v>43635</v>
      </c>
      <c r="D564" s="27">
        <v>14</v>
      </c>
      <c r="E564" s="34" t="s">
        <v>308</v>
      </c>
      <c r="F564" s="24">
        <v>43630</v>
      </c>
      <c r="G564" s="21" t="s">
        <v>225</v>
      </c>
      <c r="H564" s="9"/>
    </row>
    <row r="565" spans="1:8" hidden="1" x14ac:dyDescent="0.2">
      <c r="A565" s="19" t="str">
        <f>TEXT(表3[[#This Row],[ETD]],"mmdd-h ")&amp;表3[[#This Row],[项目]]</f>
        <v>0619-0 WX mobis</v>
      </c>
      <c r="B565" s="7" t="s">
        <v>171</v>
      </c>
      <c r="C565" s="8">
        <v>43635</v>
      </c>
      <c r="D565" s="27">
        <v>15</v>
      </c>
      <c r="E565" s="34" t="s">
        <v>310</v>
      </c>
      <c r="F565" s="24">
        <v>43630</v>
      </c>
      <c r="G565" s="21" t="s">
        <v>225</v>
      </c>
      <c r="H565" s="9"/>
    </row>
    <row r="566" spans="1:8" hidden="1" x14ac:dyDescent="0.2">
      <c r="A566" s="19" t="str">
        <f>TEXT(表3[[#This Row],[ETD]],"mmdd-h ")&amp;表3[[#This Row],[项目]]</f>
        <v>0619-0 WX mobis</v>
      </c>
      <c r="B566" s="7" t="s">
        <v>171</v>
      </c>
      <c r="C566" s="8">
        <v>43635</v>
      </c>
      <c r="D566" s="27">
        <v>16</v>
      </c>
      <c r="E566" s="34" t="s">
        <v>326</v>
      </c>
      <c r="F566" s="24">
        <v>43630</v>
      </c>
      <c r="G566" s="21" t="s">
        <v>225</v>
      </c>
      <c r="H566" s="9"/>
    </row>
    <row r="567" spans="1:8" hidden="1" x14ac:dyDescent="0.2">
      <c r="A567" s="19" t="str">
        <f>TEXT(表3[[#This Row],[ETD]],"mmdd-h ")&amp;表3[[#This Row],[项目]]</f>
        <v>0619-0 WX mobis</v>
      </c>
      <c r="B567" s="7" t="s">
        <v>171</v>
      </c>
      <c r="C567" s="8">
        <v>43635</v>
      </c>
      <c r="D567" s="27">
        <v>17</v>
      </c>
      <c r="E567" s="34" t="s">
        <v>328</v>
      </c>
      <c r="F567" s="24">
        <v>43630</v>
      </c>
      <c r="G567" s="21" t="s">
        <v>225</v>
      </c>
      <c r="H567" s="9"/>
    </row>
    <row r="568" spans="1:8" hidden="1" x14ac:dyDescent="0.2">
      <c r="A568" s="19" t="str">
        <f>TEXT(表3[[#This Row],[ETD]],"mmdd-h ")&amp;表3[[#This Row],[项目]]</f>
        <v>0619-0 WX mobis</v>
      </c>
      <c r="B568" s="7" t="s">
        <v>171</v>
      </c>
      <c r="C568" s="8">
        <v>43635</v>
      </c>
      <c r="D568" s="27">
        <v>18</v>
      </c>
      <c r="E568" s="34" t="s">
        <v>330</v>
      </c>
      <c r="F568" s="24">
        <v>43630</v>
      </c>
      <c r="G568" s="21" t="s">
        <v>225</v>
      </c>
      <c r="H568" s="9"/>
    </row>
    <row r="569" spans="1:8" hidden="1" x14ac:dyDescent="0.2">
      <c r="A569" s="19" t="str">
        <f>TEXT(表3[[#This Row],[ETD]],"mmdd-h ")&amp;表3[[#This Row],[项目]]</f>
        <v>0619-0 WX mobis</v>
      </c>
      <c r="B569" s="7" t="s">
        <v>171</v>
      </c>
      <c r="C569" s="8">
        <v>43635</v>
      </c>
      <c r="D569" s="27">
        <v>19</v>
      </c>
      <c r="E569" s="34" t="s">
        <v>312</v>
      </c>
      <c r="F569" s="24">
        <v>43630</v>
      </c>
      <c r="G569" s="21" t="s">
        <v>225</v>
      </c>
      <c r="H569" s="9"/>
    </row>
    <row r="570" spans="1:8" hidden="1" x14ac:dyDescent="0.2">
      <c r="A570" s="19" t="str">
        <f>TEXT(表3[[#This Row],[ETD]],"mmdd-h ")&amp;表3[[#This Row],[项目]]</f>
        <v>0619-0 WX mobis</v>
      </c>
      <c r="B570" s="7" t="s">
        <v>171</v>
      </c>
      <c r="C570" s="8">
        <v>43635</v>
      </c>
      <c r="D570" s="27">
        <v>20</v>
      </c>
      <c r="E570" s="34" t="s">
        <v>314</v>
      </c>
      <c r="F570" s="24">
        <v>43630</v>
      </c>
      <c r="G570" s="21" t="s">
        <v>225</v>
      </c>
      <c r="H570" s="9"/>
    </row>
    <row r="571" spans="1:8" hidden="1" x14ac:dyDescent="0.2">
      <c r="A571" s="19" t="str">
        <f>TEXT(表3[[#This Row],[ETD]],"mmdd-h ")&amp;表3[[#This Row],[项目]]</f>
        <v>0619-0 WX mobis</v>
      </c>
      <c r="B571" s="7" t="s">
        <v>171</v>
      </c>
      <c r="C571" s="8">
        <v>43635</v>
      </c>
      <c r="D571" s="27">
        <v>21</v>
      </c>
      <c r="E571" s="34" t="s">
        <v>316</v>
      </c>
      <c r="F571" s="24">
        <v>43630</v>
      </c>
      <c r="G571" s="21" t="s">
        <v>225</v>
      </c>
      <c r="H571" s="9"/>
    </row>
    <row r="572" spans="1:8" hidden="1" x14ac:dyDescent="0.2">
      <c r="A572" s="19" t="str">
        <f>TEXT(表3[[#This Row],[ETD]],"mmdd-h ")&amp;表3[[#This Row],[项目]]</f>
        <v>0619-0 WX mobis</v>
      </c>
      <c r="B572" s="7" t="s">
        <v>171</v>
      </c>
      <c r="C572" s="8">
        <v>43635</v>
      </c>
      <c r="D572" s="27">
        <v>22</v>
      </c>
      <c r="E572" s="34" t="s">
        <v>318</v>
      </c>
      <c r="F572" s="24">
        <v>43633</v>
      </c>
      <c r="G572" s="21" t="s">
        <v>225</v>
      </c>
      <c r="H572" s="9"/>
    </row>
    <row r="573" spans="1:8" hidden="1" x14ac:dyDescent="0.2">
      <c r="A573" s="19" t="str">
        <f>TEXT(表3[[#This Row],[ETD]],"mmdd-h ")&amp;表3[[#This Row],[项目]]</f>
        <v>0619-0 WX mobis</v>
      </c>
      <c r="B573" s="7" t="s">
        <v>171</v>
      </c>
      <c r="C573" s="8">
        <v>43635</v>
      </c>
      <c r="D573" s="27">
        <v>23</v>
      </c>
      <c r="E573" s="34" t="s">
        <v>320</v>
      </c>
      <c r="F573" s="24">
        <v>43634</v>
      </c>
      <c r="G573" s="21" t="s">
        <v>225</v>
      </c>
      <c r="H573" s="9"/>
    </row>
    <row r="574" spans="1:8" hidden="1" x14ac:dyDescent="0.2">
      <c r="A574" s="19" t="str">
        <f>TEXT(表3[[#This Row],[ETD]],"mmdd-h ")&amp;表3[[#This Row],[项目]]</f>
        <v>0619-0 WX mobis</v>
      </c>
      <c r="B574" s="7" t="s">
        <v>171</v>
      </c>
      <c r="C574" s="8">
        <v>43635</v>
      </c>
      <c r="D574" s="27">
        <v>24</v>
      </c>
      <c r="E574" s="34" t="s">
        <v>322</v>
      </c>
      <c r="F574" s="24">
        <v>43635</v>
      </c>
      <c r="G574" s="21" t="s">
        <v>225</v>
      </c>
      <c r="H574" s="9"/>
    </row>
    <row r="575" spans="1:8" hidden="1" x14ac:dyDescent="0.2">
      <c r="A575" s="20" t="str">
        <f>TEXT(表3[[#This Row],[ETD]],"mmdd-h ")&amp;表3[[#This Row],[项目]]</f>
        <v>0619-0 WX mobis</v>
      </c>
      <c r="B575" s="10" t="s">
        <v>171</v>
      </c>
      <c r="C575" s="11">
        <v>43635</v>
      </c>
      <c r="D575" s="28">
        <v>25</v>
      </c>
      <c r="E575" s="36" t="s">
        <v>324</v>
      </c>
      <c r="F575" s="25">
        <v>43636</v>
      </c>
      <c r="G575" s="22" t="s">
        <v>225</v>
      </c>
      <c r="H575" s="12"/>
    </row>
    <row r="576" spans="1:8" hidden="1" x14ac:dyDescent="0.2">
      <c r="A576" s="43" t="str">
        <f>TEXT(表3[[#This Row],[ETD]],"mmdd-h ")&amp;表3[[#This Row],[项目]]</f>
        <v>0520-0 0 WEEK</v>
      </c>
      <c r="B576" s="44" t="s">
        <v>264</v>
      </c>
      <c r="C576" s="45">
        <v>43605</v>
      </c>
      <c r="D576" s="46">
        <v>1</v>
      </c>
      <c r="E576" s="47" t="s">
        <v>472</v>
      </c>
      <c r="F576" s="48">
        <v>43605</v>
      </c>
      <c r="G576" s="49" t="s">
        <v>225</v>
      </c>
      <c r="H576" s="50" t="s">
        <v>255</v>
      </c>
    </row>
    <row r="577" spans="1:8" hidden="1" x14ac:dyDescent="0.2">
      <c r="A577" s="43" t="str">
        <f>TEXT(表3[[#This Row],[ETD]],"mmdd-h ")&amp;表3[[#This Row],[项目]]</f>
        <v>0520-0 0 WEEK</v>
      </c>
      <c r="B577" s="44" t="s">
        <v>264</v>
      </c>
      <c r="C577" s="45">
        <v>43605</v>
      </c>
      <c r="D577" s="46">
        <v>2</v>
      </c>
      <c r="E577" s="47" t="s">
        <v>473</v>
      </c>
      <c r="F577" s="48">
        <v>43605</v>
      </c>
      <c r="G577" s="49" t="s">
        <v>225</v>
      </c>
      <c r="H577" s="50" t="s">
        <v>255</v>
      </c>
    </row>
    <row r="578" spans="1:8" hidden="1" x14ac:dyDescent="0.2">
      <c r="A578" s="43" t="str">
        <f>TEXT(表3[[#This Row],[ETD]],"mmdd-h ")&amp;表3[[#This Row],[项目]]</f>
        <v>0520-0 0 WEEK</v>
      </c>
      <c r="B578" s="44" t="s">
        <v>264</v>
      </c>
      <c r="C578" s="45">
        <v>43605</v>
      </c>
      <c r="D578" s="46">
        <v>3</v>
      </c>
      <c r="E578" s="47" t="s">
        <v>257</v>
      </c>
      <c r="F578" s="48">
        <v>43605</v>
      </c>
      <c r="G578" s="49" t="s">
        <v>225</v>
      </c>
      <c r="H578" s="50" t="s">
        <v>255</v>
      </c>
    </row>
    <row r="579" spans="1:8" hidden="1" x14ac:dyDescent="0.2">
      <c r="A579" s="43" t="str">
        <f>TEXT(表3[[#This Row],[ETD]],"mmdd-h ")&amp;表3[[#This Row],[项目]]</f>
        <v>0520-0 0 WEEK</v>
      </c>
      <c r="B579" s="44" t="s">
        <v>264</v>
      </c>
      <c r="C579" s="45">
        <v>43605</v>
      </c>
      <c r="D579" s="46">
        <v>4</v>
      </c>
      <c r="E579" s="47" t="s">
        <v>257</v>
      </c>
      <c r="F579" s="48">
        <v>43607</v>
      </c>
      <c r="G579" s="49" t="s">
        <v>225</v>
      </c>
      <c r="H579" s="50" t="s">
        <v>260</v>
      </c>
    </row>
    <row r="580" spans="1:8" hidden="1" x14ac:dyDescent="0.2">
      <c r="A580" s="43" t="str">
        <f>TEXT(表3[[#This Row],[ETD]],"mmdd-h ")&amp;表3[[#This Row],[项目]]</f>
        <v>0520-0 0 WEEK</v>
      </c>
      <c r="B580" s="44" t="s">
        <v>264</v>
      </c>
      <c r="C580" s="45">
        <v>43605</v>
      </c>
      <c r="D580" s="46">
        <v>5</v>
      </c>
      <c r="E580" s="47" t="s">
        <v>245</v>
      </c>
      <c r="F580" s="48">
        <v>43609</v>
      </c>
      <c r="G580" s="49" t="s">
        <v>225</v>
      </c>
      <c r="H580" s="50" t="s">
        <v>251</v>
      </c>
    </row>
    <row r="581" spans="1:8" hidden="1" x14ac:dyDescent="0.2">
      <c r="A581" s="43" t="str">
        <f>TEXT(表3[[#This Row],[ETD]],"mmdd-h ")&amp;表3[[#This Row],[项目]]</f>
        <v>0520-0 0 WEEK</v>
      </c>
      <c r="B581" s="44" t="s">
        <v>264</v>
      </c>
      <c r="C581" s="45">
        <v>43605</v>
      </c>
      <c r="D581" s="46">
        <v>6</v>
      </c>
      <c r="E581" s="47" t="s">
        <v>257</v>
      </c>
      <c r="F581" s="48">
        <v>43609</v>
      </c>
      <c r="G581" s="49" t="s">
        <v>225</v>
      </c>
      <c r="H581" s="50" t="s">
        <v>251</v>
      </c>
    </row>
    <row r="582" spans="1:8" hidden="1" x14ac:dyDescent="0.2">
      <c r="A582" s="51" t="str">
        <f>TEXT(表3[[#This Row],[ETD]],"mmdd-h ")&amp;表3[[#This Row],[项目]]</f>
        <v>0520-0 0 WEEK</v>
      </c>
      <c r="B582" s="52" t="s">
        <v>264</v>
      </c>
      <c r="C582" s="53">
        <v>43605</v>
      </c>
      <c r="D582" s="54">
        <v>7</v>
      </c>
      <c r="E582" s="55" t="s">
        <v>262</v>
      </c>
      <c r="F582" s="56">
        <v>43609</v>
      </c>
      <c r="G582" s="57" t="s">
        <v>225</v>
      </c>
      <c r="H582" s="58" t="s">
        <v>251</v>
      </c>
    </row>
  </sheetData>
  <dataConsolidate/>
  <phoneticPr fontId="1" type="noConversion"/>
  <conditionalFormatting sqref="E2:E582">
    <cfRule type="beginsWith" dxfId="35" priority="4" operator="beginsWith" text="收到">
      <formula>LEFT(E2,LEN("收到"))="收到"</formula>
    </cfRule>
  </conditionalFormatting>
  <dataValidations count="2">
    <dataValidation type="list" showInputMessage="1" showErrorMessage="1" sqref="G2:G582">
      <formula1>"计划,OK,取消"</formula1>
    </dataValidation>
    <dataValidation type="date" operator="greaterThan" showInputMessage="1" showErrorMessage="1" sqref="F2:F582">
      <formula1>43466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T37"/>
  <sheetViews>
    <sheetView showGridLines="0" tabSelected="1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P36" sqref="P36"/>
    </sheetView>
  </sheetViews>
  <sheetFormatPr defaultRowHeight="14.25" x14ac:dyDescent="0.2"/>
  <cols>
    <col min="1" max="1" width="11.75" customWidth="1"/>
    <col min="2" max="2" width="7.25" bestFit="1" customWidth="1"/>
    <col min="3" max="4" width="6.375" customWidth="1"/>
    <col min="5" max="23" width="6.375" bestFit="1" customWidth="1"/>
    <col min="24" max="24" width="6.375" customWidth="1"/>
    <col min="25" max="38" width="6.375" bestFit="1" customWidth="1"/>
  </cols>
  <sheetData>
    <row r="1" spans="1:20" x14ac:dyDescent="0.2">
      <c r="A1" s="15" t="s">
        <v>229</v>
      </c>
      <c r="B1" t="s">
        <v>225</v>
      </c>
      <c r="C1" s="40" t="s">
        <v>442</v>
      </c>
      <c r="D1" s="41" t="s">
        <v>443</v>
      </c>
      <c r="E1" s="41" t="s">
        <v>444</v>
      </c>
      <c r="F1" s="41" t="s">
        <v>445</v>
      </c>
    </row>
    <row r="3" spans="1:20" x14ac:dyDescent="0.2">
      <c r="A3" s="15" t="s">
        <v>224</v>
      </c>
      <c r="B3" s="15" t="s">
        <v>168</v>
      </c>
    </row>
    <row r="4" spans="1:20" x14ac:dyDescent="0.2">
      <c r="A4" s="15" t="s">
        <v>334</v>
      </c>
      <c r="B4" s="26">
        <v>43605</v>
      </c>
      <c r="C4" s="42">
        <v>43606</v>
      </c>
      <c r="D4" s="26">
        <v>43607</v>
      </c>
      <c r="E4" s="42">
        <v>43608</v>
      </c>
      <c r="F4" s="42">
        <v>43609</v>
      </c>
      <c r="G4" s="42">
        <v>43610</v>
      </c>
      <c r="H4" s="42">
        <v>43611</v>
      </c>
      <c r="I4" s="42">
        <v>43612</v>
      </c>
      <c r="J4" s="42">
        <v>43613</v>
      </c>
      <c r="K4" s="26">
        <v>43614</v>
      </c>
      <c r="L4" s="42">
        <v>43615</v>
      </c>
      <c r="M4" s="42">
        <v>43616</v>
      </c>
      <c r="N4" s="42">
        <v>43628</v>
      </c>
      <c r="O4" s="42">
        <v>43629</v>
      </c>
      <c r="P4" s="42">
        <v>43630</v>
      </c>
      <c r="Q4" s="42">
        <v>43633</v>
      </c>
      <c r="R4" s="42">
        <v>43634</v>
      </c>
      <c r="S4" s="42">
        <v>43635</v>
      </c>
      <c r="T4" s="42">
        <v>43636</v>
      </c>
    </row>
    <row r="5" spans="1:20" x14ac:dyDescent="0.2">
      <c r="A5" s="16" t="s">
        <v>264</v>
      </c>
      <c r="B5" s="18"/>
      <c r="C5" s="18"/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18"/>
      <c r="R5" s="18"/>
      <c r="S5" s="18"/>
      <c r="T5" s="18"/>
    </row>
    <row r="6" spans="1:20" x14ac:dyDescent="0.2">
      <c r="A6" s="37">
        <v>43605</v>
      </c>
      <c r="B6" s="18">
        <v>3</v>
      </c>
      <c r="C6" s="18"/>
      <c r="D6" s="18">
        <v>1</v>
      </c>
      <c r="E6" s="18"/>
      <c r="F6" s="18">
        <v>3</v>
      </c>
      <c r="G6" s="18"/>
      <c r="H6" s="18"/>
      <c r="I6" s="18"/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</row>
    <row r="7" spans="1:20" x14ac:dyDescent="0.2">
      <c r="A7" s="16" t="s">
        <v>266</v>
      </c>
      <c r="B7" s="18"/>
      <c r="C7" s="18"/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  <c r="P7" s="18"/>
      <c r="Q7" s="18"/>
      <c r="R7" s="18"/>
      <c r="S7" s="18"/>
      <c r="T7" s="18"/>
    </row>
    <row r="8" spans="1:20" x14ac:dyDescent="0.2">
      <c r="A8" s="37">
        <v>43586</v>
      </c>
      <c r="B8" s="18"/>
      <c r="C8" s="18"/>
      <c r="D8" s="18"/>
      <c r="E8" s="18"/>
      <c r="F8" s="18"/>
      <c r="G8" s="18"/>
      <c r="H8" s="18"/>
      <c r="I8" s="18"/>
      <c r="J8" s="18"/>
      <c r="K8" s="18">
        <v>2</v>
      </c>
      <c r="L8" s="18"/>
      <c r="M8" s="18"/>
      <c r="N8" s="18"/>
      <c r="O8" s="18"/>
      <c r="P8" s="18"/>
      <c r="Q8" s="18"/>
      <c r="R8" s="18"/>
      <c r="S8" s="18"/>
      <c r="T8" s="18"/>
    </row>
    <row r="9" spans="1:20" x14ac:dyDescent="0.2">
      <c r="A9" s="16" t="s">
        <v>351</v>
      </c>
      <c r="B9" s="18"/>
      <c r="C9" s="18"/>
      <c r="D9" s="18"/>
      <c r="E9" s="18"/>
      <c r="F9" s="18"/>
      <c r="G9" s="18"/>
      <c r="H9" s="18"/>
      <c r="I9" s="18"/>
      <c r="J9" s="18"/>
      <c r="K9" s="18"/>
      <c r="L9" s="18"/>
      <c r="M9" s="18"/>
      <c r="N9" s="18"/>
      <c r="O9" s="18"/>
      <c r="P9" s="18"/>
      <c r="Q9" s="18"/>
      <c r="R9" s="18"/>
      <c r="S9" s="18"/>
      <c r="T9" s="18"/>
    </row>
    <row r="10" spans="1:20" x14ac:dyDescent="0.2">
      <c r="A10" s="37">
        <v>43607</v>
      </c>
      <c r="B10" s="18">
        <v>2</v>
      </c>
      <c r="C10" s="18">
        <v>1</v>
      </c>
      <c r="D10" s="18">
        <v>2</v>
      </c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</row>
    <row r="11" spans="1:20" x14ac:dyDescent="0.2">
      <c r="A11" s="37">
        <v>43614</v>
      </c>
      <c r="B11" s="18"/>
      <c r="C11" s="18">
        <v>2</v>
      </c>
      <c r="D11" s="18"/>
      <c r="E11" s="18">
        <v>3</v>
      </c>
      <c r="F11" s="18">
        <v>2</v>
      </c>
      <c r="G11" s="18"/>
      <c r="H11" s="18">
        <v>2</v>
      </c>
      <c r="I11" s="18">
        <v>6</v>
      </c>
      <c r="J11" s="18">
        <v>1</v>
      </c>
      <c r="K11" s="18">
        <v>2</v>
      </c>
      <c r="L11" s="18"/>
      <c r="M11" s="18"/>
      <c r="N11" s="18"/>
      <c r="O11" s="18"/>
      <c r="P11" s="18"/>
      <c r="Q11" s="18"/>
      <c r="R11" s="18"/>
      <c r="S11" s="18"/>
      <c r="T11" s="18"/>
    </row>
    <row r="12" spans="1:20" x14ac:dyDescent="0.2">
      <c r="A12" s="16" t="s">
        <v>2</v>
      </c>
      <c r="B12" s="18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</row>
    <row r="13" spans="1:20" x14ac:dyDescent="0.2">
      <c r="A13" s="37">
        <v>43609</v>
      </c>
      <c r="B13" s="18">
        <v>2</v>
      </c>
      <c r="C13" s="18">
        <v>20</v>
      </c>
      <c r="D13" s="18">
        <v>4</v>
      </c>
      <c r="E13" s="18">
        <v>3</v>
      </c>
      <c r="F13" s="18">
        <v>1</v>
      </c>
      <c r="G13" s="18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</row>
    <row r="14" spans="1:20" x14ac:dyDescent="0.2">
      <c r="A14" s="37">
        <v>43613</v>
      </c>
      <c r="B14" s="18"/>
      <c r="C14" s="18">
        <v>1</v>
      </c>
      <c r="D14" s="18">
        <v>7</v>
      </c>
      <c r="E14" s="18">
        <v>4</v>
      </c>
      <c r="F14" s="18">
        <v>17</v>
      </c>
      <c r="G14" s="18">
        <v>3</v>
      </c>
      <c r="H14" s="18"/>
      <c r="I14" s="18">
        <v>3</v>
      </c>
      <c r="J14" s="18">
        <v>1</v>
      </c>
      <c r="K14" s="18"/>
      <c r="L14" s="18"/>
      <c r="M14" s="18"/>
      <c r="N14" s="18"/>
      <c r="O14" s="18"/>
      <c r="P14" s="18"/>
      <c r="Q14" s="18"/>
      <c r="R14" s="18"/>
      <c r="S14" s="18"/>
      <c r="T14" s="18"/>
    </row>
    <row r="15" spans="1:20" x14ac:dyDescent="0.2">
      <c r="A15" s="37">
        <v>43613.041666666664</v>
      </c>
      <c r="B15" s="18"/>
      <c r="C15" s="18">
        <v>1</v>
      </c>
      <c r="D15" s="18">
        <v>7</v>
      </c>
      <c r="E15" s="18">
        <v>4</v>
      </c>
      <c r="F15" s="18">
        <v>17</v>
      </c>
      <c r="G15" s="18">
        <v>3</v>
      </c>
      <c r="H15" s="18"/>
      <c r="I15" s="18">
        <v>2</v>
      </c>
      <c r="J15" s="18">
        <v>2</v>
      </c>
      <c r="K15" s="18"/>
      <c r="L15" s="18"/>
      <c r="M15" s="18"/>
      <c r="N15" s="18"/>
      <c r="O15" s="18"/>
      <c r="P15" s="18"/>
      <c r="Q15" s="18"/>
      <c r="R15" s="18"/>
      <c r="S15" s="18"/>
      <c r="T15" s="18"/>
    </row>
    <row r="16" spans="1:20" x14ac:dyDescent="0.2">
      <c r="A16" s="37">
        <v>43616</v>
      </c>
      <c r="B16" s="18">
        <v>7</v>
      </c>
      <c r="C16" s="18"/>
      <c r="D16" s="18"/>
      <c r="E16" s="18"/>
      <c r="F16" s="18">
        <v>8</v>
      </c>
      <c r="G16" s="18"/>
      <c r="H16" s="18"/>
      <c r="I16" s="18">
        <v>20</v>
      </c>
      <c r="J16" s="18">
        <v>3</v>
      </c>
      <c r="K16" s="18">
        <v>1</v>
      </c>
      <c r="L16" s="18">
        <v>2</v>
      </c>
      <c r="M16" s="18">
        <v>2</v>
      </c>
      <c r="N16" s="18"/>
      <c r="O16" s="18"/>
      <c r="P16" s="18"/>
      <c r="Q16" s="18"/>
      <c r="R16" s="18"/>
      <c r="S16" s="18"/>
      <c r="T16" s="18"/>
    </row>
    <row r="17" spans="1:20" x14ac:dyDescent="0.2">
      <c r="A17" s="37">
        <v>43616.041666666664</v>
      </c>
      <c r="B17" s="18">
        <v>7</v>
      </c>
      <c r="C17" s="18"/>
      <c r="D17" s="18"/>
      <c r="E17" s="18"/>
      <c r="F17" s="18">
        <v>8</v>
      </c>
      <c r="G17" s="18"/>
      <c r="H17" s="18"/>
      <c r="I17" s="18">
        <v>20</v>
      </c>
      <c r="J17" s="18">
        <v>3</v>
      </c>
      <c r="K17" s="18">
        <v>1</v>
      </c>
      <c r="L17" s="18">
        <v>2</v>
      </c>
      <c r="M17" s="18">
        <v>2</v>
      </c>
      <c r="N17" s="18"/>
      <c r="O17" s="18"/>
      <c r="P17" s="18"/>
      <c r="Q17" s="18"/>
      <c r="R17" s="18"/>
      <c r="S17" s="18"/>
      <c r="T17" s="18"/>
    </row>
    <row r="18" spans="1:20" x14ac:dyDescent="0.2">
      <c r="A18" s="16" t="s">
        <v>166</v>
      </c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</row>
    <row r="19" spans="1:20" x14ac:dyDescent="0.2">
      <c r="A19" s="37">
        <v>43607</v>
      </c>
      <c r="B19" s="18"/>
      <c r="C19" s="18">
        <v>1</v>
      </c>
      <c r="D19" s="18">
        <v>1</v>
      </c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</row>
    <row r="20" spans="1:20" x14ac:dyDescent="0.2">
      <c r="A20" s="37">
        <v>43614</v>
      </c>
      <c r="B20" s="18"/>
      <c r="C20" s="18"/>
      <c r="D20" s="18"/>
      <c r="E20" s="18">
        <v>5</v>
      </c>
      <c r="F20" s="18">
        <v>7</v>
      </c>
      <c r="G20" s="18"/>
      <c r="H20" s="18">
        <v>1</v>
      </c>
      <c r="I20" s="18">
        <v>1</v>
      </c>
      <c r="J20" s="18">
        <v>1</v>
      </c>
      <c r="K20" s="18">
        <v>1</v>
      </c>
      <c r="L20" s="18"/>
      <c r="M20" s="18"/>
      <c r="N20" s="18"/>
      <c r="O20" s="18"/>
      <c r="P20" s="18"/>
      <c r="Q20" s="18"/>
      <c r="R20" s="18"/>
      <c r="S20" s="18"/>
      <c r="T20" s="18"/>
    </row>
    <row r="21" spans="1:20" x14ac:dyDescent="0.2">
      <c r="A21" s="16" t="s">
        <v>359</v>
      </c>
      <c r="B21" s="18"/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</row>
    <row r="22" spans="1:20" x14ac:dyDescent="0.2">
      <c r="A22" s="37">
        <v>43602</v>
      </c>
      <c r="B22" s="18"/>
      <c r="C22" s="18">
        <v>2</v>
      </c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</row>
    <row r="23" spans="1:20" x14ac:dyDescent="0.2">
      <c r="A23" s="37">
        <v>43613</v>
      </c>
      <c r="B23" s="18"/>
      <c r="C23" s="18"/>
      <c r="D23" s="18">
        <v>7</v>
      </c>
      <c r="E23" s="18"/>
      <c r="F23" s="18">
        <v>5</v>
      </c>
      <c r="G23" s="18"/>
      <c r="H23" s="18"/>
      <c r="I23" s="18"/>
      <c r="J23" s="18">
        <v>3</v>
      </c>
      <c r="K23" s="18"/>
      <c r="L23" s="18"/>
      <c r="M23" s="18"/>
      <c r="N23" s="18"/>
      <c r="O23" s="18"/>
      <c r="P23" s="18"/>
      <c r="Q23" s="18"/>
      <c r="R23" s="18"/>
      <c r="S23" s="18"/>
      <c r="T23" s="18"/>
    </row>
    <row r="24" spans="1:20" x14ac:dyDescent="0.2">
      <c r="A24" s="16" t="s">
        <v>171</v>
      </c>
      <c r="B24" s="18"/>
      <c r="C24" s="18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</row>
    <row r="25" spans="1:20" x14ac:dyDescent="0.2">
      <c r="A25" s="37">
        <v>43607</v>
      </c>
      <c r="B25" s="18"/>
      <c r="C25" s="18">
        <v>1</v>
      </c>
      <c r="D25" s="18">
        <v>2</v>
      </c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</row>
    <row r="26" spans="1:20" x14ac:dyDescent="0.2">
      <c r="A26" s="37">
        <v>43614</v>
      </c>
      <c r="B26" s="18"/>
      <c r="C26" s="18"/>
      <c r="D26" s="18">
        <v>6</v>
      </c>
      <c r="E26" s="18">
        <v>1</v>
      </c>
      <c r="F26" s="18">
        <v>9</v>
      </c>
      <c r="G26" s="18"/>
      <c r="H26" s="18"/>
      <c r="I26" s="18">
        <v>1</v>
      </c>
      <c r="J26" s="18">
        <v>1</v>
      </c>
      <c r="K26" s="18">
        <v>1</v>
      </c>
      <c r="L26" s="18">
        <v>1</v>
      </c>
      <c r="M26" s="18"/>
      <c r="N26" s="18"/>
      <c r="O26" s="18"/>
      <c r="P26" s="18"/>
      <c r="Q26" s="18"/>
      <c r="R26" s="18"/>
      <c r="S26" s="18"/>
      <c r="T26" s="18"/>
    </row>
    <row r="27" spans="1:20" x14ac:dyDescent="0.2">
      <c r="A27" s="37">
        <v>43635</v>
      </c>
      <c r="B27" s="18"/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>
        <v>6</v>
      </c>
      <c r="O27" s="18">
        <v>1</v>
      </c>
      <c r="P27" s="18">
        <v>9</v>
      </c>
      <c r="Q27" s="18">
        <v>1</v>
      </c>
      <c r="R27" s="18">
        <v>1</v>
      </c>
      <c r="S27" s="18">
        <v>1</v>
      </c>
      <c r="T27" s="18">
        <v>1</v>
      </c>
    </row>
    <row r="28" spans="1:20" x14ac:dyDescent="0.2">
      <c r="A28" s="16" t="s">
        <v>167</v>
      </c>
      <c r="B28" s="18">
        <v>21</v>
      </c>
      <c r="C28" s="18">
        <v>29</v>
      </c>
      <c r="D28" s="18">
        <v>37</v>
      </c>
      <c r="E28" s="18">
        <v>20</v>
      </c>
      <c r="F28" s="18">
        <v>77</v>
      </c>
      <c r="G28" s="18">
        <v>6</v>
      </c>
      <c r="H28" s="18">
        <v>3</v>
      </c>
      <c r="I28" s="18">
        <v>53</v>
      </c>
      <c r="J28" s="18">
        <v>15</v>
      </c>
      <c r="K28" s="18">
        <v>8</v>
      </c>
      <c r="L28" s="18">
        <v>5</v>
      </c>
      <c r="M28" s="18">
        <v>4</v>
      </c>
      <c r="N28" s="18">
        <v>6</v>
      </c>
      <c r="O28" s="18">
        <v>1</v>
      </c>
      <c r="P28" s="18">
        <v>9</v>
      </c>
      <c r="Q28" s="18">
        <v>1</v>
      </c>
      <c r="R28" s="18">
        <v>1</v>
      </c>
      <c r="S28" s="18">
        <v>1</v>
      </c>
      <c r="T28" s="18">
        <v>1</v>
      </c>
    </row>
    <row r="29" spans="1:20" x14ac:dyDescent="0.2">
      <c r="A29" s="16"/>
      <c r="B29" s="18"/>
      <c r="C29" s="18"/>
    </row>
    <row r="30" spans="1:20" x14ac:dyDescent="0.2">
      <c r="A30" s="17"/>
      <c r="B30" s="18"/>
      <c r="C30" s="18"/>
    </row>
    <row r="31" spans="1:20" x14ac:dyDescent="0.2">
      <c r="A31" s="16"/>
      <c r="B31" s="18"/>
      <c r="C31" s="18"/>
    </row>
    <row r="32" spans="1:20" x14ac:dyDescent="0.2">
      <c r="A32" s="17"/>
      <c r="B32" s="18"/>
      <c r="C32" s="18"/>
    </row>
    <row r="33" spans="1:3" x14ac:dyDescent="0.2">
      <c r="A33" s="16"/>
      <c r="B33" s="18"/>
      <c r="C33" s="18"/>
    </row>
    <row r="34" spans="1:3" x14ac:dyDescent="0.2">
      <c r="A34" s="17"/>
      <c r="B34" s="18"/>
      <c r="C34" s="18"/>
    </row>
    <row r="35" spans="1:3" x14ac:dyDescent="0.2">
      <c r="A35" s="16"/>
      <c r="B35" s="18"/>
      <c r="C35" s="18"/>
    </row>
    <row r="36" spans="1:3" x14ac:dyDescent="0.2">
      <c r="A36" s="17"/>
      <c r="B36" s="18"/>
      <c r="C36" s="18"/>
    </row>
    <row r="37" spans="1:3" x14ac:dyDescent="0.2">
      <c r="A37" s="16"/>
      <c r="B37" s="18"/>
      <c r="C37" s="18"/>
    </row>
  </sheetData>
  <dataConsolidate/>
  <phoneticPr fontId="1" type="noConversion"/>
  <conditionalFormatting sqref="B4:AC4">
    <cfRule type="timePeriod" dxfId="21" priority="2" timePeriod="today">
      <formula>FLOOR(B4,1)=TODAY()</formula>
    </cfRule>
  </conditionalFormatting>
  <hyperlinks>
    <hyperlink ref="C1" location="透视!C1" display="今天"/>
    <hyperlink ref="D1" location="透视!D1" display="三天"/>
    <hyperlink ref="E1" location="透视!E1" display="本周"/>
    <hyperlink ref="F1" location="透视!F1" display="三周"/>
  </hyperlinks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26"/>
  <sheetViews>
    <sheetView workbookViewId="0">
      <selection activeCell="F2" sqref="F2"/>
    </sheetView>
  </sheetViews>
  <sheetFormatPr defaultRowHeight="14.25" x14ac:dyDescent="0.2"/>
  <cols>
    <col min="1" max="1" width="9.875" bestFit="1" customWidth="1"/>
    <col min="2" max="2" width="7.5" bestFit="1" customWidth="1"/>
    <col min="3" max="3" width="20.25" bestFit="1" customWidth="1"/>
    <col min="4" max="4" width="7.25" bestFit="1" customWidth="1"/>
    <col min="5" max="5" width="17.25" bestFit="1" customWidth="1"/>
    <col min="6" max="6" width="21.875" bestFit="1" customWidth="1"/>
    <col min="7" max="7" width="14.25" bestFit="1" customWidth="1"/>
  </cols>
  <sheetData>
    <row r="1" spans="1:8" x14ac:dyDescent="0.2">
      <c r="A1" t="s">
        <v>4</v>
      </c>
      <c r="B1" t="s">
        <v>5</v>
      </c>
      <c r="C1" t="s">
        <v>383</v>
      </c>
      <c r="D1" t="s">
        <v>381</v>
      </c>
      <c r="E1" t="s">
        <v>382</v>
      </c>
      <c r="F1" t="s">
        <v>450</v>
      </c>
      <c r="G1" t="s">
        <v>380</v>
      </c>
      <c r="H1" t="s">
        <v>479</v>
      </c>
    </row>
    <row r="2" spans="1:8" x14ac:dyDescent="0.2">
      <c r="A2" t="s">
        <v>3</v>
      </c>
      <c r="B2" s="39">
        <v>43595</v>
      </c>
      <c r="C2" s="38" t="s">
        <v>384</v>
      </c>
      <c r="D2" s="38" t="s">
        <v>386</v>
      </c>
      <c r="E2" s="38" t="s">
        <v>385</v>
      </c>
      <c r="F2" s="38" t="s">
        <v>451</v>
      </c>
      <c r="G2" t="s">
        <v>387</v>
      </c>
      <c r="H2" s="38" t="s">
        <v>483</v>
      </c>
    </row>
    <row r="3" spans="1:8" x14ac:dyDescent="0.2">
      <c r="A3" t="s">
        <v>3</v>
      </c>
      <c r="B3" s="39">
        <v>43595</v>
      </c>
      <c r="C3" s="38" t="s">
        <v>384</v>
      </c>
      <c r="D3" s="38" t="s">
        <v>386</v>
      </c>
      <c r="E3" s="38" t="s">
        <v>385</v>
      </c>
      <c r="F3" s="38" t="s">
        <v>452</v>
      </c>
      <c r="G3" t="s">
        <v>387</v>
      </c>
      <c r="H3" s="38" t="s">
        <v>483</v>
      </c>
    </row>
    <row r="4" spans="1:8" x14ac:dyDescent="0.2">
      <c r="A4" t="s">
        <v>3</v>
      </c>
      <c r="B4" s="39">
        <v>43595</v>
      </c>
      <c r="C4" s="38" t="s">
        <v>384</v>
      </c>
      <c r="D4" s="38" t="s">
        <v>386</v>
      </c>
      <c r="E4" s="38" t="s">
        <v>385</v>
      </c>
      <c r="F4" s="38" t="s">
        <v>453</v>
      </c>
      <c r="G4" t="s">
        <v>387</v>
      </c>
      <c r="H4" s="38" t="s">
        <v>483</v>
      </c>
    </row>
    <row r="5" spans="1:8" hidden="1" x14ac:dyDescent="0.2">
      <c r="A5" t="s">
        <v>160</v>
      </c>
      <c r="B5" s="39">
        <v>43600</v>
      </c>
      <c r="C5" s="38" t="s">
        <v>414</v>
      </c>
      <c r="D5" s="38" t="s">
        <v>415</v>
      </c>
      <c r="E5" s="38" t="s">
        <v>416</v>
      </c>
      <c r="F5" s="38" t="s">
        <v>454</v>
      </c>
      <c r="G5" t="s">
        <v>417</v>
      </c>
      <c r="H5" s="38" t="s">
        <v>483</v>
      </c>
    </row>
    <row r="6" spans="1:8" hidden="1" x14ac:dyDescent="0.2">
      <c r="A6" t="s">
        <v>397</v>
      </c>
      <c r="B6" s="39">
        <v>43602</v>
      </c>
      <c r="C6" s="38" t="s">
        <v>398</v>
      </c>
      <c r="D6" s="38" t="s">
        <v>399</v>
      </c>
      <c r="E6" s="38" t="s">
        <v>400</v>
      </c>
      <c r="F6" s="38" t="s">
        <v>455</v>
      </c>
      <c r="G6" t="s">
        <v>401</v>
      </c>
      <c r="H6" s="38" t="s">
        <v>481</v>
      </c>
    </row>
    <row r="7" spans="1:8" hidden="1" x14ac:dyDescent="0.2">
      <c r="A7" t="s">
        <v>397</v>
      </c>
      <c r="B7" s="39">
        <v>43602</v>
      </c>
      <c r="C7" s="38" t="s">
        <v>398</v>
      </c>
      <c r="D7" s="38" t="s">
        <v>399</v>
      </c>
      <c r="E7" s="38" t="s">
        <v>400</v>
      </c>
      <c r="F7" s="38" t="s">
        <v>455</v>
      </c>
      <c r="G7" t="s">
        <v>402</v>
      </c>
      <c r="H7" s="38" t="s">
        <v>481</v>
      </c>
    </row>
    <row r="8" spans="1:8" hidden="1" x14ac:dyDescent="0.2">
      <c r="A8" t="s">
        <v>397</v>
      </c>
      <c r="B8" s="39">
        <v>43602</v>
      </c>
      <c r="C8" s="38" t="s">
        <v>398</v>
      </c>
      <c r="D8" s="38" t="s">
        <v>399</v>
      </c>
      <c r="E8" s="38" t="s">
        <v>400</v>
      </c>
      <c r="F8" s="38" t="s">
        <v>455</v>
      </c>
      <c r="G8" t="s">
        <v>403</v>
      </c>
      <c r="H8" s="38" t="s">
        <v>481</v>
      </c>
    </row>
    <row r="9" spans="1:8" hidden="1" x14ac:dyDescent="0.2">
      <c r="A9" t="s">
        <v>397</v>
      </c>
      <c r="B9" s="39">
        <v>43602</v>
      </c>
      <c r="C9" s="38" t="s">
        <v>398</v>
      </c>
      <c r="D9" s="38" t="s">
        <v>399</v>
      </c>
      <c r="E9" s="38" t="s">
        <v>400</v>
      </c>
      <c r="F9" s="38" t="s">
        <v>455</v>
      </c>
      <c r="G9" t="s">
        <v>404</v>
      </c>
      <c r="H9" s="38" t="s">
        <v>481</v>
      </c>
    </row>
    <row r="10" spans="1:8" hidden="1" x14ac:dyDescent="0.2">
      <c r="A10" t="s">
        <v>163</v>
      </c>
      <c r="B10" s="39">
        <v>43607</v>
      </c>
      <c r="C10" s="38" t="s">
        <v>408</v>
      </c>
      <c r="D10" s="38" t="s">
        <v>409</v>
      </c>
      <c r="E10" s="38" t="s">
        <v>410</v>
      </c>
      <c r="F10" s="38" t="s">
        <v>474</v>
      </c>
      <c r="G10" t="s">
        <v>478</v>
      </c>
      <c r="H10" s="38" t="s">
        <v>480</v>
      </c>
    </row>
    <row r="11" spans="1:8" hidden="1" x14ac:dyDescent="0.2">
      <c r="A11" t="s">
        <v>160</v>
      </c>
      <c r="B11" s="39">
        <v>43607</v>
      </c>
      <c r="C11" s="38" t="s">
        <v>405</v>
      </c>
      <c r="D11" s="38" t="s">
        <v>406</v>
      </c>
      <c r="E11" s="38" t="s">
        <v>407</v>
      </c>
      <c r="F11" s="38" t="s">
        <v>460</v>
      </c>
      <c r="G11" t="s">
        <v>461</v>
      </c>
      <c r="H11" s="38" t="s">
        <v>482</v>
      </c>
    </row>
    <row r="12" spans="1:8" hidden="1" x14ac:dyDescent="0.2">
      <c r="A12" t="s">
        <v>169</v>
      </c>
      <c r="B12" s="39">
        <v>43607</v>
      </c>
      <c r="C12" s="38" t="s">
        <v>405</v>
      </c>
      <c r="D12" s="38" t="s">
        <v>406</v>
      </c>
      <c r="E12" s="38" t="s">
        <v>407</v>
      </c>
      <c r="F12" s="38" t="s">
        <v>458</v>
      </c>
      <c r="G12" t="s">
        <v>459</v>
      </c>
      <c r="H12" s="38" t="s">
        <v>481</v>
      </c>
    </row>
    <row r="13" spans="1:8" hidden="1" x14ac:dyDescent="0.2">
      <c r="A13" t="s">
        <v>391</v>
      </c>
      <c r="B13" s="39">
        <v>43609</v>
      </c>
      <c r="C13" s="38" t="s">
        <v>392</v>
      </c>
      <c r="D13" s="38" t="s">
        <v>393</v>
      </c>
      <c r="E13" s="38" t="s">
        <v>394</v>
      </c>
      <c r="F13" s="38"/>
      <c r="H13" s="38"/>
    </row>
    <row r="14" spans="1:8" hidden="1" x14ac:dyDescent="0.2">
      <c r="A14" t="s">
        <v>3</v>
      </c>
      <c r="B14" s="39">
        <v>43613</v>
      </c>
      <c r="C14" s="38" t="s">
        <v>388</v>
      </c>
      <c r="D14" s="38" t="s">
        <v>389</v>
      </c>
      <c r="E14" s="38" t="s">
        <v>390</v>
      </c>
      <c r="F14" s="38"/>
      <c r="H14" s="38"/>
    </row>
    <row r="15" spans="1:8" hidden="1" x14ac:dyDescent="0.2">
      <c r="A15" t="s">
        <v>397</v>
      </c>
      <c r="B15" s="39">
        <v>43613</v>
      </c>
      <c r="C15" s="38" t="s">
        <v>418</v>
      </c>
      <c r="D15" s="38" t="s">
        <v>389</v>
      </c>
      <c r="E15" s="38" t="s">
        <v>390</v>
      </c>
      <c r="F15" s="38"/>
      <c r="H15" s="38"/>
    </row>
    <row r="16" spans="1:8" hidden="1" x14ac:dyDescent="0.2">
      <c r="A16" t="s">
        <v>3</v>
      </c>
      <c r="B16" s="39">
        <v>43613.041666666664</v>
      </c>
      <c r="C16" s="38" t="s">
        <v>388</v>
      </c>
      <c r="D16" s="38" t="s">
        <v>389</v>
      </c>
      <c r="E16" s="38" t="s">
        <v>390</v>
      </c>
      <c r="F16" s="38"/>
      <c r="H16" s="38"/>
    </row>
    <row r="17" spans="1:8" hidden="1" x14ac:dyDescent="0.2">
      <c r="A17" t="s">
        <v>169</v>
      </c>
      <c r="B17" s="39">
        <v>43614</v>
      </c>
      <c r="C17" s="38" t="s">
        <v>411</v>
      </c>
      <c r="D17" s="38" t="s">
        <v>412</v>
      </c>
      <c r="E17" s="38" t="s">
        <v>413</v>
      </c>
      <c r="F17" s="38"/>
      <c r="H17" s="38"/>
    </row>
    <row r="18" spans="1:8" hidden="1" x14ac:dyDescent="0.2">
      <c r="A18" t="s">
        <v>169</v>
      </c>
      <c r="B18" s="39">
        <v>43635</v>
      </c>
      <c r="C18" s="38" t="s">
        <v>395</v>
      </c>
      <c r="D18" s="38" t="s">
        <v>396</v>
      </c>
      <c r="E18" s="38"/>
      <c r="F18" s="38"/>
      <c r="H18" s="38"/>
    </row>
    <row r="19" spans="1:8" hidden="1" x14ac:dyDescent="0.2">
      <c r="A19" t="s">
        <v>160</v>
      </c>
      <c r="B19" s="39">
        <v>43607</v>
      </c>
      <c r="C19" s="38" t="s">
        <v>405</v>
      </c>
      <c r="D19" s="38" t="s">
        <v>406</v>
      </c>
      <c r="E19" s="38" t="s">
        <v>407</v>
      </c>
      <c r="F19" s="38" t="s">
        <v>462</v>
      </c>
      <c r="G19" t="s">
        <v>461</v>
      </c>
      <c r="H19" s="38" t="s">
        <v>483</v>
      </c>
    </row>
    <row r="20" spans="1:8" hidden="1" x14ac:dyDescent="0.2">
      <c r="A20" t="s">
        <v>3</v>
      </c>
      <c r="B20" s="39">
        <v>43616</v>
      </c>
      <c r="C20" s="38"/>
      <c r="D20" s="38"/>
      <c r="E20" s="38"/>
      <c r="F20" s="38"/>
      <c r="H20" s="38"/>
    </row>
    <row r="21" spans="1:8" hidden="1" x14ac:dyDescent="0.2">
      <c r="A21" t="s">
        <v>3</v>
      </c>
      <c r="B21" s="39">
        <v>43616.041666666664</v>
      </c>
      <c r="C21" s="38"/>
      <c r="D21" s="38"/>
      <c r="E21" s="38"/>
      <c r="F21" s="38"/>
      <c r="H21" s="38"/>
    </row>
    <row r="22" spans="1:8" hidden="1" x14ac:dyDescent="0.2">
      <c r="A22" t="s">
        <v>463</v>
      </c>
      <c r="B22" s="39">
        <v>43614</v>
      </c>
      <c r="C22" s="38" t="s">
        <v>466</v>
      </c>
      <c r="D22" s="38" t="s">
        <v>467</v>
      </c>
      <c r="E22" s="38" t="s">
        <v>468</v>
      </c>
      <c r="F22" s="38" t="s">
        <v>464</v>
      </c>
      <c r="H22" s="38"/>
    </row>
    <row r="23" spans="1:8" hidden="1" x14ac:dyDescent="0.2">
      <c r="A23" t="s">
        <v>463</v>
      </c>
      <c r="B23" s="39">
        <v>43614</v>
      </c>
      <c r="C23" s="38" t="s">
        <v>466</v>
      </c>
      <c r="D23" s="38" t="s">
        <v>467</v>
      </c>
      <c r="E23" s="38" t="s">
        <v>468</v>
      </c>
      <c r="F23" s="38" t="s">
        <v>465</v>
      </c>
      <c r="H23" s="38"/>
    </row>
    <row r="24" spans="1:8" hidden="1" x14ac:dyDescent="0.2">
      <c r="A24" t="s">
        <v>163</v>
      </c>
      <c r="B24" s="39">
        <v>43607</v>
      </c>
      <c r="C24" s="38" t="s">
        <v>408</v>
      </c>
      <c r="D24" s="38" t="s">
        <v>409</v>
      </c>
      <c r="E24" s="38" t="s">
        <v>410</v>
      </c>
      <c r="F24" s="38" t="s">
        <v>475</v>
      </c>
      <c r="G24" t="s">
        <v>478</v>
      </c>
      <c r="H24" s="38" t="s">
        <v>480</v>
      </c>
    </row>
    <row r="25" spans="1:8" hidden="1" x14ac:dyDescent="0.2">
      <c r="A25" t="s">
        <v>163</v>
      </c>
      <c r="B25" s="39">
        <v>43607</v>
      </c>
      <c r="C25" s="38" t="s">
        <v>408</v>
      </c>
      <c r="D25" s="38" t="s">
        <v>409</v>
      </c>
      <c r="E25" s="38" t="s">
        <v>410</v>
      </c>
      <c r="F25" s="38" t="s">
        <v>476</v>
      </c>
      <c r="G25" t="s">
        <v>478</v>
      </c>
      <c r="H25" s="38" t="s">
        <v>480</v>
      </c>
    </row>
    <row r="26" spans="1:8" hidden="1" x14ac:dyDescent="0.2">
      <c r="A26" t="s">
        <v>163</v>
      </c>
      <c r="B26" s="39">
        <v>43607</v>
      </c>
      <c r="C26" s="38" t="s">
        <v>408</v>
      </c>
      <c r="D26" s="38" t="s">
        <v>409</v>
      </c>
      <c r="E26" s="38" t="s">
        <v>410</v>
      </c>
      <c r="F26" s="38" t="s">
        <v>477</v>
      </c>
      <c r="G26" t="s">
        <v>498</v>
      </c>
      <c r="H26" s="38" t="s">
        <v>481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单票流程</vt:lpstr>
      <vt:lpstr>流水</vt:lpstr>
      <vt:lpstr>透视</vt:lpstr>
      <vt:lpstr>数据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咚咚呛</dc:creator>
  <cp:lastModifiedBy>yjc</cp:lastModifiedBy>
  <dcterms:created xsi:type="dcterms:W3CDTF">2019-01-28T07:14:13Z</dcterms:created>
  <dcterms:modified xsi:type="dcterms:W3CDTF">2019-05-20T05:50:33Z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FilterPivotData_1" visible="true" label="FilterPivotData" imageMso="OutlinePromoteToHeading" onAction="FilterPivotData"/>
        <mso:button idQ="doc:filterCTNNo_1" visible="true" label="filterCTNNo" imageMso="OutlineDemoteToBodyText" onAction="filterCTNNo"/>
      </mso:documentControls>
    </mso:qat>
  </mso:ribbon>
</mso:customUI>
</file>