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firstSheet="2" activeTab="2"/>
  </bookViews>
  <sheets>
    <sheet name="单票流程" sheetId="5" r:id="rId1"/>
    <sheet name="流水" sheetId="6" r:id="rId2"/>
    <sheet name="透视" sheetId="9" r:id="rId3"/>
  </sheets>
  <calcPr calcId="162913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88" i="6" l="1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287" i="6"/>
  <c r="A6" i="6" l="1"/>
  <c r="A7" i="6"/>
  <c r="A8" i="6"/>
  <c r="A9" i="6"/>
  <c r="A10" i="6"/>
  <c r="A11" i="6"/>
  <c r="A2" i="6"/>
  <c r="A3" i="6"/>
  <c r="A230" i="6" l="1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83" i="6" l="1"/>
  <c r="A280" i="6"/>
  <c r="A281" i="6"/>
  <c r="A282" i="6"/>
  <c r="A284" i="6"/>
  <c r="A98" i="6" l="1"/>
  <c r="A213" i="6" l="1"/>
  <c r="A214" i="6" l="1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12" i="6"/>
  <c r="A87" i="6" l="1"/>
  <c r="A86" i="6"/>
  <c r="A85" i="6"/>
  <c r="A84" i="6"/>
  <c r="A74" i="6"/>
  <c r="A75" i="6"/>
  <c r="A76" i="6"/>
  <c r="A77" i="6"/>
  <c r="A78" i="6"/>
  <c r="A79" i="6"/>
  <c r="A80" i="6"/>
  <c r="A81" i="6"/>
  <c r="A82" i="6"/>
  <c r="A83" i="6"/>
  <c r="A58" i="6" l="1"/>
  <c r="A279" i="6" l="1"/>
  <c r="A229" i="6"/>
  <c r="A12" i="6" l="1"/>
  <c r="A5" i="6"/>
  <c r="A4" i="6"/>
  <c r="A13" i="6"/>
  <c r="A286" i="6"/>
  <c r="A285" i="6"/>
  <c r="A161" i="6" l="1"/>
  <c r="A160" i="6"/>
  <c r="A158" i="6"/>
  <c r="A157" i="6"/>
  <c r="A154" i="6"/>
  <c r="A163" i="6"/>
  <c r="A162" i="6"/>
  <c r="A159" i="6"/>
  <c r="A156" i="6"/>
  <c r="A155" i="6"/>
  <c r="A153" i="6"/>
  <c r="A152" i="6"/>
  <c r="A151" i="6" l="1"/>
  <c r="A150" i="6"/>
  <c r="A149" i="6"/>
  <c r="A14" i="6" l="1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88" i="6"/>
  <c r="A89" i="6"/>
  <c r="A90" i="6"/>
  <c r="A91" i="6"/>
  <c r="A92" i="6"/>
  <c r="A93" i="6"/>
  <c r="A94" i="6"/>
  <c r="A95" i="6"/>
  <c r="A96" i="6"/>
  <c r="A97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228" i="6"/>
  <c r="A278" i="6"/>
</calcChain>
</file>

<file path=xl/sharedStrings.xml><?xml version="1.0" encoding="utf-8"?>
<sst xmlns="http://schemas.openxmlformats.org/spreadsheetml/2006/main" count="1294" uniqueCount="314">
  <si>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</si>
  <si>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</si>
  <si>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</si>
  <si>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</si>
  <si>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</si>
  <si>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</si>
  <si>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</si>
  <si>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</si>
  <si>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</si>
  <si>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</si>
  <si>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</si>
  <si>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主序</t>
    <phoneticPr fontId="1" type="noConversion"/>
  </si>
  <si>
    <t>从序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</si>
  <si>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</si>
  <si>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</si>
  <si>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</si>
  <si>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</si>
  <si>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</si>
  <si>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</si>
  <si>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</si>
  <si>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</si>
  <si>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</si>
  <si>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</si>
  <si>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</si>
  <si>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</si>
  <si>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</si>
  <si>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</si>
  <si>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</si>
  <si>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</si>
  <si>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</si>
  <si>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收到客户(周嘉敏)发来做箱数据(报关资料)</t>
    <phoneticPr fontId="1" type="noConversion"/>
  </si>
  <si>
    <t>收到客户(周嘉敏)做箱通知</t>
  </si>
  <si>
    <t>收到客户(周嘉敏)做箱通知</t>
    <phoneticPr fontId="1" type="noConversion"/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</si>
  <si>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</si>
  <si>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</si>
  <si>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</si>
  <si>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</si>
  <si>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</si>
  <si>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</si>
  <si>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</si>
  <si>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</si>
  <si>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</si>
  <si>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</si>
  <si>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</si>
  <si>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</si>
  <si>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</si>
  <si>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</si>
  <si>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</si>
  <si>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</si>
  <si>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</si>
  <si>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</si>
  <si>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</si>
  <si>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</si>
  <si>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收到客户(周嘉敏)确认校对稿，通知报关行(黄寅文)</t>
    <phoneticPr fontId="1" type="noConversion"/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</si>
  <si>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</si>
  <si>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</si>
  <si>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</si>
  <si>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</si>
  <si>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</si>
  <si>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</si>
  <si>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</si>
  <si>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收到报关行(黄寅文)校对稿，邮件发客户(周嘉敏)确认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</si>
  <si>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</si>
  <si>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</si>
  <si>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</si>
  <si>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</si>
  <si>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</si>
  <si>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</si>
  <si>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</si>
  <si>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</si>
  <si>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</si>
  <si>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</si>
  <si>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</si>
  <si>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</si>
  <si>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</si>
  <si>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</si>
  <si>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</si>
  <si>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</si>
  <si>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</si>
  <si>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</si>
  <si>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</si>
  <si>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</si>
  <si>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</si>
  <si>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</si>
  <si>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</si>
  <si>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</si>
  <si>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</si>
  <si>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</si>
  <si>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</si>
  <si>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</si>
  <si>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</si>
  <si>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</si>
  <si>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</si>
  <si>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</si>
  <si>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</si>
  <si>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</si>
  <si>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</si>
  <si>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</si>
  <si>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</si>
  <si>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</si>
  <si>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</si>
  <si>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</si>
  <si>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</si>
  <si>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</si>
  <si>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</si>
  <si>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</si>
  <si>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</si>
  <si>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</si>
  <si>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</si>
  <si>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</si>
  <si>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</si>
  <si>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主序</t>
    <phoneticPr fontId="1" type="noConversion"/>
  </si>
  <si>
    <t>从序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</si>
  <si>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</si>
  <si>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</si>
  <si>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</si>
  <si>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</si>
  <si>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</si>
  <si>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</si>
  <si>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</si>
  <si>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</si>
  <si>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</si>
  <si>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</si>
  <si>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</si>
  <si>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</si>
  <si>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</si>
  <si>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</si>
  <si>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</si>
  <si>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</si>
  <si>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</si>
  <si>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</si>
  <si>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</si>
  <si>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</si>
  <si>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</si>
  <si>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</si>
  <si>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</si>
  <si>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</si>
  <si>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</si>
  <si>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</si>
  <si>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</si>
  <si>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</si>
  <si>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</si>
  <si>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</si>
  <si>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</si>
  <si>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</si>
  <si>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</si>
  <si>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</si>
  <si>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</si>
  <si>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</si>
  <si>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</si>
  <si>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</si>
  <si>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</si>
  <si>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</si>
  <si>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</si>
  <si>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</si>
  <si>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</si>
  <si>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</si>
  <si>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</si>
  <si>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</si>
  <si>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</si>
  <si>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</si>
  <si>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通知发舱单</t>
    <phoneticPr fontId="1" type="noConversion"/>
  </si>
  <si>
    <t>根据港区</t>
  </si>
  <si>
    <t>根据港区</t>
    <phoneticPr fontId="1" type="noConversion"/>
  </si>
  <si>
    <t>通知进港，进港(核对数据)，通知报关，报关成功</t>
  </si>
  <si>
    <t>收到CK发来预配(做箱通知)</t>
  </si>
  <si>
    <t>收到CK发来预配(做箱通知)</t>
    <phoneticPr fontId="1" type="noConversion"/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</si>
  <si>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</si>
  <si>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</si>
  <si>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</si>
  <si>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</si>
  <si>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通知进港，进港(核对数据)，通知报关，报关成功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</si>
  <si>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</si>
  <si>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</si>
  <si>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</si>
  <si>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</si>
  <si>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</si>
  <si>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</si>
  <si>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收到车队(沈丽)装箱单和洋山提箱截图(如有)</t>
    <phoneticPr fontId="1" type="noConversion"/>
  </si>
  <si>
    <t>HMI</t>
  </si>
  <si>
    <t>KMM</t>
  </si>
  <si>
    <t>总计</t>
  </si>
  <si>
    <t>行标签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</si>
  <si>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</si>
  <si>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</si>
  <si>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</si>
  <si>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</si>
  <si>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</si>
  <si>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</si>
  <si>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</si>
  <si>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</si>
  <si>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群发装箱单和洋山提箱截图(如有)【截单时间】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</si>
  <si>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</si>
  <si>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</si>
  <si>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</si>
  <si>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</si>
  <si>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</si>
  <si>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</si>
  <si>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</si>
  <si>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</si>
  <si>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</si>
  <si>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</si>
  <si>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</si>
  <si>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</si>
  <si>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</si>
  <si>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</si>
  <si>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</si>
  <si>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</si>
  <si>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</si>
  <si>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</si>
  <si>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</si>
  <si>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</si>
  <si>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</si>
  <si>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</si>
  <si>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</si>
  <si>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</si>
  <si>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</si>
  <si>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</si>
  <si>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</si>
  <si>
    <t>ZDS</t>
    <phoneticPr fontId="1" type="noConversion"/>
  </si>
  <si>
    <t>NULL</t>
  </si>
  <si>
    <t>NULL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</si>
  <si>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</si>
  <si>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</si>
  <si>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</si>
  <si>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</si>
  <si>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</si>
  <si>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</si>
  <si>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发做箱通知</t>
    <phoneticPr fontId="1" type="noConversion"/>
  </si>
  <si>
    <t>发做箱通知</t>
    <phoneticPr fontId="1" type="noConversion"/>
  </si>
  <si>
    <t>下一步？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</si>
  <si>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</si>
  <si>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</si>
  <si>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</si>
  <si>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</si>
  <si>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</si>
  <si>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</si>
  <si>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</si>
  <si>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</si>
  <si>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</si>
  <si>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</si>
  <si>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收到工厂发来报关资料并完善(盐城大有报关资料徐琴确认一下)</t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</si>
  <si>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</si>
  <si>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</si>
  <si>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</si>
  <si>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</si>
  <si>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</si>
  <si>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</si>
  <si>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</si>
  <si>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</si>
  <si>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</si>
  <si>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</si>
  <si>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</si>
  <si>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</si>
  <si>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</si>
  <si>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</si>
  <si>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</si>
  <si>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</si>
  <si>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</si>
  <si>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</si>
  <si>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</si>
  <si>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</si>
  <si>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</si>
  <si>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</si>
  <si>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</si>
  <si>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</si>
  <si>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</si>
  <si>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</si>
  <si>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</si>
  <si>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</si>
  <si>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</si>
  <si>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</si>
  <si>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</si>
  <si>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</si>
  <si>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</si>
  <si>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</si>
  <si>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</si>
  <si>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</si>
  <si>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</si>
  <si>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</si>
  <si>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HMM Neo 下周订舱邮件</t>
    <phoneticPr fontId="1" type="noConversion"/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</si>
  <si>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</si>
  <si>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</si>
  <si>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</si>
  <si>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</si>
  <si>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</si>
  <si>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</si>
  <si>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</si>
  <si>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</si>
  <si>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</si>
  <si>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</si>
  <si>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</si>
  <si>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</si>
  <si>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</si>
  <si>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</si>
  <si>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</si>
  <si>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</si>
  <si>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</si>
  <si>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</si>
  <si>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</si>
  <si>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收到客户(孙丹/王珊)发来订舱托书(CK也收到)</t>
    <phoneticPr fontId="1" type="noConversion"/>
  </si>
  <si>
    <t>群发装箱单和洋山提箱截图(如有)【截单时间】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</si>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</sst>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00_)"/>
    <numFmt numFmtId="178" formatCode="mmdd"/>
    <numFmt numFmtId="179" formatCode="0_);[Red]\(0\)"/>
    <numFmt numFmtId="180" formatCode="m/dd\ aaa;@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177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8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8" fontId="2" fillId="0" borderId="1" xfId="0" applyNumberFormat="1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77" fontId="2" fillId="0" borderId="8" xfId="0" applyNumberFormat="1" applyFont="1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80" fontId="2" fillId="0" borderId="1" xfId="0" applyNumberFormat="1" applyFont="1" applyBorder="1">
      <alignment vertical="center"/>
    </xf>
    <xf numFmtId="180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</cellXfs>
  <cellStyles count="1">
    <cellStyle name="常规" xfId="0" builtinId="0"/>
  </cellStyles>
  <dxfs count="40">
    <dxf>
      <numFmt numFmtId="180" formatCode="m/dd\ aaa;@"/>
    </dxf>
    <dxf>
      <numFmt numFmtId="180" formatCode="m/dd\ aaa;@"/>
    </dxf>
    <dxf>
      <alignment textRotation="0" readingOrder="0"/>
    </dxf>
    <dxf>
      <alignment textRotation="255" readingOrder="0"/>
    </dxf>
    <dxf>
      <numFmt numFmtId="180" formatCode="m/dd\ aaa;@"/>
    </dxf>
    <dxf>
      <numFmt numFmtId="181" formatCode="mm/dd;@"/>
    </dxf>
    <dxf>
      <numFmt numFmtId="181" formatCode="mm/dd;@"/>
    </dxf>
    <dxf>
      <numFmt numFmtId="179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00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7" formatCode="00_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0</xdr:row>
          <xdr:rowOff>9525</xdr:rowOff>
        </xdr:from>
        <xdr:to>
          <xdr:col>10</xdr:col>
          <xdr:colOff>514350</xdr:colOff>
          <xdr:row>0</xdr:row>
          <xdr:rowOff>219075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今天计划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596.743722569445" createdVersion="6" refreshedVersion="6" minRefreshableVersion="3" recordCount="303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9">
        <s v="1 MONTH"/>
        <s v="HMI"/>
        <s v="KMM"/>
        <s v="0 WEEK"/>
        <s v="JS mobis"/>
        <s v="SC glovis"/>
        <s v="WX mobis"/>
        <s v="ZDS"/>
        <m u="1"/>
      </sharedItems>
    </cacheField>
    <cacheField name="ETD" numFmtId="178">
      <sharedItems containsDate="1" containsBlank="1" containsMixedTypes="1" minDate="2019-05-01T00:00:00" maxDate="2019-06-20T00:00:00" count="13">
        <d v="2019-05-01T00:00:00"/>
        <d v="2019-05-06T00:00:00"/>
        <d v="2019-05-08T00:00:00"/>
        <d v="2019-05-10T00:00:00"/>
        <d v="2019-05-15T00:00:00"/>
        <d v="2019-05-17T00:00:00"/>
        <d v="2019-05-22T00:00:00"/>
        <d v="2019-05-24T00:00:00"/>
        <d v="2019-05-29T00:00:00"/>
        <d v="2019-06-19T00:00:00"/>
        <s v="NULL"/>
        <m u="1"/>
        <d v="2019-05-14T00:00:00" u="1"/>
      </sharedItems>
    </cacheField>
    <cacheField name="主序" numFmtId="177">
      <sharedItems containsSemiMixedTypes="0" containsString="0" containsNumber="1" containsInteger="1" minValue="1" maxValue="8"/>
    </cacheField>
    <cacheField name="从序" numFmtId="177">
      <sharedItems containsSemiMixedTypes="0" containsString="0" containsNumber="1" containsInteger="1" minValue="1" maxValue="19"/>
    </cacheField>
    <cacheField name="内容" numFmtId="0">
      <sharedItems/>
    </cacheField>
    <cacheField name="日期" numFmtId="180">
      <sharedItems containsSemiMixedTypes="0" containsNonDate="0" containsDate="1" containsString="0" minDate="2019-04-26T00:00:00" maxDate="2019-05-30T00:00:00" count="23"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2T00:00:00"/>
        <d v="2019-04-30T00:00:00"/>
        <d v="2019-05-13T00:00:00"/>
        <d v="2019-05-15T00:00:00"/>
        <d v="2019-05-14T00:00:00"/>
        <d v="2019-05-17T00:00:00"/>
        <d v="2019-05-20T00:00:00"/>
        <d v="2019-05-16T00:00:00"/>
        <d v="2019-05-18T00:00:00"/>
        <d v="2019-05-22T00:00:00"/>
        <d v="2019-05-19T00:00:00"/>
        <d v="2019-05-21T00:00:00"/>
      </sharedItems>
    </cacheField>
    <cacheField name="状态" numFmtId="176">
      <sharedItems count="2">
        <s v="计划"/>
        <s v="OK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3">
  <r>
    <s v="0501 1 MONTH"/>
    <x v="0"/>
    <x v="0"/>
    <n v="1"/>
    <n v="1"/>
    <s v="TJ glovis当月额外费用汇总邮件"/>
    <x v="0"/>
    <x v="0"/>
    <s v="月底"/>
  </r>
  <r>
    <s v="0501 1 MONTH"/>
    <x v="0"/>
    <x v="0"/>
    <n v="1"/>
    <n v="2"/>
    <s v="CK TJ glovis有没有驳货费"/>
    <x v="0"/>
    <x v="0"/>
    <s v="月底"/>
  </r>
  <r>
    <s v="0501 HMI"/>
    <x v="1"/>
    <x v="0"/>
    <n v="1"/>
    <n v="1"/>
    <s v="做费用(对账单日期4号)，放公共盘，填月账单表，发孙丹"/>
    <x v="1"/>
    <x v="1"/>
    <m/>
  </r>
  <r>
    <s v="0501 KMM"/>
    <x v="2"/>
    <x v="0"/>
    <n v="1"/>
    <n v="1"/>
    <s v="做费用(对账单日期4号)，放公共盘，填月账单表，发孙丹"/>
    <x v="1"/>
    <x v="1"/>
    <m/>
  </r>
  <r>
    <s v="0506 0 WEEK"/>
    <x v="3"/>
    <x v="1"/>
    <n v="1"/>
    <n v="1"/>
    <s v="HMM Neo 下周订舱邮件"/>
    <x v="2"/>
    <x v="1"/>
    <s v="周一"/>
  </r>
  <r>
    <s v="0506 0 WEEK"/>
    <x v="3"/>
    <x v="1"/>
    <n v="1"/>
    <n v="2"/>
    <s v="SHA GLV WORKING PROCESS"/>
    <x v="2"/>
    <x v="1"/>
    <s v="周一"/>
  </r>
  <r>
    <s v="0506 0 WEEK"/>
    <x v="3"/>
    <x v="1"/>
    <n v="3"/>
    <n v="3"/>
    <s v="SHA GLV WORKING PROCESS"/>
    <x v="3"/>
    <x v="1"/>
    <s v="周三"/>
  </r>
  <r>
    <s v="0506 0 WEEK"/>
    <x v="3"/>
    <x v="1"/>
    <n v="5"/>
    <n v="1"/>
    <s v="TJ glovis额外费用邮件"/>
    <x v="1"/>
    <x v="1"/>
    <s v="周五"/>
  </r>
  <r>
    <s v="0506 0 WEEK"/>
    <x v="3"/>
    <x v="1"/>
    <n v="5"/>
    <n v="2"/>
    <s v="SHA GLV WORKING PROCESS"/>
    <x v="1"/>
    <x v="1"/>
    <s v="周五"/>
  </r>
  <r>
    <s v="0506 0 WEEK"/>
    <x v="3"/>
    <x v="1"/>
    <n v="5"/>
    <n v="3"/>
    <s v="TJ GLV WORKING PROCESS"/>
    <x v="1"/>
    <x v="1"/>
    <s v="周五"/>
  </r>
  <r>
    <s v="0508 HMI"/>
    <x v="1"/>
    <x v="2"/>
    <n v="1"/>
    <n v="1"/>
    <s v="做费用(对账单日期4号)，放公共盘，填月账单表，发孙丹"/>
    <x v="1"/>
    <x v="1"/>
    <m/>
  </r>
  <r>
    <s v="0508 KMM"/>
    <x v="2"/>
    <x v="2"/>
    <n v="1"/>
    <n v="1"/>
    <s v="做费用(对账单日期4号)，放公共盘，填月账单表，发孙丹"/>
    <x v="1"/>
    <x v="1"/>
    <m/>
  </r>
  <r>
    <s v="0510 JS mobis"/>
    <x v="4"/>
    <x v="3"/>
    <n v="1"/>
    <n v="1"/>
    <s v="收到客户(周嘉敏)订舱预报"/>
    <x v="4"/>
    <x v="1"/>
    <s v="一般周五发隔周"/>
  </r>
  <r>
    <s v="0510 JS mobis"/>
    <x v="4"/>
    <x v="3"/>
    <n v="2"/>
    <n v="1"/>
    <s v="收到HMM(Neo)预订舱邮件通知"/>
    <x v="5"/>
    <x v="1"/>
    <s v="一般周一发下周"/>
  </r>
  <r>
    <s v="0510 JS mobis"/>
    <x v="4"/>
    <x v="3"/>
    <n v="2"/>
    <n v="2"/>
    <s v="回复HMM(Neo)预订舱邮件"/>
    <x v="5"/>
    <x v="1"/>
    <m/>
  </r>
  <r>
    <s v="0510 JS mobis"/>
    <x v="4"/>
    <x v="3"/>
    <n v="2"/>
    <n v="3"/>
    <s v="收到HMM(Neo)预订舱确认"/>
    <x v="5"/>
    <x v="1"/>
    <s v="一般马上"/>
  </r>
  <r>
    <s v="0510 JS mobis"/>
    <x v="4"/>
    <x v="3"/>
    <n v="2"/>
    <n v="4"/>
    <s v="公共盘生成提单号"/>
    <x v="5"/>
    <x v="1"/>
    <m/>
  </r>
  <r>
    <s v="0510 JS mobis"/>
    <x v="4"/>
    <x v="3"/>
    <n v="2"/>
    <n v="5"/>
    <s v="YJC系统生成单子"/>
    <x v="5"/>
    <x v="1"/>
    <m/>
  </r>
  <r>
    <s v="0510 JS mobis"/>
    <x v="4"/>
    <x v="3"/>
    <n v="2"/>
    <n v="6"/>
    <s v="发EDI"/>
    <x v="5"/>
    <x v="1"/>
    <m/>
  </r>
  <r>
    <s v="0510 JS mobis"/>
    <x v="4"/>
    <x v="3"/>
    <n v="2"/>
    <n v="7"/>
    <s v="邮件申请放单"/>
    <x v="5"/>
    <x v="1"/>
    <m/>
  </r>
  <r>
    <s v="0510 JS mobis"/>
    <x v="4"/>
    <x v="3"/>
    <n v="2"/>
    <n v="8"/>
    <s v="收到HMM(Neo) 放单确认"/>
    <x v="6"/>
    <x v="1"/>
    <s v="一般半天内"/>
  </r>
  <r>
    <s v="0510 JS mobis"/>
    <x v="4"/>
    <x v="3"/>
    <n v="2"/>
    <n v="9"/>
    <s v="HMM网站核对订舱信息"/>
    <x v="6"/>
    <x v="1"/>
    <m/>
  </r>
  <r>
    <s v="0510 JS mobis"/>
    <x v="4"/>
    <x v="3"/>
    <n v="3"/>
    <n v="1"/>
    <s v="收到客户(周嘉敏)做箱通知"/>
    <x v="7"/>
    <x v="1"/>
    <s v="一般做箱头天一早"/>
  </r>
  <r>
    <s v="0510 JS mobis"/>
    <x v="4"/>
    <x v="3"/>
    <n v="3"/>
    <n v="2"/>
    <s v="发做箱通知邮件给车队(沈丽)"/>
    <x v="7"/>
    <x v="1"/>
    <m/>
  </r>
  <r>
    <s v="0510 JS mobis"/>
    <x v="4"/>
    <x v="3"/>
    <n v="3"/>
    <n v="3"/>
    <s v="公共盘生成提单号【如需拆单】"/>
    <x v="7"/>
    <x v="1"/>
    <m/>
  </r>
  <r>
    <s v="0510 JS mobis"/>
    <x v="4"/>
    <x v="3"/>
    <n v="3"/>
    <n v="4"/>
    <s v="YJC系统生成单子【如需拆单】"/>
    <x v="7"/>
    <x v="1"/>
    <m/>
  </r>
  <r>
    <s v="0510 JS mobis"/>
    <x v="4"/>
    <x v="3"/>
    <n v="3"/>
    <n v="5"/>
    <s v="发EDI【如需拆单】"/>
    <x v="7"/>
    <x v="1"/>
    <m/>
  </r>
  <r>
    <s v="0510 JS mobis"/>
    <x v="4"/>
    <x v="3"/>
    <n v="3"/>
    <n v="6"/>
    <s v="邮件申请放单【如需拆单】"/>
    <x v="7"/>
    <x v="1"/>
    <m/>
  </r>
  <r>
    <s v="0510 JS mobis"/>
    <x v="4"/>
    <x v="3"/>
    <n v="3"/>
    <n v="7"/>
    <s v="收到HMM(Neo) 放单确认【如需拆单】"/>
    <x v="7"/>
    <x v="1"/>
    <m/>
  </r>
  <r>
    <s v="0510 JS mobis"/>
    <x v="4"/>
    <x v="3"/>
    <n v="3"/>
    <n v="8"/>
    <s v="HMM网站核对订舱信息【如需拆单】"/>
    <x v="7"/>
    <x v="1"/>
    <m/>
  </r>
  <r>
    <s v="0510 JS mobis"/>
    <x v="4"/>
    <x v="3"/>
    <n v="4"/>
    <n v="1"/>
    <s v="收到客户(周嘉敏)发来做箱数据(报关资料)"/>
    <x v="8"/>
    <x v="1"/>
    <s v="一般做箱当天一早"/>
  </r>
  <r>
    <s v="0510 JS mobis"/>
    <x v="4"/>
    <x v="3"/>
    <n v="4"/>
    <n v="2"/>
    <s v="按报关(发票)数生成提单号【如发票数超过提单数】"/>
    <x v="8"/>
    <x v="1"/>
    <m/>
  </r>
  <r>
    <s v="0510 JS mobis"/>
    <x v="4"/>
    <x v="3"/>
    <n v="4"/>
    <n v="3"/>
    <s v="做做箱数据，QQ发车队(沈丽)"/>
    <x v="8"/>
    <x v="1"/>
    <m/>
  </r>
  <r>
    <s v="0510 JS mobis"/>
    <x v="4"/>
    <x v="3"/>
    <n v="4"/>
    <n v="4"/>
    <s v="做报关资料，扫描发报关行(黄寅文)QQ"/>
    <x v="8"/>
    <x v="1"/>
    <m/>
  </r>
  <r>
    <s v="0510 JS mobis"/>
    <x v="4"/>
    <x v="3"/>
    <n v="4"/>
    <n v="5"/>
    <s v="收到车队(沈丽)装箱单"/>
    <x v="8"/>
    <x v="1"/>
    <s v="一般马上"/>
  </r>
  <r>
    <s v="0510 JS mobis"/>
    <x v="4"/>
    <x v="3"/>
    <n v="4"/>
    <n v="6"/>
    <s v="YJC系统填截单数据，发EDI，邮件HMM(He)生成提单"/>
    <x v="8"/>
    <x v="1"/>
    <s v="注意截单时间"/>
  </r>
  <r>
    <s v="0510 JS mobis"/>
    <x v="4"/>
    <x v="3"/>
    <n v="4"/>
    <n v="7"/>
    <s v="收到HMM(He)生成提单通知"/>
    <x v="8"/>
    <x v="1"/>
    <s v="一般马上"/>
  </r>
  <r>
    <s v="0510 JS mobis"/>
    <x v="4"/>
    <x v="3"/>
    <n v="4"/>
    <n v="8"/>
    <s v="HMM网站核对提单信息"/>
    <x v="8"/>
    <x v="1"/>
    <m/>
  </r>
  <r>
    <s v="0510 JS mobis"/>
    <x v="4"/>
    <x v="3"/>
    <n v="4"/>
    <n v="9"/>
    <s v="做保函给邹师傅"/>
    <x v="8"/>
    <x v="1"/>
    <m/>
  </r>
  <r>
    <s v="0510 JS mobis"/>
    <x v="4"/>
    <x v="3"/>
    <n v="4"/>
    <n v="10"/>
    <s v="发VGM和舱单"/>
    <x v="8"/>
    <x v="1"/>
    <m/>
  </r>
  <r>
    <s v="0510 JS mobis"/>
    <x v="4"/>
    <x v="3"/>
    <n v="4"/>
    <n v="11"/>
    <s v="做ISF，发国外资料"/>
    <x v="8"/>
    <x v="1"/>
    <m/>
  </r>
  <r>
    <s v="0510 JS mobis"/>
    <x v="4"/>
    <x v="3"/>
    <n v="4"/>
    <n v="12"/>
    <s v="买保险"/>
    <x v="8"/>
    <x v="1"/>
    <m/>
  </r>
  <r>
    <s v="0510 JS mobis"/>
    <x v="4"/>
    <x v="3"/>
    <n v="4"/>
    <n v="13"/>
    <s v="盯海关网站舱单"/>
    <x v="8"/>
    <x v="1"/>
    <s v="一般两小时左右"/>
  </r>
  <r>
    <s v="0510 JS mobis"/>
    <x v="4"/>
    <x v="3"/>
    <n v="4"/>
    <n v="14"/>
    <s v="核对舱单信息"/>
    <x v="8"/>
    <x v="1"/>
    <m/>
  </r>
  <r>
    <s v="0510 JS mobis"/>
    <x v="4"/>
    <x v="3"/>
    <n v="4"/>
    <n v="15"/>
    <s v="收到报关行(黄寅文)校对稿，邮件发客户(周嘉敏)确认"/>
    <x v="8"/>
    <x v="1"/>
    <s v="一般半天内"/>
  </r>
  <r>
    <s v="0510 JS mobis"/>
    <x v="4"/>
    <x v="3"/>
    <n v="4"/>
    <n v="16"/>
    <s v="收到客户(周嘉敏)确认校对稿，通知报关行(黄寅文)"/>
    <x v="8"/>
    <x v="1"/>
    <s v="一般马上"/>
  </r>
  <r>
    <s v="0510 JS mobis"/>
    <x v="4"/>
    <x v="3"/>
    <n v="4"/>
    <n v="17"/>
    <s v="通知报关行(黄寅文)报关(开港、舱单、校对)"/>
    <x v="8"/>
    <x v="1"/>
    <m/>
  </r>
  <r>
    <s v="0510 JS mobis"/>
    <x v="4"/>
    <x v="3"/>
    <n v="4"/>
    <n v="18"/>
    <s v="收到报关成功通知"/>
    <x v="8"/>
    <x v="1"/>
    <s v="一般下班前"/>
  </r>
  <r>
    <s v="0510 JS mobis"/>
    <x v="4"/>
    <x v="3"/>
    <n v="4"/>
    <n v="19"/>
    <s v="通知车队(沈丽)可进港"/>
    <x v="8"/>
    <x v="1"/>
    <m/>
  </r>
  <r>
    <s v="0510 JS mobis"/>
    <x v="4"/>
    <x v="3"/>
    <n v="5"/>
    <n v="1"/>
    <s v="盯箱子进港"/>
    <x v="3"/>
    <x v="1"/>
    <m/>
  </r>
  <r>
    <s v="0510 JS mobis"/>
    <x v="4"/>
    <x v="3"/>
    <n v="5"/>
    <n v="2"/>
    <s v="核对进港数据"/>
    <x v="3"/>
    <x v="1"/>
    <m/>
  </r>
  <r>
    <s v="0510 JS mobis"/>
    <x v="4"/>
    <x v="3"/>
    <n v="5"/>
    <n v="3"/>
    <s v="盯海放"/>
    <x v="3"/>
    <x v="1"/>
    <m/>
  </r>
  <r>
    <s v="0510 JS mobis"/>
    <x v="4"/>
    <x v="3"/>
    <n v="5"/>
    <n v="4"/>
    <s v="盯码放"/>
    <x v="9"/>
    <x v="1"/>
    <m/>
  </r>
  <r>
    <s v="0510 JS mobis"/>
    <x v="4"/>
    <x v="3"/>
    <n v="5"/>
    <n v="5"/>
    <s v="盯配载"/>
    <x v="1"/>
    <x v="1"/>
    <m/>
  </r>
  <r>
    <s v="0510 JS mobis"/>
    <x v="4"/>
    <x v="3"/>
    <n v="6"/>
    <n v="1"/>
    <s v="做费用，发账单给谢梦婕"/>
    <x v="1"/>
    <x v="1"/>
    <m/>
  </r>
  <r>
    <s v="0510 JS mobis"/>
    <x v="4"/>
    <x v="3"/>
    <n v="7"/>
    <n v="1"/>
    <s v="船开"/>
    <x v="10"/>
    <x v="0"/>
    <m/>
  </r>
  <r>
    <s v="0510 JS mobis"/>
    <x v="4"/>
    <x v="3"/>
    <n v="8"/>
    <n v="1"/>
    <s v="放单"/>
    <x v="11"/>
    <x v="0"/>
    <s v="一般开船后两三天"/>
  </r>
  <r>
    <s v="0515 HMI"/>
    <x v="1"/>
    <x v="4"/>
    <n v="1"/>
    <n v="1"/>
    <s v="收到孙丹发来订舱托书(CK也收到)"/>
    <x v="12"/>
    <x v="1"/>
    <m/>
  </r>
  <r>
    <s v="0515 HMI"/>
    <x v="1"/>
    <x v="4"/>
    <n v="2"/>
    <n v="1"/>
    <s v="收到CK发来预配(做箱通知)"/>
    <x v="7"/>
    <x v="1"/>
    <m/>
  </r>
  <r>
    <s v="0515 HMI"/>
    <x v="1"/>
    <x v="4"/>
    <n v="3"/>
    <n v="1"/>
    <s v="收到包装厂(刘倩梅)发来包装指示书和装箱计划"/>
    <x v="1"/>
    <x v="1"/>
    <s v="一般周四"/>
  </r>
  <r>
    <s v="0515 HMI"/>
    <x v="1"/>
    <x v="4"/>
    <n v="3"/>
    <n v="2"/>
    <s v="根据装箱计划汇总包装数据，发各工厂做报关资料"/>
    <x v="9"/>
    <x v="1"/>
    <m/>
  </r>
  <r>
    <s v="0515 HMI"/>
    <x v="1"/>
    <x v="4"/>
    <n v="3"/>
    <n v="3"/>
    <s v="做做箱数据，邮件群发"/>
    <x v="1"/>
    <x v="1"/>
    <m/>
  </r>
  <r>
    <s v="0515 HMI"/>
    <x v="1"/>
    <x v="4"/>
    <n v="4"/>
    <n v="1"/>
    <s v="收到工厂发来报关资料并完善"/>
    <x v="1"/>
    <x v="0"/>
    <s v="当天至隔天"/>
  </r>
  <r>
    <s v="0515 HMI"/>
    <x v="1"/>
    <x v="4"/>
    <n v="4"/>
    <n v="3"/>
    <s v="报关资料齐了，发报关行(黄寅文)"/>
    <x v="13"/>
    <x v="0"/>
    <m/>
  </r>
  <r>
    <s v="0515 HMI"/>
    <x v="1"/>
    <x v="4"/>
    <n v="5"/>
    <n v="1"/>
    <s v="收到车队(沈丽)装箱单和洋山提箱截图(如有)"/>
    <x v="13"/>
    <x v="0"/>
    <s v="一般KMM五、HMI日"/>
  </r>
  <r>
    <s v="0515 HMI"/>
    <x v="1"/>
    <x v="4"/>
    <n v="5"/>
    <n v="2"/>
    <s v="群发装箱单和洋山提箱截图(如有)【05-13 09:00】"/>
    <x v="13"/>
    <x v="0"/>
    <s v="注意截单时间"/>
  </r>
  <r>
    <s v="0515 HMI"/>
    <x v="1"/>
    <x v="4"/>
    <n v="5"/>
    <n v="3"/>
    <s v="通知发舱单"/>
    <x v="13"/>
    <x v="0"/>
    <m/>
  </r>
  <r>
    <s v="0515 HMI"/>
    <x v="1"/>
    <x v="4"/>
    <n v="6"/>
    <n v="1"/>
    <s v="通知进港，进港(核对数据)，通知报关，报关成功"/>
    <x v="13"/>
    <x v="0"/>
    <s v="根据港区"/>
  </r>
  <r>
    <s v="0515 HMI"/>
    <x v="1"/>
    <x v="4"/>
    <n v="7"/>
    <n v="1"/>
    <s v="盯海放"/>
    <x v="13"/>
    <x v="0"/>
    <m/>
  </r>
  <r>
    <s v="0515 HMI"/>
    <x v="1"/>
    <x v="4"/>
    <n v="7"/>
    <n v="2"/>
    <s v="盯码放"/>
    <x v="13"/>
    <x v="0"/>
    <m/>
  </r>
  <r>
    <s v="0515 HMI"/>
    <x v="1"/>
    <x v="4"/>
    <n v="7"/>
    <n v="3"/>
    <s v="盯配载"/>
    <x v="13"/>
    <x v="0"/>
    <m/>
  </r>
  <r>
    <s v="0515 HMI"/>
    <x v="1"/>
    <x v="4"/>
    <n v="8"/>
    <n v="1"/>
    <s v="做费用(对账单日期4号)，放公共盘，填月账单表，发孙丹"/>
    <x v="14"/>
    <x v="0"/>
    <m/>
  </r>
  <r>
    <s v="0515 JS mobis"/>
    <x v="4"/>
    <x v="4"/>
    <n v="1"/>
    <n v="1"/>
    <s v="收到客户(周嘉敏)订舱预报"/>
    <x v="4"/>
    <x v="1"/>
    <s v="一般周五发隔周"/>
  </r>
  <r>
    <s v="0515 JS mobis"/>
    <x v="4"/>
    <x v="4"/>
    <n v="2"/>
    <n v="1"/>
    <s v="收到HMM(Neo)预订舱邮件通知"/>
    <x v="7"/>
    <x v="1"/>
    <s v="一般周一发下周"/>
  </r>
  <r>
    <s v="0515 JS mobis"/>
    <x v="4"/>
    <x v="4"/>
    <n v="2"/>
    <n v="2"/>
    <s v="回复HMM(Neo)预订舱邮件"/>
    <x v="7"/>
    <x v="1"/>
    <m/>
  </r>
  <r>
    <s v="0515 JS mobis"/>
    <x v="4"/>
    <x v="4"/>
    <n v="2"/>
    <n v="3"/>
    <s v="收到HMM(Neo)预订舱确认"/>
    <x v="7"/>
    <x v="1"/>
    <s v="一般马上"/>
  </r>
  <r>
    <s v="0515 JS mobis"/>
    <x v="4"/>
    <x v="4"/>
    <n v="2"/>
    <n v="4"/>
    <s v="公共盘生成提单号"/>
    <x v="7"/>
    <x v="1"/>
    <m/>
  </r>
  <r>
    <s v="0515 JS mobis"/>
    <x v="4"/>
    <x v="4"/>
    <n v="2"/>
    <n v="5"/>
    <s v="YJC系统生成单子"/>
    <x v="7"/>
    <x v="1"/>
    <m/>
  </r>
  <r>
    <s v="0515 JS mobis"/>
    <x v="4"/>
    <x v="4"/>
    <n v="2"/>
    <n v="6"/>
    <s v="发EDI"/>
    <x v="7"/>
    <x v="1"/>
    <m/>
  </r>
  <r>
    <s v="0515 JS mobis"/>
    <x v="4"/>
    <x v="4"/>
    <n v="2"/>
    <n v="7"/>
    <s v="邮件申请放单"/>
    <x v="8"/>
    <x v="1"/>
    <m/>
  </r>
  <r>
    <s v="0515 JS mobis"/>
    <x v="4"/>
    <x v="4"/>
    <n v="2"/>
    <n v="8"/>
    <s v="收到HMM(Neo) 放单确认"/>
    <x v="8"/>
    <x v="1"/>
    <s v="一般半天内"/>
  </r>
  <r>
    <s v="0515 JS mobis"/>
    <x v="4"/>
    <x v="4"/>
    <n v="2"/>
    <n v="9"/>
    <s v="HMM网站核对订舱信息"/>
    <x v="8"/>
    <x v="1"/>
    <m/>
  </r>
  <r>
    <s v="0515 JS mobis"/>
    <x v="4"/>
    <x v="4"/>
    <n v="3"/>
    <n v="1"/>
    <s v="收到客户（周嘉敏）取消通知邮件"/>
    <x v="9"/>
    <x v="1"/>
    <m/>
  </r>
  <r>
    <s v="0515 JS mobis"/>
    <x v="4"/>
    <x v="4"/>
    <n v="3"/>
    <n v="2"/>
    <s v="YJC系统取消"/>
    <x v="9"/>
    <x v="1"/>
    <m/>
  </r>
  <r>
    <s v="0515 JS mobis"/>
    <x v="4"/>
    <x v="4"/>
    <n v="3"/>
    <n v="3"/>
    <s v="邮件通知Neo取消"/>
    <x v="9"/>
    <x v="1"/>
    <m/>
  </r>
  <r>
    <s v="0515 JS mobis"/>
    <x v="4"/>
    <x v="4"/>
    <n v="3"/>
    <n v="4"/>
    <s v="收到HMM(Neo)确认取消"/>
    <x v="9"/>
    <x v="1"/>
    <m/>
  </r>
  <r>
    <s v="0515 KMM"/>
    <x v="2"/>
    <x v="4"/>
    <n v="1"/>
    <n v="1"/>
    <s v="收到孙丹发来订舱托书(CK也收到)"/>
    <x v="12"/>
    <x v="1"/>
    <m/>
  </r>
  <r>
    <s v="0515 KMM"/>
    <x v="2"/>
    <x v="4"/>
    <n v="2"/>
    <n v="1"/>
    <s v="收到CK发来预配(做箱通知)"/>
    <x v="8"/>
    <x v="1"/>
    <m/>
  </r>
  <r>
    <s v="0515 KMM"/>
    <x v="2"/>
    <x v="4"/>
    <n v="3"/>
    <n v="1"/>
    <s v="收到包装厂(刘倩梅)发来包装指示书和装箱计划"/>
    <x v="9"/>
    <x v="1"/>
    <s v="一般周四"/>
  </r>
  <r>
    <s v="0515 KMM"/>
    <x v="2"/>
    <x v="4"/>
    <n v="3"/>
    <n v="2"/>
    <s v="根据装箱计划汇总包装数据，发各工厂做报关资料"/>
    <x v="9"/>
    <x v="1"/>
    <m/>
  </r>
  <r>
    <s v="0515 KMM"/>
    <x v="2"/>
    <x v="4"/>
    <n v="3"/>
    <n v="3"/>
    <s v="做做箱数据，邮件群发"/>
    <x v="9"/>
    <x v="1"/>
    <m/>
  </r>
  <r>
    <s v="0515 KMM"/>
    <x v="2"/>
    <x v="4"/>
    <n v="4"/>
    <n v="1"/>
    <s v="收到工厂发来报关资料并完善"/>
    <x v="9"/>
    <x v="1"/>
    <s v="当天至隔天"/>
  </r>
  <r>
    <s v="0515 KMM"/>
    <x v="2"/>
    <x v="4"/>
    <n v="4"/>
    <n v="3"/>
    <s v="报关资料齐了，发报关行(黄寅文)"/>
    <x v="9"/>
    <x v="1"/>
    <m/>
  </r>
  <r>
    <s v="0515 KMM"/>
    <x v="2"/>
    <x v="4"/>
    <n v="5"/>
    <n v="1"/>
    <s v="收到车队(沈丽)装箱单和洋山提箱截图(如有)"/>
    <x v="1"/>
    <x v="1"/>
    <s v="一般KMM五、HMI日"/>
  </r>
  <r>
    <s v="0515 KMM"/>
    <x v="2"/>
    <x v="4"/>
    <n v="5"/>
    <n v="2"/>
    <s v="群发装箱单和洋山提箱截图(如有)【05-10 09:00】"/>
    <x v="1"/>
    <x v="1"/>
    <s v="注意截单时间"/>
  </r>
  <r>
    <s v="0515 KMM"/>
    <x v="2"/>
    <x v="4"/>
    <n v="5"/>
    <n v="3"/>
    <s v="通知发舱单"/>
    <x v="1"/>
    <x v="1"/>
    <m/>
  </r>
  <r>
    <s v="0515 KMM"/>
    <x v="2"/>
    <x v="4"/>
    <n v="5"/>
    <n v="4"/>
    <s v="收到舱单发送成功通知，核对舱单信息"/>
    <x v="1"/>
    <x v="1"/>
    <m/>
  </r>
  <r>
    <s v="0515 KMM"/>
    <x v="2"/>
    <x v="4"/>
    <n v="6"/>
    <n v="1"/>
    <s v="通知进港，进港(核对数据)，通知报关，报关成功"/>
    <x v="1"/>
    <x v="1"/>
    <s v="根据港区"/>
  </r>
  <r>
    <s v="0515 KMM"/>
    <x v="2"/>
    <x v="4"/>
    <n v="7"/>
    <n v="1"/>
    <s v="盯海放"/>
    <x v="1"/>
    <x v="1"/>
    <m/>
  </r>
  <r>
    <s v="0515 KMM"/>
    <x v="2"/>
    <x v="4"/>
    <n v="7"/>
    <n v="2"/>
    <s v="盯码放"/>
    <x v="13"/>
    <x v="0"/>
    <m/>
  </r>
  <r>
    <s v="0515 KMM"/>
    <x v="2"/>
    <x v="4"/>
    <n v="7"/>
    <n v="3"/>
    <s v="盯配载"/>
    <x v="15"/>
    <x v="0"/>
    <m/>
  </r>
  <r>
    <s v="0515 KMM"/>
    <x v="2"/>
    <x v="4"/>
    <n v="8"/>
    <n v="1"/>
    <s v="做费用(对账单日期4号)，放公共盘，填月账单表，发孙丹"/>
    <x v="14"/>
    <x v="0"/>
    <m/>
  </r>
  <r>
    <s v="0517 JS mobis"/>
    <x v="4"/>
    <x v="5"/>
    <n v="1"/>
    <n v="1"/>
    <s v="收到客户(周嘉敏)订舱预报"/>
    <x v="4"/>
    <x v="1"/>
    <s v="一般周五发隔周"/>
  </r>
  <r>
    <s v="0517 JS mobis"/>
    <x v="4"/>
    <x v="5"/>
    <n v="2"/>
    <n v="1"/>
    <s v="收到HMM(Neo)预订舱邮件通知"/>
    <x v="7"/>
    <x v="1"/>
    <s v="一般周一发下周"/>
  </r>
  <r>
    <s v="0517 JS mobis"/>
    <x v="4"/>
    <x v="5"/>
    <n v="2"/>
    <n v="2"/>
    <s v="回复HMM(Neo)预订舱邮件"/>
    <x v="7"/>
    <x v="1"/>
    <m/>
  </r>
  <r>
    <s v="0517 JS mobis"/>
    <x v="4"/>
    <x v="5"/>
    <n v="2"/>
    <n v="3"/>
    <s v="收到HMM(Neo)预订舱确认"/>
    <x v="7"/>
    <x v="1"/>
    <s v="一般马上"/>
  </r>
  <r>
    <s v="0517 JS mobis"/>
    <x v="4"/>
    <x v="5"/>
    <n v="2"/>
    <n v="4"/>
    <s v="公共盘生成提单号"/>
    <x v="7"/>
    <x v="1"/>
    <m/>
  </r>
  <r>
    <s v="0517 JS mobis"/>
    <x v="4"/>
    <x v="5"/>
    <n v="2"/>
    <n v="5"/>
    <s v="YJC系统生成单子"/>
    <x v="7"/>
    <x v="1"/>
    <m/>
  </r>
  <r>
    <s v="0517 JS mobis"/>
    <x v="4"/>
    <x v="5"/>
    <n v="2"/>
    <n v="6"/>
    <s v="发EDI"/>
    <x v="8"/>
    <x v="1"/>
    <m/>
  </r>
  <r>
    <s v="0517 JS mobis"/>
    <x v="4"/>
    <x v="5"/>
    <n v="2"/>
    <n v="7"/>
    <s v="邮件申请放单"/>
    <x v="8"/>
    <x v="1"/>
    <m/>
  </r>
  <r>
    <s v="0517 JS mobis"/>
    <x v="4"/>
    <x v="5"/>
    <n v="2"/>
    <n v="8"/>
    <s v="收到HMM(Neo) 放单确认"/>
    <x v="8"/>
    <x v="1"/>
    <s v="一般半天内"/>
  </r>
  <r>
    <s v="0517 JS mobis"/>
    <x v="4"/>
    <x v="5"/>
    <n v="2"/>
    <n v="9"/>
    <s v="HMM网站核对订舱信息"/>
    <x v="8"/>
    <x v="1"/>
    <m/>
  </r>
  <r>
    <s v="0517 JS mobis"/>
    <x v="4"/>
    <x v="5"/>
    <n v="3"/>
    <n v="1"/>
    <s v="收到客户(周嘉敏)做箱通知"/>
    <x v="13"/>
    <x v="0"/>
    <s v="一般做箱头天一早"/>
  </r>
  <r>
    <s v="0517 JS mobis"/>
    <x v="4"/>
    <x v="5"/>
    <n v="3"/>
    <n v="2"/>
    <s v="发做箱通知邮件给车队(沈丽)"/>
    <x v="13"/>
    <x v="0"/>
    <m/>
  </r>
  <r>
    <s v="0517 JS mobis"/>
    <x v="4"/>
    <x v="5"/>
    <n v="3"/>
    <n v="3"/>
    <s v="公共盘生成提单号【如需拆单】"/>
    <x v="13"/>
    <x v="0"/>
    <m/>
  </r>
  <r>
    <s v="0517 JS mobis"/>
    <x v="4"/>
    <x v="5"/>
    <n v="3"/>
    <n v="4"/>
    <s v="YJC系统生成单子【如需拆单】"/>
    <x v="13"/>
    <x v="0"/>
    <m/>
  </r>
  <r>
    <s v="0517 JS mobis"/>
    <x v="4"/>
    <x v="5"/>
    <n v="3"/>
    <n v="5"/>
    <s v="发EDI【如需拆单】"/>
    <x v="13"/>
    <x v="0"/>
    <m/>
  </r>
  <r>
    <s v="0517 JS mobis"/>
    <x v="4"/>
    <x v="5"/>
    <n v="3"/>
    <n v="6"/>
    <s v="邮件申请放单【如需拆单】"/>
    <x v="13"/>
    <x v="0"/>
    <m/>
  </r>
  <r>
    <s v="0517 JS mobis"/>
    <x v="4"/>
    <x v="5"/>
    <n v="3"/>
    <n v="7"/>
    <s v="收到HMM(Neo) 放单确认【如需拆单】"/>
    <x v="13"/>
    <x v="0"/>
    <m/>
  </r>
  <r>
    <s v="0517 JS mobis"/>
    <x v="4"/>
    <x v="5"/>
    <n v="3"/>
    <n v="8"/>
    <s v="HMM网站核对订舱信息【如需拆单】"/>
    <x v="13"/>
    <x v="0"/>
    <m/>
  </r>
  <r>
    <s v="0517 JS mobis"/>
    <x v="4"/>
    <x v="5"/>
    <n v="4"/>
    <n v="1"/>
    <s v="收到客户(周嘉敏)发来做箱数据(报关资料)"/>
    <x v="15"/>
    <x v="0"/>
    <s v="一般做箱当天一早"/>
  </r>
  <r>
    <s v="0517 JS mobis"/>
    <x v="4"/>
    <x v="5"/>
    <n v="4"/>
    <n v="2"/>
    <s v="按报关(发票)数生成提单号【如发票数超过提单数】"/>
    <x v="15"/>
    <x v="0"/>
    <m/>
  </r>
  <r>
    <s v="0517 JS mobis"/>
    <x v="4"/>
    <x v="5"/>
    <n v="4"/>
    <n v="3"/>
    <s v="做做箱数据，QQ发车队(沈丽)"/>
    <x v="15"/>
    <x v="0"/>
    <m/>
  </r>
  <r>
    <s v="0517 JS mobis"/>
    <x v="4"/>
    <x v="5"/>
    <n v="4"/>
    <n v="4"/>
    <s v="做报关资料，扫描发报关行(黄寅文)QQ"/>
    <x v="15"/>
    <x v="0"/>
    <m/>
  </r>
  <r>
    <s v="0517 JS mobis"/>
    <x v="4"/>
    <x v="5"/>
    <n v="4"/>
    <n v="5"/>
    <s v="收到车队(沈丽)装箱单"/>
    <x v="15"/>
    <x v="0"/>
    <s v="一般马上"/>
  </r>
  <r>
    <s v="0517 JS mobis"/>
    <x v="4"/>
    <x v="5"/>
    <n v="4"/>
    <n v="6"/>
    <s v="YJC系统截单，发EDI，邮件HMM(He)【5-14 12:00】"/>
    <x v="15"/>
    <x v="0"/>
    <s v="注意截单时间"/>
  </r>
  <r>
    <s v="0517 JS mobis"/>
    <x v="4"/>
    <x v="5"/>
    <n v="4"/>
    <n v="7"/>
    <s v="收到HMM(He)生成提单通知"/>
    <x v="15"/>
    <x v="0"/>
    <s v="一般马上"/>
  </r>
  <r>
    <s v="0517 JS mobis"/>
    <x v="4"/>
    <x v="5"/>
    <n v="4"/>
    <n v="8"/>
    <s v="HMM网站核对提单信息"/>
    <x v="15"/>
    <x v="0"/>
    <m/>
  </r>
  <r>
    <s v="0517 JS mobis"/>
    <x v="4"/>
    <x v="5"/>
    <n v="4"/>
    <n v="9"/>
    <s v="做保函给邹师傅"/>
    <x v="15"/>
    <x v="0"/>
    <m/>
  </r>
  <r>
    <s v="0517 JS mobis"/>
    <x v="4"/>
    <x v="5"/>
    <n v="4"/>
    <n v="10"/>
    <s v="发VGM和舱单"/>
    <x v="15"/>
    <x v="0"/>
    <m/>
  </r>
  <r>
    <s v="0517 JS mobis"/>
    <x v="4"/>
    <x v="5"/>
    <n v="4"/>
    <n v="11"/>
    <s v="做ISF，发国外资料"/>
    <x v="15"/>
    <x v="0"/>
    <m/>
  </r>
  <r>
    <s v="0517 JS mobis"/>
    <x v="4"/>
    <x v="5"/>
    <n v="4"/>
    <n v="12"/>
    <s v="买保险"/>
    <x v="15"/>
    <x v="0"/>
    <m/>
  </r>
  <r>
    <s v="0517 JS mobis"/>
    <x v="4"/>
    <x v="5"/>
    <n v="4"/>
    <n v="13"/>
    <s v="盯海关网站舱单"/>
    <x v="15"/>
    <x v="0"/>
    <s v="一般两小时左右"/>
  </r>
  <r>
    <s v="0517 JS mobis"/>
    <x v="4"/>
    <x v="5"/>
    <n v="4"/>
    <n v="14"/>
    <s v="核对舱单信息"/>
    <x v="15"/>
    <x v="0"/>
    <m/>
  </r>
  <r>
    <s v="0517 JS mobis"/>
    <x v="4"/>
    <x v="5"/>
    <n v="4"/>
    <n v="15"/>
    <s v="收到报关行(黄寅文)校对稿，邮件发客户(周嘉敏)确认"/>
    <x v="15"/>
    <x v="0"/>
    <s v="一般半天内"/>
  </r>
  <r>
    <s v="0517 JS mobis"/>
    <x v="4"/>
    <x v="5"/>
    <n v="4"/>
    <n v="16"/>
    <s v="收到客户(周嘉敏)确认校对稿，通知报关行(黄寅文)"/>
    <x v="15"/>
    <x v="0"/>
    <s v="一般马上"/>
  </r>
  <r>
    <s v="0517 JS mobis"/>
    <x v="4"/>
    <x v="5"/>
    <n v="4"/>
    <n v="17"/>
    <s v="通知报关行(黄寅文)报关(需有开港)"/>
    <x v="15"/>
    <x v="0"/>
    <m/>
  </r>
  <r>
    <s v="0517 JS mobis"/>
    <x v="4"/>
    <x v="5"/>
    <n v="4"/>
    <n v="18"/>
    <s v="收到报关成功通知"/>
    <x v="15"/>
    <x v="0"/>
    <s v="一般下班前"/>
  </r>
  <r>
    <s v="0517 JS mobis"/>
    <x v="4"/>
    <x v="5"/>
    <n v="4"/>
    <n v="19"/>
    <s v="通知车队(沈丽)可进港"/>
    <x v="15"/>
    <x v="0"/>
    <m/>
  </r>
  <r>
    <s v="0517 JS mobis"/>
    <x v="4"/>
    <x v="5"/>
    <n v="5"/>
    <n v="1"/>
    <s v="盯箱子进港"/>
    <x v="14"/>
    <x v="0"/>
    <m/>
  </r>
  <r>
    <s v="0517 JS mobis"/>
    <x v="4"/>
    <x v="5"/>
    <n v="5"/>
    <n v="2"/>
    <s v="核对进港数据"/>
    <x v="14"/>
    <x v="0"/>
    <m/>
  </r>
  <r>
    <s v="0517 JS mobis"/>
    <x v="4"/>
    <x v="5"/>
    <n v="5"/>
    <n v="3"/>
    <s v="盯海放"/>
    <x v="14"/>
    <x v="0"/>
    <m/>
  </r>
  <r>
    <s v="0517 JS mobis"/>
    <x v="4"/>
    <x v="5"/>
    <n v="5"/>
    <n v="4"/>
    <s v="盯码放"/>
    <x v="14"/>
    <x v="0"/>
    <m/>
  </r>
  <r>
    <s v="0517 JS mobis"/>
    <x v="4"/>
    <x v="5"/>
    <n v="5"/>
    <n v="5"/>
    <s v="盯配载"/>
    <x v="14"/>
    <x v="0"/>
    <m/>
  </r>
  <r>
    <s v="0517 JS mobis"/>
    <x v="4"/>
    <x v="5"/>
    <n v="6"/>
    <n v="1"/>
    <s v="做费用"/>
    <x v="16"/>
    <x v="0"/>
    <m/>
  </r>
  <r>
    <s v="0517 JS mobis"/>
    <x v="4"/>
    <x v="5"/>
    <n v="6"/>
    <n v="2"/>
    <s v="发账单"/>
    <x v="16"/>
    <x v="0"/>
    <m/>
  </r>
  <r>
    <s v="0517 JS mobis"/>
    <x v="4"/>
    <x v="5"/>
    <n v="7"/>
    <n v="1"/>
    <s v="放单"/>
    <x v="17"/>
    <x v="0"/>
    <s v="一般开船后两三天"/>
  </r>
  <r>
    <s v="0517 SC glovis"/>
    <x v="5"/>
    <x v="5"/>
    <n v="1"/>
    <n v="1"/>
    <s v="收到客户托书"/>
    <x v="8"/>
    <x v="1"/>
    <m/>
  </r>
  <r>
    <s v="0517 SC glovis"/>
    <x v="5"/>
    <x v="5"/>
    <n v="1"/>
    <n v="2"/>
    <s v="生成单号，YJC系统，发EDI，邮件Neo放舱"/>
    <x v="8"/>
    <x v="1"/>
    <m/>
  </r>
  <r>
    <s v="0517 SC glovis"/>
    <x v="5"/>
    <x v="5"/>
    <n v="2"/>
    <n v="1"/>
    <s v="收到Neo放舱确认"/>
    <x v="3"/>
    <x v="1"/>
    <m/>
  </r>
  <r>
    <s v="0517 SC glovis"/>
    <x v="5"/>
    <x v="5"/>
    <n v="2"/>
    <n v="2"/>
    <s v="发预配信息给客户（张婷）"/>
    <x v="3"/>
    <x v="1"/>
    <m/>
  </r>
  <r>
    <s v="0517 SC glovis"/>
    <x v="5"/>
    <x v="5"/>
    <n v="3"/>
    <n v="1"/>
    <s v="收到客户（张婷）报关资料"/>
    <x v="10"/>
    <x v="0"/>
    <m/>
  </r>
  <r>
    <s v="0517 SC glovis"/>
    <x v="5"/>
    <x v="5"/>
    <n v="3"/>
    <n v="2"/>
    <s v="做报关资料，发报关行（黄寅文）"/>
    <x v="10"/>
    <x v="0"/>
    <m/>
  </r>
  <r>
    <s v="0517 SC glovis"/>
    <x v="5"/>
    <x v="5"/>
    <n v="4"/>
    <n v="1"/>
    <s v="收到客户（张婷）舱单模板和VGM"/>
    <x v="13"/>
    <x v="0"/>
    <m/>
  </r>
  <r>
    <s v="0517 SC glovis"/>
    <x v="5"/>
    <x v="5"/>
    <n v="4"/>
    <n v="2"/>
    <s v="发舱单和VGM"/>
    <x v="13"/>
    <x v="0"/>
    <m/>
  </r>
  <r>
    <s v="0517 SC glovis"/>
    <x v="5"/>
    <x v="5"/>
    <n v="4"/>
    <n v="3"/>
    <s v="海关有舱单，核对舱单"/>
    <x v="13"/>
    <x v="0"/>
    <m/>
  </r>
  <r>
    <s v="0517 SC glovis"/>
    <x v="5"/>
    <x v="5"/>
    <n v="4"/>
    <n v="4"/>
    <s v="有开港，通知报关"/>
    <x v="13"/>
    <x v="0"/>
    <m/>
  </r>
  <r>
    <s v="0517 SC glovis"/>
    <x v="5"/>
    <x v="5"/>
    <n v="4"/>
    <n v="5"/>
    <s v="发提单确认（两份）"/>
    <x v="13"/>
    <x v="0"/>
    <m/>
  </r>
  <r>
    <s v="0517 SC glovis"/>
    <x v="5"/>
    <x v="5"/>
    <n v="4"/>
    <n v="6"/>
    <s v="收到报关成功通知"/>
    <x v="13"/>
    <x v="0"/>
    <m/>
  </r>
  <r>
    <s v="0517 SC glovis"/>
    <x v="5"/>
    <x v="5"/>
    <n v="4"/>
    <n v="7"/>
    <s v="通知可进港"/>
    <x v="13"/>
    <x v="0"/>
    <m/>
  </r>
  <r>
    <s v="0517 SC glovis"/>
    <x v="5"/>
    <x v="5"/>
    <n v="5"/>
    <n v="1"/>
    <s v="收到客户（张婷）提单确认"/>
    <x v="13"/>
    <x v="0"/>
    <m/>
  </r>
  <r>
    <s v="0517 SC glovis"/>
    <x v="5"/>
    <x v="5"/>
    <n v="6"/>
    <n v="1"/>
    <s v="船开"/>
    <x v="18"/>
    <x v="0"/>
    <m/>
  </r>
  <r>
    <s v="0522 JS mobis"/>
    <x v="4"/>
    <x v="6"/>
    <n v="1"/>
    <n v="1"/>
    <s v="收到客户(周嘉敏)订舱预报"/>
    <x v="1"/>
    <x v="1"/>
    <s v="一般周五发隔周"/>
  </r>
  <r>
    <s v="0522 JS mobis"/>
    <x v="4"/>
    <x v="6"/>
    <n v="1"/>
    <n v="2"/>
    <s v="填WORKING PROCESS"/>
    <x v="1"/>
    <x v="1"/>
    <m/>
  </r>
  <r>
    <s v="0522 JS mobis"/>
    <x v="4"/>
    <x v="6"/>
    <n v="2"/>
    <n v="1"/>
    <s v="收到HMM(Neo)预订舱邮件通知"/>
    <x v="10"/>
    <x v="0"/>
    <s v="一般周一发下周"/>
  </r>
  <r>
    <s v="0522 JS mobis"/>
    <x v="4"/>
    <x v="6"/>
    <n v="2"/>
    <n v="2"/>
    <s v="回复HMM(Neo)预订舱邮件"/>
    <x v="10"/>
    <x v="0"/>
    <m/>
  </r>
  <r>
    <s v="0522 JS mobis"/>
    <x v="4"/>
    <x v="6"/>
    <n v="2"/>
    <n v="3"/>
    <s v="收到HMM(Neo)预订舱确认"/>
    <x v="10"/>
    <x v="0"/>
    <s v="一般马上"/>
  </r>
  <r>
    <s v="0522 JS mobis"/>
    <x v="4"/>
    <x v="6"/>
    <n v="2"/>
    <n v="4"/>
    <s v="公共盘生成提单号"/>
    <x v="10"/>
    <x v="0"/>
    <m/>
  </r>
  <r>
    <s v="0522 JS mobis"/>
    <x v="4"/>
    <x v="6"/>
    <n v="2"/>
    <n v="5"/>
    <s v="YJC系统生成单子"/>
    <x v="10"/>
    <x v="0"/>
    <m/>
  </r>
  <r>
    <s v="0522 JS mobis"/>
    <x v="4"/>
    <x v="6"/>
    <n v="2"/>
    <n v="6"/>
    <s v="发EDI"/>
    <x v="10"/>
    <x v="0"/>
    <m/>
  </r>
  <r>
    <s v="0522 JS mobis"/>
    <x v="4"/>
    <x v="6"/>
    <n v="2"/>
    <n v="7"/>
    <s v="邮件申请放单"/>
    <x v="10"/>
    <x v="0"/>
    <m/>
  </r>
  <r>
    <s v="0522 JS mobis"/>
    <x v="4"/>
    <x v="6"/>
    <n v="2"/>
    <n v="8"/>
    <s v="收到HMM(Neo) 放单确认"/>
    <x v="10"/>
    <x v="0"/>
    <s v="一般半天内"/>
  </r>
  <r>
    <s v="0522 JS mobis"/>
    <x v="4"/>
    <x v="6"/>
    <n v="2"/>
    <n v="9"/>
    <s v="HMM网站核对订舱信息"/>
    <x v="10"/>
    <x v="0"/>
    <m/>
  </r>
  <r>
    <s v="0522 JS mobis"/>
    <x v="4"/>
    <x v="6"/>
    <n v="2"/>
    <n v="10"/>
    <s v="填WORKING PROCESS"/>
    <x v="10"/>
    <x v="0"/>
    <m/>
  </r>
  <r>
    <s v="0522 JS mobis"/>
    <x v="4"/>
    <x v="6"/>
    <n v="3"/>
    <n v="1"/>
    <s v="收到客户(周嘉敏)做箱通知"/>
    <x v="10"/>
    <x v="0"/>
    <s v="一般做箱头天一早"/>
  </r>
  <r>
    <s v="0522 JS mobis"/>
    <x v="4"/>
    <x v="6"/>
    <n v="3"/>
    <n v="2"/>
    <s v="发做箱通知邮件给车队(沈丽)"/>
    <x v="10"/>
    <x v="0"/>
    <m/>
  </r>
  <r>
    <s v="0522 JS mobis"/>
    <x v="4"/>
    <x v="6"/>
    <n v="3"/>
    <n v="3"/>
    <s v="公共盘生成提单号【如需拆单】"/>
    <x v="10"/>
    <x v="0"/>
    <m/>
  </r>
  <r>
    <s v="0522 JS mobis"/>
    <x v="4"/>
    <x v="6"/>
    <n v="3"/>
    <n v="4"/>
    <s v="YJC系统生成单子【如需拆单】"/>
    <x v="10"/>
    <x v="0"/>
    <m/>
  </r>
  <r>
    <s v="0522 JS mobis"/>
    <x v="4"/>
    <x v="6"/>
    <n v="3"/>
    <n v="5"/>
    <s v="发EDI【如需拆单】"/>
    <x v="10"/>
    <x v="0"/>
    <m/>
  </r>
  <r>
    <s v="0522 JS mobis"/>
    <x v="4"/>
    <x v="6"/>
    <n v="3"/>
    <n v="6"/>
    <s v="邮件申请放单【如需拆单】"/>
    <x v="10"/>
    <x v="0"/>
    <m/>
  </r>
  <r>
    <s v="0522 JS mobis"/>
    <x v="4"/>
    <x v="6"/>
    <n v="3"/>
    <n v="7"/>
    <s v="收到HMM(Neo) 放单确认【如需拆单】"/>
    <x v="10"/>
    <x v="0"/>
    <m/>
  </r>
  <r>
    <s v="0522 JS mobis"/>
    <x v="4"/>
    <x v="6"/>
    <n v="3"/>
    <n v="8"/>
    <s v="HMM网站核对订舱信息【如需拆单】"/>
    <x v="10"/>
    <x v="0"/>
    <m/>
  </r>
  <r>
    <s v="0522 JS mobis"/>
    <x v="4"/>
    <x v="6"/>
    <n v="4"/>
    <n v="1"/>
    <s v="收到客户(周嘉敏)发来做箱数据(报关资料)"/>
    <x v="10"/>
    <x v="0"/>
    <s v="一般做箱当天一早"/>
  </r>
  <r>
    <s v="0522 JS mobis"/>
    <x v="4"/>
    <x v="6"/>
    <n v="4"/>
    <n v="2"/>
    <s v="按报关(发票)数生成提单号【如发票数超过提单数】"/>
    <x v="10"/>
    <x v="0"/>
    <m/>
  </r>
  <r>
    <s v="0522 JS mobis"/>
    <x v="4"/>
    <x v="6"/>
    <n v="4"/>
    <n v="3"/>
    <s v="做做箱数据，QQ发车队(沈丽)"/>
    <x v="10"/>
    <x v="0"/>
    <m/>
  </r>
  <r>
    <s v="0522 JS mobis"/>
    <x v="4"/>
    <x v="6"/>
    <n v="4"/>
    <n v="4"/>
    <s v="做报关资料，扫描发报关行(黄寅文)QQ"/>
    <x v="10"/>
    <x v="0"/>
    <m/>
  </r>
  <r>
    <s v="0522 JS mobis"/>
    <x v="4"/>
    <x v="6"/>
    <n v="4"/>
    <n v="5"/>
    <s v="收到车队(沈丽)装箱单"/>
    <x v="10"/>
    <x v="0"/>
    <s v="一般马上"/>
  </r>
  <r>
    <s v="0522 JS mobis"/>
    <x v="4"/>
    <x v="6"/>
    <n v="4"/>
    <n v="6"/>
    <s v="YJC系统截单，发EDI，邮件HMM(He)【截单时间】"/>
    <x v="10"/>
    <x v="0"/>
    <s v="注意截单时间"/>
  </r>
  <r>
    <s v="0522 JS mobis"/>
    <x v="4"/>
    <x v="6"/>
    <n v="4"/>
    <n v="7"/>
    <s v="做保函给邹师傅"/>
    <x v="10"/>
    <x v="0"/>
    <m/>
  </r>
  <r>
    <s v="0522 JS mobis"/>
    <x v="4"/>
    <x v="6"/>
    <n v="4"/>
    <n v="8"/>
    <s v="发VGM和舱单"/>
    <x v="10"/>
    <x v="0"/>
    <m/>
  </r>
  <r>
    <s v="0522 JS mobis"/>
    <x v="4"/>
    <x v="6"/>
    <n v="4"/>
    <n v="9"/>
    <s v="做ISF，发国外资料"/>
    <x v="10"/>
    <x v="0"/>
    <m/>
  </r>
  <r>
    <s v="0522 JS mobis"/>
    <x v="4"/>
    <x v="6"/>
    <n v="4"/>
    <n v="10"/>
    <s v="买保险"/>
    <x v="10"/>
    <x v="0"/>
    <m/>
  </r>
  <r>
    <s v="0522 JS mobis"/>
    <x v="4"/>
    <x v="6"/>
    <n v="4"/>
    <n v="11"/>
    <s v="填WORKING PROCESS"/>
    <x v="10"/>
    <x v="0"/>
    <m/>
  </r>
  <r>
    <s v="0522 JS mobis"/>
    <x v="4"/>
    <x v="6"/>
    <n v="4"/>
    <n v="11"/>
    <s v="收到HMM(He)生成提单通知"/>
    <x v="10"/>
    <x v="0"/>
    <s v="一般马上"/>
  </r>
  <r>
    <s v="0522 JS mobis"/>
    <x v="4"/>
    <x v="6"/>
    <n v="4"/>
    <n v="12"/>
    <s v="HMM网站核对提单信息"/>
    <x v="10"/>
    <x v="0"/>
    <m/>
  </r>
  <r>
    <s v="0522 JS mobis"/>
    <x v="4"/>
    <x v="6"/>
    <n v="4"/>
    <n v="13"/>
    <s v="盯海关网站舱单"/>
    <x v="10"/>
    <x v="0"/>
    <s v="一般两小时左右"/>
  </r>
  <r>
    <s v="0522 JS mobis"/>
    <x v="4"/>
    <x v="6"/>
    <n v="4"/>
    <n v="14"/>
    <s v="核对舱单信息"/>
    <x v="10"/>
    <x v="0"/>
    <m/>
  </r>
  <r>
    <s v="0522 JS mobis"/>
    <x v="4"/>
    <x v="6"/>
    <n v="4"/>
    <n v="15"/>
    <s v="收到报关行(黄寅文)校对稿，邮件发客户(周嘉敏)确认"/>
    <x v="10"/>
    <x v="0"/>
    <s v="一般半天内"/>
  </r>
  <r>
    <s v="0522 JS mobis"/>
    <x v="4"/>
    <x v="6"/>
    <n v="4"/>
    <n v="16"/>
    <s v="收到客户(周嘉敏)确认校对稿，通知报关行(黄寅文)"/>
    <x v="10"/>
    <x v="0"/>
    <s v="一般马上"/>
  </r>
  <r>
    <s v="0522 JS mobis"/>
    <x v="4"/>
    <x v="6"/>
    <n v="4"/>
    <n v="17"/>
    <s v="通知报关行(黄寅文)报关(开港、舱单、校对)"/>
    <x v="10"/>
    <x v="0"/>
    <m/>
  </r>
  <r>
    <s v="0522 JS mobis"/>
    <x v="4"/>
    <x v="6"/>
    <n v="4"/>
    <n v="18"/>
    <s v="收到报关成功通知"/>
    <x v="10"/>
    <x v="0"/>
    <s v="一般下班前"/>
  </r>
  <r>
    <s v="0522 JS mobis"/>
    <x v="4"/>
    <x v="6"/>
    <n v="4"/>
    <n v="19"/>
    <s v="通知车队(沈丽)可进港"/>
    <x v="10"/>
    <x v="0"/>
    <m/>
  </r>
  <r>
    <s v="0522 JS mobis"/>
    <x v="4"/>
    <x v="6"/>
    <n v="5"/>
    <n v="1"/>
    <s v="盯箱子进港"/>
    <x v="10"/>
    <x v="0"/>
    <m/>
  </r>
  <r>
    <s v="0522 JS mobis"/>
    <x v="4"/>
    <x v="6"/>
    <n v="5"/>
    <n v="2"/>
    <s v="核对进港数据"/>
    <x v="10"/>
    <x v="0"/>
    <m/>
  </r>
  <r>
    <s v="0522 JS mobis"/>
    <x v="4"/>
    <x v="6"/>
    <n v="5"/>
    <n v="3"/>
    <s v="盯海放"/>
    <x v="10"/>
    <x v="0"/>
    <m/>
  </r>
  <r>
    <s v="0522 JS mobis"/>
    <x v="4"/>
    <x v="6"/>
    <n v="5"/>
    <n v="4"/>
    <s v="盯码放"/>
    <x v="10"/>
    <x v="0"/>
    <m/>
  </r>
  <r>
    <s v="0522 JS mobis"/>
    <x v="4"/>
    <x v="6"/>
    <n v="5"/>
    <n v="5"/>
    <s v="盯配载"/>
    <x v="10"/>
    <x v="0"/>
    <m/>
  </r>
  <r>
    <s v="0522 JS mobis"/>
    <x v="4"/>
    <x v="6"/>
    <n v="6"/>
    <n v="1"/>
    <s v="做费用"/>
    <x v="10"/>
    <x v="0"/>
    <m/>
  </r>
  <r>
    <s v="0522 JS mobis"/>
    <x v="4"/>
    <x v="6"/>
    <n v="6"/>
    <n v="2"/>
    <s v="发账单"/>
    <x v="10"/>
    <x v="0"/>
    <m/>
  </r>
  <r>
    <s v="0522 JS mobis"/>
    <x v="4"/>
    <x v="6"/>
    <n v="7"/>
    <n v="1"/>
    <s v="放单"/>
    <x v="10"/>
    <x v="0"/>
    <s v="一般开船后两三天"/>
  </r>
  <r>
    <s v="0522 KMM"/>
    <x v="2"/>
    <x v="6"/>
    <n v="1"/>
    <n v="1"/>
    <s v="收到孙丹发来订舱托书(CK也收到)"/>
    <x v="9"/>
    <x v="1"/>
    <m/>
  </r>
  <r>
    <s v="0522 KMM"/>
    <x v="2"/>
    <x v="6"/>
    <n v="2"/>
    <n v="1"/>
    <s v="收到CK发来预配(做箱通知)"/>
    <x v="9"/>
    <x v="1"/>
    <m/>
  </r>
  <r>
    <s v="0522 KMM"/>
    <x v="2"/>
    <x v="6"/>
    <n v="2"/>
    <n v="2"/>
    <s v="YJC系统生成单子"/>
    <x v="9"/>
    <x v="1"/>
    <m/>
  </r>
  <r>
    <s v="0522 KMM"/>
    <x v="2"/>
    <x v="6"/>
    <n v="3"/>
    <n v="1"/>
    <s v="收到包装厂(刘倩梅)发来包装指示书和装箱计划"/>
    <x v="18"/>
    <x v="0"/>
    <s v="一般周四"/>
  </r>
  <r>
    <s v="0522 KMM"/>
    <x v="2"/>
    <x v="6"/>
    <n v="3"/>
    <n v="2"/>
    <s v="根据装箱计划汇总包装数据，发各工厂做报关资料"/>
    <x v="18"/>
    <x v="0"/>
    <m/>
  </r>
  <r>
    <s v="0522 KMM"/>
    <x v="2"/>
    <x v="6"/>
    <n v="3"/>
    <n v="3"/>
    <s v="做做箱数据，邮件群发"/>
    <x v="18"/>
    <x v="0"/>
    <m/>
  </r>
  <r>
    <s v="0522 KMM"/>
    <x v="2"/>
    <x v="6"/>
    <n v="4"/>
    <n v="1"/>
    <s v="收到工厂发来报关资料并完善(盐城大有报关资料徐琴确认一下)"/>
    <x v="18"/>
    <x v="0"/>
    <s v="当天至隔天"/>
  </r>
  <r>
    <s v="0522 KMM"/>
    <x v="2"/>
    <x v="6"/>
    <n v="4"/>
    <n v="3"/>
    <s v="报关资料齐了，发报关行(黄寅文)"/>
    <x v="18"/>
    <x v="0"/>
    <m/>
  </r>
  <r>
    <s v="0522 KMM"/>
    <x v="2"/>
    <x v="6"/>
    <n v="5"/>
    <n v="1"/>
    <s v="收到车队(沈丽)装箱单和洋山提箱截图(如有)"/>
    <x v="16"/>
    <x v="0"/>
    <s v="一般KMM五、HMI日"/>
  </r>
  <r>
    <s v="0522 KMM"/>
    <x v="2"/>
    <x v="6"/>
    <n v="5"/>
    <n v="2"/>
    <s v="群发装箱单和洋山提箱截图(如有)【5-17 17:00】"/>
    <x v="16"/>
    <x v="0"/>
    <s v="注意截单时间"/>
  </r>
  <r>
    <s v="0522 KMM"/>
    <x v="2"/>
    <x v="6"/>
    <n v="5"/>
    <n v="3"/>
    <s v="通知发舱单"/>
    <x v="16"/>
    <x v="0"/>
    <m/>
  </r>
  <r>
    <s v="0522 KMM"/>
    <x v="2"/>
    <x v="6"/>
    <n v="6"/>
    <n v="1"/>
    <s v="通知进港，进港(核对数据)，通知报关，报关成功"/>
    <x v="16"/>
    <x v="0"/>
    <s v="根据港区"/>
  </r>
  <r>
    <s v="0522 KMM"/>
    <x v="2"/>
    <x v="6"/>
    <n v="7"/>
    <n v="1"/>
    <s v="盯海放"/>
    <x v="19"/>
    <x v="0"/>
    <m/>
  </r>
  <r>
    <s v="0522 KMM"/>
    <x v="2"/>
    <x v="6"/>
    <n v="7"/>
    <n v="2"/>
    <s v="盯码放"/>
    <x v="19"/>
    <x v="0"/>
    <m/>
  </r>
  <r>
    <s v="0522 KMM"/>
    <x v="2"/>
    <x v="6"/>
    <n v="7"/>
    <n v="3"/>
    <s v="盯配载"/>
    <x v="17"/>
    <x v="0"/>
    <m/>
  </r>
  <r>
    <s v="0522 KMM"/>
    <x v="2"/>
    <x v="6"/>
    <n v="8"/>
    <n v="1"/>
    <s v="做费用(对账单日期4号)，放公共盘，填月账单表，发孙丹"/>
    <x v="20"/>
    <x v="0"/>
    <m/>
  </r>
  <r>
    <s v="0522 WX mobis"/>
    <x v="6"/>
    <x v="6"/>
    <n v="1"/>
    <n v="1"/>
    <s v="发做箱通知"/>
    <x v="9"/>
    <x v="1"/>
    <m/>
  </r>
  <r>
    <s v="0522 WX mobis"/>
    <x v="6"/>
    <x v="6"/>
    <n v="1"/>
    <n v="1"/>
    <s v="下一步？"/>
    <x v="1"/>
    <x v="0"/>
    <m/>
  </r>
  <r>
    <s v="0524 JS mobis"/>
    <x v="4"/>
    <x v="7"/>
    <n v="1"/>
    <n v="1"/>
    <s v="收到客户(周嘉敏)订舱预报"/>
    <x v="1"/>
    <x v="1"/>
    <s v="一般周五发隔周"/>
  </r>
  <r>
    <s v="0524 JS mobis"/>
    <x v="4"/>
    <x v="7"/>
    <n v="1"/>
    <n v="2"/>
    <s v="填WORKING PROCESS"/>
    <x v="1"/>
    <x v="1"/>
    <m/>
  </r>
  <r>
    <s v="0524 JS mobis"/>
    <x v="4"/>
    <x v="7"/>
    <n v="2"/>
    <n v="1"/>
    <s v="收到HMM(Neo)预订舱邮件通知"/>
    <x v="10"/>
    <x v="0"/>
    <s v="一般周一发下周"/>
  </r>
  <r>
    <s v="0524 JS mobis"/>
    <x v="4"/>
    <x v="7"/>
    <n v="2"/>
    <n v="2"/>
    <s v="回复HMM(Neo)预订舱邮件"/>
    <x v="10"/>
    <x v="0"/>
    <m/>
  </r>
  <r>
    <s v="0524 JS mobis"/>
    <x v="4"/>
    <x v="7"/>
    <n v="2"/>
    <n v="3"/>
    <s v="收到HMM(Neo)预订舱确认"/>
    <x v="10"/>
    <x v="0"/>
    <s v="一般马上"/>
  </r>
  <r>
    <s v="0524 JS mobis"/>
    <x v="4"/>
    <x v="7"/>
    <n v="2"/>
    <n v="4"/>
    <s v="公共盘生成提单号"/>
    <x v="10"/>
    <x v="0"/>
    <m/>
  </r>
  <r>
    <s v="0524 JS mobis"/>
    <x v="4"/>
    <x v="7"/>
    <n v="2"/>
    <n v="5"/>
    <s v="YJC系统生成单子"/>
    <x v="10"/>
    <x v="0"/>
    <m/>
  </r>
  <r>
    <s v="0524 JS mobis"/>
    <x v="4"/>
    <x v="7"/>
    <n v="2"/>
    <n v="6"/>
    <s v="发EDI"/>
    <x v="10"/>
    <x v="0"/>
    <m/>
  </r>
  <r>
    <s v="0524 JS mobis"/>
    <x v="4"/>
    <x v="7"/>
    <n v="2"/>
    <n v="7"/>
    <s v="邮件申请放单"/>
    <x v="10"/>
    <x v="0"/>
    <m/>
  </r>
  <r>
    <s v="0524 JS mobis"/>
    <x v="4"/>
    <x v="7"/>
    <n v="2"/>
    <n v="8"/>
    <s v="收到HMM(Neo) 放单确认"/>
    <x v="10"/>
    <x v="0"/>
    <s v="一般半天内"/>
  </r>
  <r>
    <s v="0524 JS mobis"/>
    <x v="4"/>
    <x v="7"/>
    <n v="2"/>
    <n v="9"/>
    <s v="HMM网站核对订舱信息"/>
    <x v="10"/>
    <x v="0"/>
    <m/>
  </r>
  <r>
    <s v="0524 JS mobis"/>
    <x v="4"/>
    <x v="7"/>
    <n v="2"/>
    <n v="10"/>
    <s v="填WORKING PROCESS"/>
    <x v="10"/>
    <x v="0"/>
    <m/>
  </r>
  <r>
    <s v="0524 JS mobis"/>
    <x v="4"/>
    <x v="7"/>
    <n v="3"/>
    <n v="1"/>
    <s v="收到客户(周嘉敏)做箱通知"/>
    <x v="10"/>
    <x v="0"/>
    <s v="一般做箱头天一早"/>
  </r>
  <r>
    <s v="0524 JS mobis"/>
    <x v="4"/>
    <x v="7"/>
    <n v="3"/>
    <n v="2"/>
    <s v="发做箱通知邮件给车队(沈丽)"/>
    <x v="10"/>
    <x v="0"/>
    <m/>
  </r>
  <r>
    <s v="0524 JS mobis"/>
    <x v="4"/>
    <x v="7"/>
    <n v="3"/>
    <n v="3"/>
    <s v="公共盘生成提单号【如需拆单】"/>
    <x v="10"/>
    <x v="0"/>
    <m/>
  </r>
  <r>
    <s v="0524 JS mobis"/>
    <x v="4"/>
    <x v="7"/>
    <n v="3"/>
    <n v="4"/>
    <s v="YJC系统生成单子【如需拆单】"/>
    <x v="10"/>
    <x v="0"/>
    <m/>
  </r>
  <r>
    <s v="0524 JS mobis"/>
    <x v="4"/>
    <x v="7"/>
    <n v="3"/>
    <n v="5"/>
    <s v="发EDI【如需拆单】"/>
    <x v="10"/>
    <x v="0"/>
    <m/>
  </r>
  <r>
    <s v="0524 JS mobis"/>
    <x v="4"/>
    <x v="7"/>
    <n v="3"/>
    <n v="6"/>
    <s v="邮件申请放单【如需拆单】"/>
    <x v="10"/>
    <x v="0"/>
    <m/>
  </r>
  <r>
    <s v="0524 JS mobis"/>
    <x v="4"/>
    <x v="7"/>
    <n v="3"/>
    <n v="7"/>
    <s v="收到HMM(Neo) 放单确认【如需拆单】"/>
    <x v="10"/>
    <x v="0"/>
    <m/>
  </r>
  <r>
    <s v="0524 JS mobis"/>
    <x v="4"/>
    <x v="7"/>
    <n v="3"/>
    <n v="8"/>
    <s v="HMM网站核对订舱信息【如需拆单】"/>
    <x v="10"/>
    <x v="0"/>
    <m/>
  </r>
  <r>
    <s v="0524 JS mobis"/>
    <x v="4"/>
    <x v="7"/>
    <n v="4"/>
    <n v="1"/>
    <s v="收到客户(周嘉敏)发来做箱数据(报关资料)"/>
    <x v="10"/>
    <x v="0"/>
    <s v="一般做箱当天一早"/>
  </r>
  <r>
    <s v="0524 JS mobis"/>
    <x v="4"/>
    <x v="7"/>
    <n v="4"/>
    <n v="2"/>
    <s v="按报关(发票)数生成提单号【如发票数超过提单数】"/>
    <x v="10"/>
    <x v="0"/>
    <m/>
  </r>
  <r>
    <s v="0524 JS mobis"/>
    <x v="4"/>
    <x v="7"/>
    <n v="4"/>
    <n v="3"/>
    <s v="做做箱数据，QQ发车队(沈丽)"/>
    <x v="10"/>
    <x v="0"/>
    <m/>
  </r>
  <r>
    <s v="0524 JS mobis"/>
    <x v="4"/>
    <x v="7"/>
    <n v="4"/>
    <n v="4"/>
    <s v="做报关资料，扫描发报关行(黄寅文)QQ"/>
    <x v="10"/>
    <x v="0"/>
    <m/>
  </r>
  <r>
    <s v="0524 JS mobis"/>
    <x v="4"/>
    <x v="7"/>
    <n v="4"/>
    <n v="5"/>
    <s v="收到车队(沈丽)装箱单"/>
    <x v="10"/>
    <x v="0"/>
    <s v="一般马上"/>
  </r>
  <r>
    <s v="0524 JS mobis"/>
    <x v="4"/>
    <x v="7"/>
    <n v="4"/>
    <n v="6"/>
    <s v="YJC系统截单，发EDI，邮件HMM(He)【截单时间】"/>
    <x v="10"/>
    <x v="0"/>
    <s v="注意截单时间"/>
  </r>
  <r>
    <s v="0524 JS mobis"/>
    <x v="4"/>
    <x v="7"/>
    <n v="4"/>
    <n v="7"/>
    <s v="做保函给邹师傅"/>
    <x v="10"/>
    <x v="0"/>
    <m/>
  </r>
  <r>
    <s v="0524 JS mobis"/>
    <x v="4"/>
    <x v="7"/>
    <n v="4"/>
    <n v="8"/>
    <s v="发VGM和舱单"/>
    <x v="10"/>
    <x v="0"/>
    <m/>
  </r>
  <r>
    <s v="0524 JS mobis"/>
    <x v="4"/>
    <x v="7"/>
    <n v="4"/>
    <n v="9"/>
    <s v="做ISF，发国外资料"/>
    <x v="10"/>
    <x v="0"/>
    <m/>
  </r>
  <r>
    <s v="0524 JS mobis"/>
    <x v="4"/>
    <x v="7"/>
    <n v="4"/>
    <n v="10"/>
    <s v="买保险"/>
    <x v="10"/>
    <x v="0"/>
    <m/>
  </r>
  <r>
    <s v="0524 JS mobis"/>
    <x v="4"/>
    <x v="7"/>
    <n v="4"/>
    <n v="11"/>
    <s v="填WORKING PROCESS"/>
    <x v="10"/>
    <x v="0"/>
    <m/>
  </r>
  <r>
    <s v="0524 JS mobis"/>
    <x v="4"/>
    <x v="7"/>
    <n v="4"/>
    <n v="11"/>
    <s v="收到HMM(He)生成提单通知"/>
    <x v="10"/>
    <x v="0"/>
    <s v="一般马上"/>
  </r>
  <r>
    <s v="0524 JS mobis"/>
    <x v="4"/>
    <x v="7"/>
    <n v="4"/>
    <n v="12"/>
    <s v="HMM网站核对提单信息"/>
    <x v="10"/>
    <x v="0"/>
    <m/>
  </r>
  <r>
    <s v="0524 JS mobis"/>
    <x v="4"/>
    <x v="7"/>
    <n v="4"/>
    <n v="13"/>
    <s v="盯海关网站舱单"/>
    <x v="10"/>
    <x v="0"/>
    <s v="一般两小时左右"/>
  </r>
  <r>
    <s v="0524 JS mobis"/>
    <x v="4"/>
    <x v="7"/>
    <n v="4"/>
    <n v="14"/>
    <s v="核对舱单信息"/>
    <x v="10"/>
    <x v="0"/>
    <m/>
  </r>
  <r>
    <s v="0524 JS mobis"/>
    <x v="4"/>
    <x v="7"/>
    <n v="4"/>
    <n v="15"/>
    <s v="收到报关行(黄寅文)校对稿，邮件发客户(周嘉敏)确认"/>
    <x v="10"/>
    <x v="0"/>
    <s v="一般半天内"/>
  </r>
  <r>
    <s v="0524 JS mobis"/>
    <x v="4"/>
    <x v="7"/>
    <n v="4"/>
    <n v="16"/>
    <s v="收到客户(周嘉敏)确认校对稿，通知报关行(黄寅文)"/>
    <x v="10"/>
    <x v="0"/>
    <s v="一般马上"/>
  </r>
  <r>
    <s v="0524 JS mobis"/>
    <x v="4"/>
    <x v="7"/>
    <n v="4"/>
    <n v="17"/>
    <s v="通知报关行(黄寅文)报关(开港、舱单、校对)"/>
    <x v="10"/>
    <x v="0"/>
    <m/>
  </r>
  <r>
    <s v="0524 JS mobis"/>
    <x v="4"/>
    <x v="7"/>
    <n v="4"/>
    <n v="18"/>
    <s v="收到报关成功通知"/>
    <x v="10"/>
    <x v="0"/>
    <s v="一般下班前"/>
  </r>
  <r>
    <s v="0524 JS mobis"/>
    <x v="4"/>
    <x v="7"/>
    <n v="4"/>
    <n v="19"/>
    <s v="通知车队(沈丽)可进港"/>
    <x v="10"/>
    <x v="0"/>
    <m/>
  </r>
  <r>
    <s v="0524 JS mobis"/>
    <x v="4"/>
    <x v="7"/>
    <n v="5"/>
    <n v="1"/>
    <s v="盯箱子进港"/>
    <x v="10"/>
    <x v="0"/>
    <m/>
  </r>
  <r>
    <s v="0524 JS mobis"/>
    <x v="4"/>
    <x v="7"/>
    <n v="5"/>
    <n v="2"/>
    <s v="核对进港数据"/>
    <x v="10"/>
    <x v="0"/>
    <m/>
  </r>
  <r>
    <s v="0524 JS mobis"/>
    <x v="4"/>
    <x v="7"/>
    <n v="5"/>
    <n v="3"/>
    <s v="盯海放"/>
    <x v="10"/>
    <x v="0"/>
    <m/>
  </r>
  <r>
    <s v="0524 JS mobis"/>
    <x v="4"/>
    <x v="7"/>
    <n v="5"/>
    <n v="4"/>
    <s v="盯码放"/>
    <x v="10"/>
    <x v="0"/>
    <m/>
  </r>
  <r>
    <s v="0524 JS mobis"/>
    <x v="4"/>
    <x v="7"/>
    <n v="5"/>
    <n v="5"/>
    <s v="盯配载"/>
    <x v="10"/>
    <x v="0"/>
    <m/>
  </r>
  <r>
    <s v="0524 JS mobis"/>
    <x v="4"/>
    <x v="7"/>
    <n v="6"/>
    <n v="1"/>
    <s v="做费用"/>
    <x v="10"/>
    <x v="0"/>
    <m/>
  </r>
  <r>
    <s v="0524 JS mobis"/>
    <x v="4"/>
    <x v="7"/>
    <n v="6"/>
    <n v="2"/>
    <s v="发账单"/>
    <x v="10"/>
    <x v="0"/>
    <m/>
  </r>
  <r>
    <s v="0524 JS mobis"/>
    <x v="4"/>
    <x v="7"/>
    <n v="7"/>
    <n v="1"/>
    <s v="放单"/>
    <x v="10"/>
    <x v="0"/>
    <s v="一般开船后两三天"/>
  </r>
  <r>
    <s v="0529 WX mobis"/>
    <x v="6"/>
    <x v="8"/>
    <n v="1"/>
    <n v="1"/>
    <s v="发做箱通知"/>
    <x v="9"/>
    <x v="1"/>
    <m/>
  </r>
  <r>
    <s v="0529 WX mobis"/>
    <x v="6"/>
    <x v="8"/>
    <n v="1"/>
    <n v="1"/>
    <s v="下一步？"/>
    <x v="1"/>
    <x v="0"/>
    <m/>
  </r>
  <r>
    <s v="0619 WX mobis"/>
    <x v="6"/>
    <x v="9"/>
    <n v="1"/>
    <n v="1"/>
    <s v="收到胡媛媛发来订舱邮件"/>
    <x v="1"/>
    <x v="1"/>
    <m/>
  </r>
  <r>
    <s v="0619 WX mobis"/>
    <x v="6"/>
    <x v="9"/>
    <n v="1"/>
    <n v="2"/>
    <s v="发订舱托书给万恒（翁小姐）"/>
    <x v="1"/>
    <x v="1"/>
    <m/>
  </r>
  <r>
    <s v="0619 WX mobis"/>
    <x v="6"/>
    <x v="9"/>
    <n v="2"/>
    <n v="1"/>
    <s v="收到万恒（翁小姐）预配"/>
    <x v="1"/>
    <x v="1"/>
    <s v="一般三小时左右"/>
  </r>
  <r>
    <s v="0619 WX mobis"/>
    <x v="6"/>
    <x v="9"/>
    <n v="2"/>
    <n v="2"/>
    <s v="通知胡媛媛订舱成功"/>
    <x v="1"/>
    <x v="1"/>
    <m/>
  </r>
  <r>
    <s v="0619 WX mobis"/>
    <x v="6"/>
    <x v="9"/>
    <n v="2"/>
    <n v="3"/>
    <s v="发做箱通知邮件给车队(沈丽)"/>
    <x v="1"/>
    <x v="0"/>
    <m/>
  </r>
  <r>
    <s v="NULLZDS"/>
    <x v="7"/>
    <x v="10"/>
    <n v="1"/>
    <n v="1"/>
    <s v="汇总 WORKING PROCESS"/>
    <x v="1"/>
    <x v="0"/>
    <m/>
  </r>
  <r>
    <s v="NULLZDS"/>
    <x v="7"/>
    <x v="10"/>
    <n v="2"/>
    <n v="1"/>
    <s v="整理HMI KMM 费用"/>
    <x v="9"/>
    <x v="1"/>
    <m/>
  </r>
  <r>
    <s v="0522 HMI"/>
    <x v="1"/>
    <x v="6"/>
    <n v="1"/>
    <n v="1"/>
    <s v="收到客户(孙丹/王珊)发来订舱托书(CK也收到)"/>
    <x v="1"/>
    <x v="1"/>
    <m/>
  </r>
  <r>
    <s v="0522 HMI"/>
    <x v="1"/>
    <x v="6"/>
    <n v="2"/>
    <n v="1"/>
    <s v="收到CK发来预配(做箱通知)"/>
    <x v="1"/>
    <x v="0"/>
    <m/>
  </r>
  <r>
    <s v="0522 HMI"/>
    <x v="1"/>
    <x v="6"/>
    <n v="1"/>
    <n v="2"/>
    <s v="YJC系统生成单子"/>
    <x v="1"/>
    <x v="1"/>
    <m/>
  </r>
  <r>
    <s v="0522 HMI"/>
    <x v="1"/>
    <x v="6"/>
    <n v="3"/>
    <n v="1"/>
    <s v="收到包装厂(刘倩梅)发来包装指示书和装箱计划"/>
    <x v="18"/>
    <x v="0"/>
    <s v="一般周四"/>
  </r>
  <r>
    <s v="0522 HMI"/>
    <x v="1"/>
    <x v="6"/>
    <n v="3"/>
    <n v="2"/>
    <s v="根据装箱计划汇总包装数据，发各工厂做报关资料"/>
    <x v="18"/>
    <x v="0"/>
    <m/>
  </r>
  <r>
    <s v="0522 HMI"/>
    <x v="1"/>
    <x v="6"/>
    <n v="3"/>
    <n v="3"/>
    <s v="做做箱数据，邮件群发"/>
    <x v="18"/>
    <x v="0"/>
    <m/>
  </r>
  <r>
    <s v="0522 HMI"/>
    <x v="1"/>
    <x v="6"/>
    <n v="4"/>
    <n v="1"/>
    <s v="收到工厂发来报关资料并完善(做报关资料跟客户确认)"/>
    <x v="18"/>
    <x v="0"/>
    <s v="当天至隔天"/>
  </r>
  <r>
    <s v="0522 HMI"/>
    <x v="1"/>
    <x v="6"/>
    <n v="4"/>
    <n v="3"/>
    <s v="报关资料齐了，发报关行(黄寅文)"/>
    <x v="18"/>
    <x v="0"/>
    <m/>
  </r>
  <r>
    <s v="0522 HMI"/>
    <x v="1"/>
    <x v="6"/>
    <n v="5"/>
    <n v="1"/>
    <s v="收到车队(沈丽)装箱单和洋山提箱截图(如有)"/>
    <x v="21"/>
    <x v="0"/>
    <s v="一般KMM五、HMI日"/>
  </r>
  <r>
    <s v="0522 HMI"/>
    <x v="1"/>
    <x v="6"/>
    <n v="5"/>
    <n v="2"/>
    <s v="群发装箱单和洋山提箱截图(如有)【截单时间】"/>
    <x v="21"/>
    <x v="0"/>
    <s v="注意截单时间"/>
  </r>
  <r>
    <s v="0522 HMI"/>
    <x v="1"/>
    <x v="6"/>
    <n v="5"/>
    <n v="3"/>
    <s v="通知发舱单"/>
    <x v="17"/>
    <x v="0"/>
    <m/>
  </r>
  <r>
    <s v="0522 HMI"/>
    <x v="1"/>
    <x v="6"/>
    <n v="5"/>
    <n v="4"/>
    <s v="收到舱单发送成功通知，核对舱单信息"/>
    <x v="17"/>
    <x v="0"/>
    <m/>
  </r>
  <r>
    <s v="0522 HMI"/>
    <x v="1"/>
    <x v="6"/>
    <n v="6"/>
    <n v="1"/>
    <s v="通知进港，进港(核对数据)，通知报关，报关成功"/>
    <x v="17"/>
    <x v="0"/>
    <s v="根据港区"/>
  </r>
  <r>
    <s v="0522 HMI"/>
    <x v="1"/>
    <x v="6"/>
    <n v="7"/>
    <n v="1"/>
    <s v="盯海放"/>
    <x v="17"/>
    <x v="0"/>
    <m/>
  </r>
  <r>
    <s v="0522 HMI"/>
    <x v="1"/>
    <x v="6"/>
    <n v="7"/>
    <n v="2"/>
    <s v="盯码放"/>
    <x v="17"/>
    <x v="0"/>
    <m/>
  </r>
  <r>
    <s v="0522 HMI"/>
    <x v="1"/>
    <x v="6"/>
    <n v="7"/>
    <n v="3"/>
    <s v="盯配载"/>
    <x v="22"/>
    <x v="0"/>
    <m/>
  </r>
  <r>
    <s v="0522 HMI"/>
    <x v="1"/>
    <x v="6"/>
    <n v="7"/>
    <n v="4"/>
    <s v="盯船开"/>
    <x v="20"/>
    <x v="0"/>
    <m/>
  </r>
  <r>
    <s v="0522 HMI"/>
    <x v="1"/>
    <x v="6"/>
    <n v="8"/>
    <n v="1"/>
    <s v="做费用(对账单日期4号)，放公共盘，填月账单表，发孙丹"/>
    <x v="2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4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colHeaderCaption="列">
  <location ref="A3:D20" firstHeaderRow="1" firstDataRow="2" firstDataCol="1" rowPageCount="1" colPageCount="1"/>
  <pivotFields count="9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defaultSubtotal="0">
      <items count="9">
        <item x="3"/>
        <item x="0"/>
        <item x="1"/>
        <item x="4"/>
        <item x="2"/>
        <item x="5"/>
        <item x="6"/>
        <item x="7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8" showAll="0" sortType="ascending" defaultSubtotal="0">
      <items count="13">
        <item x="10"/>
        <item x="0"/>
        <item x="1"/>
        <item x="2"/>
        <item x="3"/>
        <item m="1" x="12"/>
        <item x="4"/>
        <item x="5"/>
        <item x="6"/>
        <item x="7"/>
        <item x="8"/>
        <item x="9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umFmtId="177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howAll="0" sortType="ascending" defaultSubtotal="0">
      <items count="23">
        <item x="4"/>
        <item x="5"/>
        <item x="6"/>
        <item x="12"/>
        <item x="2"/>
        <item x="7"/>
        <item x="8"/>
        <item x="3"/>
        <item x="9"/>
        <item x="1"/>
        <item x="10"/>
        <item x="11"/>
        <item x="13"/>
        <item x="15"/>
        <item x="14"/>
        <item x="18"/>
        <item x="16"/>
        <item x="19"/>
        <item x="21"/>
        <item x="17"/>
        <item x="22"/>
        <item x="2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16">
    <i>
      <x v="2"/>
    </i>
    <i r="1">
      <x v="6"/>
    </i>
    <i r="1">
      <x v="8"/>
    </i>
    <i>
      <x v="3"/>
    </i>
    <i r="1">
      <x v="4"/>
    </i>
    <i r="1">
      <x v="8"/>
    </i>
    <i r="1">
      <x v="9"/>
    </i>
    <i>
      <x v="5"/>
    </i>
    <i r="1">
      <x v="7"/>
    </i>
    <i>
      <x v="6"/>
    </i>
    <i r="1">
      <x v="8"/>
    </i>
    <i r="1">
      <x v="10"/>
    </i>
    <i r="1">
      <x v="11"/>
    </i>
    <i>
      <x v="7"/>
    </i>
    <i r="1">
      <x/>
    </i>
    <i t="grand">
      <x/>
    </i>
  </rowItems>
  <colFields count="1">
    <field x="6"/>
  </colFields>
  <colItems count="3">
    <i>
      <x v="9"/>
    </i>
    <i>
      <x v="10"/>
    </i>
    <i>
      <x v="11"/>
    </i>
  </colItems>
  <pageFields count="1">
    <pageField fld="7" item="1" hier="-1"/>
  </pageFields>
  <dataFields count="1">
    <dataField name="计数项:日期" fld="6" subtotal="count" baseField="0" baseItem="0"/>
  </dataFields>
  <formats count="10"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dataOnly="0" labelOnly="1" fieldPosition="0">
        <references count="1">
          <reference field="6" count="11">
            <x v="9"/>
            <x v="10"/>
            <x v="11"/>
            <x v="12"/>
            <x v="13"/>
            <x v="14"/>
            <x v="15"/>
            <x v="16"/>
            <x v="17"/>
            <x v="19"/>
            <x v="21"/>
          </reference>
        </references>
      </pivotArea>
    </format>
    <format dxfId="5">
      <pivotArea dataOnly="0" labelOnly="1" fieldPosition="0">
        <references count="1">
          <reference field="6" count="1">
            <x v="22"/>
          </reference>
        </references>
      </pivotArea>
    </format>
    <format dxfId="4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3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2">
      <pivotArea dataOnly="0" labelOnly="1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9"/>
            <x v="21"/>
            <x v="22"/>
          </reference>
        </references>
      </pivotArea>
    </format>
    <format dxfId="1">
      <pivotArea dataOnly="0" labelOnly="1" fieldPosition="0">
        <references count="1">
          <reference field="6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0">
      <pivotArea dataOnly="0" labelOnly="1" fieldPosition="0">
        <references count="1">
          <reference field="6" count="5">
            <x v="18"/>
            <x v="19"/>
            <x v="20"/>
            <x v="21"/>
            <x v="22"/>
          </reference>
        </references>
      </pivotArea>
    </format>
  </formats>
  <pivotTableStyleInfo name="PivotStyleMedium9" showRowHeaders="1" showColHeaders="1" showRowStripes="0" showColStripes="1" showLastColumn="1"/>
  <filters count="1">
    <filter fld="6" type="dateOlderThan" evalOrder="-1" id="1">
      <autoFilter ref="A1">
        <filterColumn colId="0">
          <customFilters>
            <customFilter operator="lessThan" val="4359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表1" displayName="表1" ref="A1:H80" totalsRowShown="0" headerRowDxfId="35" dataDxfId="34">
  <autoFilter ref="A1:H80">
    <filterColumn colId="0">
      <filters>
        <filter val="KMM HMI"/>
      </filters>
    </filterColumn>
  </autoFilter>
  <tableColumns count="8">
    <tableColumn id="1" name="项目" dataDxfId="33"/>
    <tableColumn id="2" name="ETD" dataDxfId="32"/>
    <tableColumn id="8" name="主序" dataDxfId="31"/>
    <tableColumn id="3" name="从序" dataDxfId="30"/>
    <tableColumn id="4" name="内容" dataDxfId="29"/>
    <tableColumn id="5" name="日期" dataDxfId="28"/>
    <tableColumn id="6" name="状态" dataDxfId="27"/>
    <tableColumn id="7" name="备注" dataDxfId="2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304" totalsRowShown="0" headerRowDxfId="23" dataDxfId="21" headerRowBorderDxfId="22" tableBorderDxfId="20" totalsRowBorderDxfId="19">
  <autoFilter ref="A1:I304">
    <filterColumn colId="6">
      <dynamicFilter type="today" val="43596" maxVal="43597"/>
    </filterColumn>
    <filterColumn colId="7">
      <filters>
        <filter val="计划"/>
      </filters>
    </filterColumn>
  </autoFilter>
  <tableColumns count="9">
    <tableColumn id="17" name="列1" dataDxfId="18">
      <calculatedColumnFormula>TEXT(表3[[#This Row],[ETD]],"mmdd ")&amp;表3[[#This Row],[项目]]</calculatedColumnFormula>
    </tableColumn>
    <tableColumn id="1" name="项目" dataDxfId="17"/>
    <tableColumn id="2" name="ETD" dataDxfId="16"/>
    <tableColumn id="3" name="主序" dataDxfId="15"/>
    <tableColumn id="4" name="从序" dataDxfId="14"/>
    <tableColumn id="5" name="内容" dataDxfId="13"/>
    <tableColumn id="6" name="日期" dataDxfId="12"/>
    <tableColumn id="7" name="状态" dataDxfId="11"/>
    <tableColumn id="8" name="备注" dataDxfId="1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0"/>
  <sheetViews>
    <sheetView workbookViewId="0">
      <selection activeCell="G89" sqref="G89"/>
    </sheetView>
  </sheetViews>
  <sheetFormatPr defaultRowHeight="14.25" x14ac:dyDescent="0.2"/>
  <cols>
    <col min="1" max="1" width="8.625" bestFit="1" customWidth="1"/>
    <col min="2" max="2" width="6.875" bestFit="1" customWidth="1"/>
    <col min="3" max="4" width="7.25" bestFit="1" customWidth="1"/>
    <col min="5" max="5" width="48.5" bestFit="1" customWidth="1"/>
    <col min="6" max="7" width="7.25" bestFit="1" customWidth="1"/>
    <col min="8" max="8" width="17.25" bestFit="1" customWidth="1"/>
  </cols>
  <sheetData>
    <row r="1" spans="1:8" x14ac:dyDescent="0.2">
      <c r="A1" s="1" t="s">
        <v>4</v>
      </c>
      <c r="B1" s="1" t="s">
        <v>5</v>
      </c>
      <c r="C1" s="1" t="s">
        <v>11</v>
      </c>
      <c r="D1" s="1" t="s">
        <v>12</v>
      </c>
      <c r="E1" s="1" t="s">
        <v>6</v>
      </c>
      <c r="F1" s="1" t="s">
        <v>0</v>
      </c>
      <c r="G1" s="1" t="s">
        <v>256</v>
      </c>
      <c r="H1" s="1" t="s">
        <v>115</v>
      </c>
    </row>
    <row r="2" spans="1:8" hidden="1" x14ac:dyDescent="0.2">
      <c r="A2" s="1" t="s">
        <v>292</v>
      </c>
      <c r="B2" s="2"/>
      <c r="C2" s="3">
        <v>1</v>
      </c>
      <c r="D2" s="3">
        <v>1</v>
      </c>
      <c r="E2" s="1" t="s">
        <v>280</v>
      </c>
      <c r="F2" s="1"/>
      <c r="G2" s="1" t="s">
        <v>281</v>
      </c>
      <c r="H2" s="1" t="s">
        <v>283</v>
      </c>
    </row>
    <row r="3" spans="1:8" hidden="1" x14ac:dyDescent="0.2">
      <c r="A3" s="1" t="s">
        <v>292</v>
      </c>
      <c r="B3" s="2"/>
      <c r="C3" s="3">
        <v>1</v>
      </c>
      <c r="D3" s="3">
        <v>2</v>
      </c>
      <c r="E3" s="1" t="s">
        <v>285</v>
      </c>
      <c r="F3" s="1"/>
      <c r="G3" s="1" t="s">
        <v>286</v>
      </c>
      <c r="H3" s="1" t="s">
        <v>283</v>
      </c>
    </row>
    <row r="4" spans="1:8" hidden="1" x14ac:dyDescent="0.2">
      <c r="A4" s="1" t="s">
        <v>292</v>
      </c>
      <c r="B4" s="2"/>
      <c r="C4" s="3">
        <v>3</v>
      </c>
      <c r="D4" s="3">
        <v>3</v>
      </c>
      <c r="E4" s="1" t="s">
        <v>285</v>
      </c>
      <c r="F4" s="1"/>
      <c r="G4" s="1" t="s">
        <v>286</v>
      </c>
      <c r="H4" s="1" t="s">
        <v>288</v>
      </c>
    </row>
    <row r="5" spans="1:8" hidden="1" x14ac:dyDescent="0.2">
      <c r="A5" s="1" t="s">
        <v>292</v>
      </c>
      <c r="B5" s="2"/>
      <c r="C5" s="3">
        <v>5</v>
      </c>
      <c r="D5" s="3">
        <v>1</v>
      </c>
      <c r="E5" s="1" t="s">
        <v>272</v>
      </c>
      <c r="F5" s="1"/>
      <c r="G5" s="1" t="s">
        <v>250</v>
      </c>
      <c r="H5" s="1" t="s">
        <v>278</v>
      </c>
    </row>
    <row r="6" spans="1:8" hidden="1" x14ac:dyDescent="0.2">
      <c r="A6" s="1" t="s">
        <v>292</v>
      </c>
      <c r="B6" s="2"/>
      <c r="C6" s="3">
        <v>5</v>
      </c>
      <c r="D6" s="3">
        <v>2</v>
      </c>
      <c r="E6" s="1" t="s">
        <v>285</v>
      </c>
      <c r="F6" s="1"/>
      <c r="G6" s="1" t="s">
        <v>286</v>
      </c>
      <c r="H6" s="1" t="s">
        <v>278</v>
      </c>
    </row>
    <row r="7" spans="1:8" hidden="1" x14ac:dyDescent="0.2">
      <c r="A7" s="1" t="s">
        <v>292</v>
      </c>
      <c r="B7" s="2"/>
      <c r="C7" s="3">
        <v>5</v>
      </c>
      <c r="D7" s="3">
        <v>3</v>
      </c>
      <c r="E7" s="1" t="s">
        <v>290</v>
      </c>
      <c r="F7" s="1"/>
      <c r="G7" s="1" t="s">
        <v>286</v>
      </c>
      <c r="H7" s="1" t="s">
        <v>278</v>
      </c>
    </row>
    <row r="8" spans="1:8" hidden="1" x14ac:dyDescent="0.2">
      <c r="A8" s="1" t="s">
        <v>294</v>
      </c>
      <c r="B8" s="2"/>
      <c r="C8" s="3">
        <v>1</v>
      </c>
      <c r="D8" s="3">
        <v>1</v>
      </c>
      <c r="E8" s="1" t="s">
        <v>274</v>
      </c>
      <c r="F8" s="1"/>
      <c r="G8" s="1" t="s">
        <v>250</v>
      </c>
      <c r="H8" s="1" t="s">
        <v>276</v>
      </c>
    </row>
    <row r="9" spans="1:8" hidden="1" x14ac:dyDescent="0.2">
      <c r="A9" s="1" t="s">
        <v>294</v>
      </c>
      <c r="B9" s="2"/>
      <c r="C9" s="3">
        <v>1</v>
      </c>
      <c r="D9" s="3">
        <v>2</v>
      </c>
      <c r="E9" s="1" t="s">
        <v>296</v>
      </c>
      <c r="F9" s="1"/>
      <c r="G9" s="1" t="s">
        <v>281</v>
      </c>
      <c r="H9" s="1" t="s">
        <v>276</v>
      </c>
    </row>
    <row r="10" spans="1:8" hidden="1" x14ac:dyDescent="0.2">
      <c r="A10" s="1" t="s">
        <v>3</v>
      </c>
      <c r="B10" s="2"/>
      <c r="C10" s="3">
        <v>1</v>
      </c>
      <c r="D10" s="3">
        <v>1</v>
      </c>
      <c r="E10" s="1" t="s">
        <v>116</v>
      </c>
      <c r="F10" s="1"/>
      <c r="G10" s="1" t="s">
        <v>250</v>
      </c>
      <c r="H10" s="1" t="s">
        <v>34</v>
      </c>
    </row>
    <row r="11" spans="1:8" hidden="1" x14ac:dyDescent="0.2">
      <c r="A11" s="1" t="s">
        <v>3</v>
      </c>
      <c r="B11" s="2"/>
      <c r="C11" s="3">
        <v>1</v>
      </c>
      <c r="D11" s="3">
        <v>2</v>
      </c>
      <c r="E11" s="1" t="s">
        <v>246</v>
      </c>
      <c r="F11" s="1"/>
      <c r="G11" s="1" t="s">
        <v>250</v>
      </c>
      <c r="H11" s="1"/>
    </row>
    <row r="12" spans="1:8" hidden="1" x14ac:dyDescent="0.2">
      <c r="A12" s="1" t="s">
        <v>3</v>
      </c>
      <c r="B12" s="2"/>
      <c r="C12" s="3">
        <v>2</v>
      </c>
      <c r="D12" s="3">
        <v>1</v>
      </c>
      <c r="E12" s="1" t="s">
        <v>69</v>
      </c>
      <c r="F12" s="1"/>
      <c r="G12" s="1" t="s">
        <v>250</v>
      </c>
      <c r="H12" s="1" t="s">
        <v>36</v>
      </c>
    </row>
    <row r="13" spans="1:8" hidden="1" x14ac:dyDescent="0.2">
      <c r="A13" s="1" t="s">
        <v>3</v>
      </c>
      <c r="B13" s="2"/>
      <c r="C13" s="3">
        <v>2</v>
      </c>
      <c r="D13" s="3">
        <v>2</v>
      </c>
      <c r="E13" s="1" t="s">
        <v>71</v>
      </c>
      <c r="F13" s="1"/>
      <c r="G13" s="1" t="s">
        <v>257</v>
      </c>
      <c r="H13" s="1"/>
    </row>
    <row r="14" spans="1:8" hidden="1" x14ac:dyDescent="0.2">
      <c r="A14" s="1" t="s">
        <v>3</v>
      </c>
      <c r="B14" s="2"/>
      <c r="C14" s="3">
        <v>2</v>
      </c>
      <c r="D14" s="3">
        <v>3</v>
      </c>
      <c r="E14" s="1" t="s">
        <v>73</v>
      </c>
      <c r="F14" s="1"/>
      <c r="G14" s="1" t="s">
        <v>250</v>
      </c>
      <c r="H14" s="1" t="s">
        <v>49</v>
      </c>
    </row>
    <row r="15" spans="1:8" hidden="1" x14ac:dyDescent="0.2">
      <c r="A15" s="1" t="s">
        <v>3</v>
      </c>
      <c r="B15" s="2"/>
      <c r="C15" s="3">
        <v>2</v>
      </c>
      <c r="D15" s="3">
        <v>4</v>
      </c>
      <c r="E15" s="1" t="s">
        <v>22</v>
      </c>
      <c r="F15" s="1"/>
      <c r="G15" s="1" t="s">
        <v>250</v>
      </c>
      <c r="H15" s="1"/>
    </row>
    <row r="16" spans="1:8" hidden="1" x14ac:dyDescent="0.2">
      <c r="A16" s="1" t="s">
        <v>3</v>
      </c>
      <c r="B16" s="2"/>
      <c r="C16" s="3">
        <v>2</v>
      </c>
      <c r="D16" s="3">
        <v>5</v>
      </c>
      <c r="E16" s="1" t="s">
        <v>24</v>
      </c>
      <c r="F16" s="1"/>
      <c r="G16" s="1" t="s">
        <v>250</v>
      </c>
      <c r="H16" s="1"/>
    </row>
    <row r="17" spans="1:8" hidden="1" x14ac:dyDescent="0.2">
      <c r="A17" s="1" t="s">
        <v>3</v>
      </c>
      <c r="B17" s="2"/>
      <c r="C17" s="3">
        <v>2</v>
      </c>
      <c r="D17" s="3">
        <v>6</v>
      </c>
      <c r="E17" s="1" t="s">
        <v>8</v>
      </c>
      <c r="F17" s="1"/>
      <c r="G17" s="1" t="s">
        <v>250</v>
      </c>
      <c r="H17" s="1"/>
    </row>
    <row r="18" spans="1:8" hidden="1" x14ac:dyDescent="0.2">
      <c r="A18" s="1" t="s">
        <v>3</v>
      </c>
      <c r="B18" s="2"/>
      <c r="C18" s="3">
        <v>2</v>
      </c>
      <c r="D18" s="3">
        <v>7</v>
      </c>
      <c r="E18" s="1" t="s">
        <v>10</v>
      </c>
      <c r="F18" s="1"/>
      <c r="G18" s="1" t="s">
        <v>253</v>
      </c>
      <c r="H18" s="1"/>
    </row>
    <row r="19" spans="1:8" hidden="1" x14ac:dyDescent="0.2">
      <c r="A19" s="1" t="s">
        <v>3</v>
      </c>
      <c r="B19" s="2"/>
      <c r="C19" s="3">
        <v>2</v>
      </c>
      <c r="D19" s="3">
        <v>8</v>
      </c>
      <c r="E19" s="1" t="s">
        <v>245</v>
      </c>
      <c r="F19" s="1"/>
      <c r="G19" s="1" t="s">
        <v>250</v>
      </c>
      <c r="H19" s="1" t="s">
        <v>38</v>
      </c>
    </row>
    <row r="20" spans="1:8" hidden="1" x14ac:dyDescent="0.2">
      <c r="A20" s="1" t="s">
        <v>3</v>
      </c>
      <c r="B20" s="2"/>
      <c r="C20" s="3">
        <v>2</v>
      </c>
      <c r="D20" s="3">
        <v>9</v>
      </c>
      <c r="E20" s="1" t="s">
        <v>67</v>
      </c>
      <c r="F20" s="1"/>
      <c r="G20" s="1" t="s">
        <v>250</v>
      </c>
      <c r="H20" s="1"/>
    </row>
    <row r="21" spans="1:8" hidden="1" x14ac:dyDescent="0.2">
      <c r="A21" s="1" t="s">
        <v>3</v>
      </c>
      <c r="B21" s="2"/>
      <c r="C21" s="3">
        <v>2</v>
      </c>
      <c r="D21" s="3">
        <v>10</v>
      </c>
      <c r="E21" s="1" t="s">
        <v>246</v>
      </c>
      <c r="F21" s="1"/>
      <c r="G21" s="1" t="s">
        <v>250</v>
      </c>
      <c r="H21" s="1"/>
    </row>
    <row r="22" spans="1:8" hidden="1" x14ac:dyDescent="0.2">
      <c r="A22" s="1" t="s">
        <v>3</v>
      </c>
      <c r="B22" s="2"/>
      <c r="C22" s="3">
        <v>3</v>
      </c>
      <c r="D22" s="3">
        <v>1</v>
      </c>
      <c r="E22" s="1" t="s">
        <v>32</v>
      </c>
      <c r="F22" s="1"/>
      <c r="G22" s="1" t="s">
        <v>257</v>
      </c>
      <c r="H22" s="1" t="s">
        <v>40</v>
      </c>
    </row>
    <row r="23" spans="1:8" hidden="1" x14ac:dyDescent="0.2">
      <c r="A23" s="1" t="s">
        <v>3</v>
      </c>
      <c r="B23" s="2"/>
      <c r="C23" s="3">
        <v>3</v>
      </c>
      <c r="D23" s="3">
        <v>2</v>
      </c>
      <c r="E23" s="1" t="s">
        <v>45</v>
      </c>
      <c r="F23" s="1"/>
      <c r="G23" s="1" t="s">
        <v>250</v>
      </c>
      <c r="H23" s="1"/>
    </row>
    <row r="24" spans="1:8" hidden="1" x14ac:dyDescent="0.2">
      <c r="A24" s="1" t="s">
        <v>3</v>
      </c>
      <c r="B24" s="2"/>
      <c r="C24" s="3">
        <v>3</v>
      </c>
      <c r="D24" s="3">
        <v>3</v>
      </c>
      <c r="E24" s="1" t="s">
        <v>26</v>
      </c>
      <c r="F24" s="1"/>
      <c r="G24" s="1" t="s">
        <v>250</v>
      </c>
      <c r="H24" s="1"/>
    </row>
    <row r="25" spans="1:8" hidden="1" x14ac:dyDescent="0.2">
      <c r="A25" s="1" t="s">
        <v>3</v>
      </c>
      <c r="B25" s="2"/>
      <c r="C25" s="3">
        <v>3</v>
      </c>
      <c r="D25" s="3">
        <v>4</v>
      </c>
      <c r="E25" s="1" t="s">
        <v>28</v>
      </c>
      <c r="F25" s="1"/>
      <c r="G25" s="1" t="s">
        <v>250</v>
      </c>
      <c r="H25" s="1"/>
    </row>
    <row r="26" spans="1:8" hidden="1" x14ac:dyDescent="0.2">
      <c r="A26" s="1" t="s">
        <v>3</v>
      </c>
      <c r="B26" s="2"/>
      <c r="C26" s="3">
        <v>3</v>
      </c>
      <c r="D26" s="3">
        <v>5</v>
      </c>
      <c r="E26" s="1" t="s">
        <v>16</v>
      </c>
      <c r="F26" s="1"/>
      <c r="G26" s="1" t="s">
        <v>257</v>
      </c>
      <c r="H26" s="1"/>
    </row>
    <row r="27" spans="1:8" hidden="1" x14ac:dyDescent="0.2">
      <c r="A27" s="1" t="s">
        <v>3</v>
      </c>
      <c r="B27" s="2"/>
      <c r="C27" s="3">
        <v>3</v>
      </c>
      <c r="D27" s="3">
        <v>6</v>
      </c>
      <c r="E27" s="1" t="s">
        <v>18</v>
      </c>
      <c r="F27" s="1"/>
      <c r="G27" s="1" t="s">
        <v>250</v>
      </c>
      <c r="H27" s="1"/>
    </row>
    <row r="28" spans="1:8" hidden="1" x14ac:dyDescent="0.2">
      <c r="A28" s="1" t="s">
        <v>3</v>
      </c>
      <c r="B28" s="2"/>
      <c r="C28" s="3">
        <v>3</v>
      </c>
      <c r="D28" s="3">
        <v>7</v>
      </c>
      <c r="E28" s="1" t="s">
        <v>20</v>
      </c>
      <c r="F28" s="1"/>
      <c r="G28" s="1" t="s">
        <v>250</v>
      </c>
      <c r="H28" s="1"/>
    </row>
    <row r="29" spans="1:8" hidden="1" x14ac:dyDescent="0.2">
      <c r="A29" s="1" t="s">
        <v>3</v>
      </c>
      <c r="B29" s="2"/>
      <c r="C29" s="3">
        <v>3</v>
      </c>
      <c r="D29" s="3">
        <v>8</v>
      </c>
      <c r="E29" s="1" t="s">
        <v>65</v>
      </c>
      <c r="F29" s="1"/>
      <c r="G29" s="1" t="s">
        <v>250</v>
      </c>
      <c r="H29" s="1"/>
    </row>
    <row r="30" spans="1:8" hidden="1" x14ac:dyDescent="0.2">
      <c r="A30" s="1" t="s">
        <v>3</v>
      </c>
      <c r="B30" s="2"/>
      <c r="C30" s="3">
        <v>4</v>
      </c>
      <c r="D30" s="3">
        <v>1</v>
      </c>
      <c r="E30" s="1" t="s">
        <v>30</v>
      </c>
      <c r="F30" s="1"/>
      <c r="G30" s="1" t="s">
        <v>250</v>
      </c>
      <c r="H30" s="1" t="s">
        <v>42</v>
      </c>
    </row>
    <row r="31" spans="1:8" hidden="1" x14ac:dyDescent="0.2">
      <c r="A31" s="1" t="s">
        <v>3</v>
      </c>
      <c r="B31" s="2"/>
      <c r="C31" s="3">
        <v>4</v>
      </c>
      <c r="D31" s="3">
        <v>2</v>
      </c>
      <c r="E31" s="1" t="s">
        <v>57</v>
      </c>
      <c r="F31" s="1"/>
      <c r="G31" s="1" t="s">
        <v>250</v>
      </c>
      <c r="H31" s="1"/>
    </row>
    <row r="32" spans="1:8" hidden="1" x14ac:dyDescent="0.2">
      <c r="A32" s="1" t="s">
        <v>3</v>
      </c>
      <c r="B32" s="2"/>
      <c r="C32" s="3">
        <v>4</v>
      </c>
      <c r="D32" s="3">
        <v>3</v>
      </c>
      <c r="E32" s="1" t="s">
        <v>58</v>
      </c>
      <c r="F32" s="1"/>
      <c r="G32" s="1" t="s">
        <v>250</v>
      </c>
      <c r="H32" s="1"/>
    </row>
    <row r="33" spans="1:8" hidden="1" x14ac:dyDescent="0.2">
      <c r="A33" s="1" t="s">
        <v>3</v>
      </c>
      <c r="B33" s="2"/>
      <c r="C33" s="3">
        <v>4</v>
      </c>
      <c r="D33" s="3">
        <v>4</v>
      </c>
      <c r="E33" s="1" t="s">
        <v>59</v>
      </c>
      <c r="F33" s="1"/>
      <c r="G33" s="1" t="s">
        <v>250</v>
      </c>
      <c r="H33" s="1"/>
    </row>
    <row r="34" spans="1:8" hidden="1" x14ac:dyDescent="0.2">
      <c r="A34" s="1" t="s">
        <v>3</v>
      </c>
      <c r="B34" s="2"/>
      <c r="C34" s="3">
        <v>4</v>
      </c>
      <c r="D34" s="3">
        <v>5</v>
      </c>
      <c r="E34" s="1" t="s">
        <v>243</v>
      </c>
      <c r="F34" s="1"/>
      <c r="G34" s="1" t="s">
        <v>250</v>
      </c>
      <c r="H34" s="1" t="s">
        <v>49</v>
      </c>
    </row>
    <row r="35" spans="1:8" hidden="1" x14ac:dyDescent="0.2">
      <c r="A35" s="1" t="s">
        <v>3</v>
      </c>
      <c r="B35" s="2"/>
      <c r="C35" s="3">
        <v>4</v>
      </c>
      <c r="D35" s="3">
        <v>6</v>
      </c>
      <c r="E35" s="1" t="s">
        <v>188</v>
      </c>
      <c r="F35" s="1"/>
      <c r="G35" s="1" t="s">
        <v>250</v>
      </c>
      <c r="H35" s="1" t="s">
        <v>185</v>
      </c>
    </row>
    <row r="36" spans="1:8" hidden="1" x14ac:dyDescent="0.2">
      <c r="A36" s="1" t="s">
        <v>3</v>
      </c>
      <c r="B36" s="2"/>
      <c r="C36" s="3">
        <v>4</v>
      </c>
      <c r="D36" s="3">
        <v>7</v>
      </c>
      <c r="E36" s="1" t="s">
        <v>94</v>
      </c>
      <c r="F36" s="1"/>
      <c r="G36" s="1" t="s">
        <v>250</v>
      </c>
      <c r="H36" s="1"/>
    </row>
    <row r="37" spans="1:8" hidden="1" x14ac:dyDescent="0.2">
      <c r="A37" s="1" t="s">
        <v>3</v>
      </c>
      <c r="B37" s="2"/>
      <c r="C37" s="3">
        <v>4</v>
      </c>
      <c r="D37" s="3">
        <v>8</v>
      </c>
      <c r="E37" s="1" t="s">
        <v>75</v>
      </c>
      <c r="F37" s="1"/>
      <c r="G37" s="1" t="s">
        <v>250</v>
      </c>
      <c r="H37" s="1"/>
    </row>
    <row r="38" spans="1:8" hidden="1" x14ac:dyDescent="0.2">
      <c r="A38" s="1" t="s">
        <v>3</v>
      </c>
      <c r="B38" s="2"/>
      <c r="C38" s="3">
        <v>4</v>
      </c>
      <c r="D38" s="3">
        <v>9</v>
      </c>
      <c r="E38" s="1" t="s">
        <v>90</v>
      </c>
      <c r="F38" s="1"/>
      <c r="G38" s="1" t="s">
        <v>250</v>
      </c>
      <c r="H38" s="1"/>
    </row>
    <row r="39" spans="1:8" hidden="1" x14ac:dyDescent="0.2">
      <c r="A39" s="1" t="s">
        <v>3</v>
      </c>
      <c r="B39" s="2"/>
      <c r="C39" s="3">
        <v>4</v>
      </c>
      <c r="D39" s="3">
        <v>10</v>
      </c>
      <c r="E39" s="1" t="s">
        <v>92</v>
      </c>
      <c r="F39" s="1"/>
      <c r="G39" s="1" t="s">
        <v>250</v>
      </c>
      <c r="H39" s="1"/>
    </row>
    <row r="40" spans="1:8" hidden="1" x14ac:dyDescent="0.2">
      <c r="A40" s="1" t="s">
        <v>3</v>
      </c>
      <c r="B40" s="2"/>
      <c r="C40" s="3">
        <v>4</v>
      </c>
      <c r="D40" s="3">
        <v>11</v>
      </c>
      <c r="E40" s="1" t="s">
        <v>244</v>
      </c>
      <c r="F40" s="1"/>
      <c r="G40" s="1" t="s">
        <v>250</v>
      </c>
      <c r="H40" s="1"/>
    </row>
    <row r="41" spans="1:8" hidden="1" x14ac:dyDescent="0.2">
      <c r="A41" s="1" t="s">
        <v>3</v>
      </c>
      <c r="B41" s="2"/>
      <c r="C41" s="3">
        <v>4</v>
      </c>
      <c r="D41" s="3">
        <v>11</v>
      </c>
      <c r="E41" s="1" t="s">
        <v>60</v>
      </c>
      <c r="F41" s="1"/>
      <c r="G41" s="1" t="s">
        <v>250</v>
      </c>
      <c r="H41" s="1" t="s">
        <v>56</v>
      </c>
    </row>
    <row r="42" spans="1:8" hidden="1" x14ac:dyDescent="0.2">
      <c r="A42" s="1" t="s">
        <v>3</v>
      </c>
      <c r="B42" s="2"/>
      <c r="C42" s="3">
        <v>4</v>
      </c>
      <c r="D42" s="3">
        <v>12</v>
      </c>
      <c r="E42" s="1" t="s">
        <v>63</v>
      </c>
      <c r="F42" s="1"/>
      <c r="G42" s="1" t="s">
        <v>250</v>
      </c>
      <c r="H42" s="1"/>
    </row>
    <row r="43" spans="1:8" hidden="1" x14ac:dyDescent="0.2">
      <c r="A43" s="1" t="s">
        <v>3</v>
      </c>
      <c r="B43" s="2"/>
      <c r="C43" s="3">
        <v>4</v>
      </c>
      <c r="D43" s="3">
        <v>13</v>
      </c>
      <c r="E43" s="1" t="s">
        <v>82</v>
      </c>
      <c r="F43" s="1"/>
      <c r="G43" s="1" t="s">
        <v>250</v>
      </c>
      <c r="H43" s="1" t="s">
        <v>79</v>
      </c>
    </row>
    <row r="44" spans="1:8" hidden="1" x14ac:dyDescent="0.2">
      <c r="A44" s="1" t="s">
        <v>3</v>
      </c>
      <c r="B44" s="2"/>
      <c r="C44" s="3">
        <v>4</v>
      </c>
      <c r="D44" s="3">
        <v>14</v>
      </c>
      <c r="E44" s="1" t="s">
        <v>77</v>
      </c>
      <c r="F44" s="1"/>
      <c r="G44" s="1" t="s">
        <v>253</v>
      </c>
      <c r="H44" s="1"/>
    </row>
    <row r="45" spans="1:8" hidden="1" x14ac:dyDescent="0.2">
      <c r="A45" s="1" t="s">
        <v>3</v>
      </c>
      <c r="B45" s="2"/>
      <c r="C45" s="3">
        <v>4</v>
      </c>
      <c r="D45" s="3">
        <v>15</v>
      </c>
      <c r="E45" s="1" t="s">
        <v>61</v>
      </c>
      <c r="F45" s="1"/>
      <c r="G45" s="1" t="s">
        <v>250</v>
      </c>
      <c r="H45" s="1" t="s">
        <v>38</v>
      </c>
    </row>
    <row r="46" spans="1:8" hidden="1" x14ac:dyDescent="0.2">
      <c r="A46" s="1" t="s">
        <v>3</v>
      </c>
      <c r="B46" s="2"/>
      <c r="C46" s="3">
        <v>4</v>
      </c>
      <c r="D46" s="3">
        <v>16</v>
      </c>
      <c r="E46" s="1" t="s">
        <v>53</v>
      </c>
      <c r="F46" s="1"/>
      <c r="G46" s="1" t="s">
        <v>250</v>
      </c>
      <c r="H46" s="1" t="s">
        <v>54</v>
      </c>
    </row>
    <row r="47" spans="1:8" hidden="1" x14ac:dyDescent="0.2">
      <c r="A47" s="1" t="s">
        <v>3</v>
      </c>
      <c r="B47" s="2"/>
      <c r="C47" s="3">
        <v>4</v>
      </c>
      <c r="D47" s="3">
        <v>17</v>
      </c>
      <c r="E47" s="1" t="s">
        <v>198</v>
      </c>
      <c r="F47" s="1"/>
      <c r="G47" s="1" t="s">
        <v>253</v>
      </c>
      <c r="H47" s="1"/>
    </row>
    <row r="48" spans="1:8" hidden="1" x14ac:dyDescent="0.2">
      <c r="A48" s="1" t="s">
        <v>3</v>
      </c>
      <c r="B48" s="2"/>
      <c r="C48" s="3">
        <v>4</v>
      </c>
      <c r="D48" s="3">
        <v>18</v>
      </c>
      <c r="E48" s="1" t="s">
        <v>84</v>
      </c>
      <c r="F48" s="1"/>
      <c r="G48" s="1" t="s">
        <v>250</v>
      </c>
      <c r="H48" s="1" t="s">
        <v>86</v>
      </c>
    </row>
    <row r="49" spans="1:8" hidden="1" x14ac:dyDescent="0.2">
      <c r="A49" s="1" t="s">
        <v>3</v>
      </c>
      <c r="B49" s="2"/>
      <c r="C49" s="3">
        <v>4</v>
      </c>
      <c r="D49" s="3">
        <v>19</v>
      </c>
      <c r="E49" s="1" t="s">
        <v>88</v>
      </c>
      <c r="F49" s="1"/>
      <c r="G49" s="1" t="s">
        <v>253</v>
      </c>
      <c r="H49" s="1"/>
    </row>
    <row r="50" spans="1:8" hidden="1" x14ac:dyDescent="0.2">
      <c r="A50" s="1" t="s">
        <v>3</v>
      </c>
      <c r="B50" s="2"/>
      <c r="C50" s="3">
        <v>5</v>
      </c>
      <c r="D50" s="3">
        <v>1</v>
      </c>
      <c r="E50" s="1" t="s">
        <v>96</v>
      </c>
      <c r="F50" s="1"/>
      <c r="G50" s="1" t="s">
        <v>250</v>
      </c>
      <c r="H50" s="1"/>
    </row>
    <row r="51" spans="1:8" hidden="1" x14ac:dyDescent="0.2">
      <c r="A51" s="1" t="s">
        <v>3</v>
      </c>
      <c r="B51" s="2"/>
      <c r="C51" s="3">
        <v>5</v>
      </c>
      <c r="D51" s="3">
        <v>2</v>
      </c>
      <c r="E51" s="1" t="s">
        <v>98</v>
      </c>
      <c r="F51" s="1"/>
      <c r="G51" s="1" t="s">
        <v>250</v>
      </c>
      <c r="H51" s="1"/>
    </row>
    <row r="52" spans="1:8" hidden="1" x14ac:dyDescent="0.2">
      <c r="A52" s="1" t="s">
        <v>3</v>
      </c>
      <c r="B52" s="2"/>
      <c r="C52" s="3">
        <v>5</v>
      </c>
      <c r="D52" s="3">
        <v>3</v>
      </c>
      <c r="E52" s="1" t="s">
        <v>100</v>
      </c>
      <c r="F52" s="1"/>
      <c r="G52" s="1" t="s">
        <v>253</v>
      </c>
      <c r="H52" s="1"/>
    </row>
    <row r="53" spans="1:8" hidden="1" x14ac:dyDescent="0.2">
      <c r="A53" s="1" t="s">
        <v>3</v>
      </c>
      <c r="B53" s="2"/>
      <c r="C53" s="3">
        <v>5</v>
      </c>
      <c r="D53" s="3">
        <v>4</v>
      </c>
      <c r="E53" s="1" t="s">
        <v>102</v>
      </c>
      <c r="F53" s="1"/>
      <c r="G53" s="1" t="s">
        <v>250</v>
      </c>
      <c r="H53" s="1"/>
    </row>
    <row r="54" spans="1:8" hidden="1" x14ac:dyDescent="0.2">
      <c r="A54" s="1" t="s">
        <v>3</v>
      </c>
      <c r="B54" s="2"/>
      <c r="C54" s="3">
        <v>5</v>
      </c>
      <c r="D54" s="3">
        <v>5</v>
      </c>
      <c r="E54" s="1" t="s">
        <v>104</v>
      </c>
      <c r="F54" s="1"/>
      <c r="G54" s="1" t="s">
        <v>250</v>
      </c>
      <c r="H54" s="1"/>
    </row>
    <row r="55" spans="1:8" hidden="1" x14ac:dyDescent="0.2">
      <c r="A55" s="1" t="s">
        <v>3</v>
      </c>
      <c r="B55" s="2"/>
      <c r="C55" s="3">
        <v>6</v>
      </c>
      <c r="D55" s="3">
        <v>1</v>
      </c>
      <c r="E55" s="1" t="s">
        <v>308</v>
      </c>
      <c r="F55" s="1"/>
      <c r="G55" s="1" t="s">
        <v>250</v>
      </c>
      <c r="H55" s="1"/>
    </row>
    <row r="56" spans="1:8" hidden="1" x14ac:dyDescent="0.2">
      <c r="A56" s="1" t="s">
        <v>3</v>
      </c>
      <c r="B56" s="2"/>
      <c r="C56" s="3">
        <v>7</v>
      </c>
      <c r="D56" s="3">
        <v>1</v>
      </c>
      <c r="E56" s="1" t="s">
        <v>307</v>
      </c>
      <c r="F56" s="1"/>
      <c r="G56" s="1" t="s">
        <v>250</v>
      </c>
      <c r="H56" s="1"/>
    </row>
    <row r="57" spans="1:8" hidden="1" x14ac:dyDescent="0.2">
      <c r="A57" s="1" t="s">
        <v>3</v>
      </c>
      <c r="B57" s="2"/>
      <c r="C57" s="3">
        <v>8</v>
      </c>
      <c r="D57" s="3">
        <v>1</v>
      </c>
      <c r="E57" s="1" t="s">
        <v>108</v>
      </c>
      <c r="F57" s="1"/>
      <c r="G57" s="1" t="s">
        <v>250</v>
      </c>
      <c r="H57" s="1" t="s">
        <v>147</v>
      </c>
    </row>
    <row r="58" spans="1:8" x14ac:dyDescent="0.2">
      <c r="A58" s="17" t="s">
        <v>149</v>
      </c>
      <c r="B58" s="18"/>
      <c r="C58" s="19">
        <v>1</v>
      </c>
      <c r="D58" s="19">
        <v>1</v>
      </c>
      <c r="E58" s="1" t="s">
        <v>300</v>
      </c>
      <c r="F58" s="17"/>
      <c r="G58" s="1" t="s">
        <v>250</v>
      </c>
      <c r="H58" s="17"/>
    </row>
    <row r="59" spans="1:8" x14ac:dyDescent="0.2">
      <c r="A59" s="17" t="s">
        <v>149</v>
      </c>
      <c r="B59" s="18"/>
      <c r="C59" s="19">
        <v>2</v>
      </c>
      <c r="D59" s="19">
        <v>1</v>
      </c>
      <c r="E59" s="1" t="s">
        <v>166</v>
      </c>
      <c r="F59" s="17"/>
      <c r="G59" s="1" t="s">
        <v>250</v>
      </c>
      <c r="H59" s="17"/>
    </row>
    <row r="60" spans="1:8" x14ac:dyDescent="0.2">
      <c r="A60" s="17" t="s">
        <v>149</v>
      </c>
      <c r="B60" s="2"/>
      <c r="C60" s="19">
        <v>1</v>
      </c>
      <c r="D60" s="3">
        <v>2</v>
      </c>
      <c r="E60" s="1" t="s">
        <v>240</v>
      </c>
      <c r="F60" s="1"/>
      <c r="G60" s="1" t="s">
        <v>250</v>
      </c>
      <c r="H60" s="1"/>
    </row>
    <row r="61" spans="1:8" x14ac:dyDescent="0.2">
      <c r="A61" s="17" t="s">
        <v>149</v>
      </c>
      <c r="B61" s="18"/>
      <c r="C61" s="19">
        <v>3</v>
      </c>
      <c r="D61" s="19">
        <v>1</v>
      </c>
      <c r="E61" s="1" t="s">
        <v>168</v>
      </c>
      <c r="F61" s="17"/>
      <c r="G61" s="1" t="s">
        <v>250</v>
      </c>
      <c r="H61" s="1" t="s">
        <v>152</v>
      </c>
    </row>
    <row r="62" spans="1:8" x14ac:dyDescent="0.2">
      <c r="A62" s="17" t="s">
        <v>149</v>
      </c>
      <c r="B62" s="18"/>
      <c r="C62" s="19">
        <v>3</v>
      </c>
      <c r="D62" s="19">
        <v>2</v>
      </c>
      <c r="E62" s="1" t="s">
        <v>156</v>
      </c>
      <c r="F62" s="17"/>
      <c r="G62" s="1" t="s">
        <v>250</v>
      </c>
      <c r="H62" s="17"/>
    </row>
    <row r="63" spans="1:8" x14ac:dyDescent="0.2">
      <c r="A63" s="17" t="s">
        <v>149</v>
      </c>
      <c r="B63" s="18"/>
      <c r="C63" s="19">
        <v>3</v>
      </c>
      <c r="D63" s="19">
        <v>3</v>
      </c>
      <c r="E63" s="1" t="s">
        <v>154</v>
      </c>
      <c r="F63" s="17"/>
      <c r="G63" s="1" t="s">
        <v>250</v>
      </c>
      <c r="H63" s="17"/>
    </row>
    <row r="64" spans="1:8" x14ac:dyDescent="0.2">
      <c r="A64" s="17" t="s">
        <v>149</v>
      </c>
      <c r="B64" s="18"/>
      <c r="C64" s="19">
        <v>4</v>
      </c>
      <c r="D64" s="19">
        <v>1</v>
      </c>
      <c r="E64" s="1" t="s">
        <v>305</v>
      </c>
      <c r="F64" s="17"/>
      <c r="G64" s="1" t="s">
        <v>250</v>
      </c>
      <c r="H64" s="1" t="s">
        <v>159</v>
      </c>
    </row>
    <row r="65" spans="1:8" x14ac:dyDescent="0.2">
      <c r="A65" s="17" t="s">
        <v>149</v>
      </c>
      <c r="B65" s="18"/>
      <c r="C65" s="19">
        <v>4</v>
      </c>
      <c r="D65" s="19">
        <v>3</v>
      </c>
      <c r="E65" s="1" t="s">
        <v>170</v>
      </c>
      <c r="F65" s="17"/>
      <c r="G65" s="1" t="s">
        <v>250</v>
      </c>
      <c r="H65" s="17"/>
    </row>
    <row r="66" spans="1:8" x14ac:dyDescent="0.2">
      <c r="A66" s="17" t="s">
        <v>149</v>
      </c>
      <c r="B66" s="18"/>
      <c r="C66" s="19">
        <v>5</v>
      </c>
      <c r="D66" s="19">
        <v>1</v>
      </c>
      <c r="E66" s="1" t="s">
        <v>177</v>
      </c>
      <c r="F66" s="17"/>
      <c r="G66" s="1" t="s">
        <v>250</v>
      </c>
      <c r="H66" s="1" t="s">
        <v>174</v>
      </c>
    </row>
    <row r="67" spans="1:8" x14ac:dyDescent="0.2">
      <c r="A67" s="17" t="s">
        <v>149</v>
      </c>
      <c r="B67" s="18"/>
      <c r="C67" s="19">
        <v>5</v>
      </c>
      <c r="D67" s="19">
        <v>2</v>
      </c>
      <c r="E67" s="1" t="s">
        <v>191</v>
      </c>
      <c r="F67" s="17"/>
      <c r="G67" s="1" t="s">
        <v>250</v>
      </c>
      <c r="H67" s="1" t="s">
        <v>185</v>
      </c>
    </row>
    <row r="68" spans="1:8" x14ac:dyDescent="0.2">
      <c r="A68" s="17" t="s">
        <v>149</v>
      </c>
      <c r="B68" s="18"/>
      <c r="C68" s="19">
        <v>5</v>
      </c>
      <c r="D68" s="19">
        <v>3</v>
      </c>
      <c r="E68" s="1" t="s">
        <v>161</v>
      </c>
      <c r="F68" s="17"/>
      <c r="G68" s="1" t="s">
        <v>250</v>
      </c>
      <c r="H68" s="17"/>
    </row>
    <row r="69" spans="1:8" x14ac:dyDescent="0.2">
      <c r="A69" s="17" t="s">
        <v>149</v>
      </c>
      <c r="B69" s="2"/>
      <c r="C69" s="19">
        <v>5</v>
      </c>
      <c r="D69" s="3">
        <v>4</v>
      </c>
      <c r="E69" s="1" t="s">
        <v>259</v>
      </c>
      <c r="F69" s="1"/>
      <c r="G69" s="1" t="s">
        <v>250</v>
      </c>
      <c r="H69" s="1"/>
    </row>
    <row r="70" spans="1:8" x14ac:dyDescent="0.2">
      <c r="A70" s="17" t="s">
        <v>149</v>
      </c>
      <c r="B70" s="18"/>
      <c r="C70" s="19">
        <v>6</v>
      </c>
      <c r="D70" s="19">
        <v>1</v>
      </c>
      <c r="E70" s="1" t="s">
        <v>171</v>
      </c>
      <c r="F70" s="17"/>
      <c r="G70" s="1" t="s">
        <v>250</v>
      </c>
      <c r="H70" s="1" t="s">
        <v>163</v>
      </c>
    </row>
    <row r="71" spans="1:8" x14ac:dyDescent="0.2">
      <c r="A71" s="17" t="s">
        <v>149</v>
      </c>
      <c r="B71" s="18"/>
      <c r="C71" s="19">
        <v>7</v>
      </c>
      <c r="D71" s="19">
        <v>1</v>
      </c>
      <c r="E71" s="17" t="s">
        <v>99</v>
      </c>
      <c r="F71" s="17"/>
      <c r="G71" s="1" t="s">
        <v>250</v>
      </c>
      <c r="H71" s="17"/>
    </row>
    <row r="72" spans="1:8" x14ac:dyDescent="0.2">
      <c r="A72" s="17" t="s">
        <v>149</v>
      </c>
      <c r="B72" s="18"/>
      <c r="C72" s="19">
        <v>7</v>
      </c>
      <c r="D72" s="19">
        <v>2</v>
      </c>
      <c r="E72" s="17" t="s">
        <v>101</v>
      </c>
      <c r="F72" s="17"/>
      <c r="G72" s="1" t="s">
        <v>250</v>
      </c>
      <c r="H72" s="17"/>
    </row>
    <row r="73" spans="1:8" x14ac:dyDescent="0.2">
      <c r="A73" s="17" t="s">
        <v>149</v>
      </c>
      <c r="B73" s="18"/>
      <c r="C73" s="19">
        <v>7</v>
      </c>
      <c r="D73" s="19">
        <v>3</v>
      </c>
      <c r="E73" s="17" t="s">
        <v>103</v>
      </c>
      <c r="F73" s="17"/>
      <c r="G73" s="1" t="s">
        <v>250</v>
      </c>
      <c r="H73" s="17"/>
    </row>
    <row r="74" spans="1:8" x14ac:dyDescent="0.2">
      <c r="A74" s="17" t="s">
        <v>149</v>
      </c>
      <c r="B74" s="2"/>
      <c r="C74" s="19">
        <v>7</v>
      </c>
      <c r="D74" s="3">
        <v>4</v>
      </c>
      <c r="E74" s="1" t="s">
        <v>239</v>
      </c>
      <c r="F74" s="1"/>
      <c r="G74" s="1" t="s">
        <v>250</v>
      </c>
      <c r="H74" s="1"/>
    </row>
    <row r="75" spans="1:8" x14ac:dyDescent="0.2">
      <c r="A75" s="17" t="s">
        <v>149</v>
      </c>
      <c r="B75" s="18"/>
      <c r="C75" s="19">
        <v>8</v>
      </c>
      <c r="D75" s="19">
        <v>1</v>
      </c>
      <c r="E75" s="1" t="s">
        <v>311</v>
      </c>
      <c r="F75" s="17"/>
      <c r="G75" s="1" t="s">
        <v>250</v>
      </c>
      <c r="H75" s="17"/>
    </row>
    <row r="76" spans="1:8" hidden="1" x14ac:dyDescent="0.2">
      <c r="A76" s="1" t="s">
        <v>192</v>
      </c>
      <c r="B76" s="2"/>
      <c r="C76" s="3">
        <v>1</v>
      </c>
      <c r="D76" s="3">
        <v>1</v>
      </c>
      <c r="E76" s="1" t="s">
        <v>193</v>
      </c>
      <c r="F76" s="1"/>
      <c r="G76" s="1" t="s">
        <v>250</v>
      </c>
      <c r="H76" s="1"/>
    </row>
    <row r="77" spans="1:8" hidden="1" x14ac:dyDescent="0.2">
      <c r="A77" s="1" t="s">
        <v>192</v>
      </c>
      <c r="B77" s="2"/>
      <c r="C77" s="3">
        <v>1</v>
      </c>
      <c r="D77" s="3">
        <v>2</v>
      </c>
      <c r="E77" s="1" t="s">
        <v>194</v>
      </c>
      <c r="F77" s="1"/>
      <c r="G77" s="1" t="s">
        <v>250</v>
      </c>
      <c r="H77" s="1"/>
    </row>
    <row r="78" spans="1:8" hidden="1" x14ac:dyDescent="0.2">
      <c r="A78" s="1" t="s">
        <v>192</v>
      </c>
      <c r="B78" s="2"/>
      <c r="C78" s="3">
        <v>2</v>
      </c>
      <c r="D78" s="3">
        <v>1</v>
      </c>
      <c r="E78" s="1" t="s">
        <v>195</v>
      </c>
      <c r="F78" s="1"/>
      <c r="G78" s="1" t="s">
        <v>250</v>
      </c>
      <c r="H78" s="1" t="s">
        <v>196</v>
      </c>
    </row>
    <row r="79" spans="1:8" hidden="1" x14ac:dyDescent="0.2">
      <c r="A79" s="1" t="s">
        <v>184</v>
      </c>
      <c r="B79" s="2"/>
      <c r="C79" s="3">
        <v>2</v>
      </c>
      <c r="D79" s="3">
        <v>2</v>
      </c>
      <c r="E79" s="1" t="s">
        <v>266</v>
      </c>
      <c r="F79" s="1"/>
      <c r="G79" s="1" t="s">
        <v>250</v>
      </c>
      <c r="H79" s="1"/>
    </row>
    <row r="80" spans="1:8" hidden="1" x14ac:dyDescent="0.2">
      <c r="A80" s="1" t="s">
        <v>192</v>
      </c>
      <c r="B80" s="2"/>
      <c r="C80" s="3">
        <v>2</v>
      </c>
      <c r="D80" s="3">
        <v>3</v>
      </c>
      <c r="E80" s="1" t="s">
        <v>197</v>
      </c>
      <c r="F80" s="1"/>
      <c r="G80" s="1" t="s">
        <v>250</v>
      </c>
      <c r="H80" s="1"/>
    </row>
  </sheetData>
  <phoneticPr fontId="1" type="noConversion"/>
  <conditionalFormatting sqref="E2:E80">
    <cfRule type="beginsWith" dxfId="39" priority="5" operator="beginsWith" text="收到">
      <formula>LEFT(E2,LEN("收到"))="收到"</formula>
    </cfRule>
  </conditionalFormatting>
  <conditionalFormatting sqref="E78">
    <cfRule type="beginsWith" dxfId="38" priority="3" operator="beginsWith" text="收到">
      <formula>LEFT(E78,LEN("收到"))="收到"</formula>
    </cfRule>
  </conditionalFormatting>
  <conditionalFormatting sqref="E79">
    <cfRule type="beginsWith" dxfId="37" priority="2" operator="beginsWith" text="收到">
      <formula>LEFT(E79,LEN("收到"))="收到"</formula>
    </cfRule>
  </conditionalFormatting>
  <conditionalFormatting sqref="E80">
    <cfRule type="beginsWith" dxfId="36" priority="1" operator="beginsWith" text="收到">
      <formula>LEFT(E80,LEN("收到"))="收到"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304"/>
  <sheetViews>
    <sheetView showGridLines="0" workbookViewId="0">
      <pane ySplit="1" topLeftCell="A2" activePane="bottomLeft" state="frozen"/>
      <selection pane="bottomLeft" activeCell="K166" sqref="K166"/>
    </sheetView>
  </sheetViews>
  <sheetFormatPr defaultRowHeight="14.25" x14ac:dyDescent="0.2"/>
  <cols>
    <col min="1" max="1" width="14.875" style="29" bestFit="1" customWidth="1"/>
    <col min="2" max="2" width="9.875" style="29" bestFit="1" customWidth="1"/>
    <col min="3" max="3" width="6.875" style="29" bestFit="1" customWidth="1"/>
    <col min="4" max="5" width="7.25" style="29" bestFit="1" customWidth="1"/>
    <col min="6" max="6" width="48.5" style="29" bestFit="1" customWidth="1"/>
    <col min="7" max="7" width="7.875" style="29" bestFit="1" customWidth="1"/>
    <col min="8" max="8" width="7.25" style="29" bestFit="1" customWidth="1"/>
    <col min="9" max="9" width="19.5" style="29" bestFit="1" customWidth="1"/>
    <col min="10" max="16384" width="9" style="29"/>
  </cols>
  <sheetData>
    <row r="1" spans="1:9" ht="18" customHeight="1" x14ac:dyDescent="0.2">
      <c r="A1" s="6" t="s">
        <v>187</v>
      </c>
      <c r="B1" s="4" t="s">
        <v>109</v>
      </c>
      <c r="C1" s="5" t="s">
        <v>110</v>
      </c>
      <c r="D1" s="6" t="s">
        <v>111</v>
      </c>
      <c r="E1" s="6" t="s">
        <v>112</v>
      </c>
      <c r="F1" s="6" t="s">
        <v>113</v>
      </c>
      <c r="G1" s="6" t="s">
        <v>0</v>
      </c>
      <c r="H1" s="6" t="s">
        <v>256</v>
      </c>
      <c r="I1" s="7" t="s">
        <v>114</v>
      </c>
    </row>
    <row r="2" spans="1:9" hidden="1" x14ac:dyDescent="0.2">
      <c r="A2" s="25" t="str">
        <f>TEXT(表3[[#This Row],[ETD]],"mmdd ")&amp;表3[[#This Row],[项目]]</f>
        <v>0501 1 MONTH</v>
      </c>
      <c r="B2" s="8" t="s">
        <v>293</v>
      </c>
      <c r="C2" s="9">
        <v>43586</v>
      </c>
      <c r="D2" s="10">
        <v>1</v>
      </c>
      <c r="E2" s="10">
        <v>1</v>
      </c>
      <c r="F2" s="11" t="s">
        <v>273</v>
      </c>
      <c r="G2" s="30">
        <v>43614</v>
      </c>
      <c r="H2" s="27" t="s">
        <v>249</v>
      </c>
      <c r="I2" s="12" t="s">
        <v>275</v>
      </c>
    </row>
    <row r="3" spans="1:9" hidden="1" x14ac:dyDescent="0.2">
      <c r="A3" s="25" t="str">
        <f>TEXT(表3[[#This Row],[ETD]],"mmdd ")&amp;表3[[#This Row],[项目]]</f>
        <v>0501 1 MONTH</v>
      </c>
      <c r="B3" s="8" t="s">
        <v>293</v>
      </c>
      <c r="C3" s="9">
        <v>43586</v>
      </c>
      <c r="D3" s="10">
        <v>1</v>
      </c>
      <c r="E3" s="10">
        <v>2</v>
      </c>
      <c r="F3" s="11" t="s">
        <v>295</v>
      </c>
      <c r="G3" s="30">
        <v>43614</v>
      </c>
      <c r="H3" s="27" t="s">
        <v>249</v>
      </c>
      <c r="I3" s="12" t="s">
        <v>275</v>
      </c>
    </row>
    <row r="4" spans="1:9" hidden="1" x14ac:dyDescent="0.2">
      <c r="A4" s="25" t="str">
        <f>TEXT(表3[[#This Row],[ETD]],"mmdd ")&amp;表3[[#This Row],[项目]]</f>
        <v>0501 HMI</v>
      </c>
      <c r="B4" s="8" t="s">
        <v>225</v>
      </c>
      <c r="C4" s="9">
        <v>43586</v>
      </c>
      <c r="D4" s="10">
        <v>1</v>
      </c>
      <c r="E4" s="10">
        <v>1</v>
      </c>
      <c r="F4" s="11" t="s">
        <v>310</v>
      </c>
      <c r="G4" s="30">
        <v>43595</v>
      </c>
      <c r="H4" s="27" t="s">
        <v>1</v>
      </c>
      <c r="I4" s="12"/>
    </row>
    <row r="5" spans="1:9" hidden="1" x14ac:dyDescent="0.2">
      <c r="A5" s="25" t="str">
        <f>TEXT(表3[[#This Row],[ETD]],"mmdd ")&amp;表3[[#This Row],[项目]]</f>
        <v>0501 KMM</v>
      </c>
      <c r="B5" s="8" t="s">
        <v>226</v>
      </c>
      <c r="C5" s="9">
        <v>43586</v>
      </c>
      <c r="D5" s="10">
        <v>1</v>
      </c>
      <c r="E5" s="10">
        <v>1</v>
      </c>
      <c r="F5" s="11" t="s">
        <v>310</v>
      </c>
      <c r="G5" s="30">
        <v>43595</v>
      </c>
      <c r="H5" s="27" t="s">
        <v>1</v>
      </c>
      <c r="I5" s="12"/>
    </row>
    <row r="6" spans="1:9" hidden="1" x14ac:dyDescent="0.2">
      <c r="A6" s="25" t="str">
        <f>TEXT(表3[[#This Row],[ETD]],"mmdd ")&amp;表3[[#This Row],[项目]]</f>
        <v>0506 0 WEEK</v>
      </c>
      <c r="B6" s="8" t="s">
        <v>291</v>
      </c>
      <c r="C6" s="9">
        <v>43591</v>
      </c>
      <c r="D6" s="10">
        <v>1</v>
      </c>
      <c r="E6" s="10">
        <v>1</v>
      </c>
      <c r="F6" s="11" t="s">
        <v>279</v>
      </c>
      <c r="G6" s="30">
        <v>43586</v>
      </c>
      <c r="H6" s="27" t="s">
        <v>269</v>
      </c>
      <c r="I6" s="12" t="s">
        <v>282</v>
      </c>
    </row>
    <row r="7" spans="1:9" hidden="1" x14ac:dyDescent="0.2">
      <c r="A7" s="25" t="str">
        <f>TEXT(表3[[#This Row],[ETD]],"mmdd ")&amp;表3[[#This Row],[项目]]</f>
        <v>0506 0 WEEK</v>
      </c>
      <c r="B7" s="8" t="s">
        <v>291</v>
      </c>
      <c r="C7" s="9">
        <v>43591</v>
      </c>
      <c r="D7" s="10">
        <v>1</v>
      </c>
      <c r="E7" s="10">
        <v>2</v>
      </c>
      <c r="F7" s="11" t="s">
        <v>284</v>
      </c>
      <c r="G7" s="30">
        <v>43586</v>
      </c>
      <c r="H7" s="27" t="s">
        <v>269</v>
      </c>
      <c r="I7" s="12" t="s">
        <v>282</v>
      </c>
    </row>
    <row r="8" spans="1:9" hidden="1" x14ac:dyDescent="0.2">
      <c r="A8" s="25" t="str">
        <f>TEXT(表3[[#This Row],[ETD]],"mmdd ")&amp;表3[[#This Row],[项目]]</f>
        <v>0506 0 WEEK</v>
      </c>
      <c r="B8" s="8" t="s">
        <v>291</v>
      </c>
      <c r="C8" s="9">
        <v>43591</v>
      </c>
      <c r="D8" s="10">
        <v>3</v>
      </c>
      <c r="E8" s="10">
        <v>3</v>
      </c>
      <c r="F8" s="11" t="s">
        <v>284</v>
      </c>
      <c r="G8" s="30">
        <v>43593</v>
      </c>
      <c r="H8" s="27" t="s">
        <v>297</v>
      </c>
      <c r="I8" s="12" t="s">
        <v>287</v>
      </c>
    </row>
    <row r="9" spans="1:9" hidden="1" x14ac:dyDescent="0.2">
      <c r="A9" s="25" t="str">
        <f>TEXT(表3[[#This Row],[ETD]],"mmdd ")&amp;表3[[#This Row],[项目]]</f>
        <v>0506 0 WEEK</v>
      </c>
      <c r="B9" s="8" t="s">
        <v>291</v>
      </c>
      <c r="C9" s="9">
        <v>43591</v>
      </c>
      <c r="D9" s="10">
        <v>5</v>
      </c>
      <c r="E9" s="10">
        <v>1</v>
      </c>
      <c r="F9" s="11" t="s">
        <v>271</v>
      </c>
      <c r="G9" s="30">
        <v>43595</v>
      </c>
      <c r="H9" s="27" t="s">
        <v>269</v>
      </c>
      <c r="I9" s="12" t="s">
        <v>277</v>
      </c>
    </row>
    <row r="10" spans="1:9" hidden="1" x14ac:dyDescent="0.2">
      <c r="A10" s="25" t="str">
        <f>TEXT(表3[[#This Row],[ETD]],"mmdd ")&amp;表3[[#This Row],[项目]]</f>
        <v>0506 0 WEEK</v>
      </c>
      <c r="B10" s="8" t="s">
        <v>291</v>
      </c>
      <c r="C10" s="9">
        <v>43591</v>
      </c>
      <c r="D10" s="10">
        <v>5</v>
      </c>
      <c r="E10" s="10">
        <v>2</v>
      </c>
      <c r="F10" s="11" t="s">
        <v>284</v>
      </c>
      <c r="G10" s="30">
        <v>43595</v>
      </c>
      <c r="H10" s="27" t="s">
        <v>269</v>
      </c>
      <c r="I10" s="12" t="s">
        <v>277</v>
      </c>
    </row>
    <row r="11" spans="1:9" hidden="1" x14ac:dyDescent="0.2">
      <c r="A11" s="25" t="str">
        <f>TEXT(表3[[#This Row],[ETD]],"mmdd ")&amp;表3[[#This Row],[项目]]</f>
        <v>0506 0 WEEK</v>
      </c>
      <c r="B11" s="8" t="s">
        <v>291</v>
      </c>
      <c r="C11" s="9">
        <v>43591</v>
      </c>
      <c r="D11" s="10">
        <v>5</v>
      </c>
      <c r="E11" s="10">
        <v>3</v>
      </c>
      <c r="F11" s="11" t="s">
        <v>289</v>
      </c>
      <c r="G11" s="30">
        <v>43595</v>
      </c>
      <c r="H11" s="27" t="s">
        <v>312</v>
      </c>
      <c r="I11" s="12" t="s">
        <v>277</v>
      </c>
    </row>
    <row r="12" spans="1:9" hidden="1" x14ac:dyDescent="0.2">
      <c r="A12" s="25" t="str">
        <f>TEXT(表3[[#This Row],[ETD]],"mmdd ")&amp;表3[[#This Row],[项目]]</f>
        <v>0508 HMI</v>
      </c>
      <c r="B12" s="8" t="s">
        <v>227</v>
      </c>
      <c r="C12" s="9">
        <v>43593</v>
      </c>
      <c r="D12" s="10">
        <v>1</v>
      </c>
      <c r="E12" s="10">
        <v>1</v>
      </c>
      <c r="F12" s="11" t="s">
        <v>310</v>
      </c>
      <c r="G12" s="30">
        <v>43595</v>
      </c>
      <c r="H12" s="27" t="s">
        <v>1</v>
      </c>
      <c r="I12" s="12"/>
    </row>
    <row r="13" spans="1:9" hidden="1" x14ac:dyDescent="0.2">
      <c r="A13" s="25" t="str">
        <f>TEXT(表3[[#This Row],[ETD]],"mmdd ")&amp;表3[[#This Row],[项目]]</f>
        <v>0508 KMM</v>
      </c>
      <c r="B13" s="8" t="s">
        <v>224</v>
      </c>
      <c r="C13" s="9">
        <v>43593</v>
      </c>
      <c r="D13" s="10">
        <v>1</v>
      </c>
      <c r="E13" s="10">
        <v>1</v>
      </c>
      <c r="F13" s="11" t="s">
        <v>310</v>
      </c>
      <c r="G13" s="30">
        <v>43595</v>
      </c>
      <c r="H13" s="27" t="s">
        <v>1</v>
      </c>
      <c r="I13" s="12"/>
    </row>
    <row r="14" spans="1:9" hidden="1" x14ac:dyDescent="0.2">
      <c r="A14" s="8" t="str">
        <f>TEXT(表3[[#This Row],[ETD]],"mmdd ")&amp;表3[[#This Row],[项目]]</f>
        <v>0510 JS mobis</v>
      </c>
      <c r="B14" s="8" t="s">
        <v>2</v>
      </c>
      <c r="C14" s="9">
        <v>43595</v>
      </c>
      <c r="D14" s="10">
        <v>1</v>
      </c>
      <c r="E14" s="10">
        <v>1</v>
      </c>
      <c r="F14" s="11" t="s">
        <v>116</v>
      </c>
      <c r="G14" s="30">
        <v>43581</v>
      </c>
      <c r="H14" s="27" t="s">
        <v>247</v>
      </c>
      <c r="I14" s="12" t="s">
        <v>33</v>
      </c>
    </row>
    <row r="15" spans="1:9" hidden="1" x14ac:dyDescent="0.2">
      <c r="A15" s="8" t="str">
        <f>TEXT(表3[[#This Row],[ETD]],"mmdd ")&amp;表3[[#This Row],[项目]]</f>
        <v>0510 JS mobis</v>
      </c>
      <c r="B15" s="8" t="s">
        <v>2</v>
      </c>
      <c r="C15" s="9">
        <v>43595</v>
      </c>
      <c r="D15" s="10">
        <v>2</v>
      </c>
      <c r="E15" s="10">
        <v>1</v>
      </c>
      <c r="F15" s="11" t="s">
        <v>117</v>
      </c>
      <c r="G15" s="30">
        <v>43583</v>
      </c>
      <c r="H15" s="27" t="s">
        <v>247</v>
      </c>
      <c r="I15" s="12" t="s">
        <v>35</v>
      </c>
    </row>
    <row r="16" spans="1:9" hidden="1" x14ac:dyDescent="0.2">
      <c r="A16" s="8" t="str">
        <f>TEXT(表3[[#This Row],[ETD]],"mmdd ")&amp;表3[[#This Row],[项目]]</f>
        <v>0510 JS mobis</v>
      </c>
      <c r="B16" s="8" t="s">
        <v>2</v>
      </c>
      <c r="C16" s="9">
        <v>43595</v>
      </c>
      <c r="D16" s="10">
        <v>2</v>
      </c>
      <c r="E16" s="10">
        <v>2</v>
      </c>
      <c r="F16" s="11" t="s">
        <v>118</v>
      </c>
      <c r="G16" s="30">
        <v>43583</v>
      </c>
      <c r="H16" s="27" t="s">
        <v>247</v>
      </c>
      <c r="I16" s="12"/>
    </row>
    <row r="17" spans="1:9" hidden="1" x14ac:dyDescent="0.2">
      <c r="A17" s="8" t="str">
        <f>TEXT(表3[[#This Row],[ETD]],"mmdd ")&amp;表3[[#This Row],[项目]]</f>
        <v>0510 JS mobis</v>
      </c>
      <c r="B17" s="8" t="s">
        <v>2</v>
      </c>
      <c r="C17" s="9">
        <v>43595</v>
      </c>
      <c r="D17" s="10">
        <v>2</v>
      </c>
      <c r="E17" s="10">
        <v>3</v>
      </c>
      <c r="F17" s="11" t="s">
        <v>119</v>
      </c>
      <c r="G17" s="30">
        <v>43583</v>
      </c>
      <c r="H17" s="27" t="s">
        <v>247</v>
      </c>
      <c r="I17" s="12" t="s">
        <v>48</v>
      </c>
    </row>
    <row r="18" spans="1:9" hidden="1" x14ac:dyDescent="0.2">
      <c r="A18" s="8" t="str">
        <f>TEXT(表3[[#This Row],[ETD]],"mmdd ")&amp;表3[[#This Row],[项目]]</f>
        <v>0510 JS mobis</v>
      </c>
      <c r="B18" s="8" t="s">
        <v>2</v>
      </c>
      <c r="C18" s="9">
        <v>43595</v>
      </c>
      <c r="D18" s="10">
        <v>2</v>
      </c>
      <c r="E18" s="10">
        <v>4</v>
      </c>
      <c r="F18" s="11" t="s">
        <v>22</v>
      </c>
      <c r="G18" s="30">
        <v>43583</v>
      </c>
      <c r="H18" s="27" t="s">
        <v>247</v>
      </c>
      <c r="I18" s="12"/>
    </row>
    <row r="19" spans="1:9" hidden="1" x14ac:dyDescent="0.2">
      <c r="A19" s="8" t="str">
        <f>TEXT(表3[[#This Row],[ETD]],"mmdd ")&amp;表3[[#This Row],[项目]]</f>
        <v>0510 JS mobis</v>
      </c>
      <c r="B19" s="8" t="s">
        <v>2</v>
      </c>
      <c r="C19" s="9">
        <v>43595</v>
      </c>
      <c r="D19" s="10">
        <v>2</v>
      </c>
      <c r="E19" s="10">
        <v>5</v>
      </c>
      <c r="F19" s="11" t="s">
        <v>120</v>
      </c>
      <c r="G19" s="30">
        <v>43583</v>
      </c>
      <c r="H19" s="27" t="s">
        <v>247</v>
      </c>
      <c r="I19" s="12"/>
    </row>
    <row r="20" spans="1:9" hidden="1" x14ac:dyDescent="0.2">
      <c r="A20" s="8" t="str">
        <f>TEXT(表3[[#This Row],[ETD]],"mmdd ")&amp;表3[[#This Row],[项目]]</f>
        <v>0510 JS mobis</v>
      </c>
      <c r="B20" s="8" t="s">
        <v>2</v>
      </c>
      <c r="C20" s="9">
        <v>43595</v>
      </c>
      <c r="D20" s="10">
        <v>2</v>
      </c>
      <c r="E20" s="10">
        <v>6</v>
      </c>
      <c r="F20" s="11" t="s">
        <v>121</v>
      </c>
      <c r="G20" s="30">
        <v>43583</v>
      </c>
      <c r="H20" s="27" t="s">
        <v>247</v>
      </c>
      <c r="I20" s="12"/>
    </row>
    <row r="21" spans="1:9" hidden="1" x14ac:dyDescent="0.2">
      <c r="A21" s="8" t="str">
        <f>TEXT(表3[[#This Row],[ETD]],"mmdd ")&amp;表3[[#This Row],[项目]]</f>
        <v>0510 JS mobis</v>
      </c>
      <c r="B21" s="8" t="s">
        <v>2</v>
      </c>
      <c r="C21" s="9">
        <v>43595</v>
      </c>
      <c r="D21" s="10">
        <v>2</v>
      </c>
      <c r="E21" s="10">
        <v>7</v>
      </c>
      <c r="F21" s="11" t="s">
        <v>10</v>
      </c>
      <c r="G21" s="30">
        <v>43583</v>
      </c>
      <c r="H21" s="27" t="s">
        <v>247</v>
      </c>
      <c r="I21" s="12"/>
    </row>
    <row r="22" spans="1:9" hidden="1" x14ac:dyDescent="0.2">
      <c r="A22" s="8" t="str">
        <f>TEXT(表3[[#This Row],[ETD]],"mmdd ")&amp;表3[[#This Row],[项目]]</f>
        <v>0510 JS mobis</v>
      </c>
      <c r="B22" s="8" t="s">
        <v>2</v>
      </c>
      <c r="C22" s="9">
        <v>43595</v>
      </c>
      <c r="D22" s="10">
        <v>2</v>
      </c>
      <c r="E22" s="10">
        <v>8</v>
      </c>
      <c r="F22" s="11" t="s">
        <v>122</v>
      </c>
      <c r="G22" s="30">
        <v>43584</v>
      </c>
      <c r="H22" s="27" t="s">
        <v>247</v>
      </c>
      <c r="I22" s="12" t="s">
        <v>37</v>
      </c>
    </row>
    <row r="23" spans="1:9" hidden="1" x14ac:dyDescent="0.2">
      <c r="A23" s="8" t="str">
        <f>TEXT(表3[[#This Row],[ETD]],"mmdd ")&amp;表3[[#This Row],[项目]]</f>
        <v>0510 JS mobis</v>
      </c>
      <c r="B23" s="8" t="s">
        <v>2</v>
      </c>
      <c r="C23" s="9">
        <v>43595</v>
      </c>
      <c r="D23" s="10">
        <v>2</v>
      </c>
      <c r="E23" s="10">
        <v>9</v>
      </c>
      <c r="F23" s="11" t="s">
        <v>67</v>
      </c>
      <c r="G23" s="30">
        <v>43584</v>
      </c>
      <c r="H23" s="27" t="s">
        <v>247</v>
      </c>
      <c r="I23" s="12"/>
    </row>
    <row r="24" spans="1:9" hidden="1" x14ac:dyDescent="0.2">
      <c r="A24" s="8" t="str">
        <f>TEXT(表3[[#This Row],[ETD]],"mmdd ")&amp;表3[[#This Row],[项目]]</f>
        <v>0510 JS mobis</v>
      </c>
      <c r="B24" s="8" t="s">
        <v>2</v>
      </c>
      <c r="C24" s="9">
        <v>43595</v>
      </c>
      <c r="D24" s="10">
        <v>3</v>
      </c>
      <c r="E24" s="10">
        <v>1</v>
      </c>
      <c r="F24" s="11" t="s">
        <v>123</v>
      </c>
      <c r="G24" s="30">
        <v>43591</v>
      </c>
      <c r="H24" s="27" t="s">
        <v>247</v>
      </c>
      <c r="I24" s="12" t="s">
        <v>39</v>
      </c>
    </row>
    <row r="25" spans="1:9" hidden="1" x14ac:dyDescent="0.2">
      <c r="A25" s="8" t="str">
        <f>TEXT(表3[[#This Row],[ETD]],"mmdd ")&amp;表3[[#This Row],[项目]]</f>
        <v>0510 JS mobis</v>
      </c>
      <c r="B25" s="8" t="s">
        <v>2</v>
      </c>
      <c r="C25" s="9">
        <v>43595</v>
      </c>
      <c r="D25" s="10">
        <v>3</v>
      </c>
      <c r="E25" s="10">
        <v>2</v>
      </c>
      <c r="F25" s="11" t="s">
        <v>124</v>
      </c>
      <c r="G25" s="30">
        <v>43591</v>
      </c>
      <c r="H25" s="27" t="s">
        <v>247</v>
      </c>
      <c r="I25" s="12"/>
    </row>
    <row r="26" spans="1:9" hidden="1" x14ac:dyDescent="0.2">
      <c r="A26" s="8" t="str">
        <f>TEXT(表3[[#This Row],[ETD]],"mmdd ")&amp;表3[[#This Row],[项目]]</f>
        <v>0510 JS mobis</v>
      </c>
      <c r="B26" s="8" t="s">
        <v>2</v>
      </c>
      <c r="C26" s="9">
        <v>43595</v>
      </c>
      <c r="D26" s="10">
        <v>3</v>
      </c>
      <c r="E26" s="10">
        <v>3</v>
      </c>
      <c r="F26" s="11" t="s">
        <v>26</v>
      </c>
      <c r="G26" s="30">
        <v>43591</v>
      </c>
      <c r="H26" s="27" t="s">
        <v>247</v>
      </c>
      <c r="I26" s="12"/>
    </row>
    <row r="27" spans="1:9" hidden="1" x14ac:dyDescent="0.2">
      <c r="A27" s="8" t="str">
        <f>TEXT(表3[[#This Row],[ETD]],"mmdd ")&amp;表3[[#This Row],[项目]]</f>
        <v>0510 JS mobis</v>
      </c>
      <c r="B27" s="8" t="s">
        <v>2</v>
      </c>
      <c r="C27" s="9">
        <v>43595</v>
      </c>
      <c r="D27" s="10">
        <v>3</v>
      </c>
      <c r="E27" s="10">
        <v>4</v>
      </c>
      <c r="F27" s="11" t="s">
        <v>125</v>
      </c>
      <c r="G27" s="30">
        <v>43591</v>
      </c>
      <c r="H27" s="27" t="s">
        <v>247</v>
      </c>
      <c r="I27" s="12"/>
    </row>
    <row r="28" spans="1:9" hidden="1" x14ac:dyDescent="0.2">
      <c r="A28" s="8" t="str">
        <f>TEXT(表3[[#This Row],[ETD]],"mmdd ")&amp;表3[[#This Row],[项目]]</f>
        <v>0510 JS mobis</v>
      </c>
      <c r="B28" s="8" t="s">
        <v>2</v>
      </c>
      <c r="C28" s="9">
        <v>43595</v>
      </c>
      <c r="D28" s="10">
        <v>3</v>
      </c>
      <c r="E28" s="10">
        <v>5</v>
      </c>
      <c r="F28" s="11" t="s">
        <v>126</v>
      </c>
      <c r="G28" s="30">
        <v>43591</v>
      </c>
      <c r="H28" s="27" t="s">
        <v>247</v>
      </c>
      <c r="I28" s="12"/>
    </row>
    <row r="29" spans="1:9" hidden="1" x14ac:dyDescent="0.2">
      <c r="A29" s="8" t="str">
        <f>TEXT(表3[[#This Row],[ETD]],"mmdd ")&amp;表3[[#This Row],[项目]]</f>
        <v>0510 JS mobis</v>
      </c>
      <c r="B29" s="8" t="s">
        <v>2</v>
      </c>
      <c r="C29" s="9">
        <v>43595</v>
      </c>
      <c r="D29" s="10">
        <v>3</v>
      </c>
      <c r="E29" s="10">
        <v>6</v>
      </c>
      <c r="F29" s="11" t="s">
        <v>127</v>
      </c>
      <c r="G29" s="30">
        <v>43591</v>
      </c>
      <c r="H29" s="27" t="s">
        <v>247</v>
      </c>
      <c r="I29" s="12"/>
    </row>
    <row r="30" spans="1:9" hidden="1" x14ac:dyDescent="0.2">
      <c r="A30" s="8" t="str">
        <f>TEXT(表3[[#This Row],[ETD]],"mmdd ")&amp;表3[[#This Row],[项目]]</f>
        <v>0510 JS mobis</v>
      </c>
      <c r="B30" s="8" t="s">
        <v>2</v>
      </c>
      <c r="C30" s="9">
        <v>43595</v>
      </c>
      <c r="D30" s="10">
        <v>3</v>
      </c>
      <c r="E30" s="10">
        <v>7</v>
      </c>
      <c r="F30" s="11" t="s">
        <v>128</v>
      </c>
      <c r="G30" s="30">
        <v>43591</v>
      </c>
      <c r="H30" s="27" t="s">
        <v>247</v>
      </c>
      <c r="I30" s="12"/>
    </row>
    <row r="31" spans="1:9" hidden="1" x14ac:dyDescent="0.2">
      <c r="A31" s="8" t="str">
        <f>TEXT(表3[[#This Row],[ETD]],"mmdd ")&amp;表3[[#This Row],[项目]]</f>
        <v>0510 JS mobis</v>
      </c>
      <c r="B31" s="8" t="s">
        <v>2</v>
      </c>
      <c r="C31" s="9">
        <v>43595</v>
      </c>
      <c r="D31" s="10">
        <v>3</v>
      </c>
      <c r="E31" s="10">
        <v>8</v>
      </c>
      <c r="F31" s="11" t="s">
        <v>65</v>
      </c>
      <c r="G31" s="30">
        <v>43591</v>
      </c>
      <c r="H31" s="27" t="s">
        <v>247</v>
      </c>
      <c r="I31" s="12"/>
    </row>
    <row r="32" spans="1:9" hidden="1" x14ac:dyDescent="0.2">
      <c r="A32" s="8" t="str">
        <f>TEXT(表3[[#This Row],[ETD]],"mmdd ")&amp;表3[[#This Row],[项目]]</f>
        <v>0510 JS mobis</v>
      </c>
      <c r="B32" s="8" t="s">
        <v>2</v>
      </c>
      <c r="C32" s="9">
        <v>43595</v>
      </c>
      <c r="D32" s="10">
        <v>4</v>
      </c>
      <c r="E32" s="10">
        <v>1</v>
      </c>
      <c r="F32" s="11" t="s">
        <v>129</v>
      </c>
      <c r="G32" s="30">
        <v>43592</v>
      </c>
      <c r="H32" s="27" t="s">
        <v>247</v>
      </c>
      <c r="I32" s="12" t="s">
        <v>41</v>
      </c>
    </row>
    <row r="33" spans="1:9" hidden="1" x14ac:dyDescent="0.2">
      <c r="A33" s="8" t="str">
        <f>TEXT(表3[[#This Row],[ETD]],"mmdd ")&amp;表3[[#This Row],[项目]]</f>
        <v>0510 JS mobis</v>
      </c>
      <c r="B33" s="8" t="s">
        <v>2</v>
      </c>
      <c r="C33" s="9">
        <v>43595</v>
      </c>
      <c r="D33" s="10">
        <v>4</v>
      </c>
      <c r="E33" s="10">
        <v>2</v>
      </c>
      <c r="F33" s="11" t="s">
        <v>57</v>
      </c>
      <c r="G33" s="30">
        <v>43592</v>
      </c>
      <c r="H33" s="27" t="s">
        <v>247</v>
      </c>
      <c r="I33" s="12"/>
    </row>
    <row r="34" spans="1:9" hidden="1" x14ac:dyDescent="0.2">
      <c r="A34" s="8" t="str">
        <f>TEXT(表3[[#This Row],[ETD]],"mmdd ")&amp;表3[[#This Row],[项目]]</f>
        <v>0510 JS mobis</v>
      </c>
      <c r="B34" s="8" t="s">
        <v>2</v>
      </c>
      <c r="C34" s="9">
        <v>43595</v>
      </c>
      <c r="D34" s="10">
        <v>4</v>
      </c>
      <c r="E34" s="10">
        <v>3</v>
      </c>
      <c r="F34" s="11" t="s">
        <v>130</v>
      </c>
      <c r="G34" s="30">
        <v>43592</v>
      </c>
      <c r="H34" s="27" t="s">
        <v>247</v>
      </c>
      <c r="I34" s="12"/>
    </row>
    <row r="35" spans="1:9" hidden="1" x14ac:dyDescent="0.2">
      <c r="A35" s="8" t="str">
        <f>TEXT(表3[[#This Row],[ETD]],"mmdd ")&amp;表3[[#This Row],[项目]]</f>
        <v>0510 JS mobis</v>
      </c>
      <c r="B35" s="8" t="s">
        <v>2</v>
      </c>
      <c r="C35" s="9">
        <v>43595</v>
      </c>
      <c r="D35" s="10">
        <v>4</v>
      </c>
      <c r="E35" s="10">
        <v>4</v>
      </c>
      <c r="F35" s="11" t="s">
        <v>131</v>
      </c>
      <c r="G35" s="30">
        <v>43592</v>
      </c>
      <c r="H35" s="27" t="s">
        <v>247</v>
      </c>
      <c r="I35" s="12"/>
    </row>
    <row r="36" spans="1:9" hidden="1" x14ac:dyDescent="0.2">
      <c r="A36" s="8" t="str">
        <f>TEXT(表3[[#This Row],[ETD]],"mmdd ")&amp;表3[[#This Row],[项目]]</f>
        <v>0510 JS mobis</v>
      </c>
      <c r="B36" s="8" t="s">
        <v>2</v>
      </c>
      <c r="C36" s="9">
        <v>43595</v>
      </c>
      <c r="D36" s="10">
        <v>4</v>
      </c>
      <c r="E36" s="10">
        <v>5</v>
      </c>
      <c r="F36" s="11" t="s">
        <v>132</v>
      </c>
      <c r="G36" s="30">
        <v>43592</v>
      </c>
      <c r="H36" s="27" t="s">
        <v>247</v>
      </c>
      <c r="I36" s="12" t="s">
        <v>48</v>
      </c>
    </row>
    <row r="37" spans="1:9" hidden="1" x14ac:dyDescent="0.2">
      <c r="A37" s="8" t="str">
        <f>TEXT(表3[[#This Row],[ETD]],"mmdd ")&amp;表3[[#This Row],[项目]]</f>
        <v>0510 JS mobis</v>
      </c>
      <c r="B37" s="8" t="s">
        <v>2</v>
      </c>
      <c r="C37" s="9">
        <v>43595</v>
      </c>
      <c r="D37" s="10">
        <v>4</v>
      </c>
      <c r="E37" s="10">
        <v>6</v>
      </c>
      <c r="F37" s="11" t="s">
        <v>133</v>
      </c>
      <c r="G37" s="30">
        <v>43592</v>
      </c>
      <c r="H37" s="27" t="s">
        <v>247</v>
      </c>
      <c r="I37" s="12" t="s">
        <v>185</v>
      </c>
    </row>
    <row r="38" spans="1:9" hidden="1" x14ac:dyDescent="0.2">
      <c r="A38" s="8" t="str">
        <f>TEXT(表3[[#This Row],[ETD]],"mmdd ")&amp;表3[[#This Row],[项目]]</f>
        <v>0510 JS mobis</v>
      </c>
      <c r="B38" s="8" t="s">
        <v>2</v>
      </c>
      <c r="C38" s="9">
        <v>43595</v>
      </c>
      <c r="D38" s="10">
        <v>4</v>
      </c>
      <c r="E38" s="10">
        <v>7</v>
      </c>
      <c r="F38" s="11" t="s">
        <v>134</v>
      </c>
      <c r="G38" s="30">
        <v>43592</v>
      </c>
      <c r="H38" s="27" t="s">
        <v>247</v>
      </c>
      <c r="I38" s="12" t="s">
        <v>48</v>
      </c>
    </row>
    <row r="39" spans="1:9" hidden="1" x14ac:dyDescent="0.2">
      <c r="A39" s="8" t="str">
        <f>TEXT(表3[[#This Row],[ETD]],"mmdd ")&amp;表3[[#This Row],[项目]]</f>
        <v>0510 JS mobis</v>
      </c>
      <c r="B39" s="8" t="s">
        <v>2</v>
      </c>
      <c r="C39" s="9">
        <v>43595</v>
      </c>
      <c r="D39" s="10">
        <v>4</v>
      </c>
      <c r="E39" s="10">
        <v>8</v>
      </c>
      <c r="F39" s="11" t="s">
        <v>63</v>
      </c>
      <c r="G39" s="30">
        <v>43592</v>
      </c>
      <c r="H39" s="27" t="s">
        <v>247</v>
      </c>
      <c r="I39" s="12"/>
    </row>
    <row r="40" spans="1:9" hidden="1" x14ac:dyDescent="0.2">
      <c r="A40" s="8" t="str">
        <f>TEXT(表3[[#This Row],[ETD]],"mmdd ")&amp;表3[[#This Row],[项目]]</f>
        <v>0510 JS mobis</v>
      </c>
      <c r="B40" s="8" t="s">
        <v>2</v>
      </c>
      <c r="C40" s="9">
        <v>43595</v>
      </c>
      <c r="D40" s="10">
        <v>4</v>
      </c>
      <c r="E40" s="10">
        <v>9</v>
      </c>
      <c r="F40" s="11" t="s">
        <v>135</v>
      </c>
      <c r="G40" s="30">
        <v>43592</v>
      </c>
      <c r="H40" s="27" t="s">
        <v>247</v>
      </c>
      <c r="I40" s="12"/>
    </row>
    <row r="41" spans="1:9" hidden="1" x14ac:dyDescent="0.2">
      <c r="A41" s="8" t="str">
        <f>TEXT(表3[[#This Row],[ETD]],"mmdd ")&amp;表3[[#This Row],[项目]]</f>
        <v>0510 JS mobis</v>
      </c>
      <c r="B41" s="8" t="s">
        <v>2</v>
      </c>
      <c r="C41" s="9">
        <v>43595</v>
      </c>
      <c r="D41" s="10">
        <v>4</v>
      </c>
      <c r="E41" s="10">
        <v>10</v>
      </c>
      <c r="F41" s="11" t="s">
        <v>136</v>
      </c>
      <c r="G41" s="30">
        <v>43592</v>
      </c>
      <c r="H41" s="27" t="s">
        <v>247</v>
      </c>
      <c r="I41" s="12"/>
    </row>
    <row r="42" spans="1:9" hidden="1" x14ac:dyDescent="0.2">
      <c r="A42" s="8" t="str">
        <f>TEXT(表3[[#This Row],[ETD]],"mmdd ")&amp;表3[[#This Row],[项目]]</f>
        <v>0510 JS mobis</v>
      </c>
      <c r="B42" s="8" t="s">
        <v>2</v>
      </c>
      <c r="C42" s="9">
        <v>43595</v>
      </c>
      <c r="D42" s="10">
        <v>4</v>
      </c>
      <c r="E42" s="10">
        <v>11</v>
      </c>
      <c r="F42" s="11" t="s">
        <v>137</v>
      </c>
      <c r="G42" s="30">
        <v>43592</v>
      </c>
      <c r="H42" s="27" t="s">
        <v>247</v>
      </c>
      <c r="I42" s="12"/>
    </row>
    <row r="43" spans="1:9" hidden="1" x14ac:dyDescent="0.2">
      <c r="A43" s="8" t="str">
        <f>TEXT(表3[[#This Row],[ETD]],"mmdd ")&amp;表3[[#This Row],[项目]]</f>
        <v>0510 JS mobis</v>
      </c>
      <c r="B43" s="8" t="s">
        <v>2</v>
      </c>
      <c r="C43" s="9">
        <v>43595</v>
      </c>
      <c r="D43" s="10">
        <v>4</v>
      </c>
      <c r="E43" s="10">
        <v>12</v>
      </c>
      <c r="F43" s="11" t="s">
        <v>92</v>
      </c>
      <c r="G43" s="30">
        <v>43592</v>
      </c>
      <c r="H43" s="27" t="s">
        <v>247</v>
      </c>
      <c r="I43" s="12"/>
    </row>
    <row r="44" spans="1:9" hidden="1" x14ac:dyDescent="0.2">
      <c r="A44" s="8" t="str">
        <f>TEXT(表3[[#This Row],[ETD]],"mmdd ")&amp;表3[[#This Row],[项目]]</f>
        <v>0510 JS mobis</v>
      </c>
      <c r="B44" s="8" t="s">
        <v>2</v>
      </c>
      <c r="C44" s="9">
        <v>43595</v>
      </c>
      <c r="D44" s="10">
        <v>4</v>
      </c>
      <c r="E44" s="10">
        <v>13</v>
      </c>
      <c r="F44" s="11" t="s">
        <v>82</v>
      </c>
      <c r="G44" s="30">
        <v>43592</v>
      </c>
      <c r="H44" s="27" t="s">
        <v>247</v>
      </c>
      <c r="I44" s="12" t="s">
        <v>78</v>
      </c>
    </row>
    <row r="45" spans="1:9" hidden="1" x14ac:dyDescent="0.2">
      <c r="A45" s="8" t="str">
        <f>TEXT(表3[[#This Row],[ETD]],"mmdd ")&amp;表3[[#This Row],[项目]]</f>
        <v>0510 JS mobis</v>
      </c>
      <c r="B45" s="8" t="s">
        <v>2</v>
      </c>
      <c r="C45" s="9">
        <v>43595</v>
      </c>
      <c r="D45" s="10">
        <v>4</v>
      </c>
      <c r="E45" s="10">
        <v>14</v>
      </c>
      <c r="F45" s="11" t="s">
        <v>138</v>
      </c>
      <c r="G45" s="30">
        <v>43592</v>
      </c>
      <c r="H45" s="27" t="s">
        <v>247</v>
      </c>
      <c r="I45" s="12"/>
    </row>
    <row r="46" spans="1:9" hidden="1" x14ac:dyDescent="0.2">
      <c r="A46" s="8" t="str">
        <f>TEXT(表3[[#This Row],[ETD]],"mmdd ")&amp;表3[[#This Row],[项目]]</f>
        <v>0510 JS mobis</v>
      </c>
      <c r="B46" s="8" t="s">
        <v>2</v>
      </c>
      <c r="C46" s="9">
        <v>43595</v>
      </c>
      <c r="D46" s="10">
        <v>4</v>
      </c>
      <c r="E46" s="10">
        <v>15</v>
      </c>
      <c r="F46" s="11" t="s">
        <v>139</v>
      </c>
      <c r="G46" s="30">
        <v>43592</v>
      </c>
      <c r="H46" s="27" t="s">
        <v>247</v>
      </c>
      <c r="I46" s="12" t="s">
        <v>37</v>
      </c>
    </row>
    <row r="47" spans="1:9" hidden="1" x14ac:dyDescent="0.2">
      <c r="A47" s="8" t="str">
        <f>TEXT(表3[[#This Row],[ETD]],"mmdd ")&amp;表3[[#This Row],[项目]]</f>
        <v>0510 JS mobis</v>
      </c>
      <c r="B47" s="8" t="s">
        <v>2</v>
      </c>
      <c r="C47" s="9">
        <v>43595</v>
      </c>
      <c r="D47" s="10">
        <v>4</v>
      </c>
      <c r="E47" s="10">
        <v>16</v>
      </c>
      <c r="F47" s="11" t="s">
        <v>140</v>
      </c>
      <c r="G47" s="30">
        <v>43592</v>
      </c>
      <c r="H47" s="27" t="s">
        <v>247</v>
      </c>
      <c r="I47" s="12" t="s">
        <v>48</v>
      </c>
    </row>
    <row r="48" spans="1:9" hidden="1" x14ac:dyDescent="0.2">
      <c r="A48" s="8" t="str">
        <f>TEXT(表3[[#This Row],[ETD]],"mmdd ")&amp;表3[[#This Row],[项目]]</f>
        <v>0510 JS mobis</v>
      </c>
      <c r="B48" s="8" t="s">
        <v>2</v>
      </c>
      <c r="C48" s="9">
        <v>43595</v>
      </c>
      <c r="D48" s="10">
        <v>4</v>
      </c>
      <c r="E48" s="10">
        <v>17</v>
      </c>
      <c r="F48" s="11" t="s">
        <v>199</v>
      </c>
      <c r="G48" s="30">
        <v>43592</v>
      </c>
      <c r="H48" s="27" t="s">
        <v>247</v>
      </c>
      <c r="I48" s="12"/>
    </row>
    <row r="49" spans="1:9" hidden="1" x14ac:dyDescent="0.2">
      <c r="A49" s="8" t="str">
        <f>TEXT(表3[[#This Row],[ETD]],"mmdd ")&amp;表3[[#This Row],[项目]]</f>
        <v>0510 JS mobis</v>
      </c>
      <c r="B49" s="8" t="s">
        <v>2</v>
      </c>
      <c r="C49" s="9">
        <v>43595</v>
      </c>
      <c r="D49" s="10">
        <v>4</v>
      </c>
      <c r="E49" s="10">
        <v>18</v>
      </c>
      <c r="F49" s="11" t="s">
        <v>141</v>
      </c>
      <c r="G49" s="30">
        <v>43592</v>
      </c>
      <c r="H49" s="27" t="s">
        <v>247</v>
      </c>
      <c r="I49" s="12" t="s">
        <v>85</v>
      </c>
    </row>
    <row r="50" spans="1:9" hidden="1" x14ac:dyDescent="0.2">
      <c r="A50" s="8" t="str">
        <f>TEXT(表3[[#This Row],[ETD]],"mmdd ")&amp;表3[[#This Row],[项目]]</f>
        <v>0510 JS mobis</v>
      </c>
      <c r="B50" s="8" t="s">
        <v>2</v>
      </c>
      <c r="C50" s="9">
        <v>43595</v>
      </c>
      <c r="D50" s="10">
        <v>4</v>
      </c>
      <c r="E50" s="10">
        <v>19</v>
      </c>
      <c r="F50" s="11" t="s">
        <v>142</v>
      </c>
      <c r="G50" s="30">
        <v>43592</v>
      </c>
      <c r="H50" s="27" t="s">
        <v>247</v>
      </c>
      <c r="I50" s="12"/>
    </row>
    <row r="51" spans="1:9" hidden="1" x14ac:dyDescent="0.2">
      <c r="A51" s="8" t="str">
        <f>TEXT(表3[[#This Row],[ETD]],"mmdd ")&amp;表3[[#This Row],[项目]]</f>
        <v>0510 JS mobis</v>
      </c>
      <c r="B51" s="8" t="s">
        <v>2</v>
      </c>
      <c r="C51" s="9">
        <v>43595</v>
      </c>
      <c r="D51" s="10">
        <v>5</v>
      </c>
      <c r="E51" s="10">
        <v>1</v>
      </c>
      <c r="F51" s="11" t="s">
        <v>143</v>
      </c>
      <c r="G51" s="30">
        <v>43593</v>
      </c>
      <c r="H51" s="27" t="s">
        <v>247</v>
      </c>
      <c r="I51" s="12"/>
    </row>
    <row r="52" spans="1:9" hidden="1" x14ac:dyDescent="0.2">
      <c r="A52" s="8" t="str">
        <f>TEXT(表3[[#This Row],[ETD]],"mmdd ")&amp;表3[[#This Row],[项目]]</f>
        <v>0510 JS mobis</v>
      </c>
      <c r="B52" s="8" t="s">
        <v>2</v>
      </c>
      <c r="C52" s="9">
        <v>43595</v>
      </c>
      <c r="D52" s="10">
        <v>5</v>
      </c>
      <c r="E52" s="10">
        <v>2</v>
      </c>
      <c r="F52" s="11" t="s">
        <v>98</v>
      </c>
      <c r="G52" s="30">
        <v>43593</v>
      </c>
      <c r="H52" s="27" t="s">
        <v>247</v>
      </c>
      <c r="I52" s="12"/>
    </row>
    <row r="53" spans="1:9" hidden="1" x14ac:dyDescent="0.2">
      <c r="A53" s="8" t="str">
        <f>TEXT(表3[[#This Row],[ETD]],"mmdd ")&amp;表3[[#This Row],[项目]]</f>
        <v>0510 JS mobis</v>
      </c>
      <c r="B53" s="8" t="s">
        <v>2</v>
      </c>
      <c r="C53" s="9">
        <v>43595</v>
      </c>
      <c r="D53" s="10">
        <v>5</v>
      </c>
      <c r="E53" s="10">
        <v>3</v>
      </c>
      <c r="F53" s="11" t="s">
        <v>144</v>
      </c>
      <c r="G53" s="30">
        <v>43593</v>
      </c>
      <c r="H53" s="27" t="s">
        <v>247</v>
      </c>
      <c r="I53" s="12"/>
    </row>
    <row r="54" spans="1:9" hidden="1" x14ac:dyDescent="0.2">
      <c r="A54" s="8" t="str">
        <f>TEXT(表3[[#This Row],[ETD]],"mmdd ")&amp;表3[[#This Row],[项目]]</f>
        <v>0510 JS mobis</v>
      </c>
      <c r="B54" s="8" t="s">
        <v>2</v>
      </c>
      <c r="C54" s="9">
        <v>43595</v>
      </c>
      <c r="D54" s="10">
        <v>5</v>
      </c>
      <c r="E54" s="10">
        <v>4</v>
      </c>
      <c r="F54" s="11" t="s">
        <v>102</v>
      </c>
      <c r="G54" s="30">
        <v>43594</v>
      </c>
      <c r="H54" s="27" t="s">
        <v>247</v>
      </c>
      <c r="I54" s="12"/>
    </row>
    <row r="55" spans="1:9" hidden="1" x14ac:dyDescent="0.2">
      <c r="A55" s="8" t="str">
        <f>TEXT(表3[[#This Row],[ETD]],"mmdd ")&amp;表3[[#This Row],[项目]]</f>
        <v>0510 JS mobis</v>
      </c>
      <c r="B55" s="8" t="s">
        <v>2</v>
      </c>
      <c r="C55" s="9">
        <v>43595</v>
      </c>
      <c r="D55" s="10">
        <v>5</v>
      </c>
      <c r="E55" s="10">
        <v>5</v>
      </c>
      <c r="F55" s="11" t="s">
        <v>145</v>
      </c>
      <c r="G55" s="30">
        <v>43595</v>
      </c>
      <c r="H55" s="27" t="s">
        <v>247</v>
      </c>
      <c r="I55" s="12"/>
    </row>
    <row r="56" spans="1:9" hidden="1" x14ac:dyDescent="0.2">
      <c r="A56" s="8" t="str">
        <f>TEXT(表3[[#This Row],[ETD]],"mmdd ")&amp;表3[[#This Row],[项目]]</f>
        <v>0510 JS mobis</v>
      </c>
      <c r="B56" s="8" t="s">
        <v>2</v>
      </c>
      <c r="C56" s="9">
        <v>43595</v>
      </c>
      <c r="D56" s="10">
        <v>6</v>
      </c>
      <c r="E56" s="10">
        <v>1</v>
      </c>
      <c r="F56" s="29" t="s">
        <v>308</v>
      </c>
      <c r="G56" s="30">
        <v>43595</v>
      </c>
      <c r="H56" s="27" t="s">
        <v>306</v>
      </c>
      <c r="I56" s="12"/>
    </row>
    <row r="57" spans="1:9" x14ac:dyDescent="0.2">
      <c r="A57" s="8" t="str">
        <f>TEXT(表3[[#This Row],[ETD]],"mmdd ")&amp;表3[[#This Row],[项目]]</f>
        <v>0510 JS mobis</v>
      </c>
      <c r="B57" s="8" t="s">
        <v>2</v>
      </c>
      <c r="C57" s="9">
        <v>43595</v>
      </c>
      <c r="D57" s="10">
        <v>7</v>
      </c>
      <c r="E57" s="10">
        <v>1</v>
      </c>
      <c r="F57" s="11" t="s">
        <v>307</v>
      </c>
      <c r="G57" s="30">
        <v>43596</v>
      </c>
      <c r="H57" s="27" t="s">
        <v>250</v>
      </c>
      <c r="I57" s="12"/>
    </row>
    <row r="58" spans="1:9" hidden="1" x14ac:dyDescent="0.2">
      <c r="A58" s="8" t="str">
        <f>TEXT(表3[[#This Row],[ETD]],"mmdd ")&amp;表3[[#This Row],[项目]]</f>
        <v>0510 JS mobis</v>
      </c>
      <c r="B58" s="8" t="s">
        <v>2</v>
      </c>
      <c r="C58" s="9">
        <v>43595</v>
      </c>
      <c r="D58" s="10">
        <v>8</v>
      </c>
      <c r="E58" s="10">
        <v>1</v>
      </c>
      <c r="F58" s="11" t="s">
        <v>108</v>
      </c>
      <c r="G58" s="30">
        <v>43597</v>
      </c>
      <c r="H58" s="27" t="s">
        <v>251</v>
      </c>
      <c r="I58" s="12" t="s">
        <v>148</v>
      </c>
    </row>
    <row r="59" spans="1:9" hidden="1" x14ac:dyDescent="0.2">
      <c r="A59" s="8" t="str">
        <f>TEXT(表3[[#This Row],[ETD]],"mmdd ")&amp;表3[[#This Row],[项目]]</f>
        <v>0515 HMI</v>
      </c>
      <c r="B59" s="8" t="s">
        <v>175</v>
      </c>
      <c r="C59" s="9">
        <v>43600</v>
      </c>
      <c r="D59" s="10">
        <v>1</v>
      </c>
      <c r="E59" s="10">
        <v>1</v>
      </c>
      <c r="F59" s="11" t="s">
        <v>150</v>
      </c>
      <c r="G59" s="30">
        <v>43585</v>
      </c>
      <c r="H59" s="27" t="s">
        <v>247</v>
      </c>
      <c r="I59" s="12"/>
    </row>
    <row r="60" spans="1:9" hidden="1" x14ac:dyDescent="0.2">
      <c r="A60" s="8" t="str">
        <f>TEXT(表3[[#This Row],[ETD]],"mmdd ")&amp;表3[[#This Row],[项目]]</f>
        <v>0515 HMI</v>
      </c>
      <c r="B60" s="8" t="s">
        <v>175</v>
      </c>
      <c r="C60" s="9">
        <v>43600</v>
      </c>
      <c r="D60" s="10">
        <v>2</v>
      </c>
      <c r="E60" s="10">
        <v>1</v>
      </c>
      <c r="F60" s="11" t="s">
        <v>165</v>
      </c>
      <c r="G60" s="30">
        <v>43591</v>
      </c>
      <c r="H60" s="27" t="s">
        <v>247</v>
      </c>
      <c r="I60" s="12"/>
    </row>
    <row r="61" spans="1:9" hidden="1" x14ac:dyDescent="0.2">
      <c r="A61" s="8" t="str">
        <f>TEXT(表3[[#This Row],[ETD]],"mmdd ")&amp;表3[[#This Row],[项目]]</f>
        <v>0515 HMI</v>
      </c>
      <c r="B61" s="8" t="s">
        <v>175</v>
      </c>
      <c r="C61" s="9">
        <v>43600</v>
      </c>
      <c r="D61" s="10">
        <v>3</v>
      </c>
      <c r="E61" s="10">
        <v>1</v>
      </c>
      <c r="F61" s="11" t="s">
        <v>167</v>
      </c>
      <c r="G61" s="30">
        <v>43595</v>
      </c>
      <c r="H61" s="27" t="s">
        <v>1</v>
      </c>
      <c r="I61" s="12" t="s">
        <v>151</v>
      </c>
    </row>
    <row r="62" spans="1:9" hidden="1" x14ac:dyDescent="0.2">
      <c r="A62" s="8" t="str">
        <f>TEXT(表3[[#This Row],[ETD]],"mmdd ")&amp;表3[[#This Row],[项目]]</f>
        <v>0515 HMI</v>
      </c>
      <c r="B62" s="8" t="s">
        <v>175</v>
      </c>
      <c r="C62" s="9">
        <v>43600</v>
      </c>
      <c r="D62" s="10">
        <v>3</v>
      </c>
      <c r="E62" s="10">
        <v>2</v>
      </c>
      <c r="F62" s="11" t="s">
        <v>155</v>
      </c>
      <c r="G62" s="30">
        <v>43594</v>
      </c>
      <c r="H62" s="27" t="s">
        <v>247</v>
      </c>
      <c r="I62" s="12"/>
    </row>
    <row r="63" spans="1:9" hidden="1" x14ac:dyDescent="0.2">
      <c r="A63" s="8" t="str">
        <f>TEXT(表3[[#This Row],[ETD]],"mmdd ")&amp;表3[[#This Row],[项目]]</f>
        <v>0515 HMI</v>
      </c>
      <c r="B63" s="8" t="s">
        <v>175</v>
      </c>
      <c r="C63" s="9">
        <v>43600</v>
      </c>
      <c r="D63" s="10">
        <v>3</v>
      </c>
      <c r="E63" s="10">
        <v>3</v>
      </c>
      <c r="F63" s="11" t="s">
        <v>153</v>
      </c>
      <c r="G63" s="30">
        <v>43595</v>
      </c>
      <c r="H63" s="27" t="s">
        <v>1</v>
      </c>
      <c r="I63" s="12"/>
    </row>
    <row r="64" spans="1:9" hidden="1" x14ac:dyDescent="0.2">
      <c r="A64" s="8" t="str">
        <f>TEXT(表3[[#This Row],[ETD]],"mmdd ")&amp;表3[[#This Row],[项目]]</f>
        <v>0515 HMI</v>
      </c>
      <c r="B64" s="8" t="s">
        <v>175</v>
      </c>
      <c r="C64" s="9">
        <v>43600</v>
      </c>
      <c r="D64" s="10">
        <v>4</v>
      </c>
      <c r="E64" s="10">
        <v>1</v>
      </c>
      <c r="F64" s="11" t="s">
        <v>157</v>
      </c>
      <c r="G64" s="30">
        <v>43595</v>
      </c>
      <c r="H64" s="27" t="s">
        <v>251</v>
      </c>
      <c r="I64" s="12" t="s">
        <v>158</v>
      </c>
    </row>
    <row r="65" spans="1:9" hidden="1" x14ac:dyDescent="0.2">
      <c r="A65" s="8" t="str">
        <f>TEXT(表3[[#This Row],[ETD]],"mmdd ")&amp;表3[[#This Row],[项目]]</f>
        <v>0515 HMI</v>
      </c>
      <c r="B65" s="8" t="s">
        <v>175</v>
      </c>
      <c r="C65" s="9">
        <v>43600</v>
      </c>
      <c r="D65" s="10">
        <v>4</v>
      </c>
      <c r="E65" s="10">
        <v>3</v>
      </c>
      <c r="F65" s="11" t="s">
        <v>169</v>
      </c>
      <c r="G65" s="30">
        <v>43598</v>
      </c>
      <c r="H65" s="27" t="s">
        <v>251</v>
      </c>
      <c r="I65" s="12"/>
    </row>
    <row r="66" spans="1:9" hidden="1" x14ac:dyDescent="0.2">
      <c r="A66" s="8" t="str">
        <f>TEXT(表3[[#This Row],[ETD]],"mmdd ")&amp;表3[[#This Row],[项目]]</f>
        <v>0515 HMI</v>
      </c>
      <c r="B66" s="8" t="s">
        <v>175</v>
      </c>
      <c r="C66" s="9">
        <v>43600</v>
      </c>
      <c r="D66" s="10">
        <v>5</v>
      </c>
      <c r="E66" s="10">
        <v>1</v>
      </c>
      <c r="F66" s="11" t="s">
        <v>178</v>
      </c>
      <c r="G66" s="30">
        <v>43598</v>
      </c>
      <c r="H66" s="27" t="s">
        <v>250</v>
      </c>
      <c r="I66" s="12" t="s">
        <v>173</v>
      </c>
    </row>
    <row r="67" spans="1:9" hidden="1" x14ac:dyDescent="0.2">
      <c r="A67" s="8" t="str">
        <f>TEXT(表3[[#This Row],[ETD]],"mmdd ")&amp;表3[[#This Row],[项目]]</f>
        <v>0515 HMI</v>
      </c>
      <c r="B67" s="8" t="s">
        <v>175</v>
      </c>
      <c r="C67" s="9">
        <v>43600</v>
      </c>
      <c r="D67" s="10">
        <v>5</v>
      </c>
      <c r="E67" s="10">
        <v>2</v>
      </c>
      <c r="F67" s="11" t="s">
        <v>190</v>
      </c>
      <c r="G67" s="30">
        <v>43598</v>
      </c>
      <c r="H67" s="27" t="s">
        <v>251</v>
      </c>
      <c r="I67" s="12" t="s">
        <v>185</v>
      </c>
    </row>
    <row r="68" spans="1:9" hidden="1" x14ac:dyDescent="0.2">
      <c r="A68" s="8" t="str">
        <f>TEXT(表3[[#This Row],[ETD]],"mmdd ")&amp;表3[[#This Row],[项目]]</f>
        <v>0515 HMI</v>
      </c>
      <c r="B68" s="8" t="s">
        <v>175</v>
      </c>
      <c r="C68" s="9">
        <v>43600</v>
      </c>
      <c r="D68" s="10">
        <v>5</v>
      </c>
      <c r="E68" s="10">
        <v>3</v>
      </c>
      <c r="F68" s="11" t="s">
        <v>160</v>
      </c>
      <c r="G68" s="30">
        <v>43598</v>
      </c>
      <c r="H68" s="27" t="s">
        <v>251</v>
      </c>
      <c r="I68" s="12"/>
    </row>
    <row r="69" spans="1:9" hidden="1" x14ac:dyDescent="0.2">
      <c r="A69" s="8" t="str">
        <f>TEXT(表3[[#This Row],[ETD]],"mmdd ")&amp;表3[[#This Row],[项目]]</f>
        <v>0515 HMI</v>
      </c>
      <c r="B69" s="8" t="s">
        <v>176</v>
      </c>
      <c r="C69" s="9">
        <v>43600</v>
      </c>
      <c r="D69" s="10">
        <v>6</v>
      </c>
      <c r="E69" s="10">
        <v>1</v>
      </c>
      <c r="F69" s="11" t="s">
        <v>164</v>
      </c>
      <c r="G69" s="30">
        <v>43598</v>
      </c>
      <c r="H69" s="27" t="s">
        <v>251</v>
      </c>
      <c r="I69" s="12" t="s">
        <v>162</v>
      </c>
    </row>
    <row r="70" spans="1:9" hidden="1" x14ac:dyDescent="0.2">
      <c r="A70" s="8" t="str">
        <f>TEXT(表3[[#This Row],[ETD]],"mmdd ")&amp;表3[[#This Row],[项目]]</f>
        <v>0515 HMI</v>
      </c>
      <c r="B70" s="8" t="s">
        <v>175</v>
      </c>
      <c r="C70" s="9">
        <v>43600</v>
      </c>
      <c r="D70" s="10">
        <v>7</v>
      </c>
      <c r="E70" s="10">
        <v>1</v>
      </c>
      <c r="F70" s="11" t="s">
        <v>99</v>
      </c>
      <c r="G70" s="30">
        <v>43598</v>
      </c>
      <c r="H70" s="27" t="s">
        <v>251</v>
      </c>
      <c r="I70" s="12"/>
    </row>
    <row r="71" spans="1:9" hidden="1" x14ac:dyDescent="0.2">
      <c r="A71" s="8" t="str">
        <f>TEXT(表3[[#This Row],[ETD]],"mmdd ")&amp;表3[[#This Row],[项目]]</f>
        <v>0515 HMI</v>
      </c>
      <c r="B71" s="8" t="s">
        <v>175</v>
      </c>
      <c r="C71" s="9">
        <v>43600</v>
      </c>
      <c r="D71" s="10">
        <v>7</v>
      </c>
      <c r="E71" s="10">
        <v>2</v>
      </c>
      <c r="F71" s="11" t="s">
        <v>101</v>
      </c>
      <c r="G71" s="30">
        <v>43598</v>
      </c>
      <c r="H71" s="27" t="s">
        <v>250</v>
      </c>
      <c r="I71" s="12"/>
    </row>
    <row r="72" spans="1:9" hidden="1" x14ac:dyDescent="0.2">
      <c r="A72" s="8" t="str">
        <f>TEXT(表3[[#This Row],[ETD]],"mmdd ")&amp;表3[[#This Row],[项目]]</f>
        <v>0515 HMI</v>
      </c>
      <c r="B72" s="8" t="s">
        <v>175</v>
      </c>
      <c r="C72" s="9">
        <v>43600</v>
      </c>
      <c r="D72" s="10">
        <v>7</v>
      </c>
      <c r="E72" s="10">
        <v>3</v>
      </c>
      <c r="F72" s="11" t="s">
        <v>103</v>
      </c>
      <c r="G72" s="30">
        <v>43598</v>
      </c>
      <c r="H72" s="27" t="s">
        <v>253</v>
      </c>
      <c r="I72" s="12"/>
    </row>
    <row r="73" spans="1:9" hidden="1" x14ac:dyDescent="0.2">
      <c r="A73" s="8" t="str">
        <f>TEXT(表3[[#This Row],[ETD]],"mmdd ")&amp;表3[[#This Row],[项目]]</f>
        <v>0515 HMI</v>
      </c>
      <c r="B73" s="8" t="s">
        <v>175</v>
      </c>
      <c r="C73" s="9">
        <v>43600</v>
      </c>
      <c r="D73" s="10">
        <v>8</v>
      </c>
      <c r="E73" s="10">
        <v>1</v>
      </c>
      <c r="F73" s="11" t="s">
        <v>310</v>
      </c>
      <c r="G73" s="30">
        <v>43600</v>
      </c>
      <c r="H73" s="27" t="s">
        <v>250</v>
      </c>
      <c r="I73" s="12"/>
    </row>
    <row r="74" spans="1:9" hidden="1" x14ac:dyDescent="0.2">
      <c r="A74" s="8" t="str">
        <f>TEXT(表3[[#This Row],[ETD]],"mmdd ")&amp;表3[[#This Row],[项目]]</f>
        <v>0515 JS mobis</v>
      </c>
      <c r="B74" s="8" t="s">
        <v>2</v>
      </c>
      <c r="C74" s="9">
        <v>43600</v>
      </c>
      <c r="D74" s="10">
        <v>1</v>
      </c>
      <c r="E74" s="10">
        <v>1</v>
      </c>
      <c r="F74" s="11" t="s">
        <v>14</v>
      </c>
      <c r="G74" s="30">
        <v>43581</v>
      </c>
      <c r="H74" s="27" t="s">
        <v>247</v>
      </c>
      <c r="I74" s="12" t="s">
        <v>33</v>
      </c>
    </row>
    <row r="75" spans="1:9" hidden="1" x14ac:dyDescent="0.2">
      <c r="A75" s="8" t="str">
        <f>TEXT(表3[[#This Row],[ETD]],"mmdd ")&amp;表3[[#This Row],[项目]]</f>
        <v>0515 JS mobis</v>
      </c>
      <c r="B75" s="8" t="s">
        <v>2</v>
      </c>
      <c r="C75" s="9">
        <v>43600</v>
      </c>
      <c r="D75" s="10">
        <v>2</v>
      </c>
      <c r="E75" s="10">
        <v>1</v>
      </c>
      <c r="F75" s="11" t="s">
        <v>68</v>
      </c>
      <c r="G75" s="30">
        <v>43591</v>
      </c>
      <c r="H75" s="27" t="s">
        <v>247</v>
      </c>
      <c r="I75" s="12" t="s">
        <v>35</v>
      </c>
    </row>
    <row r="76" spans="1:9" hidden="1" x14ac:dyDescent="0.2">
      <c r="A76" s="8" t="str">
        <f>TEXT(表3[[#This Row],[ETD]],"mmdd ")&amp;表3[[#This Row],[项目]]</f>
        <v>0515 JS mobis</v>
      </c>
      <c r="B76" s="8" t="s">
        <v>2</v>
      </c>
      <c r="C76" s="9">
        <v>43600</v>
      </c>
      <c r="D76" s="10">
        <v>2</v>
      </c>
      <c r="E76" s="10">
        <v>2</v>
      </c>
      <c r="F76" s="11" t="s">
        <v>70</v>
      </c>
      <c r="G76" s="30">
        <v>43591</v>
      </c>
      <c r="H76" s="27" t="s">
        <v>247</v>
      </c>
      <c r="I76" s="12"/>
    </row>
    <row r="77" spans="1:9" hidden="1" x14ac:dyDescent="0.2">
      <c r="A77" s="8" t="str">
        <f>TEXT(表3[[#This Row],[ETD]],"mmdd ")&amp;表3[[#This Row],[项目]]</f>
        <v>0515 JS mobis</v>
      </c>
      <c r="B77" s="8" t="s">
        <v>2</v>
      </c>
      <c r="C77" s="9">
        <v>43600</v>
      </c>
      <c r="D77" s="10">
        <v>2</v>
      </c>
      <c r="E77" s="10">
        <v>3</v>
      </c>
      <c r="F77" s="11" t="s">
        <v>72</v>
      </c>
      <c r="G77" s="30">
        <v>43591</v>
      </c>
      <c r="H77" s="27" t="s">
        <v>247</v>
      </c>
      <c r="I77" s="12" t="s">
        <v>48</v>
      </c>
    </row>
    <row r="78" spans="1:9" hidden="1" x14ac:dyDescent="0.2">
      <c r="A78" s="8" t="str">
        <f>TEXT(表3[[#This Row],[ETD]],"mmdd ")&amp;表3[[#This Row],[项目]]</f>
        <v>0515 JS mobis</v>
      </c>
      <c r="B78" s="8" t="s">
        <v>2</v>
      </c>
      <c r="C78" s="9">
        <v>43600</v>
      </c>
      <c r="D78" s="10">
        <v>2</v>
      </c>
      <c r="E78" s="10">
        <v>4</v>
      </c>
      <c r="F78" s="11" t="s">
        <v>21</v>
      </c>
      <c r="G78" s="30">
        <v>43591</v>
      </c>
      <c r="H78" s="27" t="s">
        <v>247</v>
      </c>
      <c r="I78" s="12"/>
    </row>
    <row r="79" spans="1:9" hidden="1" x14ac:dyDescent="0.2">
      <c r="A79" s="8" t="str">
        <f>TEXT(表3[[#This Row],[ETD]],"mmdd ")&amp;表3[[#This Row],[项目]]</f>
        <v>0515 JS mobis</v>
      </c>
      <c r="B79" s="8" t="s">
        <v>2</v>
      </c>
      <c r="C79" s="9">
        <v>43600</v>
      </c>
      <c r="D79" s="10">
        <v>2</v>
      </c>
      <c r="E79" s="10">
        <v>5</v>
      </c>
      <c r="F79" s="11" t="s">
        <v>23</v>
      </c>
      <c r="G79" s="30">
        <v>43591</v>
      </c>
      <c r="H79" s="27" t="s">
        <v>247</v>
      </c>
      <c r="I79" s="12"/>
    </row>
    <row r="80" spans="1:9" hidden="1" x14ac:dyDescent="0.2">
      <c r="A80" s="8" t="str">
        <f>TEXT(表3[[#This Row],[ETD]],"mmdd ")&amp;表3[[#This Row],[项目]]</f>
        <v>0515 JS mobis</v>
      </c>
      <c r="B80" s="8" t="s">
        <v>2</v>
      </c>
      <c r="C80" s="9">
        <v>43600</v>
      </c>
      <c r="D80" s="10">
        <v>2</v>
      </c>
      <c r="E80" s="10">
        <v>6</v>
      </c>
      <c r="F80" s="11" t="s">
        <v>7</v>
      </c>
      <c r="G80" s="30">
        <v>43591</v>
      </c>
      <c r="H80" s="27" t="s">
        <v>247</v>
      </c>
      <c r="I80" s="12"/>
    </row>
    <row r="81" spans="1:9" hidden="1" x14ac:dyDescent="0.2">
      <c r="A81" s="8" t="str">
        <f>TEXT(表3[[#This Row],[ETD]],"mmdd ")&amp;表3[[#This Row],[项目]]</f>
        <v>0515 JS mobis</v>
      </c>
      <c r="B81" s="8" t="s">
        <v>2</v>
      </c>
      <c r="C81" s="9">
        <v>43600</v>
      </c>
      <c r="D81" s="10">
        <v>2</v>
      </c>
      <c r="E81" s="10">
        <v>7</v>
      </c>
      <c r="F81" s="11" t="s">
        <v>9</v>
      </c>
      <c r="G81" s="30">
        <v>43592</v>
      </c>
      <c r="H81" s="27" t="s">
        <v>247</v>
      </c>
      <c r="I81" s="12"/>
    </row>
    <row r="82" spans="1:9" hidden="1" x14ac:dyDescent="0.2">
      <c r="A82" s="8" t="str">
        <f>TEXT(表3[[#This Row],[ETD]],"mmdd ")&amp;表3[[#This Row],[项目]]</f>
        <v>0515 JS mobis</v>
      </c>
      <c r="B82" s="8" t="s">
        <v>2</v>
      </c>
      <c r="C82" s="9">
        <v>43600</v>
      </c>
      <c r="D82" s="10">
        <v>2</v>
      </c>
      <c r="E82" s="10">
        <v>8</v>
      </c>
      <c r="F82" s="11" t="s">
        <v>13</v>
      </c>
      <c r="G82" s="30">
        <v>43592</v>
      </c>
      <c r="H82" s="27" t="s">
        <v>247</v>
      </c>
      <c r="I82" s="12" t="s">
        <v>37</v>
      </c>
    </row>
    <row r="83" spans="1:9" hidden="1" x14ac:dyDescent="0.2">
      <c r="A83" s="8" t="str">
        <f>TEXT(表3[[#This Row],[ETD]],"mmdd ")&amp;表3[[#This Row],[项目]]</f>
        <v>0515 JS mobis</v>
      </c>
      <c r="B83" s="8" t="s">
        <v>2</v>
      </c>
      <c r="C83" s="9">
        <v>43600</v>
      </c>
      <c r="D83" s="10">
        <v>2</v>
      </c>
      <c r="E83" s="10">
        <v>9</v>
      </c>
      <c r="F83" s="11" t="s">
        <v>66</v>
      </c>
      <c r="G83" s="30">
        <v>43592</v>
      </c>
      <c r="H83" s="27" t="s">
        <v>247</v>
      </c>
      <c r="I83" s="12"/>
    </row>
    <row r="84" spans="1:9" hidden="1" x14ac:dyDescent="0.2">
      <c r="A84" s="25" t="str">
        <f>TEXT(表3[[#This Row],[ETD]],"mmdd ")&amp;表3[[#This Row],[项目]]</f>
        <v>0515 JS mobis</v>
      </c>
      <c r="B84" s="8" t="s">
        <v>2</v>
      </c>
      <c r="C84" s="9">
        <v>43600</v>
      </c>
      <c r="D84" s="10">
        <v>3</v>
      </c>
      <c r="E84" s="10">
        <v>1</v>
      </c>
      <c r="F84" s="11" t="s">
        <v>231</v>
      </c>
      <c r="G84" s="30">
        <v>43594</v>
      </c>
      <c r="H84" s="27" t="s">
        <v>247</v>
      </c>
      <c r="I84" s="12"/>
    </row>
    <row r="85" spans="1:9" hidden="1" x14ac:dyDescent="0.2">
      <c r="A85" s="25" t="str">
        <f>TEXT(表3[[#This Row],[ETD]],"mmdd ")&amp;表3[[#This Row],[项目]]</f>
        <v>0515 JS mobis</v>
      </c>
      <c r="B85" s="8" t="s">
        <v>2</v>
      </c>
      <c r="C85" s="9">
        <v>43600</v>
      </c>
      <c r="D85" s="10">
        <v>3</v>
      </c>
      <c r="E85" s="10">
        <v>2</v>
      </c>
      <c r="F85" s="11" t="s">
        <v>232</v>
      </c>
      <c r="G85" s="30">
        <v>43594</v>
      </c>
      <c r="H85" s="27" t="s">
        <v>247</v>
      </c>
      <c r="I85" s="12"/>
    </row>
    <row r="86" spans="1:9" hidden="1" x14ac:dyDescent="0.2">
      <c r="A86" s="25" t="str">
        <f>TEXT(表3[[#This Row],[ETD]],"mmdd ")&amp;表3[[#This Row],[项目]]</f>
        <v>0515 JS mobis</v>
      </c>
      <c r="B86" s="8" t="s">
        <v>2</v>
      </c>
      <c r="C86" s="9">
        <v>43600</v>
      </c>
      <c r="D86" s="10">
        <v>3</v>
      </c>
      <c r="E86" s="10">
        <v>3</v>
      </c>
      <c r="F86" s="11" t="s">
        <v>233</v>
      </c>
      <c r="G86" s="30">
        <v>43594</v>
      </c>
      <c r="H86" s="27" t="s">
        <v>247</v>
      </c>
      <c r="I86" s="12"/>
    </row>
    <row r="87" spans="1:9" hidden="1" x14ac:dyDescent="0.2">
      <c r="A87" s="25" t="str">
        <f>TEXT(表3[[#This Row],[ETD]],"mmdd ")&amp;表3[[#This Row],[项目]]</f>
        <v>0515 JS mobis</v>
      </c>
      <c r="B87" s="8" t="s">
        <v>2</v>
      </c>
      <c r="C87" s="9">
        <v>43600</v>
      </c>
      <c r="D87" s="10">
        <v>3</v>
      </c>
      <c r="E87" s="10">
        <v>4</v>
      </c>
      <c r="F87" s="11" t="s">
        <v>234</v>
      </c>
      <c r="G87" s="30">
        <v>43594</v>
      </c>
      <c r="H87" s="27" t="s">
        <v>247</v>
      </c>
      <c r="I87" s="12"/>
    </row>
    <row r="88" spans="1:9" hidden="1" x14ac:dyDescent="0.2">
      <c r="A88" s="8" t="str">
        <f>TEXT(表3[[#This Row],[ETD]],"mmdd ")&amp;表3[[#This Row],[项目]]</f>
        <v>0515 KMM</v>
      </c>
      <c r="B88" s="8" t="s">
        <v>172</v>
      </c>
      <c r="C88" s="9">
        <v>43600</v>
      </c>
      <c r="D88" s="10">
        <v>1</v>
      </c>
      <c r="E88" s="10">
        <v>1</v>
      </c>
      <c r="F88" s="11" t="s">
        <v>150</v>
      </c>
      <c r="G88" s="30">
        <v>43585</v>
      </c>
      <c r="H88" s="27" t="s">
        <v>247</v>
      </c>
      <c r="I88" s="12"/>
    </row>
    <row r="89" spans="1:9" hidden="1" x14ac:dyDescent="0.2">
      <c r="A89" s="8" t="str">
        <f>TEXT(表3[[#This Row],[ETD]],"mmdd ")&amp;表3[[#This Row],[项目]]</f>
        <v>0515 KMM</v>
      </c>
      <c r="B89" s="8" t="s">
        <v>172</v>
      </c>
      <c r="C89" s="9">
        <v>43600</v>
      </c>
      <c r="D89" s="10">
        <v>2</v>
      </c>
      <c r="E89" s="10">
        <v>1</v>
      </c>
      <c r="F89" s="11" t="s">
        <v>165</v>
      </c>
      <c r="G89" s="30">
        <v>43592</v>
      </c>
      <c r="H89" s="27" t="s">
        <v>247</v>
      </c>
      <c r="I89" s="12"/>
    </row>
    <row r="90" spans="1:9" hidden="1" x14ac:dyDescent="0.2">
      <c r="A90" s="8" t="str">
        <f>TEXT(表3[[#This Row],[ETD]],"mmdd ")&amp;表3[[#This Row],[项目]]</f>
        <v>0515 KMM</v>
      </c>
      <c r="B90" s="8" t="s">
        <v>172</v>
      </c>
      <c r="C90" s="9">
        <v>43600</v>
      </c>
      <c r="D90" s="10">
        <v>3</v>
      </c>
      <c r="E90" s="10">
        <v>1</v>
      </c>
      <c r="F90" s="11" t="s">
        <v>167</v>
      </c>
      <c r="G90" s="30">
        <v>43594</v>
      </c>
      <c r="H90" s="27" t="s">
        <v>247</v>
      </c>
      <c r="I90" s="12" t="s">
        <v>151</v>
      </c>
    </row>
    <row r="91" spans="1:9" hidden="1" x14ac:dyDescent="0.2">
      <c r="A91" s="8" t="str">
        <f>TEXT(表3[[#This Row],[ETD]],"mmdd ")&amp;表3[[#This Row],[项目]]</f>
        <v>0515 KMM</v>
      </c>
      <c r="B91" s="8" t="s">
        <v>172</v>
      </c>
      <c r="C91" s="9">
        <v>43600</v>
      </c>
      <c r="D91" s="10">
        <v>3</v>
      </c>
      <c r="E91" s="10">
        <v>2</v>
      </c>
      <c r="F91" s="11" t="s">
        <v>155</v>
      </c>
      <c r="G91" s="30">
        <v>43594</v>
      </c>
      <c r="H91" s="27" t="s">
        <v>247</v>
      </c>
      <c r="I91" s="12"/>
    </row>
    <row r="92" spans="1:9" hidden="1" x14ac:dyDescent="0.2">
      <c r="A92" s="8" t="str">
        <f>TEXT(表3[[#This Row],[ETD]],"mmdd ")&amp;表3[[#This Row],[项目]]</f>
        <v>0515 KMM</v>
      </c>
      <c r="B92" s="8" t="s">
        <v>172</v>
      </c>
      <c r="C92" s="9">
        <v>43600</v>
      </c>
      <c r="D92" s="10">
        <v>3</v>
      </c>
      <c r="E92" s="10">
        <v>3</v>
      </c>
      <c r="F92" s="11" t="s">
        <v>153</v>
      </c>
      <c r="G92" s="30">
        <v>43594</v>
      </c>
      <c r="H92" s="27" t="s">
        <v>247</v>
      </c>
      <c r="I92" s="12"/>
    </row>
    <row r="93" spans="1:9" hidden="1" x14ac:dyDescent="0.2">
      <c r="A93" s="8" t="str">
        <f>TEXT(表3[[#This Row],[ETD]],"mmdd ")&amp;表3[[#This Row],[项目]]</f>
        <v>0515 KMM</v>
      </c>
      <c r="B93" s="8" t="s">
        <v>172</v>
      </c>
      <c r="C93" s="9">
        <v>43600</v>
      </c>
      <c r="D93" s="10">
        <v>4</v>
      </c>
      <c r="E93" s="10">
        <v>1</v>
      </c>
      <c r="F93" s="11" t="s">
        <v>157</v>
      </c>
      <c r="G93" s="30">
        <v>43594</v>
      </c>
      <c r="H93" s="27" t="s">
        <v>247</v>
      </c>
      <c r="I93" s="12" t="s">
        <v>158</v>
      </c>
    </row>
    <row r="94" spans="1:9" hidden="1" x14ac:dyDescent="0.2">
      <c r="A94" s="8" t="str">
        <f>TEXT(表3[[#This Row],[ETD]],"mmdd ")&amp;表3[[#This Row],[项目]]</f>
        <v>0515 KMM</v>
      </c>
      <c r="B94" s="8" t="s">
        <v>172</v>
      </c>
      <c r="C94" s="9">
        <v>43600</v>
      </c>
      <c r="D94" s="10">
        <v>4</v>
      </c>
      <c r="E94" s="10">
        <v>3</v>
      </c>
      <c r="F94" s="11" t="s">
        <v>169</v>
      </c>
      <c r="G94" s="30">
        <v>43594</v>
      </c>
      <c r="H94" s="27" t="s">
        <v>247</v>
      </c>
      <c r="I94" s="12"/>
    </row>
    <row r="95" spans="1:9" hidden="1" x14ac:dyDescent="0.2">
      <c r="A95" s="8" t="str">
        <f>TEXT(表3[[#This Row],[ETD]],"mmdd ")&amp;表3[[#This Row],[项目]]</f>
        <v>0515 KMM</v>
      </c>
      <c r="B95" s="8" t="s">
        <v>172</v>
      </c>
      <c r="C95" s="9">
        <v>43600</v>
      </c>
      <c r="D95" s="10">
        <v>5</v>
      </c>
      <c r="E95" s="10">
        <v>1</v>
      </c>
      <c r="F95" s="11" t="s">
        <v>178</v>
      </c>
      <c r="G95" s="30">
        <v>43595</v>
      </c>
      <c r="H95" s="27" t="s">
        <v>247</v>
      </c>
      <c r="I95" s="12" t="s">
        <v>173</v>
      </c>
    </row>
    <row r="96" spans="1:9" hidden="1" x14ac:dyDescent="0.2">
      <c r="A96" s="8" t="str">
        <f>TEXT(表3[[#This Row],[ETD]],"mmdd ")&amp;表3[[#This Row],[项目]]</f>
        <v>0515 KMM</v>
      </c>
      <c r="B96" s="8" t="s">
        <v>172</v>
      </c>
      <c r="C96" s="9">
        <v>43600</v>
      </c>
      <c r="D96" s="10">
        <v>5</v>
      </c>
      <c r="E96" s="10">
        <v>2</v>
      </c>
      <c r="F96" s="11" t="s">
        <v>200</v>
      </c>
      <c r="G96" s="30">
        <v>43595</v>
      </c>
      <c r="H96" s="27" t="s">
        <v>247</v>
      </c>
      <c r="I96" s="12" t="s">
        <v>185</v>
      </c>
    </row>
    <row r="97" spans="1:9" hidden="1" x14ac:dyDescent="0.2">
      <c r="A97" s="8" t="str">
        <f>TEXT(表3[[#This Row],[ETD]],"mmdd ")&amp;表3[[#This Row],[项目]]</f>
        <v>0515 KMM</v>
      </c>
      <c r="B97" s="8" t="s">
        <v>172</v>
      </c>
      <c r="C97" s="9">
        <v>43600</v>
      </c>
      <c r="D97" s="10">
        <v>5</v>
      </c>
      <c r="E97" s="10">
        <v>3</v>
      </c>
      <c r="F97" s="11" t="s">
        <v>160</v>
      </c>
      <c r="G97" s="30">
        <v>43595</v>
      </c>
      <c r="H97" s="27" t="s">
        <v>247</v>
      </c>
      <c r="I97" s="12"/>
    </row>
    <row r="98" spans="1:9" hidden="1" x14ac:dyDescent="0.2">
      <c r="A98" s="25" t="str">
        <f>TEXT(表3[[#This Row],[ETD]],"mmdd ")&amp;表3[[#This Row],[项目]]</f>
        <v>0515 KMM</v>
      </c>
      <c r="B98" s="8" t="s">
        <v>260</v>
      </c>
      <c r="C98" s="9">
        <v>43600</v>
      </c>
      <c r="D98" s="10">
        <v>5</v>
      </c>
      <c r="E98" s="10">
        <v>4</v>
      </c>
      <c r="F98" s="11" t="s">
        <v>258</v>
      </c>
      <c r="G98" s="30">
        <v>43595</v>
      </c>
      <c r="H98" s="27" t="s">
        <v>1</v>
      </c>
      <c r="I98" s="12"/>
    </row>
    <row r="99" spans="1:9" hidden="1" x14ac:dyDescent="0.2">
      <c r="A99" s="8" t="str">
        <f>TEXT(表3[[#This Row],[ETD]],"mmdd ")&amp;表3[[#This Row],[项目]]</f>
        <v>0515 KMM</v>
      </c>
      <c r="B99" s="13" t="s">
        <v>172</v>
      </c>
      <c r="C99" s="14">
        <v>43600</v>
      </c>
      <c r="D99" s="10">
        <v>6</v>
      </c>
      <c r="E99" s="10">
        <v>1</v>
      </c>
      <c r="F99" s="15" t="s">
        <v>164</v>
      </c>
      <c r="G99" s="30">
        <v>43595</v>
      </c>
      <c r="H99" s="28" t="s">
        <v>313</v>
      </c>
      <c r="I99" s="16" t="s">
        <v>162</v>
      </c>
    </row>
    <row r="100" spans="1:9" hidden="1" x14ac:dyDescent="0.2">
      <c r="A100" s="8" t="str">
        <f>TEXT(表3[[#This Row],[ETD]],"mmdd ")&amp;表3[[#This Row],[项目]]</f>
        <v>0515 KMM</v>
      </c>
      <c r="B100" s="8" t="s">
        <v>172</v>
      </c>
      <c r="C100" s="9">
        <v>43600</v>
      </c>
      <c r="D100" s="10">
        <v>7</v>
      </c>
      <c r="E100" s="10">
        <v>1</v>
      </c>
      <c r="F100" s="11" t="s">
        <v>99</v>
      </c>
      <c r="G100" s="30">
        <v>43595</v>
      </c>
      <c r="H100" s="27" t="s">
        <v>269</v>
      </c>
      <c r="I100" s="12"/>
    </row>
    <row r="101" spans="1:9" hidden="1" x14ac:dyDescent="0.2">
      <c r="A101" s="8" t="str">
        <f>TEXT(表3[[#This Row],[ETD]],"mmdd ")&amp;表3[[#This Row],[项目]]</f>
        <v>0515 KMM</v>
      </c>
      <c r="B101" s="8" t="s">
        <v>172</v>
      </c>
      <c r="C101" s="9">
        <v>43600</v>
      </c>
      <c r="D101" s="10">
        <v>7</v>
      </c>
      <c r="E101" s="10">
        <v>2</v>
      </c>
      <c r="F101" s="11" t="s">
        <v>101</v>
      </c>
      <c r="G101" s="30">
        <v>43598</v>
      </c>
      <c r="H101" s="27" t="s">
        <v>250</v>
      </c>
      <c r="I101" s="12"/>
    </row>
    <row r="102" spans="1:9" hidden="1" x14ac:dyDescent="0.2">
      <c r="A102" s="8" t="str">
        <f>TEXT(表3[[#This Row],[ETD]],"mmdd ")&amp;表3[[#This Row],[项目]]</f>
        <v>0515 KMM</v>
      </c>
      <c r="B102" s="8" t="s">
        <v>172</v>
      </c>
      <c r="C102" s="9">
        <v>43600</v>
      </c>
      <c r="D102" s="10">
        <v>7</v>
      </c>
      <c r="E102" s="10">
        <v>3</v>
      </c>
      <c r="F102" s="11" t="s">
        <v>103</v>
      </c>
      <c r="G102" s="30">
        <v>43599</v>
      </c>
      <c r="H102" s="27" t="s">
        <v>250</v>
      </c>
      <c r="I102" s="12"/>
    </row>
    <row r="103" spans="1:9" hidden="1" x14ac:dyDescent="0.2">
      <c r="A103" s="8" t="str">
        <f>TEXT(表3[[#This Row],[ETD]],"mmdd ")&amp;表3[[#This Row],[项目]]</f>
        <v>0515 KMM</v>
      </c>
      <c r="B103" s="8" t="s">
        <v>172</v>
      </c>
      <c r="C103" s="9">
        <v>43600</v>
      </c>
      <c r="D103" s="10">
        <v>8</v>
      </c>
      <c r="E103" s="10">
        <v>1</v>
      </c>
      <c r="F103" s="11" t="s">
        <v>310</v>
      </c>
      <c r="G103" s="30">
        <v>43600</v>
      </c>
      <c r="H103" s="27" t="s">
        <v>252</v>
      </c>
      <c r="I103" s="12"/>
    </row>
    <row r="104" spans="1:9" hidden="1" x14ac:dyDescent="0.2">
      <c r="A104" s="8" t="str">
        <f>TEXT(表3[[#This Row],[ETD]],"mmdd ")&amp;表3[[#This Row],[项目]]</f>
        <v>0517 JS mobis</v>
      </c>
      <c r="B104" s="8" t="s">
        <v>2</v>
      </c>
      <c r="C104" s="9">
        <v>43602</v>
      </c>
      <c r="D104" s="10">
        <v>1</v>
      </c>
      <c r="E104" s="10">
        <v>1</v>
      </c>
      <c r="F104" s="11" t="s">
        <v>14</v>
      </c>
      <c r="G104" s="30">
        <v>43581</v>
      </c>
      <c r="H104" s="27" t="s">
        <v>247</v>
      </c>
      <c r="I104" s="12" t="s">
        <v>33</v>
      </c>
    </row>
    <row r="105" spans="1:9" hidden="1" x14ac:dyDescent="0.2">
      <c r="A105" s="8" t="str">
        <f>TEXT(表3[[#This Row],[ETD]],"mmdd ")&amp;表3[[#This Row],[项目]]</f>
        <v>0517 JS mobis</v>
      </c>
      <c r="B105" s="8" t="s">
        <v>2</v>
      </c>
      <c r="C105" s="9">
        <v>43602</v>
      </c>
      <c r="D105" s="10">
        <v>2</v>
      </c>
      <c r="E105" s="10">
        <v>1</v>
      </c>
      <c r="F105" s="11" t="s">
        <v>68</v>
      </c>
      <c r="G105" s="30">
        <v>43591</v>
      </c>
      <c r="H105" s="27" t="s">
        <v>247</v>
      </c>
      <c r="I105" s="12" t="s">
        <v>35</v>
      </c>
    </row>
    <row r="106" spans="1:9" hidden="1" x14ac:dyDescent="0.2">
      <c r="A106" s="8" t="str">
        <f>TEXT(表3[[#This Row],[ETD]],"mmdd ")&amp;表3[[#This Row],[项目]]</f>
        <v>0517 JS mobis</v>
      </c>
      <c r="B106" s="8" t="s">
        <v>2</v>
      </c>
      <c r="C106" s="9">
        <v>43602</v>
      </c>
      <c r="D106" s="10">
        <v>2</v>
      </c>
      <c r="E106" s="10">
        <v>2</v>
      </c>
      <c r="F106" s="11" t="s">
        <v>70</v>
      </c>
      <c r="G106" s="30">
        <v>43591</v>
      </c>
      <c r="H106" s="27" t="s">
        <v>247</v>
      </c>
      <c r="I106" s="12"/>
    </row>
    <row r="107" spans="1:9" hidden="1" x14ac:dyDescent="0.2">
      <c r="A107" s="8" t="str">
        <f>TEXT(表3[[#This Row],[ETD]],"mmdd ")&amp;表3[[#This Row],[项目]]</f>
        <v>0517 JS mobis</v>
      </c>
      <c r="B107" s="8" t="s">
        <v>2</v>
      </c>
      <c r="C107" s="9">
        <v>43602</v>
      </c>
      <c r="D107" s="10">
        <v>2</v>
      </c>
      <c r="E107" s="10">
        <v>3</v>
      </c>
      <c r="F107" s="11" t="s">
        <v>72</v>
      </c>
      <c r="G107" s="30">
        <v>43591</v>
      </c>
      <c r="H107" s="27" t="s">
        <v>247</v>
      </c>
      <c r="I107" s="12" t="s">
        <v>48</v>
      </c>
    </row>
    <row r="108" spans="1:9" hidden="1" x14ac:dyDescent="0.2">
      <c r="A108" s="8" t="str">
        <f>TEXT(表3[[#This Row],[ETD]],"mmdd ")&amp;表3[[#This Row],[项目]]</f>
        <v>0517 JS mobis</v>
      </c>
      <c r="B108" s="8" t="s">
        <v>2</v>
      </c>
      <c r="C108" s="9">
        <v>43602</v>
      </c>
      <c r="D108" s="10">
        <v>2</v>
      </c>
      <c r="E108" s="10">
        <v>4</v>
      </c>
      <c r="F108" s="11" t="s">
        <v>21</v>
      </c>
      <c r="G108" s="30">
        <v>43591</v>
      </c>
      <c r="H108" s="27" t="s">
        <v>247</v>
      </c>
      <c r="I108" s="12"/>
    </row>
    <row r="109" spans="1:9" hidden="1" x14ac:dyDescent="0.2">
      <c r="A109" s="8" t="str">
        <f>TEXT(表3[[#This Row],[ETD]],"mmdd ")&amp;表3[[#This Row],[项目]]</f>
        <v>0517 JS mobis</v>
      </c>
      <c r="B109" s="8" t="s">
        <v>2</v>
      </c>
      <c r="C109" s="9">
        <v>43602</v>
      </c>
      <c r="D109" s="10">
        <v>2</v>
      </c>
      <c r="E109" s="10">
        <v>5</v>
      </c>
      <c r="F109" s="11" t="s">
        <v>23</v>
      </c>
      <c r="G109" s="30">
        <v>43591</v>
      </c>
      <c r="H109" s="27" t="s">
        <v>247</v>
      </c>
      <c r="I109" s="12"/>
    </row>
    <row r="110" spans="1:9" hidden="1" x14ac:dyDescent="0.2">
      <c r="A110" s="8" t="str">
        <f>TEXT(表3[[#This Row],[ETD]],"mmdd ")&amp;表3[[#This Row],[项目]]</f>
        <v>0517 JS mobis</v>
      </c>
      <c r="B110" s="8" t="s">
        <v>2</v>
      </c>
      <c r="C110" s="9">
        <v>43602</v>
      </c>
      <c r="D110" s="10">
        <v>2</v>
      </c>
      <c r="E110" s="10">
        <v>6</v>
      </c>
      <c r="F110" s="11" t="s">
        <v>7</v>
      </c>
      <c r="G110" s="30">
        <v>43592</v>
      </c>
      <c r="H110" s="27" t="s">
        <v>247</v>
      </c>
      <c r="I110" s="12"/>
    </row>
    <row r="111" spans="1:9" hidden="1" x14ac:dyDescent="0.2">
      <c r="A111" s="8" t="str">
        <f>TEXT(表3[[#This Row],[ETD]],"mmdd ")&amp;表3[[#This Row],[项目]]</f>
        <v>0517 JS mobis</v>
      </c>
      <c r="B111" s="8" t="s">
        <v>2</v>
      </c>
      <c r="C111" s="9">
        <v>43602</v>
      </c>
      <c r="D111" s="10">
        <v>2</v>
      </c>
      <c r="E111" s="10">
        <v>7</v>
      </c>
      <c r="F111" s="11" t="s">
        <v>9</v>
      </c>
      <c r="G111" s="30">
        <v>43592</v>
      </c>
      <c r="H111" s="27" t="s">
        <v>247</v>
      </c>
      <c r="I111" s="12"/>
    </row>
    <row r="112" spans="1:9" hidden="1" x14ac:dyDescent="0.2">
      <c r="A112" s="8" t="str">
        <f>TEXT(表3[[#This Row],[ETD]],"mmdd ")&amp;表3[[#This Row],[项目]]</f>
        <v>0517 JS mobis</v>
      </c>
      <c r="B112" s="8" t="s">
        <v>2</v>
      </c>
      <c r="C112" s="9">
        <v>43602</v>
      </c>
      <c r="D112" s="10">
        <v>2</v>
      </c>
      <c r="E112" s="10">
        <v>8</v>
      </c>
      <c r="F112" s="11" t="s">
        <v>13</v>
      </c>
      <c r="G112" s="30">
        <v>43592</v>
      </c>
      <c r="H112" s="27" t="s">
        <v>247</v>
      </c>
      <c r="I112" s="12" t="s">
        <v>37</v>
      </c>
    </row>
    <row r="113" spans="1:9" hidden="1" x14ac:dyDescent="0.2">
      <c r="A113" s="8" t="str">
        <f>TEXT(表3[[#This Row],[ETD]],"mmdd ")&amp;表3[[#This Row],[项目]]</f>
        <v>0517 JS mobis</v>
      </c>
      <c r="B113" s="8" t="s">
        <v>2</v>
      </c>
      <c r="C113" s="9">
        <v>43602</v>
      </c>
      <c r="D113" s="10">
        <v>2</v>
      </c>
      <c r="E113" s="10">
        <v>9</v>
      </c>
      <c r="F113" s="11" t="s">
        <v>66</v>
      </c>
      <c r="G113" s="30">
        <v>43592</v>
      </c>
      <c r="H113" s="27" t="s">
        <v>247</v>
      </c>
      <c r="I113" s="12"/>
    </row>
    <row r="114" spans="1:9" hidden="1" x14ac:dyDescent="0.2">
      <c r="A114" s="8" t="str">
        <f>TEXT(表3[[#This Row],[ETD]],"mmdd ")&amp;表3[[#This Row],[项目]]</f>
        <v>0517 JS mobis</v>
      </c>
      <c r="B114" s="13" t="s">
        <v>2</v>
      </c>
      <c r="C114" s="14">
        <v>43602</v>
      </c>
      <c r="D114" s="20">
        <v>3</v>
      </c>
      <c r="E114" s="20">
        <v>1</v>
      </c>
      <c r="F114" s="15" t="s">
        <v>31</v>
      </c>
      <c r="G114" s="30">
        <v>43598</v>
      </c>
      <c r="H114" s="28" t="s">
        <v>251</v>
      </c>
      <c r="I114" s="16" t="s">
        <v>39</v>
      </c>
    </row>
    <row r="115" spans="1:9" hidden="1" x14ac:dyDescent="0.2">
      <c r="A115" s="8" t="str">
        <f>TEXT(表3[[#This Row],[ETD]],"mmdd ")&amp;表3[[#This Row],[项目]]</f>
        <v>0517 JS mobis</v>
      </c>
      <c r="B115" s="8" t="s">
        <v>2</v>
      </c>
      <c r="C115" s="9">
        <v>43602</v>
      </c>
      <c r="D115" s="10">
        <v>3</v>
      </c>
      <c r="E115" s="10">
        <v>2</v>
      </c>
      <c r="F115" s="11" t="s">
        <v>44</v>
      </c>
      <c r="G115" s="30">
        <v>43598</v>
      </c>
      <c r="H115" s="27" t="s">
        <v>253</v>
      </c>
      <c r="I115" s="12"/>
    </row>
    <row r="116" spans="1:9" hidden="1" x14ac:dyDescent="0.2">
      <c r="A116" s="8" t="str">
        <f>TEXT(表3[[#This Row],[ETD]],"mmdd ")&amp;表3[[#This Row],[项目]]</f>
        <v>0517 JS mobis</v>
      </c>
      <c r="B116" s="8" t="s">
        <v>2</v>
      </c>
      <c r="C116" s="9">
        <v>43602</v>
      </c>
      <c r="D116" s="10">
        <v>3</v>
      </c>
      <c r="E116" s="10">
        <v>3</v>
      </c>
      <c r="F116" s="11" t="s">
        <v>25</v>
      </c>
      <c r="G116" s="30">
        <v>43598</v>
      </c>
      <c r="H116" s="27" t="s">
        <v>251</v>
      </c>
      <c r="I116" s="12"/>
    </row>
    <row r="117" spans="1:9" hidden="1" x14ac:dyDescent="0.2">
      <c r="A117" s="8" t="str">
        <f>TEXT(表3[[#This Row],[ETD]],"mmdd ")&amp;表3[[#This Row],[项目]]</f>
        <v>0517 JS mobis</v>
      </c>
      <c r="B117" s="8" t="s">
        <v>2</v>
      </c>
      <c r="C117" s="9">
        <v>43602</v>
      </c>
      <c r="D117" s="10">
        <v>3</v>
      </c>
      <c r="E117" s="10">
        <v>4</v>
      </c>
      <c r="F117" s="11" t="s">
        <v>27</v>
      </c>
      <c r="G117" s="30">
        <v>43598</v>
      </c>
      <c r="H117" s="27" t="s">
        <v>251</v>
      </c>
      <c r="I117" s="12"/>
    </row>
    <row r="118" spans="1:9" hidden="1" x14ac:dyDescent="0.2">
      <c r="A118" s="8" t="str">
        <f>TEXT(表3[[#This Row],[ETD]],"mmdd ")&amp;表3[[#This Row],[项目]]</f>
        <v>0517 JS mobis</v>
      </c>
      <c r="B118" s="8" t="s">
        <v>2</v>
      </c>
      <c r="C118" s="9">
        <v>43602</v>
      </c>
      <c r="D118" s="10">
        <v>3</v>
      </c>
      <c r="E118" s="10">
        <v>5</v>
      </c>
      <c r="F118" s="11" t="s">
        <v>15</v>
      </c>
      <c r="G118" s="30">
        <v>43598</v>
      </c>
      <c r="H118" s="27" t="s">
        <v>251</v>
      </c>
      <c r="I118" s="12"/>
    </row>
    <row r="119" spans="1:9" hidden="1" x14ac:dyDescent="0.2">
      <c r="A119" s="8" t="str">
        <f>TEXT(表3[[#This Row],[ETD]],"mmdd ")&amp;表3[[#This Row],[项目]]</f>
        <v>0517 JS mobis</v>
      </c>
      <c r="B119" s="8" t="s">
        <v>2</v>
      </c>
      <c r="C119" s="9">
        <v>43602</v>
      </c>
      <c r="D119" s="10">
        <v>3</v>
      </c>
      <c r="E119" s="10">
        <v>6</v>
      </c>
      <c r="F119" s="11" t="s">
        <v>17</v>
      </c>
      <c r="G119" s="30">
        <v>43598</v>
      </c>
      <c r="H119" s="27" t="s">
        <v>251</v>
      </c>
      <c r="I119" s="12"/>
    </row>
    <row r="120" spans="1:9" hidden="1" x14ac:dyDescent="0.2">
      <c r="A120" s="8" t="str">
        <f>TEXT(表3[[#This Row],[ETD]],"mmdd ")&amp;表3[[#This Row],[项目]]</f>
        <v>0517 JS mobis</v>
      </c>
      <c r="B120" s="8" t="s">
        <v>2</v>
      </c>
      <c r="C120" s="9">
        <v>43602</v>
      </c>
      <c r="D120" s="10">
        <v>3</v>
      </c>
      <c r="E120" s="10">
        <v>7</v>
      </c>
      <c r="F120" s="11" t="s">
        <v>19</v>
      </c>
      <c r="G120" s="30">
        <v>43598</v>
      </c>
      <c r="H120" s="27" t="s">
        <v>251</v>
      </c>
      <c r="I120" s="12"/>
    </row>
    <row r="121" spans="1:9" hidden="1" x14ac:dyDescent="0.2">
      <c r="A121" s="8" t="str">
        <f>TEXT(表3[[#This Row],[ETD]],"mmdd ")&amp;表3[[#This Row],[项目]]</f>
        <v>0517 JS mobis</v>
      </c>
      <c r="B121" s="8" t="s">
        <v>2</v>
      </c>
      <c r="C121" s="9">
        <v>43602</v>
      </c>
      <c r="D121" s="10">
        <v>3</v>
      </c>
      <c r="E121" s="10">
        <v>8</v>
      </c>
      <c r="F121" s="11" t="s">
        <v>64</v>
      </c>
      <c r="G121" s="30">
        <v>43598</v>
      </c>
      <c r="H121" s="27" t="s">
        <v>251</v>
      </c>
      <c r="I121" s="12"/>
    </row>
    <row r="122" spans="1:9" hidden="1" x14ac:dyDescent="0.2">
      <c r="A122" s="8" t="str">
        <f>TEXT(表3[[#This Row],[ETD]],"mmdd ")&amp;表3[[#This Row],[项目]]</f>
        <v>0517 JS mobis</v>
      </c>
      <c r="B122" s="8" t="s">
        <v>2</v>
      </c>
      <c r="C122" s="9">
        <v>43602</v>
      </c>
      <c r="D122" s="10">
        <v>4</v>
      </c>
      <c r="E122" s="10">
        <v>1</v>
      </c>
      <c r="F122" s="11" t="s">
        <v>29</v>
      </c>
      <c r="G122" s="30">
        <v>43599</v>
      </c>
      <c r="H122" s="27" t="s">
        <v>250</v>
      </c>
      <c r="I122" s="12" t="s">
        <v>41</v>
      </c>
    </row>
    <row r="123" spans="1:9" hidden="1" x14ac:dyDescent="0.2">
      <c r="A123" s="8" t="str">
        <f>TEXT(表3[[#This Row],[ETD]],"mmdd ")&amp;表3[[#This Row],[项目]]</f>
        <v>0517 JS mobis</v>
      </c>
      <c r="B123" s="8" t="s">
        <v>2</v>
      </c>
      <c r="C123" s="9">
        <v>43602</v>
      </c>
      <c r="D123" s="10">
        <v>4</v>
      </c>
      <c r="E123" s="10">
        <v>2</v>
      </c>
      <c r="F123" s="11" t="s">
        <v>43</v>
      </c>
      <c r="G123" s="30">
        <v>43599</v>
      </c>
      <c r="H123" s="27" t="s">
        <v>253</v>
      </c>
      <c r="I123" s="12"/>
    </row>
    <row r="124" spans="1:9" hidden="1" x14ac:dyDescent="0.2">
      <c r="A124" s="8" t="str">
        <f>TEXT(表3[[#This Row],[ETD]],"mmdd ")&amp;表3[[#This Row],[项目]]</f>
        <v>0517 JS mobis</v>
      </c>
      <c r="B124" s="8" t="s">
        <v>2</v>
      </c>
      <c r="C124" s="9">
        <v>43602</v>
      </c>
      <c r="D124" s="10">
        <v>4</v>
      </c>
      <c r="E124" s="10">
        <v>3</v>
      </c>
      <c r="F124" s="11" t="s">
        <v>46</v>
      </c>
      <c r="G124" s="30">
        <v>43599</v>
      </c>
      <c r="H124" s="27" t="s">
        <v>250</v>
      </c>
      <c r="I124" s="12"/>
    </row>
    <row r="125" spans="1:9" hidden="1" x14ac:dyDescent="0.2">
      <c r="A125" s="8" t="str">
        <f>TEXT(表3[[#This Row],[ETD]],"mmdd ")&amp;表3[[#This Row],[项目]]</f>
        <v>0517 JS mobis</v>
      </c>
      <c r="B125" s="8" t="s">
        <v>2</v>
      </c>
      <c r="C125" s="9">
        <v>43602</v>
      </c>
      <c r="D125" s="10">
        <v>4</v>
      </c>
      <c r="E125" s="10">
        <v>4</v>
      </c>
      <c r="F125" s="11" t="s">
        <v>50</v>
      </c>
      <c r="G125" s="30">
        <v>43599</v>
      </c>
      <c r="H125" s="27" t="s">
        <v>250</v>
      </c>
      <c r="I125" s="12"/>
    </row>
    <row r="126" spans="1:9" hidden="1" x14ac:dyDescent="0.2">
      <c r="A126" s="8" t="str">
        <f>TEXT(表3[[#This Row],[ETD]],"mmdd ")&amp;表3[[#This Row],[项目]]</f>
        <v>0517 JS mobis</v>
      </c>
      <c r="B126" s="8" t="s">
        <v>2</v>
      </c>
      <c r="C126" s="9">
        <v>43602</v>
      </c>
      <c r="D126" s="10">
        <v>4</v>
      </c>
      <c r="E126" s="10">
        <v>5</v>
      </c>
      <c r="F126" s="11" t="s">
        <v>47</v>
      </c>
      <c r="G126" s="30">
        <v>43599</v>
      </c>
      <c r="H126" s="27" t="s">
        <v>250</v>
      </c>
      <c r="I126" s="12" t="s">
        <v>48</v>
      </c>
    </row>
    <row r="127" spans="1:9" hidden="1" x14ac:dyDescent="0.2">
      <c r="A127" s="8" t="str">
        <f>TEXT(表3[[#This Row],[ETD]],"mmdd ")&amp;表3[[#This Row],[项目]]</f>
        <v>0517 JS mobis</v>
      </c>
      <c r="B127" s="8" t="s">
        <v>2</v>
      </c>
      <c r="C127" s="9">
        <v>43602</v>
      </c>
      <c r="D127" s="10">
        <v>4</v>
      </c>
      <c r="E127" s="10">
        <v>6</v>
      </c>
      <c r="F127" s="11" t="s">
        <v>189</v>
      </c>
      <c r="G127" s="30">
        <v>43599</v>
      </c>
      <c r="H127" s="27" t="s">
        <v>251</v>
      </c>
      <c r="I127" s="12" t="s">
        <v>185</v>
      </c>
    </row>
    <row r="128" spans="1:9" hidden="1" x14ac:dyDescent="0.2">
      <c r="A128" s="8" t="str">
        <f>TEXT(表3[[#This Row],[ETD]],"mmdd ")&amp;表3[[#This Row],[项目]]</f>
        <v>0517 JS mobis</v>
      </c>
      <c r="B128" s="8" t="s">
        <v>2</v>
      </c>
      <c r="C128" s="9">
        <v>43602</v>
      </c>
      <c r="D128" s="10">
        <v>4</v>
      </c>
      <c r="E128" s="10">
        <v>7</v>
      </c>
      <c r="F128" s="11" t="s">
        <v>55</v>
      </c>
      <c r="G128" s="30">
        <v>43599</v>
      </c>
      <c r="H128" s="27" t="s">
        <v>253</v>
      </c>
      <c r="I128" s="12" t="s">
        <v>48</v>
      </c>
    </row>
    <row r="129" spans="1:9" hidden="1" x14ac:dyDescent="0.2">
      <c r="A129" s="8" t="str">
        <f>TEXT(表3[[#This Row],[ETD]],"mmdd ")&amp;表3[[#This Row],[项目]]</f>
        <v>0517 JS mobis</v>
      </c>
      <c r="B129" s="8" t="s">
        <v>2</v>
      </c>
      <c r="C129" s="9">
        <v>43602</v>
      </c>
      <c r="D129" s="10">
        <v>4</v>
      </c>
      <c r="E129" s="10">
        <v>8</v>
      </c>
      <c r="F129" s="11" t="s">
        <v>62</v>
      </c>
      <c r="G129" s="30">
        <v>43599</v>
      </c>
      <c r="H129" s="27" t="s">
        <v>251</v>
      </c>
      <c r="I129" s="12"/>
    </row>
    <row r="130" spans="1:9" hidden="1" x14ac:dyDescent="0.2">
      <c r="A130" s="8" t="str">
        <f>TEXT(表3[[#This Row],[ETD]],"mmdd ")&amp;表3[[#This Row],[项目]]</f>
        <v>0517 JS mobis</v>
      </c>
      <c r="B130" s="13" t="s">
        <v>2</v>
      </c>
      <c r="C130" s="14">
        <v>43602</v>
      </c>
      <c r="D130" s="20">
        <v>4</v>
      </c>
      <c r="E130" s="20">
        <v>9</v>
      </c>
      <c r="F130" s="15" t="s">
        <v>93</v>
      </c>
      <c r="G130" s="30">
        <v>43599</v>
      </c>
      <c r="H130" s="28" t="s">
        <v>250</v>
      </c>
      <c r="I130" s="16"/>
    </row>
    <row r="131" spans="1:9" hidden="1" x14ac:dyDescent="0.2">
      <c r="A131" s="8" t="str">
        <f>TEXT(表3[[#This Row],[ETD]],"mmdd ")&amp;表3[[#This Row],[项目]]</f>
        <v>0517 JS mobis</v>
      </c>
      <c r="B131" s="13" t="s">
        <v>2</v>
      </c>
      <c r="C131" s="9">
        <v>43602</v>
      </c>
      <c r="D131" s="20">
        <v>4</v>
      </c>
      <c r="E131" s="20">
        <v>10</v>
      </c>
      <c r="F131" s="15" t="s">
        <v>74</v>
      </c>
      <c r="G131" s="30">
        <v>43599</v>
      </c>
      <c r="H131" s="28" t="s">
        <v>250</v>
      </c>
      <c r="I131" s="16"/>
    </row>
    <row r="132" spans="1:9" hidden="1" x14ac:dyDescent="0.2">
      <c r="A132" s="8" t="str">
        <f>TEXT(表3[[#This Row],[ETD]],"mmdd ")&amp;表3[[#This Row],[项目]]</f>
        <v>0517 JS mobis</v>
      </c>
      <c r="B132" s="13" t="s">
        <v>2</v>
      </c>
      <c r="C132" s="14">
        <v>43602</v>
      </c>
      <c r="D132" s="20">
        <v>4</v>
      </c>
      <c r="E132" s="20">
        <v>11</v>
      </c>
      <c r="F132" s="15" t="s">
        <v>89</v>
      </c>
      <c r="G132" s="31">
        <v>43599</v>
      </c>
      <c r="H132" s="28" t="s">
        <v>253</v>
      </c>
      <c r="I132" s="16"/>
    </row>
    <row r="133" spans="1:9" hidden="1" x14ac:dyDescent="0.2">
      <c r="A133" s="13" t="str">
        <f>TEXT(表3[[#This Row],[ETD]],"mmdd ")&amp;表3[[#This Row],[项目]]</f>
        <v>0517 JS mobis</v>
      </c>
      <c r="B133" s="8" t="s">
        <v>2</v>
      </c>
      <c r="C133" s="9">
        <v>43602</v>
      </c>
      <c r="D133" s="10">
        <v>4</v>
      </c>
      <c r="E133" s="10">
        <v>12</v>
      </c>
      <c r="F133" s="11" t="s">
        <v>91</v>
      </c>
      <c r="G133" s="31">
        <v>43599</v>
      </c>
      <c r="H133" s="27" t="s">
        <v>250</v>
      </c>
      <c r="I133" s="12"/>
    </row>
    <row r="134" spans="1:9" hidden="1" x14ac:dyDescent="0.2">
      <c r="A134" s="13" t="str">
        <f>TEXT(表3[[#This Row],[ETD]],"mmdd ")&amp;表3[[#This Row],[项目]]</f>
        <v>0517 JS mobis</v>
      </c>
      <c r="B134" s="13" t="s">
        <v>2</v>
      </c>
      <c r="C134" s="14">
        <v>43602</v>
      </c>
      <c r="D134" s="20">
        <v>4</v>
      </c>
      <c r="E134" s="20">
        <v>13</v>
      </c>
      <c r="F134" s="15" t="s">
        <v>81</v>
      </c>
      <c r="G134" s="31">
        <v>43599</v>
      </c>
      <c r="H134" s="28" t="s">
        <v>251</v>
      </c>
      <c r="I134" s="16" t="s">
        <v>78</v>
      </c>
    </row>
    <row r="135" spans="1:9" hidden="1" x14ac:dyDescent="0.2">
      <c r="A135" s="8" t="str">
        <f>TEXT(表3[[#This Row],[ETD]],"mmdd ")&amp;表3[[#This Row],[项目]]</f>
        <v>0517 JS mobis</v>
      </c>
      <c r="B135" s="8" t="s">
        <v>2</v>
      </c>
      <c r="C135" s="14">
        <v>43602</v>
      </c>
      <c r="D135" s="20">
        <v>4</v>
      </c>
      <c r="E135" s="10">
        <v>14</v>
      </c>
      <c r="F135" s="11" t="s">
        <v>76</v>
      </c>
      <c r="G135" s="31">
        <v>43599</v>
      </c>
      <c r="H135" s="27" t="s">
        <v>251</v>
      </c>
      <c r="I135" s="12"/>
    </row>
    <row r="136" spans="1:9" hidden="1" x14ac:dyDescent="0.2">
      <c r="A136" s="8" t="str">
        <f>TEXT(表3[[#This Row],[ETD]],"mmdd ")&amp;表3[[#This Row],[项目]]</f>
        <v>0517 JS mobis</v>
      </c>
      <c r="B136" s="8" t="s">
        <v>2</v>
      </c>
      <c r="C136" s="14">
        <v>43602</v>
      </c>
      <c r="D136" s="20">
        <v>4</v>
      </c>
      <c r="E136" s="10">
        <v>15</v>
      </c>
      <c r="F136" s="11" t="s">
        <v>51</v>
      </c>
      <c r="G136" s="30">
        <v>43599</v>
      </c>
      <c r="H136" s="27" t="s">
        <v>250</v>
      </c>
      <c r="I136" s="12" t="s">
        <v>37</v>
      </c>
    </row>
    <row r="137" spans="1:9" hidden="1" x14ac:dyDescent="0.2">
      <c r="A137" s="8" t="str">
        <f>TEXT(表3[[#This Row],[ETD]],"mmdd ")&amp;表3[[#This Row],[项目]]</f>
        <v>0517 JS mobis</v>
      </c>
      <c r="B137" s="8" t="s">
        <v>2</v>
      </c>
      <c r="C137" s="14">
        <v>43602</v>
      </c>
      <c r="D137" s="10">
        <v>4</v>
      </c>
      <c r="E137" s="10">
        <v>16</v>
      </c>
      <c r="F137" s="11" t="s">
        <v>52</v>
      </c>
      <c r="G137" s="30">
        <v>43599</v>
      </c>
      <c r="H137" s="27" t="s">
        <v>250</v>
      </c>
      <c r="I137" s="12" t="s">
        <v>48</v>
      </c>
    </row>
    <row r="138" spans="1:9" hidden="1" x14ac:dyDescent="0.2">
      <c r="A138" s="8" t="str">
        <f>TEXT(表3[[#This Row],[ETD]],"mmdd ")&amp;表3[[#This Row],[项目]]</f>
        <v>0517 JS mobis</v>
      </c>
      <c r="B138" s="8" t="s">
        <v>2</v>
      </c>
      <c r="C138" s="14">
        <v>43602</v>
      </c>
      <c r="D138" s="10">
        <v>4</v>
      </c>
      <c r="E138" s="10">
        <v>17</v>
      </c>
      <c r="F138" s="11" t="s">
        <v>80</v>
      </c>
      <c r="G138" s="30">
        <v>43599</v>
      </c>
      <c r="H138" s="27" t="s">
        <v>251</v>
      </c>
      <c r="I138" s="12"/>
    </row>
    <row r="139" spans="1:9" hidden="1" x14ac:dyDescent="0.2">
      <c r="A139" s="8" t="str">
        <f>TEXT(表3[[#This Row],[ETD]],"mmdd ")&amp;表3[[#This Row],[项目]]</f>
        <v>0517 JS mobis</v>
      </c>
      <c r="B139" s="8" t="s">
        <v>2</v>
      </c>
      <c r="C139" s="14">
        <v>43602</v>
      </c>
      <c r="D139" s="10">
        <v>4</v>
      </c>
      <c r="E139" s="10">
        <v>18</v>
      </c>
      <c r="F139" s="11" t="s">
        <v>83</v>
      </c>
      <c r="G139" s="30">
        <v>43599</v>
      </c>
      <c r="H139" s="27" t="s">
        <v>250</v>
      </c>
      <c r="I139" s="12" t="s">
        <v>85</v>
      </c>
    </row>
    <row r="140" spans="1:9" hidden="1" x14ac:dyDescent="0.2">
      <c r="A140" s="8" t="str">
        <f>TEXT(表3[[#This Row],[ETD]],"mmdd ")&amp;表3[[#This Row],[项目]]</f>
        <v>0517 JS mobis</v>
      </c>
      <c r="B140" s="8" t="s">
        <v>2</v>
      </c>
      <c r="C140" s="14">
        <v>43602</v>
      </c>
      <c r="D140" s="10">
        <v>4</v>
      </c>
      <c r="E140" s="10">
        <v>19</v>
      </c>
      <c r="F140" s="11" t="s">
        <v>87</v>
      </c>
      <c r="G140" s="30">
        <v>43599</v>
      </c>
      <c r="H140" s="27" t="s">
        <v>250</v>
      </c>
      <c r="I140" s="12"/>
    </row>
    <row r="141" spans="1:9" hidden="1" x14ac:dyDescent="0.2">
      <c r="A141" s="8" t="str">
        <f>TEXT(表3[[#This Row],[ETD]],"mmdd ")&amp;表3[[#This Row],[项目]]</f>
        <v>0517 JS mobis</v>
      </c>
      <c r="B141" s="8" t="s">
        <v>2</v>
      </c>
      <c r="C141" s="14">
        <v>43602</v>
      </c>
      <c r="D141" s="10">
        <v>5</v>
      </c>
      <c r="E141" s="10">
        <v>1</v>
      </c>
      <c r="F141" s="11" t="s">
        <v>95</v>
      </c>
      <c r="G141" s="30">
        <v>43600</v>
      </c>
      <c r="H141" s="27" t="s">
        <v>250</v>
      </c>
      <c r="I141" s="12"/>
    </row>
    <row r="142" spans="1:9" hidden="1" x14ac:dyDescent="0.2">
      <c r="A142" s="8" t="str">
        <f>TEXT(表3[[#This Row],[ETD]],"mmdd ")&amp;表3[[#This Row],[项目]]</f>
        <v>0517 JS mobis</v>
      </c>
      <c r="B142" s="8" t="s">
        <v>2</v>
      </c>
      <c r="C142" s="14">
        <v>43602</v>
      </c>
      <c r="D142" s="10">
        <v>5</v>
      </c>
      <c r="E142" s="10">
        <v>2</v>
      </c>
      <c r="F142" s="11" t="s">
        <v>97</v>
      </c>
      <c r="G142" s="30">
        <v>43600</v>
      </c>
      <c r="H142" s="27" t="s">
        <v>250</v>
      </c>
      <c r="I142" s="12"/>
    </row>
    <row r="143" spans="1:9" hidden="1" x14ac:dyDescent="0.2">
      <c r="A143" s="8" t="str">
        <f>TEXT(表3[[#This Row],[ETD]],"mmdd ")&amp;表3[[#This Row],[项目]]</f>
        <v>0517 JS mobis</v>
      </c>
      <c r="B143" s="8" t="s">
        <v>2</v>
      </c>
      <c r="C143" s="14">
        <v>43602</v>
      </c>
      <c r="D143" s="10">
        <v>5</v>
      </c>
      <c r="E143" s="10">
        <v>3</v>
      </c>
      <c r="F143" s="11" t="s">
        <v>99</v>
      </c>
      <c r="G143" s="30">
        <v>43600</v>
      </c>
      <c r="H143" s="27" t="s">
        <v>254</v>
      </c>
      <c r="I143" s="12"/>
    </row>
    <row r="144" spans="1:9" hidden="1" x14ac:dyDescent="0.2">
      <c r="A144" s="8" t="str">
        <f>TEXT(表3[[#This Row],[ETD]],"mmdd ")&amp;表3[[#This Row],[项目]]</f>
        <v>0517 JS mobis</v>
      </c>
      <c r="B144" s="8" t="s">
        <v>2</v>
      </c>
      <c r="C144" s="14">
        <v>43602</v>
      </c>
      <c r="D144" s="10">
        <v>5</v>
      </c>
      <c r="E144" s="10">
        <v>4</v>
      </c>
      <c r="F144" s="11" t="s">
        <v>101</v>
      </c>
      <c r="G144" s="30">
        <v>43600</v>
      </c>
      <c r="H144" s="27" t="s">
        <v>250</v>
      </c>
      <c r="I144" s="12"/>
    </row>
    <row r="145" spans="1:9" hidden="1" x14ac:dyDescent="0.2">
      <c r="A145" s="8" t="str">
        <f>TEXT(表3[[#This Row],[ETD]],"mmdd ")&amp;表3[[#This Row],[项目]]</f>
        <v>0517 JS mobis</v>
      </c>
      <c r="B145" s="8" t="s">
        <v>2</v>
      </c>
      <c r="C145" s="14">
        <v>43602</v>
      </c>
      <c r="D145" s="10">
        <v>5</v>
      </c>
      <c r="E145" s="10">
        <v>5</v>
      </c>
      <c r="F145" s="11" t="s">
        <v>103</v>
      </c>
      <c r="G145" s="30">
        <v>43600</v>
      </c>
      <c r="H145" s="27" t="s">
        <v>250</v>
      </c>
      <c r="I145" s="12"/>
    </row>
    <row r="146" spans="1:9" hidden="1" x14ac:dyDescent="0.2">
      <c r="A146" s="8" t="str">
        <f>TEXT(表3[[#This Row],[ETD]],"mmdd ")&amp;表3[[#This Row],[项目]]</f>
        <v>0517 JS mobis</v>
      </c>
      <c r="B146" s="8" t="s">
        <v>2</v>
      </c>
      <c r="C146" s="14">
        <v>43602</v>
      </c>
      <c r="D146" s="10">
        <v>6</v>
      </c>
      <c r="E146" s="10">
        <v>1</v>
      </c>
      <c r="F146" s="11" t="s">
        <v>105</v>
      </c>
      <c r="G146" s="30">
        <v>43602</v>
      </c>
      <c r="H146" s="27" t="s">
        <v>250</v>
      </c>
      <c r="I146" s="12"/>
    </row>
    <row r="147" spans="1:9" hidden="1" x14ac:dyDescent="0.2">
      <c r="A147" s="8" t="str">
        <f>TEXT(表3[[#This Row],[ETD]],"mmdd ")&amp;表3[[#This Row],[项目]]</f>
        <v>0517 JS mobis</v>
      </c>
      <c r="B147" s="8" t="s">
        <v>2</v>
      </c>
      <c r="C147" s="14">
        <v>43602</v>
      </c>
      <c r="D147" s="10">
        <v>6</v>
      </c>
      <c r="E147" s="10">
        <v>2</v>
      </c>
      <c r="F147" s="11" t="s">
        <v>106</v>
      </c>
      <c r="G147" s="30">
        <v>43602</v>
      </c>
      <c r="H147" s="27" t="s">
        <v>251</v>
      </c>
      <c r="I147" s="12"/>
    </row>
    <row r="148" spans="1:9" hidden="1" x14ac:dyDescent="0.2">
      <c r="A148" s="8" t="str">
        <f>TEXT(表3[[#This Row],[ETD]],"mmdd ")&amp;表3[[#This Row],[项目]]</f>
        <v>0517 JS mobis</v>
      </c>
      <c r="B148" s="8" t="s">
        <v>2</v>
      </c>
      <c r="C148" s="14">
        <v>43602</v>
      </c>
      <c r="D148" s="10">
        <v>7</v>
      </c>
      <c r="E148" s="10">
        <v>1</v>
      </c>
      <c r="F148" s="11" t="s">
        <v>107</v>
      </c>
      <c r="G148" s="30">
        <v>43605</v>
      </c>
      <c r="H148" s="27" t="s">
        <v>250</v>
      </c>
      <c r="I148" s="12" t="s">
        <v>146</v>
      </c>
    </row>
    <row r="149" spans="1:9" hidden="1" x14ac:dyDescent="0.2">
      <c r="A149" s="26" t="str">
        <f>TEXT(表3[[#This Row],[ETD]],"mmdd ")&amp;表3[[#This Row],[项目]]</f>
        <v>0517 SC glovis</v>
      </c>
      <c r="B149" s="13" t="s">
        <v>202</v>
      </c>
      <c r="C149" s="14">
        <v>43602</v>
      </c>
      <c r="D149" s="20">
        <v>1</v>
      </c>
      <c r="E149" s="20">
        <v>1</v>
      </c>
      <c r="F149" s="15" t="s">
        <v>203</v>
      </c>
      <c r="G149" s="31">
        <v>43592</v>
      </c>
      <c r="H149" s="28" t="s">
        <v>247</v>
      </c>
      <c r="I149" s="16"/>
    </row>
    <row r="150" spans="1:9" hidden="1" x14ac:dyDescent="0.2">
      <c r="A150" s="26" t="str">
        <f>TEXT(表3[[#This Row],[ETD]],"mmdd ")&amp;表3[[#This Row],[项目]]</f>
        <v>0517 SC glovis</v>
      </c>
      <c r="B150" s="13" t="s">
        <v>202</v>
      </c>
      <c r="C150" s="14">
        <v>43602</v>
      </c>
      <c r="D150" s="20">
        <v>1</v>
      </c>
      <c r="E150" s="20">
        <v>2</v>
      </c>
      <c r="F150" s="15" t="s">
        <v>204</v>
      </c>
      <c r="G150" s="31">
        <v>43592</v>
      </c>
      <c r="H150" s="28" t="s">
        <v>247</v>
      </c>
      <c r="I150" s="16"/>
    </row>
    <row r="151" spans="1:9" hidden="1" x14ac:dyDescent="0.2">
      <c r="A151" s="26" t="str">
        <f>TEXT(表3[[#This Row],[ETD]],"mmdd ")&amp;表3[[#This Row],[项目]]</f>
        <v>0517 SC glovis</v>
      </c>
      <c r="B151" s="13" t="s">
        <v>202</v>
      </c>
      <c r="C151" s="14">
        <v>43602</v>
      </c>
      <c r="D151" s="20">
        <v>2</v>
      </c>
      <c r="E151" s="20">
        <v>1</v>
      </c>
      <c r="F151" s="15" t="s">
        <v>205</v>
      </c>
      <c r="G151" s="31">
        <v>43593</v>
      </c>
      <c r="H151" s="28" t="s">
        <v>247</v>
      </c>
      <c r="I151" s="16"/>
    </row>
    <row r="152" spans="1:9" hidden="1" x14ac:dyDescent="0.2">
      <c r="A152" s="26" t="str">
        <f>TEXT(表3[[#This Row],[ETD]],"mmdd ")&amp;表3[[#This Row],[项目]]</f>
        <v>0517 SC glovis</v>
      </c>
      <c r="B152" s="13" t="s">
        <v>202</v>
      </c>
      <c r="C152" s="14">
        <v>43602</v>
      </c>
      <c r="D152" s="20">
        <v>2</v>
      </c>
      <c r="E152" s="20">
        <v>2</v>
      </c>
      <c r="F152" s="15" t="s">
        <v>206</v>
      </c>
      <c r="G152" s="31">
        <v>43593</v>
      </c>
      <c r="H152" s="28" t="s">
        <v>247</v>
      </c>
      <c r="I152" s="16"/>
    </row>
    <row r="153" spans="1:9" x14ac:dyDescent="0.2">
      <c r="A153" s="26" t="str">
        <f>TEXT(表3[[#This Row],[ETD]],"mmdd ")&amp;表3[[#This Row],[项目]]</f>
        <v>0517 SC glovis</v>
      </c>
      <c r="B153" s="13" t="s">
        <v>202</v>
      </c>
      <c r="C153" s="14">
        <v>43602</v>
      </c>
      <c r="D153" s="20">
        <v>3</v>
      </c>
      <c r="E153" s="20">
        <v>1</v>
      </c>
      <c r="F153" s="15" t="s">
        <v>207</v>
      </c>
      <c r="G153" s="31">
        <v>43596</v>
      </c>
      <c r="H153" s="28" t="s">
        <v>251</v>
      </c>
      <c r="I153" s="16"/>
    </row>
    <row r="154" spans="1:9" x14ac:dyDescent="0.2">
      <c r="A154" s="26" t="str">
        <f>TEXT(表3[[#This Row],[ETD]],"mmdd ")&amp;表3[[#This Row],[项目]]</f>
        <v>0517 SC glovis</v>
      </c>
      <c r="B154" s="13" t="s">
        <v>202</v>
      </c>
      <c r="C154" s="14">
        <v>43602</v>
      </c>
      <c r="D154" s="20">
        <v>3</v>
      </c>
      <c r="E154" s="20">
        <v>2</v>
      </c>
      <c r="F154" s="15" t="s">
        <v>213</v>
      </c>
      <c r="G154" s="31">
        <v>43596</v>
      </c>
      <c r="H154" s="28" t="s">
        <v>252</v>
      </c>
      <c r="I154" s="16"/>
    </row>
    <row r="155" spans="1:9" hidden="1" x14ac:dyDescent="0.2">
      <c r="A155" s="26" t="str">
        <f>TEXT(表3[[#This Row],[ETD]],"mmdd ")&amp;表3[[#This Row],[项目]]</f>
        <v>0517 SC glovis</v>
      </c>
      <c r="B155" s="13" t="s">
        <v>202</v>
      </c>
      <c r="C155" s="14">
        <v>43602</v>
      </c>
      <c r="D155" s="20">
        <v>4</v>
      </c>
      <c r="E155" s="20">
        <v>1</v>
      </c>
      <c r="F155" s="15" t="s">
        <v>208</v>
      </c>
      <c r="G155" s="31">
        <v>43598</v>
      </c>
      <c r="H155" s="28" t="s">
        <v>250</v>
      </c>
      <c r="I155" s="16"/>
    </row>
    <row r="156" spans="1:9" hidden="1" x14ac:dyDescent="0.2">
      <c r="A156" s="26" t="str">
        <f>TEXT(表3[[#This Row],[ETD]],"mmdd ")&amp;表3[[#This Row],[项目]]</f>
        <v>0517 SC glovis</v>
      </c>
      <c r="B156" s="13" t="s">
        <v>202</v>
      </c>
      <c r="C156" s="14">
        <v>43602</v>
      </c>
      <c r="D156" s="20">
        <v>4</v>
      </c>
      <c r="E156" s="20">
        <v>2</v>
      </c>
      <c r="F156" s="15" t="s">
        <v>209</v>
      </c>
      <c r="G156" s="31">
        <v>43598</v>
      </c>
      <c r="H156" s="28" t="s">
        <v>250</v>
      </c>
      <c r="I156" s="16"/>
    </row>
    <row r="157" spans="1:9" hidden="1" x14ac:dyDescent="0.2">
      <c r="A157" s="26" t="str">
        <f>TEXT(表3[[#This Row],[ETD]],"mmdd ")&amp;表3[[#This Row],[项目]]</f>
        <v>0517 SC glovis</v>
      </c>
      <c r="B157" s="13" t="s">
        <v>202</v>
      </c>
      <c r="C157" s="14">
        <v>43602</v>
      </c>
      <c r="D157" s="20">
        <v>4</v>
      </c>
      <c r="E157" s="20">
        <v>3</v>
      </c>
      <c r="F157" s="15" t="s">
        <v>214</v>
      </c>
      <c r="G157" s="31">
        <v>43598</v>
      </c>
      <c r="H157" s="28" t="s">
        <v>250</v>
      </c>
      <c r="I157" s="16"/>
    </row>
    <row r="158" spans="1:9" hidden="1" x14ac:dyDescent="0.2">
      <c r="A158" s="26" t="str">
        <f>TEXT(表3[[#This Row],[ETD]],"mmdd ")&amp;表3[[#This Row],[项目]]</f>
        <v>0517 SC glovis</v>
      </c>
      <c r="B158" s="13" t="s">
        <v>202</v>
      </c>
      <c r="C158" s="14">
        <v>43602</v>
      </c>
      <c r="D158" s="20">
        <v>4</v>
      </c>
      <c r="E158" s="20">
        <v>4</v>
      </c>
      <c r="F158" s="15" t="s">
        <v>215</v>
      </c>
      <c r="G158" s="31">
        <v>43598</v>
      </c>
      <c r="H158" s="28" t="s">
        <v>252</v>
      </c>
      <c r="I158" s="16"/>
    </row>
    <row r="159" spans="1:9" hidden="1" x14ac:dyDescent="0.2">
      <c r="A159" s="26" t="str">
        <f>TEXT(表3[[#This Row],[ETD]],"mmdd ")&amp;表3[[#This Row],[项目]]</f>
        <v>0517 SC glovis</v>
      </c>
      <c r="B159" s="13" t="s">
        <v>202</v>
      </c>
      <c r="C159" s="14">
        <v>43602</v>
      </c>
      <c r="D159" s="20">
        <v>4</v>
      </c>
      <c r="E159" s="20">
        <v>5</v>
      </c>
      <c r="F159" s="15" t="s">
        <v>210</v>
      </c>
      <c r="G159" s="31">
        <v>43598</v>
      </c>
      <c r="H159" s="28" t="s">
        <v>250</v>
      </c>
      <c r="I159" s="16"/>
    </row>
    <row r="160" spans="1:9" hidden="1" x14ac:dyDescent="0.2">
      <c r="A160" s="26" t="str">
        <f>TEXT(表3[[#This Row],[ETD]],"mmdd ")&amp;表3[[#This Row],[项目]]</f>
        <v>0517 SC glovis</v>
      </c>
      <c r="B160" s="13" t="s">
        <v>202</v>
      </c>
      <c r="C160" s="14">
        <v>43602</v>
      </c>
      <c r="D160" s="20">
        <v>4</v>
      </c>
      <c r="E160" s="20">
        <v>6</v>
      </c>
      <c r="F160" s="15" t="s">
        <v>216</v>
      </c>
      <c r="G160" s="31">
        <v>43598</v>
      </c>
      <c r="H160" s="28" t="s">
        <v>250</v>
      </c>
      <c r="I160" s="16"/>
    </row>
    <row r="161" spans="1:9" hidden="1" x14ac:dyDescent="0.2">
      <c r="A161" s="26" t="str">
        <f>TEXT(表3[[#This Row],[ETD]],"mmdd ")&amp;表3[[#This Row],[项目]]</f>
        <v>0517 SC glovis</v>
      </c>
      <c r="B161" s="13" t="s">
        <v>202</v>
      </c>
      <c r="C161" s="14">
        <v>43602</v>
      </c>
      <c r="D161" s="20">
        <v>4</v>
      </c>
      <c r="E161" s="20">
        <v>7</v>
      </c>
      <c r="F161" s="15" t="s">
        <v>217</v>
      </c>
      <c r="G161" s="31">
        <v>43598</v>
      </c>
      <c r="H161" s="28" t="s">
        <v>250</v>
      </c>
      <c r="I161" s="16"/>
    </row>
    <row r="162" spans="1:9" hidden="1" x14ac:dyDescent="0.2">
      <c r="A162" s="26" t="str">
        <f>TEXT(表3[[#This Row],[ETD]],"mmdd ")&amp;表3[[#This Row],[项目]]</f>
        <v>0517 SC glovis</v>
      </c>
      <c r="B162" s="13" t="s">
        <v>202</v>
      </c>
      <c r="C162" s="14">
        <v>43602</v>
      </c>
      <c r="D162" s="20">
        <v>5</v>
      </c>
      <c r="E162" s="20">
        <v>1</v>
      </c>
      <c r="F162" s="15" t="s">
        <v>211</v>
      </c>
      <c r="G162" s="31">
        <v>43598</v>
      </c>
      <c r="H162" s="28" t="s">
        <v>250</v>
      </c>
      <c r="I162" s="16"/>
    </row>
    <row r="163" spans="1:9" hidden="1" x14ac:dyDescent="0.2">
      <c r="A163" s="25" t="str">
        <f>TEXT(表3[[#This Row],[ETD]],"mmdd ")&amp;表3[[#This Row],[项目]]</f>
        <v>0517 SC glovis</v>
      </c>
      <c r="B163" s="8" t="s">
        <v>202</v>
      </c>
      <c r="C163" s="9">
        <v>43602</v>
      </c>
      <c r="D163" s="10">
        <v>6</v>
      </c>
      <c r="E163" s="10">
        <v>1</v>
      </c>
      <c r="F163" s="11" t="s">
        <v>212</v>
      </c>
      <c r="G163" s="30">
        <v>43601</v>
      </c>
      <c r="H163" s="27" t="s">
        <v>251</v>
      </c>
      <c r="I163" s="12"/>
    </row>
    <row r="164" spans="1:9" hidden="1" x14ac:dyDescent="0.2">
      <c r="A164" s="25" t="str">
        <f>TEXT(表3[[#This Row],[ETD]],"mmdd ")&amp;表3[[#This Row],[项目]]</f>
        <v>0522 JS mobis</v>
      </c>
      <c r="B164" s="8" t="s">
        <v>2</v>
      </c>
      <c r="C164" s="9">
        <v>43607</v>
      </c>
      <c r="D164" s="10">
        <v>1</v>
      </c>
      <c r="E164" s="10">
        <v>1</v>
      </c>
      <c r="F164" s="11" t="s">
        <v>14</v>
      </c>
      <c r="G164" s="30">
        <v>43595</v>
      </c>
      <c r="H164" s="27" t="s">
        <v>269</v>
      </c>
      <c r="I164" s="12" t="s">
        <v>33</v>
      </c>
    </row>
    <row r="165" spans="1:9" hidden="1" x14ac:dyDescent="0.2">
      <c r="A165" s="25" t="str">
        <f>TEXT(表3[[#This Row],[ETD]],"mmdd ")&amp;表3[[#This Row],[项目]]</f>
        <v>0522 JS mobis</v>
      </c>
      <c r="B165" s="8" t="s">
        <v>2</v>
      </c>
      <c r="C165" s="9">
        <v>43607</v>
      </c>
      <c r="D165" s="10">
        <v>1</v>
      </c>
      <c r="E165" s="10">
        <v>2</v>
      </c>
      <c r="F165" s="11" t="s">
        <v>267</v>
      </c>
      <c r="G165" s="30">
        <v>43595</v>
      </c>
      <c r="H165" s="27" t="s">
        <v>269</v>
      </c>
      <c r="I165" s="12"/>
    </row>
    <row r="166" spans="1:9" x14ac:dyDescent="0.2">
      <c r="A166" s="25" t="str">
        <f>TEXT(表3[[#This Row],[ETD]],"mmdd ")&amp;表3[[#This Row],[项目]]</f>
        <v>0522 JS mobis</v>
      </c>
      <c r="B166" s="8" t="s">
        <v>2</v>
      </c>
      <c r="C166" s="9">
        <v>43607</v>
      </c>
      <c r="D166" s="10">
        <v>2</v>
      </c>
      <c r="E166" s="10">
        <v>1</v>
      </c>
      <c r="F166" s="11" t="s">
        <v>68</v>
      </c>
      <c r="G166" s="30">
        <v>43596</v>
      </c>
      <c r="H166" s="27" t="s">
        <v>249</v>
      </c>
      <c r="I166" s="12" t="s">
        <v>35</v>
      </c>
    </row>
    <row r="167" spans="1:9" x14ac:dyDescent="0.2">
      <c r="A167" s="25" t="str">
        <f>TEXT(表3[[#This Row],[ETD]],"mmdd ")&amp;表3[[#This Row],[项目]]</f>
        <v>0522 JS mobis</v>
      </c>
      <c r="B167" s="8" t="s">
        <v>2</v>
      </c>
      <c r="C167" s="9">
        <v>43607</v>
      </c>
      <c r="D167" s="10">
        <v>2</v>
      </c>
      <c r="E167" s="10">
        <v>2</v>
      </c>
      <c r="F167" s="11" t="s">
        <v>70</v>
      </c>
      <c r="G167" s="30">
        <v>43596</v>
      </c>
      <c r="H167" s="27" t="s">
        <v>249</v>
      </c>
      <c r="I167" s="12"/>
    </row>
    <row r="168" spans="1:9" x14ac:dyDescent="0.2">
      <c r="A168" s="25" t="str">
        <f>TEXT(表3[[#This Row],[ETD]],"mmdd ")&amp;表3[[#This Row],[项目]]</f>
        <v>0522 JS mobis</v>
      </c>
      <c r="B168" s="8" t="s">
        <v>2</v>
      </c>
      <c r="C168" s="9">
        <v>43607</v>
      </c>
      <c r="D168" s="10">
        <v>2</v>
      </c>
      <c r="E168" s="10">
        <v>3</v>
      </c>
      <c r="F168" s="11" t="s">
        <v>72</v>
      </c>
      <c r="G168" s="30">
        <v>43596</v>
      </c>
      <c r="H168" s="27" t="s">
        <v>249</v>
      </c>
      <c r="I168" s="12" t="s">
        <v>48</v>
      </c>
    </row>
    <row r="169" spans="1:9" x14ac:dyDescent="0.2">
      <c r="A169" s="25" t="str">
        <f>TEXT(表3[[#This Row],[ETD]],"mmdd ")&amp;表3[[#This Row],[项目]]</f>
        <v>0522 JS mobis</v>
      </c>
      <c r="B169" s="8" t="s">
        <v>2</v>
      </c>
      <c r="C169" s="9">
        <v>43607</v>
      </c>
      <c r="D169" s="10">
        <v>2</v>
      </c>
      <c r="E169" s="10">
        <v>4</v>
      </c>
      <c r="F169" s="11" t="s">
        <v>21</v>
      </c>
      <c r="G169" s="30">
        <v>43596</v>
      </c>
      <c r="H169" s="27" t="s">
        <v>249</v>
      </c>
      <c r="I169" s="12"/>
    </row>
    <row r="170" spans="1:9" x14ac:dyDescent="0.2">
      <c r="A170" s="25" t="str">
        <f>TEXT(表3[[#This Row],[ETD]],"mmdd ")&amp;表3[[#This Row],[项目]]</f>
        <v>0522 JS mobis</v>
      </c>
      <c r="B170" s="8" t="s">
        <v>2</v>
      </c>
      <c r="C170" s="9">
        <v>43607</v>
      </c>
      <c r="D170" s="10">
        <v>2</v>
      </c>
      <c r="E170" s="10">
        <v>5</v>
      </c>
      <c r="F170" s="11" t="s">
        <v>23</v>
      </c>
      <c r="G170" s="30">
        <v>43596</v>
      </c>
      <c r="H170" s="27" t="s">
        <v>249</v>
      </c>
      <c r="I170" s="12"/>
    </row>
    <row r="171" spans="1:9" x14ac:dyDescent="0.2">
      <c r="A171" s="25" t="str">
        <f>TEXT(表3[[#This Row],[ETD]],"mmdd ")&amp;表3[[#This Row],[项目]]</f>
        <v>0522 JS mobis</v>
      </c>
      <c r="B171" s="8" t="s">
        <v>2</v>
      </c>
      <c r="C171" s="9">
        <v>43607</v>
      </c>
      <c r="D171" s="10">
        <v>2</v>
      </c>
      <c r="E171" s="10">
        <v>6</v>
      </c>
      <c r="F171" s="11" t="s">
        <v>7</v>
      </c>
      <c r="G171" s="30">
        <v>43596</v>
      </c>
      <c r="H171" s="27" t="s">
        <v>249</v>
      </c>
      <c r="I171" s="12"/>
    </row>
    <row r="172" spans="1:9" x14ac:dyDescent="0.2">
      <c r="A172" s="25" t="str">
        <f>TEXT(表3[[#This Row],[ETD]],"mmdd ")&amp;表3[[#This Row],[项目]]</f>
        <v>0522 JS mobis</v>
      </c>
      <c r="B172" s="8" t="s">
        <v>2</v>
      </c>
      <c r="C172" s="9">
        <v>43607</v>
      </c>
      <c r="D172" s="10">
        <v>2</v>
      </c>
      <c r="E172" s="10">
        <v>7</v>
      </c>
      <c r="F172" s="11" t="s">
        <v>9</v>
      </c>
      <c r="G172" s="30">
        <v>43596</v>
      </c>
      <c r="H172" s="27" t="s">
        <v>249</v>
      </c>
      <c r="I172" s="12"/>
    </row>
    <row r="173" spans="1:9" x14ac:dyDescent="0.2">
      <c r="A173" s="25" t="str">
        <f>TEXT(表3[[#This Row],[ETD]],"mmdd ")&amp;表3[[#This Row],[项目]]</f>
        <v>0522 JS mobis</v>
      </c>
      <c r="B173" s="8" t="s">
        <v>2</v>
      </c>
      <c r="C173" s="9">
        <v>43607</v>
      </c>
      <c r="D173" s="10">
        <v>2</v>
      </c>
      <c r="E173" s="10">
        <v>8</v>
      </c>
      <c r="F173" s="11" t="s">
        <v>13</v>
      </c>
      <c r="G173" s="30">
        <v>43596</v>
      </c>
      <c r="H173" s="27" t="s">
        <v>249</v>
      </c>
      <c r="I173" s="12" t="s">
        <v>37</v>
      </c>
    </row>
    <row r="174" spans="1:9" x14ac:dyDescent="0.2">
      <c r="A174" s="25" t="str">
        <f>TEXT(表3[[#This Row],[ETD]],"mmdd ")&amp;表3[[#This Row],[项目]]</f>
        <v>0522 JS mobis</v>
      </c>
      <c r="B174" s="8" t="s">
        <v>2</v>
      </c>
      <c r="C174" s="9">
        <v>43607</v>
      </c>
      <c r="D174" s="10">
        <v>2</v>
      </c>
      <c r="E174" s="10">
        <v>9</v>
      </c>
      <c r="F174" s="11" t="s">
        <v>66</v>
      </c>
      <c r="G174" s="30">
        <v>43596</v>
      </c>
      <c r="H174" s="27" t="s">
        <v>249</v>
      </c>
      <c r="I174" s="12"/>
    </row>
    <row r="175" spans="1:9" x14ac:dyDescent="0.2">
      <c r="A175" s="25" t="str">
        <f>TEXT(表3[[#This Row],[ETD]],"mmdd ")&amp;表3[[#This Row],[项目]]</f>
        <v>0522 JS mobis</v>
      </c>
      <c r="B175" s="8" t="s">
        <v>2</v>
      </c>
      <c r="C175" s="9">
        <v>43607</v>
      </c>
      <c r="D175" s="10">
        <v>2</v>
      </c>
      <c r="E175" s="10">
        <v>10</v>
      </c>
      <c r="F175" s="11" t="s">
        <v>267</v>
      </c>
      <c r="G175" s="30">
        <v>43596</v>
      </c>
      <c r="H175" s="27" t="s">
        <v>249</v>
      </c>
      <c r="I175" s="12"/>
    </row>
    <row r="176" spans="1:9" x14ac:dyDescent="0.2">
      <c r="A176" s="25" t="str">
        <f>TEXT(表3[[#This Row],[ETD]],"mmdd ")&amp;表3[[#This Row],[项目]]</f>
        <v>0522 JS mobis</v>
      </c>
      <c r="B176" s="8" t="s">
        <v>2</v>
      </c>
      <c r="C176" s="9">
        <v>43607</v>
      </c>
      <c r="D176" s="10">
        <v>3</v>
      </c>
      <c r="E176" s="10">
        <v>1</v>
      </c>
      <c r="F176" s="11" t="s">
        <v>31</v>
      </c>
      <c r="G176" s="30">
        <v>43596</v>
      </c>
      <c r="H176" s="27" t="s">
        <v>249</v>
      </c>
      <c r="I176" s="12" t="s">
        <v>39</v>
      </c>
    </row>
    <row r="177" spans="1:9" x14ac:dyDescent="0.2">
      <c r="A177" s="25" t="str">
        <f>TEXT(表3[[#This Row],[ETD]],"mmdd ")&amp;表3[[#This Row],[项目]]</f>
        <v>0522 JS mobis</v>
      </c>
      <c r="B177" s="8" t="s">
        <v>2</v>
      </c>
      <c r="C177" s="9">
        <v>43607</v>
      </c>
      <c r="D177" s="10">
        <v>3</v>
      </c>
      <c r="E177" s="10">
        <v>2</v>
      </c>
      <c r="F177" s="11" t="s">
        <v>44</v>
      </c>
      <c r="G177" s="30">
        <v>43596</v>
      </c>
      <c r="H177" s="27" t="s">
        <v>249</v>
      </c>
      <c r="I177" s="12"/>
    </row>
    <row r="178" spans="1:9" x14ac:dyDescent="0.2">
      <c r="A178" s="26" t="str">
        <f>TEXT(表3[[#This Row],[ETD]],"mmdd ")&amp;表3[[#This Row],[项目]]</f>
        <v>0522 JS mobis</v>
      </c>
      <c r="B178" s="13" t="s">
        <v>2</v>
      </c>
      <c r="C178" s="14">
        <v>43607</v>
      </c>
      <c r="D178" s="20">
        <v>3</v>
      </c>
      <c r="E178" s="20">
        <v>3</v>
      </c>
      <c r="F178" s="15" t="s">
        <v>25</v>
      </c>
      <c r="G178" s="31">
        <v>43596</v>
      </c>
      <c r="H178" s="28" t="s">
        <v>249</v>
      </c>
      <c r="I178" s="16"/>
    </row>
    <row r="179" spans="1:9" x14ac:dyDescent="0.2">
      <c r="A179" s="25" t="str">
        <f>TEXT(表3[[#This Row],[ETD]],"mmdd ")&amp;表3[[#This Row],[项目]]</f>
        <v>0522 JS mobis</v>
      </c>
      <c r="B179" s="8" t="s">
        <v>2</v>
      </c>
      <c r="C179" s="9">
        <v>43607</v>
      </c>
      <c r="D179" s="10">
        <v>3</v>
      </c>
      <c r="E179" s="10">
        <v>4</v>
      </c>
      <c r="F179" s="11" t="s">
        <v>27</v>
      </c>
      <c r="G179" s="30">
        <v>43596</v>
      </c>
      <c r="H179" s="27" t="s">
        <v>249</v>
      </c>
      <c r="I179" s="12"/>
    </row>
    <row r="180" spans="1:9" x14ac:dyDescent="0.2">
      <c r="A180" s="25" t="str">
        <f>TEXT(表3[[#This Row],[ETD]],"mmdd ")&amp;表3[[#This Row],[项目]]</f>
        <v>0522 JS mobis</v>
      </c>
      <c r="B180" s="8" t="s">
        <v>2</v>
      </c>
      <c r="C180" s="9">
        <v>43607</v>
      </c>
      <c r="D180" s="10">
        <v>3</v>
      </c>
      <c r="E180" s="10">
        <v>5</v>
      </c>
      <c r="F180" s="11" t="s">
        <v>15</v>
      </c>
      <c r="G180" s="30">
        <v>43596</v>
      </c>
      <c r="H180" s="27" t="s">
        <v>249</v>
      </c>
      <c r="I180" s="12"/>
    </row>
    <row r="181" spans="1:9" x14ac:dyDescent="0.2">
      <c r="A181" s="25" t="str">
        <f>TEXT(表3[[#This Row],[ETD]],"mmdd ")&amp;表3[[#This Row],[项目]]</f>
        <v>0522 JS mobis</v>
      </c>
      <c r="B181" s="8" t="s">
        <v>2</v>
      </c>
      <c r="C181" s="9">
        <v>43607</v>
      </c>
      <c r="D181" s="10">
        <v>3</v>
      </c>
      <c r="E181" s="10">
        <v>6</v>
      </c>
      <c r="F181" s="11" t="s">
        <v>17</v>
      </c>
      <c r="G181" s="30">
        <v>43596</v>
      </c>
      <c r="H181" s="27" t="s">
        <v>249</v>
      </c>
      <c r="I181" s="12"/>
    </row>
    <row r="182" spans="1:9" x14ac:dyDescent="0.2">
      <c r="A182" s="26" t="str">
        <f>TEXT(表3[[#This Row],[ETD]],"mmdd ")&amp;表3[[#This Row],[项目]]</f>
        <v>0522 JS mobis</v>
      </c>
      <c r="B182" s="13" t="s">
        <v>2</v>
      </c>
      <c r="C182" s="9">
        <v>43607</v>
      </c>
      <c r="D182" s="20">
        <v>3</v>
      </c>
      <c r="E182" s="20">
        <v>7</v>
      </c>
      <c r="F182" s="15" t="s">
        <v>19</v>
      </c>
      <c r="G182" s="31">
        <v>43596</v>
      </c>
      <c r="H182" s="28" t="s">
        <v>249</v>
      </c>
      <c r="I182" s="16"/>
    </row>
    <row r="183" spans="1:9" x14ac:dyDescent="0.2">
      <c r="A183" s="26" t="str">
        <f>TEXT(表3[[#This Row],[ETD]],"mmdd ")&amp;表3[[#This Row],[项目]]</f>
        <v>0522 JS mobis</v>
      </c>
      <c r="B183" s="13" t="s">
        <v>2</v>
      </c>
      <c r="C183" s="9">
        <v>43607</v>
      </c>
      <c r="D183" s="20">
        <v>3</v>
      </c>
      <c r="E183" s="20">
        <v>8</v>
      </c>
      <c r="F183" s="15" t="s">
        <v>64</v>
      </c>
      <c r="G183" s="31">
        <v>43596</v>
      </c>
      <c r="H183" s="28" t="s">
        <v>249</v>
      </c>
      <c r="I183" s="16"/>
    </row>
    <row r="184" spans="1:9" x14ac:dyDescent="0.2">
      <c r="A184" s="25" t="str">
        <f>TEXT(表3[[#This Row],[ETD]],"mmdd ")&amp;表3[[#This Row],[项目]]</f>
        <v>0522 JS mobis</v>
      </c>
      <c r="B184" s="8" t="s">
        <v>2</v>
      </c>
      <c r="C184" s="9">
        <v>43607</v>
      </c>
      <c r="D184" s="10">
        <v>4</v>
      </c>
      <c r="E184" s="10">
        <v>1</v>
      </c>
      <c r="F184" s="11" t="s">
        <v>29</v>
      </c>
      <c r="G184" s="30">
        <v>43596</v>
      </c>
      <c r="H184" s="27" t="s">
        <v>249</v>
      </c>
      <c r="I184" s="12" t="s">
        <v>41</v>
      </c>
    </row>
    <row r="185" spans="1:9" x14ac:dyDescent="0.2">
      <c r="A185" s="25" t="str">
        <f>TEXT(表3[[#This Row],[ETD]],"mmdd ")&amp;表3[[#This Row],[项目]]</f>
        <v>0522 JS mobis</v>
      </c>
      <c r="B185" s="8" t="s">
        <v>2</v>
      </c>
      <c r="C185" s="9">
        <v>43607</v>
      </c>
      <c r="D185" s="10">
        <v>4</v>
      </c>
      <c r="E185" s="10">
        <v>2</v>
      </c>
      <c r="F185" s="11" t="s">
        <v>43</v>
      </c>
      <c r="G185" s="30">
        <v>43596</v>
      </c>
      <c r="H185" s="27" t="s">
        <v>249</v>
      </c>
      <c r="I185" s="12"/>
    </row>
    <row r="186" spans="1:9" x14ac:dyDescent="0.2">
      <c r="A186" s="25" t="str">
        <f>TEXT(表3[[#This Row],[ETD]],"mmdd ")&amp;表3[[#This Row],[项目]]</f>
        <v>0522 JS mobis</v>
      </c>
      <c r="B186" s="8" t="s">
        <v>2</v>
      </c>
      <c r="C186" s="9">
        <v>43607</v>
      </c>
      <c r="D186" s="10">
        <v>4</v>
      </c>
      <c r="E186" s="10">
        <v>3</v>
      </c>
      <c r="F186" s="11" t="s">
        <v>46</v>
      </c>
      <c r="G186" s="30">
        <v>43596</v>
      </c>
      <c r="H186" s="27" t="s">
        <v>249</v>
      </c>
      <c r="I186" s="12"/>
    </row>
    <row r="187" spans="1:9" x14ac:dyDescent="0.2">
      <c r="A187" s="25" t="str">
        <f>TEXT(表3[[#This Row],[ETD]],"mmdd ")&amp;表3[[#This Row],[项目]]</f>
        <v>0522 JS mobis</v>
      </c>
      <c r="B187" s="8" t="s">
        <v>2</v>
      </c>
      <c r="C187" s="9">
        <v>43607</v>
      </c>
      <c r="D187" s="10">
        <v>4</v>
      </c>
      <c r="E187" s="10">
        <v>4</v>
      </c>
      <c r="F187" s="11" t="s">
        <v>50</v>
      </c>
      <c r="G187" s="30">
        <v>43596</v>
      </c>
      <c r="H187" s="27" t="s">
        <v>249</v>
      </c>
      <c r="I187" s="12"/>
    </row>
    <row r="188" spans="1:9" x14ac:dyDescent="0.2">
      <c r="A188" s="25" t="str">
        <f>TEXT(表3[[#This Row],[ETD]],"mmdd ")&amp;表3[[#This Row],[项目]]</f>
        <v>0522 JS mobis</v>
      </c>
      <c r="B188" s="8" t="s">
        <v>2</v>
      </c>
      <c r="C188" s="9">
        <v>43607</v>
      </c>
      <c r="D188" s="10">
        <v>4</v>
      </c>
      <c r="E188" s="10">
        <v>5</v>
      </c>
      <c r="F188" s="11" t="s">
        <v>47</v>
      </c>
      <c r="G188" s="30">
        <v>43596</v>
      </c>
      <c r="H188" s="27" t="s">
        <v>249</v>
      </c>
      <c r="I188" s="12" t="s">
        <v>48</v>
      </c>
    </row>
    <row r="189" spans="1:9" x14ac:dyDescent="0.2">
      <c r="A189" s="25" t="str">
        <f>TEXT(表3[[#This Row],[ETD]],"mmdd ")&amp;表3[[#This Row],[项目]]</f>
        <v>0522 JS mobis</v>
      </c>
      <c r="B189" s="8" t="s">
        <v>2</v>
      </c>
      <c r="C189" s="9">
        <v>43607</v>
      </c>
      <c r="D189" s="10">
        <v>4</v>
      </c>
      <c r="E189" s="10">
        <v>6</v>
      </c>
      <c r="F189" s="11" t="s">
        <v>268</v>
      </c>
      <c r="G189" s="30">
        <v>43596</v>
      </c>
      <c r="H189" s="27" t="s">
        <v>249</v>
      </c>
      <c r="I189" s="12" t="s">
        <v>236</v>
      </c>
    </row>
    <row r="190" spans="1:9" x14ac:dyDescent="0.2">
      <c r="A190" s="25" t="str">
        <f>TEXT(表3[[#This Row],[ETD]],"mmdd ")&amp;表3[[#This Row],[项目]]</f>
        <v>0522 JS mobis</v>
      </c>
      <c r="B190" s="8" t="s">
        <v>2</v>
      </c>
      <c r="C190" s="9">
        <v>43607</v>
      </c>
      <c r="D190" s="10">
        <v>4</v>
      </c>
      <c r="E190" s="10">
        <v>7</v>
      </c>
      <c r="F190" s="11" t="s">
        <v>93</v>
      </c>
      <c r="G190" s="30">
        <v>43596</v>
      </c>
      <c r="H190" s="27" t="s">
        <v>249</v>
      </c>
      <c r="I190" s="12"/>
    </row>
    <row r="191" spans="1:9" x14ac:dyDescent="0.2">
      <c r="A191" s="25" t="str">
        <f>TEXT(表3[[#This Row],[ETD]],"mmdd ")&amp;表3[[#This Row],[项目]]</f>
        <v>0522 JS mobis</v>
      </c>
      <c r="B191" s="8" t="s">
        <v>2</v>
      </c>
      <c r="C191" s="9">
        <v>43607</v>
      </c>
      <c r="D191" s="10">
        <v>4</v>
      </c>
      <c r="E191" s="10">
        <v>8</v>
      </c>
      <c r="F191" s="11" t="s">
        <v>74</v>
      </c>
      <c r="G191" s="30">
        <v>43596</v>
      </c>
      <c r="H191" s="27" t="s">
        <v>249</v>
      </c>
      <c r="I191" s="12"/>
    </row>
    <row r="192" spans="1:9" x14ac:dyDescent="0.2">
      <c r="A192" s="25" t="str">
        <f>TEXT(表3[[#This Row],[ETD]],"mmdd ")&amp;表3[[#This Row],[项目]]</f>
        <v>0522 JS mobis</v>
      </c>
      <c r="B192" s="8" t="s">
        <v>2</v>
      </c>
      <c r="C192" s="9">
        <v>43607</v>
      </c>
      <c r="D192" s="10">
        <v>4</v>
      </c>
      <c r="E192" s="10">
        <v>9</v>
      </c>
      <c r="F192" s="11" t="s">
        <v>89</v>
      </c>
      <c r="G192" s="30">
        <v>43596</v>
      </c>
      <c r="H192" s="27" t="s">
        <v>249</v>
      </c>
      <c r="I192" s="12"/>
    </row>
    <row r="193" spans="1:9" x14ac:dyDescent="0.2">
      <c r="A193" s="25" t="str">
        <f>TEXT(表3[[#This Row],[ETD]],"mmdd ")&amp;表3[[#This Row],[项目]]</f>
        <v>0522 JS mobis</v>
      </c>
      <c r="B193" s="8" t="s">
        <v>2</v>
      </c>
      <c r="C193" s="9">
        <v>43607</v>
      </c>
      <c r="D193" s="10">
        <v>4</v>
      </c>
      <c r="E193" s="10">
        <v>10</v>
      </c>
      <c r="F193" s="11" t="s">
        <v>91</v>
      </c>
      <c r="G193" s="30">
        <v>43596</v>
      </c>
      <c r="H193" s="27" t="s">
        <v>249</v>
      </c>
      <c r="I193" s="12"/>
    </row>
    <row r="194" spans="1:9" x14ac:dyDescent="0.2">
      <c r="A194" s="25" t="str">
        <f>TEXT(表3[[#This Row],[ETD]],"mmdd ")&amp;表3[[#This Row],[项目]]</f>
        <v>0522 JS mobis</v>
      </c>
      <c r="B194" s="8" t="s">
        <v>2</v>
      </c>
      <c r="C194" s="9">
        <v>43607</v>
      </c>
      <c r="D194" s="10">
        <v>4</v>
      </c>
      <c r="E194" s="10">
        <v>11</v>
      </c>
      <c r="F194" s="11" t="s">
        <v>267</v>
      </c>
      <c r="G194" s="30">
        <v>43596</v>
      </c>
      <c r="H194" s="27" t="s">
        <v>249</v>
      </c>
      <c r="I194" s="12"/>
    </row>
    <row r="195" spans="1:9" x14ac:dyDescent="0.2">
      <c r="A195" s="25" t="str">
        <f>TEXT(表3[[#This Row],[ETD]],"mmdd ")&amp;表3[[#This Row],[项目]]</f>
        <v>0522 JS mobis</v>
      </c>
      <c r="B195" s="8" t="s">
        <v>2</v>
      </c>
      <c r="C195" s="9">
        <v>43607</v>
      </c>
      <c r="D195" s="10">
        <v>4</v>
      </c>
      <c r="E195" s="10">
        <v>11</v>
      </c>
      <c r="F195" s="11" t="s">
        <v>55</v>
      </c>
      <c r="G195" s="30">
        <v>43596</v>
      </c>
      <c r="H195" s="27" t="s">
        <v>249</v>
      </c>
      <c r="I195" s="12" t="s">
        <v>48</v>
      </c>
    </row>
    <row r="196" spans="1:9" x14ac:dyDescent="0.2">
      <c r="A196" s="25" t="str">
        <f>TEXT(表3[[#This Row],[ETD]],"mmdd ")&amp;表3[[#This Row],[项目]]</f>
        <v>0522 JS mobis</v>
      </c>
      <c r="B196" s="8" t="s">
        <v>2</v>
      </c>
      <c r="C196" s="9">
        <v>43607</v>
      </c>
      <c r="D196" s="10">
        <v>4</v>
      </c>
      <c r="E196" s="10">
        <v>12</v>
      </c>
      <c r="F196" s="11" t="s">
        <v>62</v>
      </c>
      <c r="G196" s="30">
        <v>43596</v>
      </c>
      <c r="H196" s="27" t="s">
        <v>249</v>
      </c>
      <c r="I196" s="12"/>
    </row>
    <row r="197" spans="1:9" x14ac:dyDescent="0.2">
      <c r="A197" s="25" t="str">
        <f>TEXT(表3[[#This Row],[ETD]],"mmdd ")&amp;表3[[#This Row],[项目]]</f>
        <v>0522 JS mobis</v>
      </c>
      <c r="B197" s="8" t="s">
        <v>2</v>
      </c>
      <c r="C197" s="9">
        <v>43607</v>
      </c>
      <c r="D197" s="10">
        <v>4</v>
      </c>
      <c r="E197" s="10">
        <v>13</v>
      </c>
      <c r="F197" s="11" t="s">
        <v>81</v>
      </c>
      <c r="G197" s="30">
        <v>43596</v>
      </c>
      <c r="H197" s="27" t="s">
        <v>249</v>
      </c>
      <c r="I197" s="12" t="s">
        <v>78</v>
      </c>
    </row>
    <row r="198" spans="1:9" x14ac:dyDescent="0.2">
      <c r="A198" s="25" t="str">
        <f>TEXT(表3[[#This Row],[ETD]],"mmdd ")&amp;表3[[#This Row],[项目]]</f>
        <v>0522 JS mobis</v>
      </c>
      <c r="B198" s="8" t="s">
        <v>2</v>
      </c>
      <c r="C198" s="9">
        <v>43607</v>
      </c>
      <c r="D198" s="10">
        <v>4</v>
      </c>
      <c r="E198" s="10">
        <v>14</v>
      </c>
      <c r="F198" s="11" t="s">
        <v>76</v>
      </c>
      <c r="G198" s="30">
        <v>43596</v>
      </c>
      <c r="H198" s="27" t="s">
        <v>249</v>
      </c>
      <c r="I198" s="12"/>
    </row>
    <row r="199" spans="1:9" x14ac:dyDescent="0.2">
      <c r="A199" s="25" t="str">
        <f>TEXT(表3[[#This Row],[ETD]],"mmdd ")&amp;表3[[#This Row],[项目]]</f>
        <v>0522 JS mobis</v>
      </c>
      <c r="B199" s="8" t="s">
        <v>2</v>
      </c>
      <c r="C199" s="9">
        <v>43607</v>
      </c>
      <c r="D199" s="10">
        <v>4</v>
      </c>
      <c r="E199" s="10">
        <v>15</v>
      </c>
      <c r="F199" s="11" t="s">
        <v>51</v>
      </c>
      <c r="G199" s="30">
        <v>43596</v>
      </c>
      <c r="H199" s="27" t="s">
        <v>249</v>
      </c>
      <c r="I199" s="12" t="s">
        <v>37</v>
      </c>
    </row>
    <row r="200" spans="1:9" x14ac:dyDescent="0.2">
      <c r="A200" s="25" t="str">
        <f>TEXT(表3[[#This Row],[ETD]],"mmdd ")&amp;表3[[#This Row],[项目]]</f>
        <v>0522 JS mobis</v>
      </c>
      <c r="B200" s="8" t="s">
        <v>2</v>
      </c>
      <c r="C200" s="9">
        <v>43607</v>
      </c>
      <c r="D200" s="10">
        <v>4</v>
      </c>
      <c r="E200" s="10">
        <v>16</v>
      </c>
      <c r="F200" s="11" t="s">
        <v>52</v>
      </c>
      <c r="G200" s="30">
        <v>43596</v>
      </c>
      <c r="H200" s="27" t="s">
        <v>249</v>
      </c>
      <c r="I200" s="12" t="s">
        <v>48</v>
      </c>
    </row>
    <row r="201" spans="1:9" x14ac:dyDescent="0.2">
      <c r="A201" s="25" t="str">
        <f>TEXT(表3[[#This Row],[ETD]],"mmdd ")&amp;表3[[#This Row],[项目]]</f>
        <v>0522 JS mobis</v>
      </c>
      <c r="B201" s="8" t="s">
        <v>2</v>
      </c>
      <c r="C201" s="9">
        <v>43607</v>
      </c>
      <c r="D201" s="10">
        <v>4</v>
      </c>
      <c r="E201" s="10">
        <v>17</v>
      </c>
      <c r="F201" s="11" t="s">
        <v>198</v>
      </c>
      <c r="G201" s="30">
        <v>43596</v>
      </c>
      <c r="H201" s="27" t="s">
        <v>249</v>
      </c>
      <c r="I201" s="12"/>
    </row>
    <row r="202" spans="1:9" x14ac:dyDescent="0.2">
      <c r="A202" s="25" t="str">
        <f>TEXT(表3[[#This Row],[ETD]],"mmdd ")&amp;表3[[#This Row],[项目]]</f>
        <v>0522 JS mobis</v>
      </c>
      <c r="B202" s="8" t="s">
        <v>2</v>
      </c>
      <c r="C202" s="9">
        <v>43607</v>
      </c>
      <c r="D202" s="10">
        <v>4</v>
      </c>
      <c r="E202" s="10">
        <v>18</v>
      </c>
      <c r="F202" s="11" t="s">
        <v>83</v>
      </c>
      <c r="G202" s="30">
        <v>43596</v>
      </c>
      <c r="H202" s="27" t="s">
        <v>249</v>
      </c>
      <c r="I202" s="12" t="s">
        <v>85</v>
      </c>
    </row>
    <row r="203" spans="1:9" x14ac:dyDescent="0.2">
      <c r="A203" s="25" t="str">
        <f>TEXT(表3[[#This Row],[ETD]],"mmdd ")&amp;表3[[#This Row],[项目]]</f>
        <v>0522 JS mobis</v>
      </c>
      <c r="B203" s="8" t="s">
        <v>2</v>
      </c>
      <c r="C203" s="9">
        <v>43607</v>
      </c>
      <c r="D203" s="10">
        <v>4</v>
      </c>
      <c r="E203" s="10">
        <v>19</v>
      </c>
      <c r="F203" s="11" t="s">
        <v>87</v>
      </c>
      <c r="G203" s="30">
        <v>43596</v>
      </c>
      <c r="H203" s="27" t="s">
        <v>249</v>
      </c>
      <c r="I203" s="12"/>
    </row>
    <row r="204" spans="1:9" x14ac:dyDescent="0.2">
      <c r="A204" s="25" t="str">
        <f>TEXT(表3[[#This Row],[ETD]],"mmdd ")&amp;表3[[#This Row],[项目]]</f>
        <v>0522 JS mobis</v>
      </c>
      <c r="B204" s="8" t="s">
        <v>2</v>
      </c>
      <c r="C204" s="9">
        <v>43607</v>
      </c>
      <c r="D204" s="10">
        <v>5</v>
      </c>
      <c r="E204" s="10">
        <v>1</v>
      </c>
      <c r="F204" s="11" t="s">
        <v>95</v>
      </c>
      <c r="G204" s="30">
        <v>43596</v>
      </c>
      <c r="H204" s="27" t="s">
        <v>249</v>
      </c>
      <c r="I204" s="12"/>
    </row>
    <row r="205" spans="1:9" x14ac:dyDescent="0.2">
      <c r="A205" s="25" t="str">
        <f>TEXT(表3[[#This Row],[ETD]],"mmdd ")&amp;表3[[#This Row],[项目]]</f>
        <v>0522 JS mobis</v>
      </c>
      <c r="B205" s="8" t="s">
        <v>2</v>
      </c>
      <c r="C205" s="9">
        <v>43607</v>
      </c>
      <c r="D205" s="10">
        <v>5</v>
      </c>
      <c r="E205" s="10">
        <v>2</v>
      </c>
      <c r="F205" s="11" t="s">
        <v>97</v>
      </c>
      <c r="G205" s="30">
        <v>43596</v>
      </c>
      <c r="H205" s="27" t="s">
        <v>249</v>
      </c>
      <c r="I205" s="12"/>
    </row>
    <row r="206" spans="1:9" x14ac:dyDescent="0.2">
      <c r="A206" s="25" t="str">
        <f>TEXT(表3[[#This Row],[ETD]],"mmdd ")&amp;表3[[#This Row],[项目]]</f>
        <v>0522 JS mobis</v>
      </c>
      <c r="B206" s="8" t="s">
        <v>2</v>
      </c>
      <c r="C206" s="9">
        <v>43607</v>
      </c>
      <c r="D206" s="10">
        <v>5</v>
      </c>
      <c r="E206" s="10">
        <v>3</v>
      </c>
      <c r="F206" s="11" t="s">
        <v>99</v>
      </c>
      <c r="G206" s="30">
        <v>43596</v>
      </c>
      <c r="H206" s="27" t="s">
        <v>249</v>
      </c>
      <c r="I206" s="12"/>
    </row>
    <row r="207" spans="1:9" x14ac:dyDescent="0.2">
      <c r="A207" s="25" t="str">
        <f>TEXT(表3[[#This Row],[ETD]],"mmdd ")&amp;表3[[#This Row],[项目]]</f>
        <v>0522 JS mobis</v>
      </c>
      <c r="B207" s="8" t="s">
        <v>2</v>
      </c>
      <c r="C207" s="9">
        <v>43607</v>
      </c>
      <c r="D207" s="10">
        <v>5</v>
      </c>
      <c r="E207" s="10">
        <v>4</v>
      </c>
      <c r="F207" s="11" t="s">
        <v>101</v>
      </c>
      <c r="G207" s="30">
        <v>43596</v>
      </c>
      <c r="H207" s="27" t="s">
        <v>249</v>
      </c>
      <c r="I207" s="12"/>
    </row>
    <row r="208" spans="1:9" x14ac:dyDescent="0.2">
      <c r="A208" s="25" t="str">
        <f>TEXT(表3[[#This Row],[ETD]],"mmdd ")&amp;表3[[#This Row],[项目]]</f>
        <v>0522 JS mobis</v>
      </c>
      <c r="B208" s="8" t="s">
        <v>2</v>
      </c>
      <c r="C208" s="9">
        <v>43607</v>
      </c>
      <c r="D208" s="10">
        <v>5</v>
      </c>
      <c r="E208" s="10">
        <v>5</v>
      </c>
      <c r="F208" s="11" t="s">
        <v>103</v>
      </c>
      <c r="G208" s="30">
        <v>43596</v>
      </c>
      <c r="H208" s="27" t="s">
        <v>249</v>
      </c>
      <c r="I208" s="12"/>
    </row>
    <row r="209" spans="1:9" x14ac:dyDescent="0.2">
      <c r="A209" s="25" t="str">
        <f>TEXT(表3[[#This Row],[ETD]],"mmdd ")&amp;表3[[#This Row],[项目]]</f>
        <v>0522 JS mobis</v>
      </c>
      <c r="B209" s="8" t="s">
        <v>2</v>
      </c>
      <c r="C209" s="9">
        <v>43607</v>
      </c>
      <c r="D209" s="10">
        <v>6</v>
      </c>
      <c r="E209" s="10">
        <v>1</v>
      </c>
      <c r="F209" s="11" t="s">
        <v>105</v>
      </c>
      <c r="G209" s="30">
        <v>43596</v>
      </c>
      <c r="H209" s="27" t="s">
        <v>249</v>
      </c>
      <c r="I209" s="12"/>
    </row>
    <row r="210" spans="1:9" x14ac:dyDescent="0.2">
      <c r="A210" s="25" t="str">
        <f>TEXT(表3[[#This Row],[ETD]],"mmdd ")&amp;表3[[#This Row],[项目]]</f>
        <v>0522 JS mobis</v>
      </c>
      <c r="B210" s="8" t="s">
        <v>2</v>
      </c>
      <c r="C210" s="9">
        <v>43607</v>
      </c>
      <c r="D210" s="10">
        <v>6</v>
      </c>
      <c r="E210" s="10">
        <v>2</v>
      </c>
      <c r="F210" s="11" t="s">
        <v>106</v>
      </c>
      <c r="G210" s="30">
        <v>43596</v>
      </c>
      <c r="H210" s="27" t="s">
        <v>249</v>
      </c>
      <c r="I210" s="12"/>
    </row>
    <row r="211" spans="1:9" x14ac:dyDescent="0.2">
      <c r="A211" s="25" t="str">
        <f>TEXT(表3[[#This Row],[ETD]],"mmdd ")&amp;表3[[#This Row],[项目]]</f>
        <v>0522 JS mobis</v>
      </c>
      <c r="B211" s="8" t="s">
        <v>2</v>
      </c>
      <c r="C211" s="9">
        <v>43607</v>
      </c>
      <c r="D211" s="10">
        <v>7</v>
      </c>
      <c r="E211" s="10">
        <v>1</v>
      </c>
      <c r="F211" s="11" t="s">
        <v>107</v>
      </c>
      <c r="G211" s="30">
        <v>43596</v>
      </c>
      <c r="H211" s="27" t="s">
        <v>249</v>
      </c>
      <c r="I211" s="12" t="s">
        <v>146</v>
      </c>
    </row>
    <row r="212" spans="1:9" hidden="1" x14ac:dyDescent="0.2">
      <c r="A212" s="25" t="str">
        <f>TEXT(表3[[#This Row],[ETD]],"mmdd ")&amp;表3[[#This Row],[项目]]</f>
        <v>0522 KMM</v>
      </c>
      <c r="B212" s="8" t="s">
        <v>237</v>
      </c>
      <c r="C212" s="9">
        <v>43607</v>
      </c>
      <c r="D212" s="10">
        <v>1</v>
      </c>
      <c r="E212" s="10">
        <v>1</v>
      </c>
      <c r="F212" s="11" t="s">
        <v>150</v>
      </c>
      <c r="G212" s="30">
        <v>43594</v>
      </c>
      <c r="H212" s="27" t="s">
        <v>247</v>
      </c>
      <c r="I212" s="12"/>
    </row>
    <row r="213" spans="1:9" hidden="1" x14ac:dyDescent="0.2">
      <c r="A213" s="25" t="str">
        <f>TEXT(表3[[#This Row],[ETD]],"mmdd ")&amp;表3[[#This Row],[项目]]</f>
        <v>0522 KMM</v>
      </c>
      <c r="B213" s="8" t="s">
        <v>180</v>
      </c>
      <c r="C213" s="9">
        <v>43607</v>
      </c>
      <c r="D213" s="10">
        <v>2</v>
      </c>
      <c r="E213" s="10">
        <v>1</v>
      </c>
      <c r="F213" s="11" t="s">
        <v>165</v>
      </c>
      <c r="G213" s="30">
        <v>43594</v>
      </c>
      <c r="H213" s="27" t="s">
        <v>247</v>
      </c>
      <c r="I213" s="12"/>
    </row>
    <row r="214" spans="1:9" hidden="1" x14ac:dyDescent="0.2">
      <c r="A214" s="25" t="str">
        <f>TEXT(表3[[#This Row],[ETD]],"mmdd ")&amp;表3[[#This Row],[项目]]</f>
        <v>0522 KMM</v>
      </c>
      <c r="B214" s="8" t="s">
        <v>238</v>
      </c>
      <c r="C214" s="9">
        <v>43607</v>
      </c>
      <c r="D214" s="10">
        <v>2</v>
      </c>
      <c r="E214" s="10">
        <v>2</v>
      </c>
      <c r="F214" s="11" t="s">
        <v>23</v>
      </c>
      <c r="G214" s="30">
        <v>43594</v>
      </c>
      <c r="H214" s="27" t="s">
        <v>247</v>
      </c>
      <c r="I214" s="12"/>
    </row>
    <row r="215" spans="1:9" hidden="1" x14ac:dyDescent="0.2">
      <c r="A215" s="25" t="str">
        <f>TEXT(表3[[#This Row],[ETD]],"mmdd ")&amp;表3[[#This Row],[项目]]</f>
        <v>0522 KMM</v>
      </c>
      <c r="B215" s="8" t="s">
        <v>238</v>
      </c>
      <c r="C215" s="9">
        <v>43607</v>
      </c>
      <c r="D215" s="10">
        <v>3</v>
      </c>
      <c r="E215" s="10">
        <v>1</v>
      </c>
      <c r="F215" s="11" t="s">
        <v>167</v>
      </c>
      <c r="G215" s="30">
        <v>43601</v>
      </c>
      <c r="H215" s="27" t="s">
        <v>250</v>
      </c>
      <c r="I215" s="12" t="s">
        <v>151</v>
      </c>
    </row>
    <row r="216" spans="1:9" hidden="1" x14ac:dyDescent="0.2">
      <c r="A216" s="25" t="str">
        <f>TEXT(表3[[#This Row],[ETD]],"mmdd ")&amp;表3[[#This Row],[项目]]</f>
        <v>0522 KMM</v>
      </c>
      <c r="B216" s="8" t="s">
        <v>237</v>
      </c>
      <c r="C216" s="9">
        <v>43607</v>
      </c>
      <c r="D216" s="10">
        <v>3</v>
      </c>
      <c r="E216" s="10">
        <v>2</v>
      </c>
      <c r="F216" s="11" t="s">
        <v>155</v>
      </c>
      <c r="G216" s="30">
        <v>43601</v>
      </c>
      <c r="H216" s="27" t="s">
        <v>250</v>
      </c>
      <c r="I216" s="12"/>
    </row>
    <row r="217" spans="1:9" hidden="1" x14ac:dyDescent="0.2">
      <c r="A217" s="25" t="str">
        <f>TEXT(表3[[#This Row],[ETD]],"mmdd ")&amp;表3[[#This Row],[项目]]</f>
        <v>0522 KMM</v>
      </c>
      <c r="B217" s="8" t="s">
        <v>237</v>
      </c>
      <c r="C217" s="9">
        <v>43607</v>
      </c>
      <c r="D217" s="10">
        <v>3</v>
      </c>
      <c r="E217" s="10">
        <v>3</v>
      </c>
      <c r="F217" s="11" t="s">
        <v>153</v>
      </c>
      <c r="G217" s="30">
        <v>43601</v>
      </c>
      <c r="H217" s="27" t="s">
        <v>250</v>
      </c>
      <c r="I217" s="12"/>
    </row>
    <row r="218" spans="1:9" hidden="1" x14ac:dyDescent="0.2">
      <c r="A218" s="25" t="str">
        <f>TEXT(表3[[#This Row],[ETD]],"mmdd ")&amp;表3[[#This Row],[项目]]</f>
        <v>0522 KMM</v>
      </c>
      <c r="B218" s="8" t="s">
        <v>237</v>
      </c>
      <c r="C218" s="9">
        <v>43607</v>
      </c>
      <c r="D218" s="10">
        <v>4</v>
      </c>
      <c r="E218" s="10">
        <v>1</v>
      </c>
      <c r="F218" s="11" t="s">
        <v>241</v>
      </c>
      <c r="G218" s="30">
        <v>43601</v>
      </c>
      <c r="H218" s="27" t="s">
        <v>250</v>
      </c>
      <c r="I218" s="12" t="s">
        <v>158</v>
      </c>
    </row>
    <row r="219" spans="1:9" hidden="1" x14ac:dyDescent="0.2">
      <c r="A219" s="25" t="str">
        <f>TEXT(表3[[#This Row],[ETD]],"mmdd ")&amp;表3[[#This Row],[项目]]</f>
        <v>0522 KMM</v>
      </c>
      <c r="B219" s="8" t="s">
        <v>238</v>
      </c>
      <c r="C219" s="9">
        <v>43607</v>
      </c>
      <c r="D219" s="10">
        <v>4</v>
      </c>
      <c r="E219" s="10">
        <v>3</v>
      </c>
      <c r="F219" s="11" t="s">
        <v>169</v>
      </c>
      <c r="G219" s="30">
        <v>43601</v>
      </c>
      <c r="H219" s="27" t="s">
        <v>250</v>
      </c>
      <c r="I219" s="12"/>
    </row>
    <row r="220" spans="1:9" hidden="1" x14ac:dyDescent="0.2">
      <c r="A220" s="25" t="str">
        <f>TEXT(表3[[#This Row],[ETD]],"mmdd ")&amp;表3[[#This Row],[项目]]</f>
        <v>0522 KMM</v>
      </c>
      <c r="B220" s="8" t="s">
        <v>238</v>
      </c>
      <c r="C220" s="9">
        <v>43607</v>
      </c>
      <c r="D220" s="10">
        <v>5</v>
      </c>
      <c r="E220" s="10">
        <v>1</v>
      </c>
      <c r="F220" s="11" t="s">
        <v>235</v>
      </c>
      <c r="G220" s="30">
        <v>43602</v>
      </c>
      <c r="H220" s="27" t="s">
        <v>254</v>
      </c>
      <c r="I220" s="12" t="s">
        <v>173</v>
      </c>
    </row>
    <row r="221" spans="1:9" hidden="1" x14ac:dyDescent="0.2">
      <c r="A221" s="25" t="str">
        <f>TEXT(表3[[#This Row],[ETD]],"mmdd ")&amp;表3[[#This Row],[项目]]</f>
        <v>0522 KMM</v>
      </c>
      <c r="B221" s="8" t="s">
        <v>238</v>
      </c>
      <c r="C221" s="9">
        <v>43607</v>
      </c>
      <c r="D221" s="10">
        <v>5</v>
      </c>
      <c r="E221" s="10">
        <v>2</v>
      </c>
      <c r="F221" s="11" t="s">
        <v>242</v>
      </c>
      <c r="G221" s="30">
        <v>43602</v>
      </c>
      <c r="H221" s="27" t="s">
        <v>250</v>
      </c>
      <c r="I221" s="12" t="s">
        <v>236</v>
      </c>
    </row>
    <row r="222" spans="1:9" hidden="1" x14ac:dyDescent="0.2">
      <c r="A222" s="25" t="str">
        <f>TEXT(表3[[#This Row],[ETD]],"mmdd ")&amp;表3[[#This Row],[项目]]</f>
        <v>0522 KMM</v>
      </c>
      <c r="B222" s="8" t="s">
        <v>238</v>
      </c>
      <c r="C222" s="9">
        <v>43607</v>
      </c>
      <c r="D222" s="10">
        <v>5</v>
      </c>
      <c r="E222" s="10">
        <v>3</v>
      </c>
      <c r="F222" s="11" t="s">
        <v>160</v>
      </c>
      <c r="G222" s="30">
        <v>43602</v>
      </c>
      <c r="H222" s="27" t="s">
        <v>250</v>
      </c>
      <c r="I222" s="12"/>
    </row>
    <row r="223" spans="1:9" hidden="1" x14ac:dyDescent="0.2">
      <c r="A223" s="25" t="str">
        <f>TEXT(表3[[#This Row],[ETD]],"mmdd ")&amp;表3[[#This Row],[项目]]</f>
        <v>0522 KMM</v>
      </c>
      <c r="B223" s="8" t="s">
        <v>238</v>
      </c>
      <c r="C223" s="9">
        <v>43607</v>
      </c>
      <c r="D223" s="10">
        <v>6</v>
      </c>
      <c r="E223" s="10">
        <v>1</v>
      </c>
      <c r="F223" s="11" t="s">
        <v>164</v>
      </c>
      <c r="G223" s="30">
        <v>43602</v>
      </c>
      <c r="H223" s="27" t="s">
        <v>250</v>
      </c>
      <c r="I223" s="12" t="s">
        <v>162</v>
      </c>
    </row>
    <row r="224" spans="1:9" hidden="1" x14ac:dyDescent="0.2">
      <c r="A224" s="25" t="str">
        <f>TEXT(表3[[#This Row],[ETD]],"mmdd ")&amp;表3[[#This Row],[项目]]</f>
        <v>0522 KMM</v>
      </c>
      <c r="B224" s="8" t="s">
        <v>238</v>
      </c>
      <c r="C224" s="9">
        <v>43607</v>
      </c>
      <c r="D224" s="10">
        <v>7</v>
      </c>
      <c r="E224" s="10">
        <v>1</v>
      </c>
      <c r="F224" s="11" t="s">
        <v>99</v>
      </c>
      <c r="G224" s="30">
        <v>43603</v>
      </c>
      <c r="H224" s="27" t="s">
        <v>250</v>
      </c>
      <c r="I224" s="12"/>
    </row>
    <row r="225" spans="1:9" hidden="1" x14ac:dyDescent="0.2">
      <c r="A225" s="25" t="str">
        <f>TEXT(表3[[#This Row],[ETD]],"mmdd ")&amp;表3[[#This Row],[项目]]</f>
        <v>0522 KMM</v>
      </c>
      <c r="B225" s="8" t="s">
        <v>237</v>
      </c>
      <c r="C225" s="9">
        <v>43607</v>
      </c>
      <c r="D225" s="10">
        <v>7</v>
      </c>
      <c r="E225" s="10">
        <v>2</v>
      </c>
      <c r="F225" s="11" t="s">
        <v>101</v>
      </c>
      <c r="G225" s="30">
        <v>43603</v>
      </c>
      <c r="H225" s="27" t="s">
        <v>250</v>
      </c>
      <c r="I225" s="12"/>
    </row>
    <row r="226" spans="1:9" hidden="1" x14ac:dyDescent="0.2">
      <c r="A226" s="25" t="str">
        <f>TEXT(表3[[#This Row],[ETD]],"mmdd ")&amp;表3[[#This Row],[项目]]</f>
        <v>0522 KMM</v>
      </c>
      <c r="B226" s="8" t="s">
        <v>238</v>
      </c>
      <c r="C226" s="9">
        <v>43607</v>
      </c>
      <c r="D226" s="10">
        <v>7</v>
      </c>
      <c r="E226" s="10">
        <v>3</v>
      </c>
      <c r="F226" s="11" t="s">
        <v>103</v>
      </c>
      <c r="G226" s="30">
        <v>43605</v>
      </c>
      <c r="H226" s="27" t="s">
        <v>251</v>
      </c>
      <c r="I226" s="12"/>
    </row>
    <row r="227" spans="1:9" hidden="1" x14ac:dyDescent="0.2">
      <c r="A227" s="25" t="str">
        <f>TEXT(表3[[#This Row],[ETD]],"mmdd ")&amp;表3[[#This Row],[项目]]</f>
        <v>0522 KMM</v>
      </c>
      <c r="B227" s="8" t="s">
        <v>238</v>
      </c>
      <c r="C227" s="9">
        <v>43607</v>
      </c>
      <c r="D227" s="10">
        <v>8</v>
      </c>
      <c r="E227" s="10">
        <v>1</v>
      </c>
      <c r="F227" s="11" t="s">
        <v>310</v>
      </c>
      <c r="G227" s="30">
        <v>43607</v>
      </c>
      <c r="H227" s="27" t="s">
        <v>250</v>
      </c>
      <c r="I227" s="12"/>
    </row>
    <row r="228" spans="1:9" hidden="1" x14ac:dyDescent="0.2">
      <c r="A228" s="8" t="str">
        <f>TEXT(表3[[#This Row],[ETD]],"mmdd ")&amp;表3[[#This Row],[项目]]</f>
        <v>0522 WX mobis</v>
      </c>
      <c r="B228" s="8" t="s">
        <v>184</v>
      </c>
      <c r="C228" s="9">
        <v>43607</v>
      </c>
      <c r="D228" s="10">
        <v>1</v>
      </c>
      <c r="E228" s="10">
        <v>1</v>
      </c>
      <c r="F228" s="11" t="s">
        <v>228</v>
      </c>
      <c r="G228" s="30">
        <v>43594</v>
      </c>
      <c r="H228" s="27" t="s">
        <v>247</v>
      </c>
      <c r="I228" s="12"/>
    </row>
    <row r="229" spans="1:9" hidden="1" x14ac:dyDescent="0.2">
      <c r="A229" s="25" t="str">
        <f>TEXT(表3[[#This Row],[ETD]],"mmdd ")&amp;表3[[#This Row],[项目]]</f>
        <v>0522 WX mobis</v>
      </c>
      <c r="B229" s="8" t="s">
        <v>184</v>
      </c>
      <c r="C229" s="9">
        <v>43607</v>
      </c>
      <c r="D229" s="10">
        <v>1</v>
      </c>
      <c r="E229" s="10">
        <v>1</v>
      </c>
      <c r="F229" s="11" t="s">
        <v>230</v>
      </c>
      <c r="G229" s="30">
        <v>43595</v>
      </c>
      <c r="H229" s="27" t="s">
        <v>253</v>
      </c>
      <c r="I229" s="12"/>
    </row>
    <row r="230" spans="1:9" hidden="1" x14ac:dyDescent="0.2">
      <c r="A230" s="26" t="str">
        <f>TEXT(表3[[#This Row],[ETD]],"mmdd ")&amp;表3[[#This Row],[项目]]</f>
        <v>0524 JS mobis</v>
      </c>
      <c r="B230" s="13" t="s">
        <v>2</v>
      </c>
      <c r="C230" s="14">
        <v>43609</v>
      </c>
      <c r="D230" s="20">
        <v>1</v>
      </c>
      <c r="E230" s="20">
        <v>1</v>
      </c>
      <c r="F230" s="15" t="s">
        <v>14</v>
      </c>
      <c r="G230" s="31">
        <v>43595</v>
      </c>
      <c r="H230" s="28" t="s">
        <v>270</v>
      </c>
      <c r="I230" s="16" t="s">
        <v>33</v>
      </c>
    </row>
    <row r="231" spans="1:9" hidden="1" x14ac:dyDescent="0.2">
      <c r="A231" s="25" t="str">
        <f>TEXT(表3[[#This Row],[ETD]],"mmdd ")&amp;表3[[#This Row],[项目]]</f>
        <v>0524 JS mobis</v>
      </c>
      <c r="B231" s="8" t="s">
        <v>2</v>
      </c>
      <c r="C231" s="9">
        <v>43609</v>
      </c>
      <c r="D231" s="10">
        <v>1</v>
      </c>
      <c r="E231" s="10">
        <v>2</v>
      </c>
      <c r="F231" s="11" t="s">
        <v>267</v>
      </c>
      <c r="G231" s="30">
        <v>43595</v>
      </c>
      <c r="H231" s="27" t="s">
        <v>269</v>
      </c>
      <c r="I231" s="12"/>
    </row>
    <row r="232" spans="1:9" x14ac:dyDescent="0.2">
      <c r="A232" s="25" t="str">
        <f>TEXT(表3[[#This Row],[ETD]],"mmdd ")&amp;表3[[#This Row],[项目]]</f>
        <v>0524 JS mobis</v>
      </c>
      <c r="B232" s="8" t="s">
        <v>2</v>
      </c>
      <c r="C232" s="9">
        <v>43609</v>
      </c>
      <c r="D232" s="10">
        <v>2</v>
      </c>
      <c r="E232" s="10">
        <v>1</v>
      </c>
      <c r="F232" s="11" t="s">
        <v>68</v>
      </c>
      <c r="G232" s="30">
        <v>43596</v>
      </c>
      <c r="H232" s="27" t="s">
        <v>249</v>
      </c>
      <c r="I232" s="12" t="s">
        <v>35</v>
      </c>
    </row>
    <row r="233" spans="1:9" x14ac:dyDescent="0.2">
      <c r="A233" s="25" t="str">
        <f>TEXT(表3[[#This Row],[ETD]],"mmdd ")&amp;表3[[#This Row],[项目]]</f>
        <v>0524 JS mobis</v>
      </c>
      <c r="B233" s="8" t="s">
        <v>2</v>
      </c>
      <c r="C233" s="9">
        <v>43609</v>
      </c>
      <c r="D233" s="10">
        <v>2</v>
      </c>
      <c r="E233" s="10">
        <v>2</v>
      </c>
      <c r="F233" s="11" t="s">
        <v>70</v>
      </c>
      <c r="G233" s="30">
        <v>43596</v>
      </c>
      <c r="H233" s="27" t="s">
        <v>249</v>
      </c>
      <c r="I233" s="12"/>
    </row>
    <row r="234" spans="1:9" x14ac:dyDescent="0.2">
      <c r="A234" s="25" t="str">
        <f>TEXT(表3[[#This Row],[ETD]],"mmdd ")&amp;表3[[#This Row],[项目]]</f>
        <v>0524 JS mobis</v>
      </c>
      <c r="B234" s="8" t="s">
        <v>2</v>
      </c>
      <c r="C234" s="9">
        <v>43609</v>
      </c>
      <c r="D234" s="10">
        <v>2</v>
      </c>
      <c r="E234" s="10">
        <v>3</v>
      </c>
      <c r="F234" s="11" t="s">
        <v>72</v>
      </c>
      <c r="G234" s="30">
        <v>43596</v>
      </c>
      <c r="H234" s="27" t="s">
        <v>249</v>
      </c>
      <c r="I234" s="12" t="s">
        <v>48</v>
      </c>
    </row>
    <row r="235" spans="1:9" x14ac:dyDescent="0.2">
      <c r="A235" s="25" t="str">
        <f>TEXT(表3[[#This Row],[ETD]],"mmdd ")&amp;表3[[#This Row],[项目]]</f>
        <v>0524 JS mobis</v>
      </c>
      <c r="B235" s="8" t="s">
        <v>2</v>
      </c>
      <c r="C235" s="9">
        <v>43609</v>
      </c>
      <c r="D235" s="10">
        <v>2</v>
      </c>
      <c r="E235" s="10">
        <v>4</v>
      </c>
      <c r="F235" s="11" t="s">
        <v>21</v>
      </c>
      <c r="G235" s="30">
        <v>43596</v>
      </c>
      <c r="H235" s="27" t="s">
        <v>249</v>
      </c>
      <c r="I235" s="12"/>
    </row>
    <row r="236" spans="1:9" x14ac:dyDescent="0.2">
      <c r="A236" s="25" t="str">
        <f>TEXT(表3[[#This Row],[ETD]],"mmdd ")&amp;表3[[#This Row],[项目]]</f>
        <v>0524 JS mobis</v>
      </c>
      <c r="B236" s="8" t="s">
        <v>2</v>
      </c>
      <c r="C236" s="9">
        <v>43609</v>
      </c>
      <c r="D236" s="10">
        <v>2</v>
      </c>
      <c r="E236" s="10">
        <v>5</v>
      </c>
      <c r="F236" s="11" t="s">
        <v>23</v>
      </c>
      <c r="G236" s="30">
        <v>43596</v>
      </c>
      <c r="H236" s="27" t="s">
        <v>249</v>
      </c>
      <c r="I236" s="12"/>
    </row>
    <row r="237" spans="1:9" x14ac:dyDescent="0.2">
      <c r="A237" s="25" t="str">
        <f>TEXT(表3[[#This Row],[ETD]],"mmdd ")&amp;表3[[#This Row],[项目]]</f>
        <v>0524 JS mobis</v>
      </c>
      <c r="B237" s="8" t="s">
        <v>2</v>
      </c>
      <c r="C237" s="9">
        <v>43609</v>
      </c>
      <c r="D237" s="10">
        <v>2</v>
      </c>
      <c r="E237" s="10">
        <v>6</v>
      </c>
      <c r="F237" s="11" t="s">
        <v>7</v>
      </c>
      <c r="G237" s="30">
        <v>43596</v>
      </c>
      <c r="H237" s="27" t="s">
        <v>249</v>
      </c>
      <c r="I237" s="12"/>
    </row>
    <row r="238" spans="1:9" x14ac:dyDescent="0.2">
      <c r="A238" s="25" t="str">
        <f>TEXT(表3[[#This Row],[ETD]],"mmdd ")&amp;表3[[#This Row],[项目]]</f>
        <v>0524 JS mobis</v>
      </c>
      <c r="B238" s="8" t="s">
        <v>2</v>
      </c>
      <c r="C238" s="9">
        <v>43609</v>
      </c>
      <c r="D238" s="10">
        <v>2</v>
      </c>
      <c r="E238" s="10">
        <v>7</v>
      </c>
      <c r="F238" s="11" t="s">
        <v>9</v>
      </c>
      <c r="G238" s="30">
        <v>43596</v>
      </c>
      <c r="H238" s="27" t="s">
        <v>249</v>
      </c>
      <c r="I238" s="12"/>
    </row>
    <row r="239" spans="1:9" x14ac:dyDescent="0.2">
      <c r="A239" s="25" t="str">
        <f>TEXT(表3[[#This Row],[ETD]],"mmdd ")&amp;表3[[#This Row],[项目]]</f>
        <v>0524 JS mobis</v>
      </c>
      <c r="B239" s="8" t="s">
        <v>2</v>
      </c>
      <c r="C239" s="9">
        <v>43609</v>
      </c>
      <c r="D239" s="10">
        <v>2</v>
      </c>
      <c r="E239" s="10">
        <v>8</v>
      </c>
      <c r="F239" s="11" t="s">
        <v>13</v>
      </c>
      <c r="G239" s="30">
        <v>43596</v>
      </c>
      <c r="H239" s="27" t="s">
        <v>249</v>
      </c>
      <c r="I239" s="12" t="s">
        <v>37</v>
      </c>
    </row>
    <row r="240" spans="1:9" x14ac:dyDescent="0.2">
      <c r="A240" s="25" t="str">
        <f>TEXT(表3[[#This Row],[ETD]],"mmdd ")&amp;表3[[#This Row],[项目]]</f>
        <v>0524 JS mobis</v>
      </c>
      <c r="B240" s="8" t="s">
        <v>2</v>
      </c>
      <c r="C240" s="9">
        <v>43609</v>
      </c>
      <c r="D240" s="10">
        <v>2</v>
      </c>
      <c r="E240" s="10">
        <v>9</v>
      </c>
      <c r="F240" s="11" t="s">
        <v>66</v>
      </c>
      <c r="G240" s="30">
        <v>43596</v>
      </c>
      <c r="H240" s="27" t="s">
        <v>249</v>
      </c>
      <c r="I240" s="12"/>
    </row>
    <row r="241" spans="1:9" x14ac:dyDescent="0.2">
      <c r="A241" s="25" t="str">
        <f>TEXT(表3[[#This Row],[ETD]],"mmdd ")&amp;表3[[#This Row],[项目]]</f>
        <v>0524 JS mobis</v>
      </c>
      <c r="B241" s="8" t="s">
        <v>2</v>
      </c>
      <c r="C241" s="9">
        <v>43609</v>
      </c>
      <c r="D241" s="10">
        <v>2</v>
      </c>
      <c r="E241" s="10">
        <v>10</v>
      </c>
      <c r="F241" s="11" t="s">
        <v>267</v>
      </c>
      <c r="G241" s="30">
        <v>43596</v>
      </c>
      <c r="H241" s="27" t="s">
        <v>249</v>
      </c>
      <c r="I241" s="12"/>
    </row>
    <row r="242" spans="1:9" x14ac:dyDescent="0.2">
      <c r="A242" s="25" t="str">
        <f>TEXT(表3[[#This Row],[ETD]],"mmdd ")&amp;表3[[#This Row],[项目]]</f>
        <v>0524 JS mobis</v>
      </c>
      <c r="B242" s="8" t="s">
        <v>2</v>
      </c>
      <c r="C242" s="9">
        <v>43609</v>
      </c>
      <c r="D242" s="10">
        <v>3</v>
      </c>
      <c r="E242" s="10">
        <v>1</v>
      </c>
      <c r="F242" s="11" t="s">
        <v>31</v>
      </c>
      <c r="G242" s="30">
        <v>43596</v>
      </c>
      <c r="H242" s="27" t="s">
        <v>249</v>
      </c>
      <c r="I242" s="12" t="s">
        <v>39</v>
      </c>
    </row>
    <row r="243" spans="1:9" x14ac:dyDescent="0.2">
      <c r="A243" s="25" t="str">
        <f>TEXT(表3[[#This Row],[ETD]],"mmdd ")&amp;表3[[#This Row],[项目]]</f>
        <v>0524 JS mobis</v>
      </c>
      <c r="B243" s="8" t="s">
        <v>2</v>
      </c>
      <c r="C243" s="9">
        <v>43609</v>
      </c>
      <c r="D243" s="10">
        <v>3</v>
      </c>
      <c r="E243" s="10">
        <v>2</v>
      </c>
      <c r="F243" s="11" t="s">
        <v>44</v>
      </c>
      <c r="G243" s="30">
        <v>43596</v>
      </c>
      <c r="H243" s="27" t="s">
        <v>249</v>
      </c>
      <c r="I243" s="12"/>
    </row>
    <row r="244" spans="1:9" x14ac:dyDescent="0.2">
      <c r="A244" s="25" t="str">
        <f>TEXT(表3[[#This Row],[ETD]],"mmdd ")&amp;表3[[#This Row],[项目]]</f>
        <v>0524 JS mobis</v>
      </c>
      <c r="B244" s="8" t="s">
        <v>2</v>
      </c>
      <c r="C244" s="9">
        <v>43609</v>
      </c>
      <c r="D244" s="10">
        <v>3</v>
      </c>
      <c r="E244" s="10">
        <v>3</v>
      </c>
      <c r="F244" s="11" t="s">
        <v>25</v>
      </c>
      <c r="G244" s="30">
        <v>43596</v>
      </c>
      <c r="H244" s="27" t="s">
        <v>249</v>
      </c>
      <c r="I244" s="12"/>
    </row>
    <row r="245" spans="1:9" x14ac:dyDescent="0.2">
      <c r="A245" s="25" t="str">
        <f>TEXT(表3[[#This Row],[ETD]],"mmdd ")&amp;表3[[#This Row],[项目]]</f>
        <v>0524 JS mobis</v>
      </c>
      <c r="B245" s="8" t="s">
        <v>2</v>
      </c>
      <c r="C245" s="9">
        <v>43609</v>
      </c>
      <c r="D245" s="10">
        <v>3</v>
      </c>
      <c r="E245" s="10">
        <v>4</v>
      </c>
      <c r="F245" s="11" t="s">
        <v>27</v>
      </c>
      <c r="G245" s="30">
        <v>43596</v>
      </c>
      <c r="H245" s="27" t="s">
        <v>249</v>
      </c>
      <c r="I245" s="12"/>
    </row>
    <row r="246" spans="1:9" x14ac:dyDescent="0.2">
      <c r="A246" s="25" t="str">
        <f>TEXT(表3[[#This Row],[ETD]],"mmdd ")&amp;表3[[#This Row],[项目]]</f>
        <v>0524 JS mobis</v>
      </c>
      <c r="B246" s="8" t="s">
        <v>2</v>
      </c>
      <c r="C246" s="9">
        <v>43609</v>
      </c>
      <c r="D246" s="10">
        <v>3</v>
      </c>
      <c r="E246" s="10">
        <v>5</v>
      </c>
      <c r="F246" s="11" t="s">
        <v>15</v>
      </c>
      <c r="G246" s="30">
        <v>43596</v>
      </c>
      <c r="H246" s="27" t="s">
        <v>249</v>
      </c>
      <c r="I246" s="12"/>
    </row>
    <row r="247" spans="1:9" x14ac:dyDescent="0.2">
      <c r="A247" s="25" t="str">
        <f>TEXT(表3[[#This Row],[ETD]],"mmdd ")&amp;表3[[#This Row],[项目]]</f>
        <v>0524 JS mobis</v>
      </c>
      <c r="B247" s="8" t="s">
        <v>2</v>
      </c>
      <c r="C247" s="9">
        <v>43609</v>
      </c>
      <c r="D247" s="10">
        <v>3</v>
      </c>
      <c r="E247" s="10">
        <v>6</v>
      </c>
      <c r="F247" s="11" t="s">
        <v>17</v>
      </c>
      <c r="G247" s="30">
        <v>43596</v>
      </c>
      <c r="H247" s="27" t="s">
        <v>249</v>
      </c>
      <c r="I247" s="12"/>
    </row>
    <row r="248" spans="1:9" x14ac:dyDescent="0.2">
      <c r="A248" s="25" t="str">
        <f>TEXT(表3[[#This Row],[ETD]],"mmdd ")&amp;表3[[#This Row],[项目]]</f>
        <v>0524 JS mobis</v>
      </c>
      <c r="B248" s="8" t="s">
        <v>2</v>
      </c>
      <c r="C248" s="9">
        <v>43609</v>
      </c>
      <c r="D248" s="10">
        <v>3</v>
      </c>
      <c r="E248" s="10">
        <v>7</v>
      </c>
      <c r="F248" s="11" t="s">
        <v>19</v>
      </c>
      <c r="G248" s="30">
        <v>43596</v>
      </c>
      <c r="H248" s="27" t="s">
        <v>249</v>
      </c>
      <c r="I248" s="12"/>
    </row>
    <row r="249" spans="1:9" x14ac:dyDescent="0.2">
      <c r="A249" s="25" t="str">
        <f>TEXT(表3[[#This Row],[ETD]],"mmdd ")&amp;表3[[#This Row],[项目]]</f>
        <v>0524 JS mobis</v>
      </c>
      <c r="B249" s="8" t="s">
        <v>2</v>
      </c>
      <c r="C249" s="9">
        <v>43609</v>
      </c>
      <c r="D249" s="10">
        <v>3</v>
      </c>
      <c r="E249" s="10">
        <v>8</v>
      </c>
      <c r="F249" s="11" t="s">
        <v>64</v>
      </c>
      <c r="G249" s="30">
        <v>43596</v>
      </c>
      <c r="H249" s="27" t="s">
        <v>249</v>
      </c>
      <c r="I249" s="12"/>
    </row>
    <row r="250" spans="1:9" x14ac:dyDescent="0.2">
      <c r="A250" s="25" t="str">
        <f>TEXT(表3[[#This Row],[ETD]],"mmdd ")&amp;表3[[#This Row],[项目]]</f>
        <v>0524 JS mobis</v>
      </c>
      <c r="B250" s="8" t="s">
        <v>2</v>
      </c>
      <c r="C250" s="9">
        <v>43609</v>
      </c>
      <c r="D250" s="10">
        <v>4</v>
      </c>
      <c r="E250" s="10">
        <v>1</v>
      </c>
      <c r="F250" s="11" t="s">
        <v>29</v>
      </c>
      <c r="G250" s="30">
        <v>43596</v>
      </c>
      <c r="H250" s="27" t="s">
        <v>249</v>
      </c>
      <c r="I250" s="12" t="s">
        <v>41</v>
      </c>
    </row>
    <row r="251" spans="1:9" x14ac:dyDescent="0.2">
      <c r="A251" s="25" t="str">
        <f>TEXT(表3[[#This Row],[ETD]],"mmdd ")&amp;表3[[#This Row],[项目]]</f>
        <v>0524 JS mobis</v>
      </c>
      <c r="B251" s="8" t="s">
        <v>2</v>
      </c>
      <c r="C251" s="9">
        <v>43609</v>
      </c>
      <c r="D251" s="10">
        <v>4</v>
      </c>
      <c r="E251" s="10">
        <v>2</v>
      </c>
      <c r="F251" s="11" t="s">
        <v>43</v>
      </c>
      <c r="G251" s="30">
        <v>43596</v>
      </c>
      <c r="H251" s="27" t="s">
        <v>249</v>
      </c>
      <c r="I251" s="12"/>
    </row>
    <row r="252" spans="1:9" x14ac:dyDescent="0.2">
      <c r="A252" s="25" t="str">
        <f>TEXT(表3[[#This Row],[ETD]],"mmdd ")&amp;表3[[#This Row],[项目]]</f>
        <v>0524 JS mobis</v>
      </c>
      <c r="B252" s="8" t="s">
        <v>2</v>
      </c>
      <c r="C252" s="9">
        <v>43609</v>
      </c>
      <c r="D252" s="10">
        <v>4</v>
      </c>
      <c r="E252" s="10">
        <v>3</v>
      </c>
      <c r="F252" s="11" t="s">
        <v>46</v>
      </c>
      <c r="G252" s="30">
        <v>43596</v>
      </c>
      <c r="H252" s="27" t="s">
        <v>249</v>
      </c>
      <c r="I252" s="12"/>
    </row>
    <row r="253" spans="1:9" x14ac:dyDescent="0.2">
      <c r="A253" s="25" t="str">
        <f>TEXT(表3[[#This Row],[ETD]],"mmdd ")&amp;表3[[#This Row],[项目]]</f>
        <v>0524 JS mobis</v>
      </c>
      <c r="B253" s="8" t="s">
        <v>2</v>
      </c>
      <c r="C253" s="9">
        <v>43609</v>
      </c>
      <c r="D253" s="10">
        <v>4</v>
      </c>
      <c r="E253" s="10">
        <v>4</v>
      </c>
      <c r="F253" s="11" t="s">
        <v>50</v>
      </c>
      <c r="G253" s="30">
        <v>43596</v>
      </c>
      <c r="H253" s="27" t="s">
        <v>249</v>
      </c>
      <c r="I253" s="12"/>
    </row>
    <row r="254" spans="1:9" x14ac:dyDescent="0.2">
      <c r="A254" s="25" t="str">
        <f>TEXT(表3[[#This Row],[ETD]],"mmdd ")&amp;表3[[#This Row],[项目]]</f>
        <v>0524 JS mobis</v>
      </c>
      <c r="B254" s="8" t="s">
        <v>2</v>
      </c>
      <c r="C254" s="9">
        <v>43609</v>
      </c>
      <c r="D254" s="10">
        <v>4</v>
      </c>
      <c r="E254" s="10">
        <v>5</v>
      </c>
      <c r="F254" s="11" t="s">
        <v>47</v>
      </c>
      <c r="G254" s="30">
        <v>43596</v>
      </c>
      <c r="H254" s="27" t="s">
        <v>249</v>
      </c>
      <c r="I254" s="12" t="s">
        <v>48</v>
      </c>
    </row>
    <row r="255" spans="1:9" x14ac:dyDescent="0.2">
      <c r="A255" s="25" t="str">
        <f>TEXT(表3[[#This Row],[ETD]],"mmdd ")&amp;表3[[#This Row],[项目]]</f>
        <v>0524 JS mobis</v>
      </c>
      <c r="B255" s="8" t="s">
        <v>2</v>
      </c>
      <c r="C255" s="9">
        <v>43609</v>
      </c>
      <c r="D255" s="10">
        <v>4</v>
      </c>
      <c r="E255" s="10">
        <v>6</v>
      </c>
      <c r="F255" s="11" t="s">
        <v>268</v>
      </c>
      <c r="G255" s="30">
        <v>43596</v>
      </c>
      <c r="H255" s="27" t="s">
        <v>249</v>
      </c>
      <c r="I255" s="12" t="s">
        <v>236</v>
      </c>
    </row>
    <row r="256" spans="1:9" x14ac:dyDescent="0.2">
      <c r="A256" s="25" t="str">
        <f>TEXT(表3[[#This Row],[ETD]],"mmdd ")&amp;表3[[#This Row],[项目]]</f>
        <v>0524 JS mobis</v>
      </c>
      <c r="B256" s="8" t="s">
        <v>2</v>
      </c>
      <c r="C256" s="9">
        <v>43609</v>
      </c>
      <c r="D256" s="10">
        <v>4</v>
      </c>
      <c r="E256" s="10">
        <v>7</v>
      </c>
      <c r="F256" s="11" t="s">
        <v>93</v>
      </c>
      <c r="G256" s="30">
        <v>43596</v>
      </c>
      <c r="H256" s="27" t="s">
        <v>249</v>
      </c>
      <c r="I256" s="12"/>
    </row>
    <row r="257" spans="1:9" x14ac:dyDescent="0.2">
      <c r="A257" s="25" t="str">
        <f>TEXT(表3[[#This Row],[ETD]],"mmdd ")&amp;表3[[#This Row],[项目]]</f>
        <v>0524 JS mobis</v>
      </c>
      <c r="B257" s="8" t="s">
        <v>2</v>
      </c>
      <c r="C257" s="9">
        <v>43609</v>
      </c>
      <c r="D257" s="10">
        <v>4</v>
      </c>
      <c r="E257" s="10">
        <v>8</v>
      </c>
      <c r="F257" s="11" t="s">
        <v>74</v>
      </c>
      <c r="G257" s="30">
        <v>43596</v>
      </c>
      <c r="H257" s="27" t="s">
        <v>249</v>
      </c>
      <c r="I257" s="12"/>
    </row>
    <row r="258" spans="1:9" x14ac:dyDescent="0.2">
      <c r="A258" s="25" t="str">
        <f>TEXT(表3[[#This Row],[ETD]],"mmdd ")&amp;表3[[#This Row],[项目]]</f>
        <v>0524 JS mobis</v>
      </c>
      <c r="B258" s="8" t="s">
        <v>2</v>
      </c>
      <c r="C258" s="9">
        <v>43609</v>
      </c>
      <c r="D258" s="10">
        <v>4</v>
      </c>
      <c r="E258" s="10">
        <v>9</v>
      </c>
      <c r="F258" s="11" t="s">
        <v>89</v>
      </c>
      <c r="G258" s="30">
        <v>43596</v>
      </c>
      <c r="H258" s="27" t="s">
        <v>249</v>
      </c>
      <c r="I258" s="12"/>
    </row>
    <row r="259" spans="1:9" x14ac:dyDescent="0.2">
      <c r="A259" s="25" t="str">
        <f>TEXT(表3[[#This Row],[ETD]],"mmdd ")&amp;表3[[#This Row],[项目]]</f>
        <v>0524 JS mobis</v>
      </c>
      <c r="B259" s="8" t="s">
        <v>2</v>
      </c>
      <c r="C259" s="9">
        <v>43609</v>
      </c>
      <c r="D259" s="10">
        <v>4</v>
      </c>
      <c r="E259" s="10">
        <v>10</v>
      </c>
      <c r="F259" s="11" t="s">
        <v>91</v>
      </c>
      <c r="G259" s="30">
        <v>43596</v>
      </c>
      <c r="H259" s="27" t="s">
        <v>249</v>
      </c>
      <c r="I259" s="12"/>
    </row>
    <row r="260" spans="1:9" x14ac:dyDescent="0.2">
      <c r="A260" s="25" t="str">
        <f>TEXT(表3[[#This Row],[ETD]],"mmdd ")&amp;表3[[#This Row],[项目]]</f>
        <v>0524 JS mobis</v>
      </c>
      <c r="B260" s="8" t="s">
        <v>2</v>
      </c>
      <c r="C260" s="9">
        <v>43609</v>
      </c>
      <c r="D260" s="10">
        <v>4</v>
      </c>
      <c r="E260" s="10">
        <v>11</v>
      </c>
      <c r="F260" s="11" t="s">
        <v>267</v>
      </c>
      <c r="G260" s="30">
        <v>43596</v>
      </c>
      <c r="H260" s="27" t="s">
        <v>249</v>
      </c>
      <c r="I260" s="12"/>
    </row>
    <row r="261" spans="1:9" x14ac:dyDescent="0.2">
      <c r="A261" s="25" t="str">
        <f>TEXT(表3[[#This Row],[ETD]],"mmdd ")&amp;表3[[#This Row],[项目]]</f>
        <v>0524 JS mobis</v>
      </c>
      <c r="B261" s="8" t="s">
        <v>2</v>
      </c>
      <c r="C261" s="9">
        <v>43609</v>
      </c>
      <c r="D261" s="10">
        <v>4</v>
      </c>
      <c r="E261" s="10">
        <v>11</v>
      </c>
      <c r="F261" s="11" t="s">
        <v>55</v>
      </c>
      <c r="G261" s="30">
        <v>43596</v>
      </c>
      <c r="H261" s="27" t="s">
        <v>249</v>
      </c>
      <c r="I261" s="12" t="s">
        <v>48</v>
      </c>
    </row>
    <row r="262" spans="1:9" x14ac:dyDescent="0.2">
      <c r="A262" s="25" t="str">
        <f>TEXT(表3[[#This Row],[ETD]],"mmdd ")&amp;表3[[#This Row],[项目]]</f>
        <v>0524 JS mobis</v>
      </c>
      <c r="B262" s="8" t="s">
        <v>2</v>
      </c>
      <c r="C262" s="9">
        <v>43609</v>
      </c>
      <c r="D262" s="10">
        <v>4</v>
      </c>
      <c r="E262" s="10">
        <v>12</v>
      </c>
      <c r="F262" s="11" t="s">
        <v>62</v>
      </c>
      <c r="G262" s="30">
        <v>43596</v>
      </c>
      <c r="H262" s="27" t="s">
        <v>249</v>
      </c>
      <c r="I262" s="12"/>
    </row>
    <row r="263" spans="1:9" x14ac:dyDescent="0.2">
      <c r="A263" s="25" t="str">
        <f>TEXT(表3[[#This Row],[ETD]],"mmdd ")&amp;表3[[#This Row],[项目]]</f>
        <v>0524 JS mobis</v>
      </c>
      <c r="B263" s="8" t="s">
        <v>2</v>
      </c>
      <c r="C263" s="9">
        <v>43609</v>
      </c>
      <c r="D263" s="10">
        <v>4</v>
      </c>
      <c r="E263" s="10">
        <v>13</v>
      </c>
      <c r="F263" s="11" t="s">
        <v>81</v>
      </c>
      <c r="G263" s="30">
        <v>43596</v>
      </c>
      <c r="H263" s="27" t="s">
        <v>249</v>
      </c>
      <c r="I263" s="12" t="s">
        <v>78</v>
      </c>
    </row>
    <row r="264" spans="1:9" x14ac:dyDescent="0.2">
      <c r="A264" s="25" t="str">
        <f>TEXT(表3[[#This Row],[ETD]],"mmdd ")&amp;表3[[#This Row],[项目]]</f>
        <v>0524 JS mobis</v>
      </c>
      <c r="B264" s="8" t="s">
        <v>2</v>
      </c>
      <c r="C264" s="9">
        <v>43609</v>
      </c>
      <c r="D264" s="10">
        <v>4</v>
      </c>
      <c r="E264" s="10">
        <v>14</v>
      </c>
      <c r="F264" s="11" t="s">
        <v>76</v>
      </c>
      <c r="G264" s="30">
        <v>43596</v>
      </c>
      <c r="H264" s="27" t="s">
        <v>249</v>
      </c>
      <c r="I264" s="12"/>
    </row>
    <row r="265" spans="1:9" x14ac:dyDescent="0.2">
      <c r="A265" s="25" t="str">
        <f>TEXT(表3[[#This Row],[ETD]],"mmdd ")&amp;表3[[#This Row],[项目]]</f>
        <v>0524 JS mobis</v>
      </c>
      <c r="B265" s="8" t="s">
        <v>2</v>
      </c>
      <c r="C265" s="9">
        <v>43609</v>
      </c>
      <c r="D265" s="10">
        <v>4</v>
      </c>
      <c r="E265" s="10">
        <v>15</v>
      </c>
      <c r="F265" s="11" t="s">
        <v>51</v>
      </c>
      <c r="G265" s="30">
        <v>43596</v>
      </c>
      <c r="H265" s="27" t="s">
        <v>249</v>
      </c>
      <c r="I265" s="12" t="s">
        <v>37</v>
      </c>
    </row>
    <row r="266" spans="1:9" x14ac:dyDescent="0.2">
      <c r="A266" s="25" t="str">
        <f>TEXT(表3[[#This Row],[ETD]],"mmdd ")&amp;表3[[#This Row],[项目]]</f>
        <v>0524 JS mobis</v>
      </c>
      <c r="B266" s="8" t="s">
        <v>2</v>
      </c>
      <c r="C266" s="9">
        <v>43609</v>
      </c>
      <c r="D266" s="10">
        <v>4</v>
      </c>
      <c r="E266" s="10">
        <v>16</v>
      </c>
      <c r="F266" s="11" t="s">
        <v>52</v>
      </c>
      <c r="G266" s="30">
        <v>43596</v>
      </c>
      <c r="H266" s="27" t="s">
        <v>249</v>
      </c>
      <c r="I266" s="12" t="s">
        <v>48</v>
      </c>
    </row>
    <row r="267" spans="1:9" x14ac:dyDescent="0.2">
      <c r="A267" s="25" t="str">
        <f>TEXT(表3[[#This Row],[ETD]],"mmdd ")&amp;表3[[#This Row],[项目]]</f>
        <v>0524 JS mobis</v>
      </c>
      <c r="B267" s="8" t="s">
        <v>2</v>
      </c>
      <c r="C267" s="9">
        <v>43609</v>
      </c>
      <c r="D267" s="10">
        <v>4</v>
      </c>
      <c r="E267" s="10">
        <v>17</v>
      </c>
      <c r="F267" s="11" t="s">
        <v>198</v>
      </c>
      <c r="G267" s="30">
        <v>43596</v>
      </c>
      <c r="H267" s="27" t="s">
        <v>249</v>
      </c>
      <c r="I267" s="12"/>
    </row>
    <row r="268" spans="1:9" x14ac:dyDescent="0.2">
      <c r="A268" s="25" t="str">
        <f>TEXT(表3[[#This Row],[ETD]],"mmdd ")&amp;表3[[#This Row],[项目]]</f>
        <v>0524 JS mobis</v>
      </c>
      <c r="B268" s="8" t="s">
        <v>2</v>
      </c>
      <c r="C268" s="9">
        <v>43609</v>
      </c>
      <c r="D268" s="10">
        <v>4</v>
      </c>
      <c r="E268" s="10">
        <v>18</v>
      </c>
      <c r="F268" s="11" t="s">
        <v>83</v>
      </c>
      <c r="G268" s="30">
        <v>43596</v>
      </c>
      <c r="H268" s="27" t="s">
        <v>249</v>
      </c>
      <c r="I268" s="12" t="s">
        <v>85</v>
      </c>
    </row>
    <row r="269" spans="1:9" x14ac:dyDescent="0.2">
      <c r="A269" s="25" t="str">
        <f>TEXT(表3[[#This Row],[ETD]],"mmdd ")&amp;表3[[#This Row],[项目]]</f>
        <v>0524 JS mobis</v>
      </c>
      <c r="B269" s="8" t="s">
        <v>2</v>
      </c>
      <c r="C269" s="9">
        <v>43609</v>
      </c>
      <c r="D269" s="10">
        <v>4</v>
      </c>
      <c r="E269" s="10">
        <v>19</v>
      </c>
      <c r="F269" s="11" t="s">
        <v>87</v>
      </c>
      <c r="G269" s="30">
        <v>43596</v>
      </c>
      <c r="H269" s="27" t="s">
        <v>249</v>
      </c>
      <c r="I269" s="12"/>
    </row>
    <row r="270" spans="1:9" x14ac:dyDescent="0.2">
      <c r="A270" s="25" t="str">
        <f>TEXT(表3[[#This Row],[ETD]],"mmdd ")&amp;表3[[#This Row],[项目]]</f>
        <v>0524 JS mobis</v>
      </c>
      <c r="B270" s="8" t="s">
        <v>2</v>
      </c>
      <c r="C270" s="9">
        <v>43609</v>
      </c>
      <c r="D270" s="10">
        <v>5</v>
      </c>
      <c r="E270" s="10">
        <v>1</v>
      </c>
      <c r="F270" s="11" t="s">
        <v>95</v>
      </c>
      <c r="G270" s="30">
        <v>43596</v>
      </c>
      <c r="H270" s="27" t="s">
        <v>249</v>
      </c>
      <c r="I270" s="12"/>
    </row>
    <row r="271" spans="1:9" x14ac:dyDescent="0.2">
      <c r="A271" s="25" t="str">
        <f>TEXT(表3[[#This Row],[ETD]],"mmdd ")&amp;表3[[#This Row],[项目]]</f>
        <v>0524 JS mobis</v>
      </c>
      <c r="B271" s="8" t="s">
        <v>2</v>
      </c>
      <c r="C271" s="9">
        <v>43609</v>
      </c>
      <c r="D271" s="10">
        <v>5</v>
      </c>
      <c r="E271" s="10">
        <v>2</v>
      </c>
      <c r="F271" s="11" t="s">
        <v>97</v>
      </c>
      <c r="G271" s="30">
        <v>43596</v>
      </c>
      <c r="H271" s="27" t="s">
        <v>249</v>
      </c>
      <c r="I271" s="12"/>
    </row>
    <row r="272" spans="1:9" x14ac:dyDescent="0.2">
      <c r="A272" s="25" t="str">
        <f>TEXT(表3[[#This Row],[ETD]],"mmdd ")&amp;表3[[#This Row],[项目]]</f>
        <v>0524 JS mobis</v>
      </c>
      <c r="B272" s="8" t="s">
        <v>2</v>
      </c>
      <c r="C272" s="9">
        <v>43609</v>
      </c>
      <c r="D272" s="10">
        <v>5</v>
      </c>
      <c r="E272" s="10">
        <v>3</v>
      </c>
      <c r="F272" s="11" t="s">
        <v>99</v>
      </c>
      <c r="G272" s="30">
        <v>43596</v>
      </c>
      <c r="H272" s="27" t="s">
        <v>249</v>
      </c>
      <c r="I272" s="12"/>
    </row>
    <row r="273" spans="1:9" x14ac:dyDescent="0.2">
      <c r="A273" s="25" t="str">
        <f>TEXT(表3[[#This Row],[ETD]],"mmdd ")&amp;表3[[#This Row],[项目]]</f>
        <v>0524 JS mobis</v>
      </c>
      <c r="B273" s="8" t="s">
        <v>2</v>
      </c>
      <c r="C273" s="9">
        <v>43609</v>
      </c>
      <c r="D273" s="10">
        <v>5</v>
      </c>
      <c r="E273" s="10">
        <v>4</v>
      </c>
      <c r="F273" s="11" t="s">
        <v>101</v>
      </c>
      <c r="G273" s="30">
        <v>43596</v>
      </c>
      <c r="H273" s="27" t="s">
        <v>249</v>
      </c>
      <c r="I273" s="12"/>
    </row>
    <row r="274" spans="1:9" x14ac:dyDescent="0.2">
      <c r="A274" s="25" t="str">
        <f>TEXT(表3[[#This Row],[ETD]],"mmdd ")&amp;表3[[#This Row],[项目]]</f>
        <v>0524 JS mobis</v>
      </c>
      <c r="B274" s="8" t="s">
        <v>2</v>
      </c>
      <c r="C274" s="9">
        <v>43609</v>
      </c>
      <c r="D274" s="10">
        <v>5</v>
      </c>
      <c r="E274" s="10">
        <v>5</v>
      </c>
      <c r="F274" s="11" t="s">
        <v>103</v>
      </c>
      <c r="G274" s="30">
        <v>43596</v>
      </c>
      <c r="H274" s="27" t="s">
        <v>249</v>
      </c>
      <c r="I274" s="12"/>
    </row>
    <row r="275" spans="1:9" x14ac:dyDescent="0.2">
      <c r="A275" s="25" t="str">
        <f>TEXT(表3[[#This Row],[ETD]],"mmdd ")&amp;表3[[#This Row],[项目]]</f>
        <v>0524 JS mobis</v>
      </c>
      <c r="B275" s="8" t="s">
        <v>2</v>
      </c>
      <c r="C275" s="9">
        <v>43609</v>
      </c>
      <c r="D275" s="10">
        <v>6</v>
      </c>
      <c r="E275" s="10">
        <v>1</v>
      </c>
      <c r="F275" s="11" t="s">
        <v>105</v>
      </c>
      <c r="G275" s="30">
        <v>43596</v>
      </c>
      <c r="H275" s="27" t="s">
        <v>249</v>
      </c>
      <c r="I275" s="12"/>
    </row>
    <row r="276" spans="1:9" x14ac:dyDescent="0.2">
      <c r="A276" s="25" t="str">
        <f>TEXT(表3[[#This Row],[ETD]],"mmdd ")&amp;表3[[#This Row],[项目]]</f>
        <v>0524 JS mobis</v>
      </c>
      <c r="B276" s="8" t="s">
        <v>2</v>
      </c>
      <c r="C276" s="9">
        <v>43609</v>
      </c>
      <c r="D276" s="10">
        <v>6</v>
      </c>
      <c r="E276" s="10">
        <v>2</v>
      </c>
      <c r="F276" s="11" t="s">
        <v>106</v>
      </c>
      <c r="G276" s="30">
        <v>43596</v>
      </c>
      <c r="H276" s="27" t="s">
        <v>249</v>
      </c>
      <c r="I276" s="12"/>
    </row>
    <row r="277" spans="1:9" x14ac:dyDescent="0.2">
      <c r="A277" s="25" t="str">
        <f>TEXT(表3[[#This Row],[ETD]],"mmdd ")&amp;表3[[#This Row],[项目]]</f>
        <v>0524 JS mobis</v>
      </c>
      <c r="B277" s="8" t="s">
        <v>2</v>
      </c>
      <c r="C277" s="9">
        <v>43609</v>
      </c>
      <c r="D277" s="10">
        <v>7</v>
      </c>
      <c r="E277" s="10">
        <v>1</v>
      </c>
      <c r="F277" s="11" t="s">
        <v>107</v>
      </c>
      <c r="G277" s="30">
        <v>43596</v>
      </c>
      <c r="H277" s="27" t="s">
        <v>249</v>
      </c>
      <c r="I277" s="12" t="s">
        <v>146</v>
      </c>
    </row>
    <row r="278" spans="1:9" hidden="1" x14ac:dyDescent="0.2">
      <c r="A278" s="13" t="str">
        <f>TEXT(表3[[#This Row],[ETD]],"mmdd ")&amp;表3[[#This Row],[项目]]</f>
        <v>0529 WX mobis</v>
      </c>
      <c r="B278" s="13" t="s">
        <v>184</v>
      </c>
      <c r="C278" s="14">
        <v>43614</v>
      </c>
      <c r="D278" s="20">
        <v>1</v>
      </c>
      <c r="E278" s="20">
        <v>1</v>
      </c>
      <c r="F278" s="15" t="s">
        <v>229</v>
      </c>
      <c r="G278" s="31">
        <v>43594</v>
      </c>
      <c r="H278" s="28" t="s">
        <v>247</v>
      </c>
      <c r="I278" s="16"/>
    </row>
    <row r="279" spans="1:9" hidden="1" x14ac:dyDescent="0.2">
      <c r="A279" s="25" t="str">
        <f>TEXT(表3[[#This Row],[ETD]],"mmdd ")&amp;表3[[#This Row],[项目]]</f>
        <v>0529 WX mobis</v>
      </c>
      <c r="B279" s="8" t="s">
        <v>184</v>
      </c>
      <c r="C279" s="9">
        <v>43614</v>
      </c>
      <c r="D279" s="10">
        <v>1</v>
      </c>
      <c r="E279" s="10">
        <v>1</v>
      </c>
      <c r="F279" s="11" t="s">
        <v>230</v>
      </c>
      <c r="G279" s="30">
        <v>43595</v>
      </c>
      <c r="H279" s="27" t="s">
        <v>253</v>
      </c>
      <c r="I279" s="12"/>
    </row>
    <row r="280" spans="1:9" hidden="1" x14ac:dyDescent="0.2">
      <c r="A280" s="25" t="str">
        <f>TEXT(表3[[#This Row],[ETD]],"mmdd ")&amp;表3[[#This Row],[项目]]</f>
        <v>0619 WX mobis</v>
      </c>
      <c r="B280" s="8" t="s">
        <v>186</v>
      </c>
      <c r="C280" s="9">
        <v>43635</v>
      </c>
      <c r="D280" s="10">
        <v>1</v>
      </c>
      <c r="E280" s="10">
        <v>1</v>
      </c>
      <c r="F280" s="11" t="s">
        <v>261</v>
      </c>
      <c r="G280" s="30">
        <v>43595</v>
      </c>
      <c r="H280" s="27" t="s">
        <v>247</v>
      </c>
      <c r="I280" s="12"/>
    </row>
    <row r="281" spans="1:9" hidden="1" x14ac:dyDescent="0.2">
      <c r="A281" s="25" t="str">
        <f>TEXT(表3[[#This Row],[ETD]],"mmdd ")&amp;表3[[#This Row],[项目]]</f>
        <v>0619 WX mobis</v>
      </c>
      <c r="B281" s="8" t="s">
        <v>186</v>
      </c>
      <c r="C281" s="9">
        <v>43635</v>
      </c>
      <c r="D281" s="10">
        <v>1</v>
      </c>
      <c r="E281" s="10">
        <v>2</v>
      </c>
      <c r="F281" s="11" t="s">
        <v>262</v>
      </c>
      <c r="G281" s="30">
        <v>43595</v>
      </c>
      <c r="H281" s="27" t="s">
        <v>247</v>
      </c>
      <c r="I281" s="12"/>
    </row>
    <row r="282" spans="1:9" hidden="1" x14ac:dyDescent="0.2">
      <c r="A282" s="25" t="str">
        <f>TEXT(表3[[#This Row],[ETD]],"mmdd ")&amp;表3[[#This Row],[项目]]</f>
        <v>0619 WX mobis</v>
      </c>
      <c r="B282" s="8" t="s">
        <v>186</v>
      </c>
      <c r="C282" s="9">
        <v>43635</v>
      </c>
      <c r="D282" s="10">
        <v>2</v>
      </c>
      <c r="E282" s="10">
        <v>1</v>
      </c>
      <c r="F282" s="11" t="s">
        <v>263</v>
      </c>
      <c r="G282" s="30">
        <v>43595</v>
      </c>
      <c r="H282" s="27" t="s">
        <v>312</v>
      </c>
      <c r="I282" s="12" t="s">
        <v>264</v>
      </c>
    </row>
    <row r="283" spans="1:9" hidden="1" x14ac:dyDescent="0.2">
      <c r="A283" s="25" t="str">
        <f>TEXT(表3[[#This Row],[ETD]],"mmdd ")&amp;表3[[#This Row],[项目]]</f>
        <v>0619 WX mobis</v>
      </c>
      <c r="B283" s="8" t="s">
        <v>186</v>
      </c>
      <c r="C283" s="9">
        <v>43635</v>
      </c>
      <c r="D283" s="10">
        <v>2</v>
      </c>
      <c r="E283" s="10">
        <v>2</v>
      </c>
      <c r="F283" s="11" t="s">
        <v>265</v>
      </c>
      <c r="G283" s="30">
        <v>43595</v>
      </c>
      <c r="H283" s="27" t="s">
        <v>312</v>
      </c>
      <c r="I283" s="12"/>
    </row>
    <row r="284" spans="1:9" hidden="1" x14ac:dyDescent="0.2">
      <c r="A284" s="25" t="str">
        <f>TEXT(表3[[#This Row],[ETD]],"mmdd ")&amp;表3[[#This Row],[项目]]</f>
        <v>0619 WX mobis</v>
      </c>
      <c r="B284" s="8" t="s">
        <v>186</v>
      </c>
      <c r="C284" s="9">
        <v>43635</v>
      </c>
      <c r="D284" s="10">
        <v>2</v>
      </c>
      <c r="E284" s="10">
        <v>3</v>
      </c>
      <c r="F284" s="11" t="s">
        <v>44</v>
      </c>
      <c r="G284" s="30">
        <v>43595</v>
      </c>
      <c r="H284" s="27" t="s">
        <v>249</v>
      </c>
      <c r="I284" s="12"/>
    </row>
    <row r="285" spans="1:9" hidden="1" x14ac:dyDescent="0.2">
      <c r="A285" s="25" t="str">
        <f>TEXT(表3[[#This Row],[ETD]],"mmdd ")&amp;表3[[#This Row],[项目]]</f>
        <v>NULLZDS</v>
      </c>
      <c r="B285" s="8" t="s">
        <v>219</v>
      </c>
      <c r="C285" s="9" t="s">
        <v>221</v>
      </c>
      <c r="D285" s="10">
        <v>1</v>
      </c>
      <c r="E285" s="10">
        <v>1</v>
      </c>
      <c r="F285" s="11" t="s">
        <v>222</v>
      </c>
      <c r="G285" s="30">
        <v>43595</v>
      </c>
      <c r="H285" s="27" t="s">
        <v>253</v>
      </c>
      <c r="I285" s="12"/>
    </row>
    <row r="286" spans="1:9" hidden="1" x14ac:dyDescent="0.2">
      <c r="A286" s="26" t="str">
        <f>TEXT(表3[[#This Row],[ETD]],"mmdd ")&amp;表3[[#This Row],[项目]]</f>
        <v>NULLZDS</v>
      </c>
      <c r="B286" s="13" t="s">
        <v>219</v>
      </c>
      <c r="C286" s="14" t="s">
        <v>221</v>
      </c>
      <c r="D286" s="20">
        <v>2</v>
      </c>
      <c r="E286" s="20">
        <v>1</v>
      </c>
      <c r="F286" s="15" t="s">
        <v>223</v>
      </c>
      <c r="G286" s="31">
        <v>43594</v>
      </c>
      <c r="H286" s="28" t="s">
        <v>247</v>
      </c>
      <c r="I286" s="16"/>
    </row>
    <row r="287" spans="1:9" hidden="1" x14ac:dyDescent="0.2">
      <c r="A287" s="26" t="str">
        <f>TEXT(表3[[#This Row],[ETD]],"mmdd ")&amp;表3[[#This Row],[项目]]</f>
        <v>0522 HMI</v>
      </c>
      <c r="B287" s="13" t="s">
        <v>298</v>
      </c>
      <c r="C287" s="14">
        <v>43607</v>
      </c>
      <c r="D287" s="20">
        <v>1</v>
      </c>
      <c r="E287" s="20">
        <v>1</v>
      </c>
      <c r="F287" s="15" t="s">
        <v>299</v>
      </c>
      <c r="G287" s="31">
        <v>43595</v>
      </c>
      <c r="H287" s="28" t="s">
        <v>303</v>
      </c>
      <c r="I287" s="16"/>
    </row>
    <row r="288" spans="1:9" hidden="1" x14ac:dyDescent="0.2">
      <c r="A288" s="25" t="str">
        <f>TEXT(表3[[#This Row],[ETD]],"mmdd ")&amp;表3[[#This Row],[项目]]</f>
        <v>0522 HMI</v>
      </c>
      <c r="B288" s="8" t="s">
        <v>298</v>
      </c>
      <c r="C288" s="9">
        <v>43607</v>
      </c>
      <c r="D288" s="10">
        <v>2</v>
      </c>
      <c r="E288" s="10">
        <v>1</v>
      </c>
      <c r="F288" s="11" t="s">
        <v>165</v>
      </c>
      <c r="G288" s="30">
        <v>43595</v>
      </c>
      <c r="H288" s="27" t="s">
        <v>249</v>
      </c>
      <c r="I288" s="12"/>
    </row>
    <row r="289" spans="1:9" hidden="1" x14ac:dyDescent="0.2">
      <c r="A289" s="25" t="str">
        <f>TEXT(表3[[#This Row],[ETD]],"mmdd ")&amp;表3[[#This Row],[项目]]</f>
        <v>0522 HMI</v>
      </c>
      <c r="B289" s="8" t="s">
        <v>298</v>
      </c>
      <c r="C289" s="9">
        <v>43607</v>
      </c>
      <c r="D289" s="10">
        <v>1</v>
      </c>
      <c r="E289" s="10">
        <v>2</v>
      </c>
      <c r="F289" s="11" t="s">
        <v>23</v>
      </c>
      <c r="G289" s="30">
        <v>43595</v>
      </c>
      <c r="H289" s="27" t="s">
        <v>309</v>
      </c>
      <c r="I289" s="12"/>
    </row>
    <row r="290" spans="1:9" hidden="1" x14ac:dyDescent="0.2">
      <c r="A290" s="25" t="str">
        <f>TEXT(表3[[#This Row],[ETD]],"mmdd ")&amp;表3[[#This Row],[项目]]</f>
        <v>0522 HMI</v>
      </c>
      <c r="B290" s="8" t="s">
        <v>298</v>
      </c>
      <c r="C290" s="9">
        <v>43607</v>
      </c>
      <c r="D290" s="10">
        <v>3</v>
      </c>
      <c r="E290" s="10">
        <v>1</v>
      </c>
      <c r="F290" s="11" t="s">
        <v>167</v>
      </c>
      <c r="G290" s="30">
        <v>43601</v>
      </c>
      <c r="H290" s="27" t="s">
        <v>249</v>
      </c>
      <c r="I290" s="12" t="s">
        <v>151</v>
      </c>
    </row>
    <row r="291" spans="1:9" hidden="1" x14ac:dyDescent="0.2">
      <c r="A291" s="25" t="str">
        <f>TEXT(表3[[#This Row],[ETD]],"mmdd ")&amp;表3[[#This Row],[项目]]</f>
        <v>0522 HMI</v>
      </c>
      <c r="B291" s="8" t="s">
        <v>298</v>
      </c>
      <c r="C291" s="9">
        <v>43607</v>
      </c>
      <c r="D291" s="10">
        <v>3</v>
      </c>
      <c r="E291" s="10">
        <v>2</v>
      </c>
      <c r="F291" s="11" t="s">
        <v>155</v>
      </c>
      <c r="G291" s="30">
        <v>43601</v>
      </c>
      <c r="H291" s="27" t="s">
        <v>249</v>
      </c>
      <c r="I291" s="12"/>
    </row>
    <row r="292" spans="1:9" hidden="1" x14ac:dyDescent="0.2">
      <c r="A292" s="25" t="str">
        <f>TEXT(表3[[#This Row],[ETD]],"mmdd ")&amp;表3[[#This Row],[项目]]</f>
        <v>0522 HMI</v>
      </c>
      <c r="B292" s="8" t="s">
        <v>298</v>
      </c>
      <c r="C292" s="9">
        <v>43607</v>
      </c>
      <c r="D292" s="10">
        <v>3</v>
      </c>
      <c r="E292" s="10">
        <v>3</v>
      </c>
      <c r="F292" s="11" t="s">
        <v>153</v>
      </c>
      <c r="G292" s="30">
        <v>43601</v>
      </c>
      <c r="H292" s="27" t="s">
        <v>249</v>
      </c>
      <c r="I292" s="12"/>
    </row>
    <row r="293" spans="1:9" hidden="1" x14ac:dyDescent="0.2">
      <c r="A293" s="25" t="str">
        <f>TEXT(表3[[#This Row],[ETD]],"mmdd ")&amp;表3[[#This Row],[项目]]</f>
        <v>0522 HMI</v>
      </c>
      <c r="B293" s="8" t="s">
        <v>298</v>
      </c>
      <c r="C293" s="9">
        <v>43607</v>
      </c>
      <c r="D293" s="10">
        <v>4</v>
      </c>
      <c r="E293" s="10">
        <v>1</v>
      </c>
      <c r="F293" s="11" t="s">
        <v>304</v>
      </c>
      <c r="G293" s="30">
        <v>43601</v>
      </c>
      <c r="H293" s="27" t="s">
        <v>249</v>
      </c>
      <c r="I293" s="12" t="s">
        <v>158</v>
      </c>
    </row>
    <row r="294" spans="1:9" hidden="1" x14ac:dyDescent="0.2">
      <c r="A294" s="25" t="str">
        <f>TEXT(表3[[#This Row],[ETD]],"mmdd ")&amp;表3[[#This Row],[项目]]</f>
        <v>0522 HMI</v>
      </c>
      <c r="B294" s="8" t="s">
        <v>298</v>
      </c>
      <c r="C294" s="9">
        <v>43607</v>
      </c>
      <c r="D294" s="10">
        <v>4</v>
      </c>
      <c r="E294" s="10">
        <v>3</v>
      </c>
      <c r="F294" s="11" t="s">
        <v>169</v>
      </c>
      <c r="G294" s="30">
        <v>43601</v>
      </c>
      <c r="H294" s="27" t="s">
        <v>249</v>
      </c>
      <c r="I294" s="12"/>
    </row>
    <row r="295" spans="1:9" hidden="1" x14ac:dyDescent="0.2">
      <c r="A295" s="25" t="str">
        <f>TEXT(表3[[#This Row],[ETD]],"mmdd ")&amp;表3[[#This Row],[项目]]</f>
        <v>0522 HMI</v>
      </c>
      <c r="B295" s="8" t="s">
        <v>298</v>
      </c>
      <c r="C295" s="9">
        <v>43607</v>
      </c>
      <c r="D295" s="10">
        <v>5</v>
      </c>
      <c r="E295" s="10">
        <v>1</v>
      </c>
      <c r="F295" s="11" t="s">
        <v>235</v>
      </c>
      <c r="G295" s="30">
        <v>43604</v>
      </c>
      <c r="H295" s="27" t="s">
        <v>249</v>
      </c>
      <c r="I295" s="12" t="s">
        <v>173</v>
      </c>
    </row>
    <row r="296" spans="1:9" hidden="1" x14ac:dyDescent="0.2">
      <c r="A296" s="25" t="str">
        <f>TEXT(表3[[#This Row],[ETD]],"mmdd ")&amp;表3[[#This Row],[项目]]</f>
        <v>0522 HMI</v>
      </c>
      <c r="B296" s="8" t="s">
        <v>298</v>
      </c>
      <c r="C296" s="9">
        <v>43607</v>
      </c>
      <c r="D296" s="10">
        <v>5</v>
      </c>
      <c r="E296" s="10">
        <v>2</v>
      </c>
      <c r="F296" s="11" t="s">
        <v>301</v>
      </c>
      <c r="G296" s="30">
        <v>43604</v>
      </c>
      <c r="H296" s="27" t="s">
        <v>249</v>
      </c>
      <c r="I296" s="12" t="s">
        <v>236</v>
      </c>
    </row>
    <row r="297" spans="1:9" hidden="1" x14ac:dyDescent="0.2">
      <c r="A297" s="25" t="str">
        <f>TEXT(表3[[#This Row],[ETD]],"mmdd ")&amp;表3[[#This Row],[项目]]</f>
        <v>0522 HMI</v>
      </c>
      <c r="B297" s="8" t="s">
        <v>298</v>
      </c>
      <c r="C297" s="9">
        <v>43607</v>
      </c>
      <c r="D297" s="10">
        <v>5</v>
      </c>
      <c r="E297" s="10">
        <v>3</v>
      </c>
      <c r="F297" s="11" t="s">
        <v>160</v>
      </c>
      <c r="G297" s="30">
        <v>43605</v>
      </c>
      <c r="H297" s="27" t="s">
        <v>249</v>
      </c>
      <c r="I297" s="12"/>
    </row>
    <row r="298" spans="1:9" hidden="1" x14ac:dyDescent="0.2">
      <c r="A298" s="25" t="str">
        <f>TEXT(表3[[#This Row],[ETD]],"mmdd ")&amp;表3[[#This Row],[项目]]</f>
        <v>0522 HMI</v>
      </c>
      <c r="B298" s="8" t="s">
        <v>298</v>
      </c>
      <c r="C298" s="9">
        <v>43607</v>
      </c>
      <c r="D298" s="10">
        <v>5</v>
      </c>
      <c r="E298" s="10">
        <v>4</v>
      </c>
      <c r="F298" s="11" t="s">
        <v>258</v>
      </c>
      <c r="G298" s="30">
        <v>43605</v>
      </c>
      <c r="H298" s="27" t="s">
        <v>249</v>
      </c>
      <c r="I298" s="12"/>
    </row>
    <row r="299" spans="1:9" hidden="1" x14ac:dyDescent="0.2">
      <c r="A299" s="25" t="str">
        <f>TEXT(表3[[#This Row],[ETD]],"mmdd ")&amp;表3[[#This Row],[项目]]</f>
        <v>0522 HMI</v>
      </c>
      <c r="B299" s="8" t="s">
        <v>298</v>
      </c>
      <c r="C299" s="9">
        <v>43607</v>
      </c>
      <c r="D299" s="10">
        <v>6</v>
      </c>
      <c r="E299" s="10">
        <v>1</v>
      </c>
      <c r="F299" s="11" t="s">
        <v>164</v>
      </c>
      <c r="G299" s="30">
        <v>43605</v>
      </c>
      <c r="H299" s="27" t="s">
        <v>249</v>
      </c>
      <c r="I299" s="12" t="s">
        <v>162</v>
      </c>
    </row>
    <row r="300" spans="1:9" hidden="1" x14ac:dyDescent="0.2">
      <c r="A300" s="25" t="str">
        <f>TEXT(表3[[#This Row],[ETD]],"mmdd ")&amp;表3[[#This Row],[项目]]</f>
        <v>0522 HMI</v>
      </c>
      <c r="B300" s="8" t="s">
        <v>298</v>
      </c>
      <c r="C300" s="9">
        <v>43607</v>
      </c>
      <c r="D300" s="10">
        <v>7</v>
      </c>
      <c r="E300" s="10">
        <v>1</v>
      </c>
      <c r="F300" s="11" t="s">
        <v>99</v>
      </c>
      <c r="G300" s="30">
        <v>43605</v>
      </c>
      <c r="H300" s="27" t="s">
        <v>249</v>
      </c>
      <c r="I300" s="12"/>
    </row>
    <row r="301" spans="1:9" hidden="1" x14ac:dyDescent="0.2">
      <c r="A301" s="25" t="str">
        <f>TEXT(表3[[#This Row],[ETD]],"mmdd ")&amp;表3[[#This Row],[项目]]</f>
        <v>0522 HMI</v>
      </c>
      <c r="B301" s="8" t="s">
        <v>298</v>
      </c>
      <c r="C301" s="9">
        <v>43607</v>
      </c>
      <c r="D301" s="10">
        <v>7</v>
      </c>
      <c r="E301" s="10">
        <v>2</v>
      </c>
      <c r="F301" s="11" t="s">
        <v>101</v>
      </c>
      <c r="G301" s="30">
        <v>43605</v>
      </c>
      <c r="H301" s="27" t="s">
        <v>249</v>
      </c>
      <c r="I301" s="12"/>
    </row>
    <row r="302" spans="1:9" hidden="1" x14ac:dyDescent="0.2">
      <c r="A302" s="25" t="str">
        <f>TEXT(表3[[#This Row],[ETD]],"mmdd ")&amp;表3[[#This Row],[项目]]</f>
        <v>0522 HMI</v>
      </c>
      <c r="B302" s="8" t="s">
        <v>298</v>
      </c>
      <c r="C302" s="9">
        <v>43607</v>
      </c>
      <c r="D302" s="10">
        <v>7</v>
      </c>
      <c r="E302" s="10">
        <v>3</v>
      </c>
      <c r="F302" s="11" t="s">
        <v>103</v>
      </c>
      <c r="G302" s="30">
        <v>43606</v>
      </c>
      <c r="H302" s="27" t="s">
        <v>249</v>
      </c>
      <c r="I302" s="12"/>
    </row>
    <row r="303" spans="1:9" hidden="1" x14ac:dyDescent="0.2">
      <c r="A303" s="25" t="str">
        <f>TEXT(表3[[#This Row],[ETD]],"mmdd ")&amp;表3[[#This Row],[项目]]</f>
        <v>0522 HMI</v>
      </c>
      <c r="B303" s="8" t="s">
        <v>298</v>
      </c>
      <c r="C303" s="9">
        <v>43607</v>
      </c>
      <c r="D303" s="10">
        <v>7</v>
      </c>
      <c r="E303" s="10">
        <v>4</v>
      </c>
      <c r="F303" s="11" t="s">
        <v>302</v>
      </c>
      <c r="G303" s="30">
        <v>43607</v>
      </c>
      <c r="H303" s="27" t="s">
        <v>249</v>
      </c>
      <c r="I303" s="12"/>
    </row>
    <row r="304" spans="1:9" hidden="1" x14ac:dyDescent="0.2">
      <c r="A304" s="25" t="str">
        <f>TEXT(表3[[#This Row],[ETD]],"mmdd ")&amp;表3[[#This Row],[项目]]</f>
        <v>0522 HMI</v>
      </c>
      <c r="B304" s="8" t="s">
        <v>298</v>
      </c>
      <c r="C304" s="9">
        <v>43607</v>
      </c>
      <c r="D304" s="10">
        <v>8</v>
      </c>
      <c r="E304" s="10">
        <v>1</v>
      </c>
      <c r="F304" s="11" t="s">
        <v>310</v>
      </c>
      <c r="G304" s="30">
        <v>43607</v>
      </c>
      <c r="H304" s="27" t="s">
        <v>249</v>
      </c>
      <c r="I304" s="12"/>
    </row>
  </sheetData>
  <phoneticPr fontId="1" type="noConversion"/>
  <conditionalFormatting sqref="F2:F55 F57:F304">
    <cfRule type="beginsWith" dxfId="25" priority="4" operator="beginsWith" text="收到">
      <formula>LEFT(F2,LEN("收到"))="收到"</formula>
    </cfRule>
  </conditionalFormatting>
  <conditionalFormatting sqref="F56">
    <cfRule type="beginsWith" dxfId="24" priority="1" operator="beginsWith" text="收到">
      <formula>LEFT(F56,LEN("收到"))="收到"</formula>
    </cfRule>
  </conditionalFormatting>
  <dataValidations count="2">
    <dataValidation type="list" showInputMessage="1" showErrorMessage="1" sqref="H2:H304">
      <formula1>"计划,OK"</formula1>
    </dataValidation>
    <dataValidation type="date" operator="greaterThan" showInputMessage="1" showErrorMessage="1" sqref="G2:G304">
      <formula1>43466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odayPlan">
                <anchor moveWithCells="1" sizeWithCells="1">
                  <from>
                    <xdr:col>9</xdr:col>
                    <xdr:colOff>381000</xdr:colOff>
                    <xdr:row>0</xdr:row>
                    <xdr:rowOff>9525</xdr:rowOff>
                  </from>
                  <to>
                    <xdr:col>10</xdr:col>
                    <xdr:colOff>514350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0"/>
  <sheetViews>
    <sheetView showGridLines="0" tabSelected="1" workbookViewId="0">
      <selection activeCell="B18" sqref="B18"/>
    </sheetView>
  </sheetViews>
  <sheetFormatPr defaultRowHeight="14.25" x14ac:dyDescent="0.2"/>
  <cols>
    <col min="1" max="1" width="11.75" bestFit="1" customWidth="1"/>
    <col min="2" max="2" width="7.875" customWidth="1"/>
    <col min="3" max="24" width="7.875" bestFit="1" customWidth="1"/>
  </cols>
  <sheetData>
    <row r="1" spans="1:4" x14ac:dyDescent="0.2">
      <c r="A1" s="21" t="s">
        <v>255</v>
      </c>
      <c r="B1" t="s">
        <v>249</v>
      </c>
    </row>
    <row r="3" spans="1:4" x14ac:dyDescent="0.2">
      <c r="A3" s="21" t="s">
        <v>248</v>
      </c>
      <c r="B3" s="21" t="s">
        <v>183</v>
      </c>
    </row>
    <row r="4" spans="1:4" x14ac:dyDescent="0.2">
      <c r="A4" s="21" t="s">
        <v>182</v>
      </c>
      <c r="B4" s="32">
        <v>43595</v>
      </c>
      <c r="C4" s="32">
        <v>43596</v>
      </c>
      <c r="D4" s="32">
        <v>43597</v>
      </c>
    </row>
    <row r="5" spans="1:4" x14ac:dyDescent="0.2">
      <c r="A5" s="22" t="s">
        <v>179</v>
      </c>
      <c r="B5" s="24"/>
      <c r="C5" s="24"/>
      <c r="D5" s="24"/>
    </row>
    <row r="6" spans="1:4" x14ac:dyDescent="0.2">
      <c r="A6" s="23">
        <v>43600</v>
      </c>
      <c r="B6" s="24">
        <v>1</v>
      </c>
      <c r="C6" s="24"/>
      <c r="D6" s="24"/>
    </row>
    <row r="7" spans="1:4" x14ac:dyDescent="0.2">
      <c r="A7" s="23">
        <v>43607</v>
      </c>
      <c r="B7" s="24">
        <v>1</v>
      </c>
      <c r="C7" s="24"/>
      <c r="D7" s="24"/>
    </row>
    <row r="8" spans="1:4" x14ac:dyDescent="0.2">
      <c r="A8" s="22" t="s">
        <v>2</v>
      </c>
      <c r="B8" s="24"/>
      <c r="C8" s="24"/>
      <c r="D8" s="24"/>
    </row>
    <row r="9" spans="1:4" x14ac:dyDescent="0.2">
      <c r="A9" s="23">
        <v>43595</v>
      </c>
      <c r="B9" s="24"/>
      <c r="C9" s="24">
        <v>1</v>
      </c>
      <c r="D9" s="24">
        <v>1</v>
      </c>
    </row>
    <row r="10" spans="1:4" x14ac:dyDescent="0.2">
      <c r="A10" s="23">
        <v>43607</v>
      </c>
      <c r="B10" s="24"/>
      <c r="C10" s="24">
        <v>46</v>
      </c>
      <c r="D10" s="24"/>
    </row>
    <row r="11" spans="1:4" x14ac:dyDescent="0.2">
      <c r="A11" s="23">
        <v>43609</v>
      </c>
      <c r="B11" s="24"/>
      <c r="C11" s="24">
        <v>46</v>
      </c>
      <c r="D11" s="24"/>
    </row>
    <row r="12" spans="1:4" x14ac:dyDescent="0.2">
      <c r="A12" s="22" t="s">
        <v>201</v>
      </c>
      <c r="B12" s="24"/>
      <c r="C12" s="24"/>
      <c r="D12" s="24"/>
    </row>
    <row r="13" spans="1:4" x14ac:dyDescent="0.2">
      <c r="A13" s="23">
        <v>43602</v>
      </c>
      <c r="B13" s="24"/>
      <c r="C13" s="24">
        <v>2</v>
      </c>
      <c r="D13" s="24"/>
    </row>
    <row r="14" spans="1:4" x14ac:dyDescent="0.2">
      <c r="A14" s="22" t="s">
        <v>186</v>
      </c>
      <c r="B14" s="24"/>
      <c r="C14" s="24"/>
      <c r="D14" s="24"/>
    </row>
    <row r="15" spans="1:4" x14ac:dyDescent="0.2">
      <c r="A15" s="23">
        <v>43607</v>
      </c>
      <c r="B15" s="24">
        <v>1</v>
      </c>
      <c r="C15" s="24"/>
      <c r="D15" s="24"/>
    </row>
    <row r="16" spans="1:4" x14ac:dyDescent="0.2">
      <c r="A16" s="23">
        <v>43614</v>
      </c>
      <c r="B16" s="24">
        <v>1</v>
      </c>
      <c r="C16" s="24"/>
      <c r="D16" s="24"/>
    </row>
    <row r="17" spans="1:4" x14ac:dyDescent="0.2">
      <c r="A17" s="23">
        <v>43635</v>
      </c>
      <c r="B17" s="24">
        <v>1</v>
      </c>
      <c r="C17" s="24"/>
      <c r="D17" s="24"/>
    </row>
    <row r="18" spans="1:4" x14ac:dyDescent="0.2">
      <c r="A18" s="22" t="s">
        <v>218</v>
      </c>
      <c r="B18" s="24"/>
      <c r="C18" s="24"/>
      <c r="D18" s="24"/>
    </row>
    <row r="19" spans="1:4" x14ac:dyDescent="0.2">
      <c r="A19" s="23" t="s">
        <v>220</v>
      </c>
      <c r="B19" s="24">
        <v>1</v>
      </c>
      <c r="C19" s="24"/>
      <c r="D19" s="24"/>
    </row>
    <row r="20" spans="1:4" x14ac:dyDescent="0.2">
      <c r="A20" s="22" t="s">
        <v>181</v>
      </c>
      <c r="B20" s="24">
        <v>6</v>
      </c>
      <c r="C20" s="24">
        <v>95</v>
      </c>
      <c r="D20" s="24">
        <v>1</v>
      </c>
    </row>
  </sheetData>
  <dataConsolidate/>
  <phoneticPr fontId="1" type="noConversion"/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单票流程</vt:lpstr>
      <vt:lpstr>流水</vt:lpstr>
      <vt:lpstr>透视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2019-05-11T10:17:59Z</dcterms:modified>
</cp:coreProperties>
</file>