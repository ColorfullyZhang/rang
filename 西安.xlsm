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\Desktop\"/>
    </mc:Choice>
  </mc:AlternateContent>
  <xr:revisionPtr revIDLastSave="0" documentId="13_ncr:1_{BBE630EA-E55B-4B63-82CD-A08B06DC7E73}" xr6:coauthVersionLast="41" xr6:coauthVersionMax="41" xr10:uidLastSave="{00000000-0000-0000-0000-000000000000}"/>
  <bookViews>
    <workbookView xWindow="-120" yWindow="-120" windowWidth="19440" windowHeight="11640" xr2:uid="{334A1EC0-75AD-4477-A809-FF1D31FA42A2}"/>
  </bookViews>
  <sheets>
    <sheet name="data" sheetId="1" r:id="rId1"/>
  </sheets>
  <definedNames>
    <definedName name="_xlnm._FilterDatabase" localSheetId="0" hidden="1">data!$A$1:$BE$48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10" i="1" l="1"/>
  <c r="AF8" i="1"/>
  <c r="AU7" i="1"/>
  <c r="AX47" i="1"/>
  <c r="AX48" i="1"/>
  <c r="AF48" i="1"/>
  <c r="AF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J45" authorId="0" shapeId="0" xr:uid="{05BB4C4C-77D0-4A69-A477-77A09736F8B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满月899元，12月份实际463.51元，工作16天</t>
        </r>
      </text>
    </comment>
  </commentList>
</comments>
</file>

<file path=xl/sharedStrings.xml><?xml version="1.0" encoding="utf-8"?>
<sst xmlns="http://schemas.openxmlformats.org/spreadsheetml/2006/main" count="1363" uniqueCount="404">
  <si>
    <t>内部CODE</t>
  </si>
  <si>
    <t>甲方店号</t>
  </si>
  <si>
    <t>城市</t>
  </si>
  <si>
    <t>督导城市</t>
  </si>
  <si>
    <t>品牌</t>
  </si>
  <si>
    <t>店铺名称</t>
  </si>
  <si>
    <t>公司名称</t>
  </si>
  <si>
    <t>区域</t>
  </si>
  <si>
    <t>店铺地址</t>
  </si>
  <si>
    <t>店铺电话</t>
  </si>
  <si>
    <t>客户名称</t>
  </si>
  <si>
    <t>客户税号</t>
  </si>
  <si>
    <t>发票类型</t>
  </si>
  <si>
    <t>客户开户行</t>
  </si>
  <si>
    <t>客户银行账号</t>
  </si>
  <si>
    <t>客户开票资料地址</t>
  </si>
  <si>
    <t>客户开票资料电话</t>
  </si>
  <si>
    <t>发票快递地址</t>
  </si>
  <si>
    <t>收件人</t>
  </si>
  <si>
    <t>收件人电话</t>
  </si>
  <si>
    <t>品牌负责人</t>
  </si>
  <si>
    <t>区域负责人</t>
  </si>
  <si>
    <t>物流司机电话</t>
  </si>
  <si>
    <t>区主管</t>
  </si>
  <si>
    <t>城市督导</t>
  </si>
  <si>
    <t>城市督导绩效</t>
  </si>
  <si>
    <t>合同人数</t>
  </si>
  <si>
    <t>合同小时数/天</t>
  </si>
  <si>
    <t>店铺面积</t>
  </si>
  <si>
    <t>月固定营业额</t>
  </si>
  <si>
    <t>加班单价</t>
  </si>
  <si>
    <t>预算成本</t>
  </si>
  <si>
    <t>实际工作人数</t>
  </si>
  <si>
    <t>实际工作天数</t>
  </si>
  <si>
    <t>实际小时数</t>
  </si>
  <si>
    <t>实际月固定人工成本（不含税费）</t>
  </si>
  <si>
    <t>节假日方式</t>
  </si>
  <si>
    <t>支付周期</t>
  </si>
  <si>
    <t>劳务工结算方式</t>
  </si>
  <si>
    <t>月清洁工具预算</t>
  </si>
  <si>
    <t>月店铺材料预算</t>
  </si>
  <si>
    <t>月耗材预算</t>
  </si>
  <si>
    <t>固定资产编号</t>
  </si>
  <si>
    <t>账期</t>
  </si>
  <si>
    <t>大清人数</t>
  </si>
  <si>
    <t>大清单价预算</t>
  </si>
  <si>
    <t>大清总预算</t>
  </si>
  <si>
    <t>大清频率</t>
  </si>
  <si>
    <t>大清实际成本</t>
  </si>
  <si>
    <t>薪资专员</t>
  </si>
  <si>
    <t>会计</t>
  </si>
  <si>
    <t>付款、开票出纳</t>
  </si>
  <si>
    <t>合同编号</t>
  </si>
  <si>
    <t>合同有效期</t>
  </si>
  <si>
    <t>开票时间及周期</t>
  </si>
  <si>
    <t>预算成本与实际的差异</t>
  </si>
  <si>
    <t>备注</t>
  </si>
  <si>
    <t>SF006323</t>
  </si>
  <si>
    <t>西安</t>
  </si>
  <si>
    <t>丝芙兰</t>
  </si>
  <si>
    <t>西安大悦城</t>
  </si>
  <si>
    <t>上海明通物业管理有限公司</t>
  </si>
  <si>
    <t>西区</t>
  </si>
  <si>
    <t>西安曲江新区慈恩西路777号大悦城购物中心L1-19/20/21号商铺</t>
  </si>
  <si>
    <t>029-68601612</t>
  </si>
  <si>
    <t xml:space="preserve">丝芙兰（北京）化妆品销售有限公司西安慈恩西路分公司		</t>
  </si>
  <si>
    <t xml:space="preserve">91610133MA6W0Y7Q7E		</t>
  </si>
  <si>
    <t>增值税专用发票</t>
  </si>
  <si>
    <t xml:space="preserve">3700051309100057991 </t>
  </si>
  <si>
    <t xml:space="preserve">中国工商银行股份有限公司西安曲江支行 </t>
  </si>
  <si>
    <t>029-68201612</t>
  </si>
  <si>
    <t>上海南京西路993号3楼</t>
  </si>
  <si>
    <t>Elsie Gao</t>
  </si>
  <si>
    <t>陈磊</t>
  </si>
  <si>
    <t>梁忱刚</t>
  </si>
  <si>
    <t>苏家仙</t>
  </si>
  <si>
    <t>李小玲</t>
  </si>
  <si>
    <t>春节100元/人</t>
  </si>
  <si>
    <t>上月25号-本月24号</t>
  </si>
  <si>
    <t>按月</t>
  </si>
  <si>
    <t>每月一次</t>
  </si>
  <si>
    <t>刘露</t>
  </si>
  <si>
    <t>曹松霞</t>
  </si>
  <si>
    <t>陆华锋</t>
  </si>
  <si>
    <t>FW2018074</t>
  </si>
  <si>
    <t>2018.10.1-2020.9.30</t>
  </si>
  <si>
    <t>次月10号按月开</t>
  </si>
  <si>
    <t>小时加班单价出现2个数据20/7.9，大清频率不一样</t>
  </si>
  <si>
    <t>SF006295</t>
  </si>
  <si>
    <t>西安高新万达店</t>
  </si>
  <si>
    <t>陕西省西安市高新区木塔寨西路719号西安高新万达广场一层1006-1008店铺</t>
  </si>
  <si>
    <t>029-89195340</t>
  </si>
  <si>
    <t>丝芙兰（北京）化妆品销售有限公司西安木塔寨西路分公司</t>
  </si>
  <si>
    <t>91610131MA6U7EMYXB</t>
  </si>
  <si>
    <t>陕西省西安市高新区木塔寨西路719号西安高新万达广场1006-1008店铺</t>
  </si>
  <si>
    <t>3700051309100037532</t>
  </si>
  <si>
    <t>中国工商银行股份有限公司西安曲江支行</t>
  </si>
  <si>
    <t>(029) 8919 5340</t>
  </si>
  <si>
    <t>小时加班单价出现2个数据15和13.3</t>
  </si>
  <si>
    <t>SF006139</t>
  </si>
  <si>
    <t>西安曲江银泰城店</t>
  </si>
  <si>
    <t>西安市曲江新区雁南二路北侧银泰城1F-018号商铺/西安市曲江新区雁塔南路410号银泰城</t>
  </si>
  <si>
    <t>029-89123556</t>
  </si>
  <si>
    <t>丝芙兰（北京）化妆品销售有限公司西安雁南二路分公司</t>
  </si>
  <si>
    <t>91610133592214220X</t>
  </si>
  <si>
    <t>西安市曲江新区雁南二路北侧银泰城1F-018号商铺</t>
  </si>
  <si>
    <t>3700051309201037097</t>
  </si>
  <si>
    <t>工商银行西安曲江支行</t>
  </si>
  <si>
    <t>(029)89123556</t>
  </si>
  <si>
    <t>小时加班单价出现2个数据15和7.3</t>
  </si>
  <si>
    <t>SF006264</t>
  </si>
  <si>
    <t>西安中大国际店</t>
  </si>
  <si>
    <t>西安市高新区高新路72号西安中大国际商业中心商场L216号商铺</t>
  </si>
  <si>
    <t>029-88817887</t>
  </si>
  <si>
    <t>丝芙兰（北京）化妆品销售有限公司西安高新路分公司</t>
  </si>
  <si>
    <t>91610131MA6TYJ490P</t>
  </si>
  <si>
    <t>3700021209200044286</t>
  </si>
  <si>
    <t>中国工商银行股份有限公司西安钟楼支行</t>
  </si>
  <si>
    <t>(029) 8881 7887</t>
  </si>
  <si>
    <t>小时加班单价出现2个数据15.05和15.5</t>
  </si>
  <si>
    <t>LF009028</t>
  </si>
  <si>
    <t>Lafayette148</t>
  </si>
  <si>
    <t>西安中大国际</t>
  </si>
  <si>
    <t>陕西西安市高新路72号L301店铺</t>
  </si>
  <si>
    <t>029-89184028</t>
  </si>
  <si>
    <t>上海拉飞逸实业有限公司</t>
  </si>
  <si>
    <t>9131000057742000X2</t>
  </si>
  <si>
    <t xml:space="preserve">中国银行上海市漕河泾开发区支行 </t>
  </si>
  <si>
    <t xml:space="preserve"> 445559675819</t>
  </si>
  <si>
    <t xml:space="preserve">上海市徐汇区钦州北路1198号82幢21层  </t>
  </si>
  <si>
    <t>021-54260720</t>
  </si>
  <si>
    <t>上海市钦州北路1198号82幢23层</t>
  </si>
  <si>
    <t>MAX</t>
  </si>
  <si>
    <t>021-54266081</t>
  </si>
  <si>
    <t>谢金玉</t>
  </si>
  <si>
    <t>每月1号-本月最后一天</t>
  </si>
  <si>
    <t>当月月底按月开</t>
  </si>
  <si>
    <t>节日计算春节100，国庆50</t>
  </si>
  <si>
    <t>LF009029</t>
  </si>
  <si>
    <t>西安SKP</t>
  </si>
  <si>
    <t>陕西省西安市碑林区长安北路261号3层A3016</t>
  </si>
  <si>
    <t>029-83698392</t>
  </si>
  <si>
    <t>SL00XASK</t>
  </si>
  <si>
    <t>XASK</t>
  </si>
  <si>
    <t>圣罗兰</t>
  </si>
  <si>
    <t>上海清文保洁有限公司</t>
  </si>
  <si>
    <t>西安市南关正街111号,西安SKP商场/陕西省西安市碑林区长安北路SKP商场女装A1027号商铺男装B1010号商铺鞋店A5025-3,号商铺</t>
  </si>
  <si>
    <t>029 - 8369 8538</t>
  </si>
  <si>
    <t>春节100元/人,每周二次1楼店铺1仓库清洁，3楼一个仓库，5楼一个仓库，分开清洁（每周2,6）（每周1,5）</t>
  </si>
  <si>
    <t>待通知</t>
  </si>
  <si>
    <t>马莉莉</t>
  </si>
  <si>
    <t>2018.7.1-2019.6.30</t>
  </si>
  <si>
    <t>SL00XAPCD</t>
  </si>
  <si>
    <t>XAPCD</t>
  </si>
  <si>
    <t>西安王府井</t>
  </si>
  <si>
    <t>西安市碑林区南关正街88号王府井百货南馆1A02及2A02号商铺</t>
  </si>
  <si>
    <t>029-86780038</t>
  </si>
  <si>
    <t>CN000156</t>
  </si>
  <si>
    <t>CN0156</t>
  </si>
  <si>
    <t>HM</t>
  </si>
  <si>
    <t>西安怡丰城</t>
  </si>
  <si>
    <t>西安市碑林区二环南路西段155号海星未来城怡丰城1层</t>
  </si>
  <si>
    <t>029 - 8918 7508</t>
  </si>
  <si>
    <t>海恩斯莫里斯（上海）商业有限公司</t>
  </si>
  <si>
    <t>工行上海市南京西路支行</t>
  </si>
  <si>
    <t>1001207409216278433</t>
  </si>
  <si>
    <t>上海黄浦区黄陂北路227号中区广场19楼1901-1903室</t>
  </si>
  <si>
    <t>春节100元/人、五一劳动节100元/人、十一国庆节100元/人</t>
  </si>
  <si>
    <t xml:space="preserve"> </t>
  </si>
  <si>
    <t>数据缺失</t>
  </si>
  <si>
    <t>CN000202</t>
  </si>
  <si>
    <t>CN0202</t>
  </si>
  <si>
    <t>西安大唐西市</t>
  </si>
  <si>
    <t>西安市莲湖区劳动南路1号西安西市城购物中心, 6宫格地上一楼6F1112,二楼6F2118单元</t>
  </si>
  <si>
    <t>CN000239</t>
  </si>
  <si>
    <t>CN0239</t>
  </si>
  <si>
    <t>西安李家村万达</t>
  </si>
  <si>
    <t>西安市碑林区雁塔路北段8号西安万达商业广场1-17C,1-18A,1-18B,1-19,1-20B+及娱乐楼1F-AB单元</t>
  </si>
  <si>
    <t>029 - 8542 5238</t>
  </si>
  <si>
    <t>CN000331</t>
  </si>
  <si>
    <t>CN0331</t>
  </si>
  <si>
    <t>西安金莎国际</t>
  </si>
  <si>
    <t>西安市雁塔区长安中路65号西安小寨金莎商场一楼1F-01单元，二楼2F-01单元</t>
  </si>
  <si>
    <t>029 - 8964 0455</t>
  </si>
  <si>
    <t>CN000466</t>
  </si>
  <si>
    <t>CN0466</t>
  </si>
  <si>
    <t>西安阳光天地</t>
  </si>
  <si>
    <t>西安市高新区博士路60号西安阳光天地</t>
  </si>
  <si>
    <t>029 - 8110 2383</t>
  </si>
  <si>
    <t>GS035344</t>
  </si>
  <si>
    <t>035344</t>
  </si>
  <si>
    <t>guess</t>
  </si>
  <si>
    <t>西安赛格</t>
  </si>
  <si>
    <t>深圳梵谷工程项目管理有限公司</t>
  </si>
  <si>
    <t>西安市雁塔区长安中路123号赛格国际购物中心二层GUESS专柜</t>
  </si>
  <si>
    <t>029-89327819</t>
  </si>
  <si>
    <t>机时商贸（上海）有限公司</t>
  </si>
  <si>
    <t>91310000798923073C</t>
  </si>
  <si>
    <t>汇丰银行（中国）有限公司上海香港广场支行</t>
  </si>
  <si>
    <t>404016-721-011716-001</t>
  </si>
  <si>
    <t>上海市浦东新区南泉北路45号2号楼256室</t>
  </si>
  <si>
    <t>021-61576164</t>
  </si>
  <si>
    <t>上海市南京西路288号18楼</t>
  </si>
  <si>
    <t>VICKY</t>
  </si>
  <si>
    <t>白天20，晚上25</t>
  </si>
  <si>
    <t>段民玲</t>
  </si>
  <si>
    <t>杜军</t>
  </si>
  <si>
    <t>FW2019004</t>
  </si>
  <si>
    <t>2019.2.1-2019.12.31</t>
  </si>
  <si>
    <t>次月15号按月开</t>
  </si>
  <si>
    <t>小时加班单价出现2个数据20和21.6/节假日计算方式未体现五一、十一/大清人数数据不同2人和3人/总预算300和450</t>
  </si>
  <si>
    <t>GS035411</t>
  </si>
  <si>
    <t>035411</t>
  </si>
  <si>
    <t>西安新地城凯德广场</t>
  </si>
  <si>
    <t>西安市雁塔区二环南路西段64号1层10/11号</t>
  </si>
  <si>
    <t>029-85408313</t>
  </si>
  <si>
    <t>小时加班单价出现2个数据20和22.2/节假日计算方式未体现五一、十一</t>
  </si>
  <si>
    <t>GS035439</t>
  </si>
  <si>
    <t>035439</t>
  </si>
  <si>
    <t>西安MomoPark</t>
  </si>
  <si>
    <t>西安市雁塔区小寨西路232号MOMO PARK一层F1-15-b</t>
  </si>
  <si>
    <t>029-89350376</t>
  </si>
  <si>
    <t>预算比实际多一人/小时加班单价出现2个数据20和29.4/节假日计算方式未体现五一、十一</t>
  </si>
  <si>
    <t>GS033312</t>
  </si>
  <si>
    <t>033312</t>
  </si>
  <si>
    <t>西安赛特奥莱</t>
  </si>
  <si>
    <t>咸阳市秦汉新城渭城区迎宾大道北段4号1号楼，王府井赛特奥莱机场店1-108,1-109</t>
  </si>
  <si>
    <t xml:space="preserve">029-33635846  </t>
  </si>
  <si>
    <t>小时加班单价出现2个数据20和22.3/节假日计算方式未体现五一、十一</t>
  </si>
  <si>
    <t>PD008022</t>
  </si>
  <si>
    <t>CN10049964</t>
  </si>
  <si>
    <t>潘多拉</t>
  </si>
  <si>
    <t>西安珠江世纪金花</t>
  </si>
  <si>
    <t>西安市碑林区环城南路东段336号珠江世纪金花一楼Pandora店铺</t>
  </si>
  <si>
    <t>029-87876320</t>
  </si>
  <si>
    <t>潘多拉珠宝（上海）有限公司</t>
  </si>
  <si>
    <t>91310000329561305W</t>
  </si>
  <si>
    <t xml:space="preserve">汇丰银行(中国)有限公司上海分行 </t>
  </si>
  <si>
    <t>088496146001</t>
  </si>
  <si>
    <t>上海市徐汇区陕西南路288号二期15层1509-12室</t>
  </si>
  <si>
    <t xml:space="preserve"> 02-802169</t>
  </si>
  <si>
    <t>西安市莲湖区大兴路与星火路十字西南角G-Park广场1F06 PANDORA专柜</t>
  </si>
  <si>
    <t>程婉</t>
  </si>
  <si>
    <t>029-65695869</t>
  </si>
  <si>
    <t>小时加班单价出现2个数据20和21.6</t>
  </si>
  <si>
    <t>PD008024</t>
  </si>
  <si>
    <t>CN10052373</t>
  </si>
  <si>
    <t>西安东大街群光</t>
  </si>
  <si>
    <t>西安市新城区南新街群光广场购物中心一楼Pandora店铺</t>
  </si>
  <si>
    <t>029-87400259</t>
  </si>
  <si>
    <t>1月份有临时工/小时加班单价出现2个数据20和21.6/无合同编号和合同有效期</t>
  </si>
  <si>
    <t>PD008025</t>
  </si>
  <si>
    <t>CN10053685</t>
  </si>
  <si>
    <t>西安市碑林区长安北路261号西安SKP购物中心一楼Pandora店铺</t>
  </si>
  <si>
    <t>029-83698619</t>
  </si>
  <si>
    <t>小时加班单价出现2个数据20和23.3/无合同编号和合同有效期</t>
  </si>
  <si>
    <t>PD008026</t>
  </si>
  <si>
    <t>CN10054541</t>
  </si>
  <si>
    <t>西安市雁塔区长安中路123号赛格国际购物中心一楼Pandora店铺</t>
  </si>
  <si>
    <t>029-89329570</t>
  </si>
  <si>
    <t>甲方店号不一致/小时加班单价出现2个数据20和23.3/无合同编号和合同有效期</t>
  </si>
  <si>
    <t>PD008027</t>
  </si>
  <si>
    <t>CN10056657</t>
  </si>
  <si>
    <t>陕西省西安市雁塔区慈恩西路67号西安大悦城购物中心一楼Pandora店铺</t>
  </si>
  <si>
    <t>029-85720128</t>
  </si>
  <si>
    <t>小时加班单价出现2个数据20和24.3/无合同编号和合同有效期</t>
  </si>
  <si>
    <t>PD008106</t>
  </si>
  <si>
    <t>CN10049661</t>
  </si>
  <si>
    <t>西安高新世纪金花</t>
  </si>
  <si>
    <t>陕西省西安市高新区科技路33号世纪金花高新店一楼Pandora店铺</t>
  </si>
  <si>
    <t>029-62961231</t>
  </si>
  <si>
    <t>小时加班单价出现2个数据20和21.6/无合同编号和合同有效期</t>
  </si>
  <si>
    <t>VM1824</t>
  </si>
  <si>
    <t>VSFA</t>
  </si>
  <si>
    <t xml:space="preserve">西安市雁塔区慈恩西路69号曲江大悦城维多利亚的秘密店铺   </t>
  </si>
  <si>
    <t>021-23126485</t>
  </si>
  <si>
    <t>2019.4.7-2020.4.6</t>
  </si>
  <si>
    <t>次月10日前按月开</t>
  </si>
  <si>
    <t>（做一休一总计四人上班）春节100元/人</t>
  </si>
  <si>
    <t>待通知/见备注</t>
  </si>
  <si>
    <t>每月根据报价金额不同，调整人数，分别为8人和12人</t>
  </si>
  <si>
    <t>SF006271</t>
  </si>
  <si>
    <t>西安老城根店</t>
  </si>
  <si>
    <t>西安市莲湖区星火路22号老城根GPark1F27-28号</t>
  </si>
  <si>
    <t>029-65696186</t>
  </si>
  <si>
    <t>丝芙兰（北京）化妆品销售有限公司西安星火路分公司</t>
  </si>
  <si>
    <t>91610104MA6TYXQ72R</t>
  </si>
  <si>
    <t>3700051309100015118</t>
  </si>
  <si>
    <t>(029) 6569 6186</t>
  </si>
  <si>
    <t>郑改霞</t>
  </si>
  <si>
    <t>SF006041</t>
  </si>
  <si>
    <t>西安兴正元广场店</t>
  </si>
  <si>
    <t>西安市碑林区东大街骡马市1号兴正元广场二楼西区</t>
  </si>
  <si>
    <t>029-87656120</t>
  </si>
  <si>
    <t>丝芙兰（北京）化妆品销售有限公司西安骡马市分公司</t>
  </si>
  <si>
    <t>91610103678625573L</t>
  </si>
  <si>
    <t>103608719196</t>
  </si>
  <si>
    <t>中国银行西安芙蓉西路支行</t>
  </si>
  <si>
    <t>(029) 8765 6120</t>
  </si>
  <si>
    <t>SF006167</t>
  </si>
  <si>
    <t>西安银泰钟楼</t>
  </si>
  <si>
    <t>西安市莲湖区西大街48号银泰商场F1-01号/西安市碑林区西大街48号中环银泰城</t>
  </si>
  <si>
    <t>029-87230456</t>
  </si>
  <si>
    <t>丝芙兰（北京）化妆品销售有限公司西安西大街分公司</t>
  </si>
  <si>
    <t>91610104073419080B</t>
  </si>
  <si>
    <t>西安市莲湖区西大街48号银泰商场F1-01号</t>
  </si>
  <si>
    <t>3700021209200072076</t>
  </si>
  <si>
    <t>工行西安钟楼支行</t>
  </si>
  <si>
    <t>(029)87230456</t>
  </si>
  <si>
    <t>CN000324</t>
  </si>
  <si>
    <t>CN0324</t>
  </si>
  <si>
    <t>西安大明宫万达</t>
  </si>
  <si>
    <t>陕西省西安市未央区大明宫街道 太华北路369号西安大明宫万达广场1楼1A单元 HM店铺</t>
  </si>
  <si>
    <t>029 - 8611 5402</t>
  </si>
  <si>
    <t>CN000351</t>
  </si>
  <si>
    <t>CN0351</t>
  </si>
  <si>
    <t>西安民乐园万达</t>
  </si>
  <si>
    <t>陕西省西安市新城区中山门街道 解放路111号西安民乐园万达广场一楼103，二楼201单元 HM店铺</t>
  </si>
  <si>
    <t>029 - 8739 0412</t>
  </si>
  <si>
    <t>CN000434</t>
  </si>
  <si>
    <t>CN0434</t>
  </si>
  <si>
    <t>西安印象城</t>
  </si>
  <si>
    <t>西安市未央区未央路33号印象城购物中心HM店铺</t>
  </si>
  <si>
    <t>029 - 8937 9380</t>
  </si>
  <si>
    <t>CN000464</t>
  </si>
  <si>
    <t>CN0464</t>
  </si>
  <si>
    <t>西安熙地港</t>
  </si>
  <si>
    <t>西安市凤城八路与未央路交汇处熙地港购物中心/西安市未央区凤城七路熙地港购物中心一层HM店铺</t>
  </si>
  <si>
    <t>029 - 8131 7709</t>
  </si>
  <si>
    <t>CN000521</t>
  </si>
  <si>
    <t>CN0521</t>
  </si>
  <si>
    <t>西安万象城</t>
  </si>
  <si>
    <t>陕西省西安市未央区三桥新街万象城HM店铺</t>
  </si>
  <si>
    <t>029 - 8959 9571</t>
  </si>
  <si>
    <t>MK000757</t>
  </si>
  <si>
    <t>CN0757</t>
  </si>
  <si>
    <t>Monki</t>
  </si>
  <si>
    <t>西安熙地港MONKIN</t>
  </si>
  <si>
    <t>西安市凤城八路与未央路交汇处熙地港购物中心</t>
  </si>
  <si>
    <t>029 - 89163248</t>
  </si>
  <si>
    <t>CN000420</t>
  </si>
  <si>
    <t>CN0420</t>
  </si>
  <si>
    <t xml:space="preserve">西安华阳城 </t>
  </si>
  <si>
    <t>西安市灞桥区长安东路与纺渭路交汇处西北华阳城购物中心一楼HM</t>
  </si>
  <si>
    <t>029 - 8362 0902</t>
  </si>
  <si>
    <t>GS033324</t>
  </si>
  <si>
    <t>033324</t>
  </si>
  <si>
    <t>西安砂之船奥特莱斯</t>
  </si>
  <si>
    <t>陕西省西安市浐灞生态区世博大道5001号砂之船奥莱 一层1-B-47/48</t>
  </si>
  <si>
    <t>029-83490791</t>
  </si>
  <si>
    <t>GS035367</t>
  </si>
  <si>
    <t>035367</t>
  </si>
  <si>
    <t>西安市未央区三桥新街1076号华润万象城L171</t>
  </si>
  <si>
    <t>029-89307765</t>
  </si>
  <si>
    <t>GS035386</t>
  </si>
  <si>
    <t>035386</t>
  </si>
  <si>
    <t>西安老城根</t>
  </si>
  <si>
    <t>西安莲湖区星火路22号1楼34</t>
  </si>
  <si>
    <t>029-68777987</t>
  </si>
  <si>
    <t>GS035451</t>
  </si>
  <si>
    <t>035451</t>
  </si>
  <si>
    <t>西安大融城</t>
  </si>
  <si>
    <t>西安市经济开发区凤城七路51号西安大融城L1-45</t>
  </si>
  <si>
    <t>029-89293644</t>
  </si>
  <si>
    <t>PD008023</t>
  </si>
  <si>
    <t>CN10049500</t>
  </si>
  <si>
    <t>陕西省西安市莲湖区大兴东路附一号G-Park购物广场一楼Pandora店铺</t>
  </si>
  <si>
    <t>ADM</t>
  </si>
  <si>
    <t>安德玛</t>
  </si>
  <si>
    <t>西安临潼奥莱</t>
  </si>
  <si>
    <t>上海宏正嘉物业管理有限公司</t>
  </si>
  <si>
    <t>陕西省西安市临潼区凤凰大道赛特奥莱1楼</t>
  </si>
  <si>
    <t>029-83910200</t>
  </si>
  <si>
    <t>陈龙</t>
  </si>
  <si>
    <t>每月一次/见备注</t>
  </si>
  <si>
    <t>2018.2.1-2019.1.31</t>
  </si>
  <si>
    <t>使用机器</t>
  </si>
  <si>
    <t>CN000506</t>
  </si>
  <si>
    <t>CN0506</t>
  </si>
  <si>
    <t>宝鸡</t>
  </si>
  <si>
    <t>宝鸡天下汇</t>
  </si>
  <si>
    <t>陕西省宝鸡市渭滨区马营镇渭滨区高新大道5号天下汇一层HM服装店</t>
  </si>
  <si>
    <t>0917 - 323 6070</t>
  </si>
  <si>
    <t>CN000500</t>
  </si>
  <si>
    <t>CN0500</t>
  </si>
  <si>
    <t>渭南</t>
  </si>
  <si>
    <t>渭南吾悦广场</t>
  </si>
  <si>
    <t>陕西省渭南市临渭区仓程路与胜利大街交汇处南400米路西新洲华盛购物中心东南角HM</t>
  </si>
  <si>
    <t>0913 - 859 0630</t>
  </si>
  <si>
    <t>CN000453</t>
  </si>
  <si>
    <t>CN0453</t>
  </si>
  <si>
    <t>咸阳</t>
  </si>
  <si>
    <t>咸阳丽彩万达广场</t>
  </si>
  <si>
    <t>陕西省咸阳市秦都区玉泉东路10号丽彩万达广场</t>
  </si>
  <si>
    <t>029 - 3362 9510</t>
  </si>
  <si>
    <t>CN000265</t>
  </si>
  <si>
    <t>CN0265</t>
  </si>
  <si>
    <t>西安钟楼</t>
  </si>
  <si>
    <t>西安市碑林区南大街美伊八号一层</t>
  </si>
  <si>
    <t>关闭</t>
  </si>
  <si>
    <t>PD008021</t>
  </si>
  <si>
    <t>M30153</t>
  </si>
  <si>
    <t>西安西大街百盛</t>
  </si>
  <si>
    <t>西安市西大街101号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</si>
</sst>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b/>
      <sz val="9"/>
      <name val="宋体"/>
      <charset val="134"/>
    </font>
    <font>
      <sz val="9"/>
      <name val="等线"/>
      <family val="2"/>
      <charset val="134"/>
      <scheme val="minor"/>
    </font>
    <font>
      <sz val="9"/>
      <color theme="1"/>
      <name val="宋体"/>
      <charset val="134"/>
    </font>
    <font>
      <sz val="9"/>
      <color theme="1"/>
      <name val="等线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17" fontId="2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3" borderId="0" xfId="0" applyFont="1" applyFill="1"/>
    <xf numFmtId="0" fontId="5" fillId="0" borderId="0" xfId="0" applyFont="1" applyAlignment="1">
      <alignment horizontal="center"/>
    </xf>
  </cellXfs>
  <cellStyles count="2">
    <cellStyle name="Normal" xfId="0" builtinId="0"/>
    <cellStyle name="常规 3" xfId="1" xr:uid="{F49EC097-3564-4FC6-8B45-829288EBE245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none"/>
      </font>
      <alignment horizontal="center" vertical="bottom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宋体"/>
        <scheme val="none"/>
      </font>
      <numFmt numFmtId="22" formatCode="mmm/yy"/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FE7465-DCFC-4222-9221-B179435E62C5}" name="Table1" displayName="Table1" ref="A1:BE48" totalsRowShown="0" headerRowDxfId="59" dataDxfId="57" headerRowBorderDxfId="58" headerRowCellStyle="常规 3">
  <autoFilter ref="A1:BE48" xr:uid="{00000000-0009-0000-0100-000001000000}"/>
  <sortState ref="A2:BE48">
    <sortCondition ref="B1:B48"/>
  </sortState>
  <tableColumns count="57">
    <tableColumn id="1" xr3:uid="{D53DA868-219A-4F0F-8932-C8E8ED3F98AA}" name="内部CODE" dataDxfId="56"/>
    <tableColumn id="2" xr3:uid="{888FE5C6-6331-44F0-BE35-8A4C0DAE8B9B}" name="甲方店号" dataDxfId="55"/>
    <tableColumn id="3" xr3:uid="{71AF21AE-F0E5-44E7-A0F8-D5C3867DDCD3}" name="城市" dataDxfId="54"/>
    <tableColumn id="4" xr3:uid="{96EEF07F-D22C-49FF-8164-1DECA89E2035}" name="督导城市" dataDxfId="53"/>
    <tableColumn id="5" xr3:uid="{F15B3D99-B7EA-4AAA-9133-B387F0C60409}" name="品牌" dataDxfId="52"/>
    <tableColumn id="6" xr3:uid="{6FDC6D2E-7FB9-409E-9F18-FF5E4F8730E8}" name="店铺名称" dataDxfId="51"/>
    <tableColumn id="7" xr3:uid="{C7CE53BF-7032-4042-9A45-48AB587D957B}" name="公司名称" dataDxfId="50"/>
    <tableColumn id="8" xr3:uid="{6F890284-96B3-4680-A5D7-13FF484861AC}" name="区域" dataDxfId="49"/>
    <tableColumn id="9" xr3:uid="{42D21E59-9B09-47F6-BE82-A4BD2EB0E55C}" name="店铺地址" dataDxfId="48"/>
    <tableColumn id="10" xr3:uid="{8E100320-0ACF-47DA-BBEE-36C717F1350B}" name="店铺电话" dataDxfId="47"/>
    <tableColumn id="11" xr3:uid="{7685090A-0153-4A8E-B52F-1A1E05C36B07}" name="客户名称" dataDxfId="46"/>
    <tableColumn id="12" xr3:uid="{DA05324D-8F3E-4747-8791-1A3785920064}" name="客户税号" dataDxfId="45"/>
    <tableColumn id="13" xr3:uid="{1311CCCC-4CB3-49F8-8B37-51A5A0A84DAB}" name="发票类型" dataDxfId="44"/>
    <tableColumn id="14" xr3:uid="{B6C8CC66-6C78-4B84-8BEC-3FDFFBB81914}" name="客户开户行" dataDxfId="43"/>
    <tableColumn id="15" xr3:uid="{7B0C43BF-3BE3-4736-AAF6-9C3A413FBCB5}" name="客户银行账号" dataDxfId="42"/>
    <tableColumn id="16" xr3:uid="{5B60AA51-0BF2-4555-B969-468581259EB2}" name="客户开票资料地址" dataDxfId="41"/>
    <tableColumn id="17" xr3:uid="{6B77C4B7-41D0-42C5-9F1D-F056B230E182}" name="客户开票资料电话" dataDxfId="40"/>
    <tableColumn id="18" xr3:uid="{AC851490-8E86-4F6D-B85F-2A691EFEB841}" name="发票快递地址" dataDxfId="39"/>
    <tableColumn id="19" xr3:uid="{5221FD0C-48B6-457F-B593-36AD32464DE4}" name="收件人" dataDxfId="38"/>
    <tableColumn id="20" xr3:uid="{0FCF7FDA-8E26-481B-9E45-D5961B12B2CB}" name="收件人电话" dataDxfId="37"/>
    <tableColumn id="21" xr3:uid="{24D5B468-92E8-4FAA-91C6-0775D2EAEF9C}" name="品牌负责人" dataDxfId="36"/>
    <tableColumn id="22" xr3:uid="{5EF4B6C0-846B-4DFE-AC7F-9C63EF595C80}" name="区域负责人" dataDxfId="35"/>
    <tableColumn id="23" xr3:uid="{CF050128-29A1-4324-8E5E-63251EE0E99A}" name="物流司机电话" dataDxfId="34"/>
    <tableColumn id="24" xr3:uid="{50127A5B-947D-45A5-8F57-1CDE9C15C3F3}" name="区主管" dataDxfId="33"/>
    <tableColumn id="25" xr3:uid="{93DEDA54-1256-4064-A358-5206AD505AF8}" name="城市督导" dataDxfId="32"/>
    <tableColumn id="26" xr3:uid="{17B1F577-50F9-48ED-9219-E99466C5EE62}" name="城市督导绩效" dataDxfId="31"/>
    <tableColumn id="27" xr3:uid="{9318DEEA-E64B-47B5-9024-8F08A5B4540F}" name="合同人数" dataDxfId="30"/>
    <tableColumn id="28" xr3:uid="{6D1E6768-C3F0-4BE9-A167-556294A18AC1}" name="合同小时数/天" dataDxfId="29"/>
    <tableColumn id="29" xr3:uid="{355AAE87-CF38-441E-9C8D-B10D2A7031FF}" name="店铺面积" dataDxfId="28"/>
    <tableColumn id="30" xr3:uid="{EAD78364-E8CF-4AB8-993E-23804702B28C}" name="月固定营业额" dataDxfId="27"/>
    <tableColumn id="31" xr3:uid="{14F52571-B93D-44B0-8080-A7C8A94E0585}" name="加班单价" dataDxfId="26"/>
    <tableColumn id="32" xr3:uid="{B23BE1CE-459E-4064-A6C3-2BB2D551D635}" name="预算成本" dataDxfId="25"/>
    <tableColumn id="33" xr3:uid="{622ED82E-7BC9-4118-AF42-EE6B6C48E738}" name="实际工作人数" dataDxfId="24"/>
    <tableColumn id="34" xr3:uid="{AAA788E3-59E5-43AC-8F31-93DFB7728275}" name="实际工作天数" dataDxfId="23"/>
    <tableColumn id="35" xr3:uid="{50CA6792-AF1B-47FA-A9E0-7A217A997E80}" name="实际小时数" dataDxfId="22"/>
    <tableColumn id="36" xr3:uid="{6F63B796-2486-4EF8-9481-BFD0DA2C70AE}" name="实际月固定人工成本（不含税费）" dataDxfId="21"/>
    <tableColumn id="37" xr3:uid="{4116078B-7DB4-41F9-9C18-F01AEFC80A68}" name="节假日方式" dataDxfId="20"/>
    <tableColumn id="38" xr3:uid="{4EB88AFD-070B-4129-A323-C028A70E2CAF}" name="支付周期" dataDxfId="19"/>
    <tableColumn id="39" xr3:uid="{B8DBC0BF-8FFC-4F5C-B9C0-5D11E3016208}" name="劳务工结算方式" dataDxfId="18"/>
    <tableColumn id="40" xr3:uid="{A2F1EE3B-8C11-4F70-8A23-C4B9A3963334}" name="月清洁工具预算" dataDxfId="17"/>
    <tableColumn id="41" xr3:uid="{97A1C01E-4809-48D5-8A4C-5A7625AEA658}" name="月店铺材料预算" dataDxfId="16"/>
    <tableColumn id="42" xr3:uid="{8789615C-9EAA-4068-9C9B-BAEE85F076C7}" name="月耗材预算" dataDxfId="15"/>
    <tableColumn id="43" xr3:uid="{831E03C7-25E8-4EEC-8216-1CC963CEC9D7}" name="固定资产编号" dataDxfId="14"/>
    <tableColumn id="44" xr3:uid="{1EEFB76B-39C5-4378-B1E3-3F6B565D9823}" name="账期" dataDxfId="13"/>
    <tableColumn id="45" xr3:uid="{BB6A3BA3-2A55-4FE9-B1DA-E4D44B1C7AA3}" name="大清人数" dataDxfId="12"/>
    <tableColumn id="46" xr3:uid="{215D1053-DCF2-4EA8-9703-850628E40C95}" name="大清单价预算" dataDxfId="11"/>
    <tableColumn id="47" xr3:uid="{558D3328-35AD-4459-8FE5-5447BCA49811}" name="大清总预算" dataDxfId="10"/>
    <tableColumn id="48" xr3:uid="{B2B398F3-6329-4B02-8B14-D1BA17064112}" name="大清频率" dataDxfId="9"/>
    <tableColumn id="49" xr3:uid="{22F20700-16C6-4852-9851-86A46E2E49FD}" name="大清实际成本" dataDxfId="8"/>
    <tableColumn id="50" xr3:uid="{A995572B-E102-40FD-AC94-B3D0F6686364}" name="薪资专员" dataDxfId="7"/>
    <tableColumn id="51" xr3:uid="{239C0CBF-7FDC-46DA-931B-2AC4CCA5D92F}" name="会计" dataDxfId="6"/>
    <tableColumn id="52" xr3:uid="{188C2BA8-B223-46BC-AB91-4E47BF22D271}" name="付款、开票出纳" dataDxfId="5"/>
    <tableColumn id="53" xr3:uid="{0863E06B-4E63-4226-B7F7-659D02DFB4CC}" name="合同编号" dataDxfId="4"/>
    <tableColumn id="54" xr3:uid="{50F97827-FF00-4FE0-B73C-515158041BFE}" name="合同有效期" dataDxfId="3"/>
    <tableColumn id="55" xr3:uid="{50EA106D-9540-44EA-87A7-7A871EDDA5B0}" name="开票时间及周期" dataDxfId="2"/>
    <tableColumn id="56" xr3:uid="{565996A3-3A75-45B7-A0F1-89D9BFAA3C42}" name="预算成本与实际的差异" dataDxfId="1"/>
    <tableColumn id="57" xr3:uid="{FF8E54D6-AB75-4435-AD29-9FC1025FA2FF}" name="备注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B1D1F-66FF-4522-886E-426FDE32C7D5}">
  <sheetPr codeName="Sheet1"/>
  <dimension ref="A1:BF52"/>
  <sheetViews>
    <sheetView tabSelected="1" workbookViewId="0">
      <pane xSplit="2" ySplit="1" topLeftCell="V2" activePane="bottomRight" state="frozen"/>
      <selection pane="topRight" activeCell="C1" sqref="C1"/>
      <selection pane="bottomLeft" activeCell="A2" sqref="A2"/>
      <selection pane="bottomRight" activeCell="AA25" sqref="AA25"/>
    </sheetView>
  </sheetViews>
  <sheetFormatPr defaultColWidth="9" defaultRowHeight="12" x14ac:dyDescent="0.2"/>
  <cols>
    <col min="1" max="1" width="9.5" style="2" customWidth="1"/>
    <col min="2" max="2" width="9.25" style="2" customWidth="1"/>
    <col min="3" max="3" width="6" style="2" customWidth="1"/>
    <col min="4" max="4" width="9.25" style="2" customWidth="1"/>
    <col min="5" max="5" width="10.5" style="3" customWidth="1"/>
    <col min="6" max="6" width="15.5" style="3" customWidth="1"/>
    <col min="7" max="7" width="23.875" style="7" customWidth="1"/>
    <col min="8" max="8" width="4.75" style="7" customWidth="1"/>
    <col min="9" max="9" width="73" style="3" customWidth="1"/>
    <col min="10" max="10" width="13" style="3" customWidth="1"/>
    <col min="11" max="11" width="43.875" style="7" customWidth="1"/>
    <col min="12" max="12" width="15.5" style="7" customWidth="1"/>
    <col min="13" max="13" width="12.25" style="7" customWidth="1"/>
    <col min="14" max="14" width="52.125" style="7" customWidth="1"/>
    <col min="15" max="15" width="18" style="7" customWidth="1"/>
    <col min="16" max="16" width="38.875" style="7" customWidth="1"/>
    <col min="17" max="17" width="13" style="7" customWidth="1"/>
    <col min="18" max="18" width="52.125" style="7" customWidth="1"/>
    <col min="19" max="19" width="8.25" style="7" customWidth="1"/>
    <col min="20" max="20" width="10.5" style="7" customWidth="1"/>
    <col min="21" max="22" width="10.875" style="2" customWidth="1"/>
    <col min="23" max="23" width="12.5" style="2" customWidth="1"/>
    <col min="24" max="24" width="7.625" style="2" customWidth="1"/>
    <col min="25" max="25" width="9.25" style="2" customWidth="1"/>
    <col min="26" max="26" width="12.5" style="2" customWidth="1"/>
    <col min="27" max="27" width="9.25" style="2" customWidth="1"/>
    <col min="28" max="28" width="13.375" style="2" customWidth="1"/>
    <col min="29" max="29" width="9.25" style="7" customWidth="1"/>
    <col min="30" max="30" width="9.75" style="7" customWidth="1"/>
    <col min="31" max="31" width="13.875" style="2" customWidth="1"/>
    <col min="32" max="32" width="9.25" style="2" customWidth="1"/>
    <col min="33" max="34" width="12.5" style="2" customWidth="1"/>
    <col min="35" max="35" width="10.875" style="2" customWidth="1"/>
    <col min="36" max="36" width="27.125" style="2" customWidth="1"/>
    <col min="37" max="37" width="43.375" style="3" customWidth="1"/>
    <col min="38" max="38" width="14.75" style="3" customWidth="1"/>
    <col min="39" max="41" width="14.125" style="2" customWidth="1"/>
    <col min="42" max="42" width="10.875" style="2" customWidth="1"/>
    <col min="43" max="43" width="12.5" style="7" customWidth="1"/>
    <col min="44" max="44" width="6" style="7" customWidth="1"/>
    <col min="45" max="45" width="9.25" style="2" customWidth="1"/>
    <col min="46" max="46" width="12.5" style="2" customWidth="1"/>
    <col min="47" max="47" width="10.875" style="2" customWidth="1"/>
    <col min="48" max="48" width="9.25" style="2" customWidth="1"/>
    <col min="49" max="49" width="12.5" style="2" customWidth="1"/>
    <col min="50" max="50" width="9.25" style="2" customWidth="1"/>
    <col min="51" max="51" width="6" style="2" customWidth="1"/>
    <col min="52" max="52" width="14.125" style="2" customWidth="1"/>
    <col min="53" max="53" width="8.25" style="2" customWidth="1"/>
    <col min="54" max="54" width="16.375" style="2" customWidth="1"/>
    <col min="55" max="55" width="12.25" style="2" customWidth="1"/>
    <col min="56" max="56" width="8" style="2" customWidth="1"/>
    <col min="57" max="57" width="15.5" style="2" customWidth="1"/>
    <col min="58" max="16384" width="9" style="2"/>
  </cols>
  <sheetData>
    <row r="1" spans="1:58" ht="34.5" thickBo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</row>
    <row r="2" spans="1:58" s="4" customFormat="1" thickTop="1" x14ac:dyDescent="0.15">
      <c r="A2" s="2" t="s">
        <v>120</v>
      </c>
      <c r="B2" s="2">
        <v>1029</v>
      </c>
      <c r="C2" s="2" t="s">
        <v>58</v>
      </c>
      <c r="D2" s="2" t="s">
        <v>58</v>
      </c>
      <c r="E2" s="3" t="s">
        <v>121</v>
      </c>
      <c r="F2" s="3" t="s">
        <v>122</v>
      </c>
      <c r="G2" s="2" t="s">
        <v>61</v>
      </c>
      <c r="H2" s="2" t="s">
        <v>62</v>
      </c>
      <c r="I2" s="3" t="s">
        <v>123</v>
      </c>
      <c r="J2" s="3" t="s">
        <v>124</v>
      </c>
      <c r="K2" s="2" t="s">
        <v>125</v>
      </c>
      <c r="L2" s="2" t="s">
        <v>126</v>
      </c>
      <c r="M2" s="2" t="s">
        <v>67</v>
      </c>
      <c r="N2" s="2" t="s">
        <v>127</v>
      </c>
      <c r="O2" s="2" t="s">
        <v>128</v>
      </c>
      <c r="P2" s="2" t="s">
        <v>129</v>
      </c>
      <c r="Q2" s="2" t="s">
        <v>130</v>
      </c>
      <c r="R2" s="2" t="s">
        <v>131</v>
      </c>
      <c r="S2" s="2" t="s">
        <v>132</v>
      </c>
      <c r="T2" s="2" t="s">
        <v>133</v>
      </c>
      <c r="U2" s="2" t="s">
        <v>134</v>
      </c>
      <c r="V2" s="2" t="s">
        <v>74</v>
      </c>
      <c r="W2" s="2"/>
      <c r="X2" s="2" t="s">
        <v>75</v>
      </c>
      <c r="Y2" s="2" t="s">
        <v>76</v>
      </c>
      <c r="Z2" s="2">
        <v>50</v>
      </c>
      <c r="AA2" s="2">
        <v>1</v>
      </c>
      <c r="AB2" s="2">
        <v>2</v>
      </c>
      <c r="AC2" s="2"/>
      <c r="AD2" s="2">
        <v>1603.7735849056601</v>
      </c>
      <c r="AE2" s="2">
        <v>18</v>
      </c>
      <c r="AF2" s="2">
        <v>950</v>
      </c>
      <c r="AG2" s="2">
        <v>1</v>
      </c>
      <c r="AH2" s="2">
        <v>31</v>
      </c>
      <c r="AI2" s="2">
        <v>2</v>
      </c>
      <c r="AJ2" s="2">
        <v>1100</v>
      </c>
      <c r="AK2" s="3" t="s">
        <v>77</v>
      </c>
      <c r="AL2" s="3" t="s">
        <v>135</v>
      </c>
      <c r="AM2" s="2" t="s">
        <v>79</v>
      </c>
      <c r="AN2" s="2"/>
      <c r="AO2" s="2"/>
      <c r="AP2" s="2">
        <v>15</v>
      </c>
      <c r="AQ2" s="2"/>
      <c r="AR2" s="2">
        <v>60</v>
      </c>
      <c r="AS2" s="2"/>
      <c r="AT2" s="2"/>
      <c r="AU2" s="2"/>
      <c r="AV2" s="2"/>
      <c r="AW2" s="2"/>
      <c r="AX2" s="2" t="s">
        <v>81</v>
      </c>
      <c r="AY2" s="2" t="s">
        <v>82</v>
      </c>
      <c r="AZ2" s="2" t="s">
        <v>83</v>
      </c>
      <c r="BA2" s="2"/>
      <c r="BB2" s="2"/>
      <c r="BC2" s="2" t="s">
        <v>136</v>
      </c>
      <c r="BD2" s="2"/>
      <c r="BE2" s="2" t="s">
        <v>137</v>
      </c>
      <c r="BF2" s="2"/>
    </row>
    <row r="3" spans="1:58" s="4" customFormat="1" ht="11.25" x14ac:dyDescent="0.15">
      <c r="A3" s="2" t="s">
        <v>138</v>
      </c>
      <c r="B3" s="2">
        <v>1030</v>
      </c>
      <c r="C3" s="2" t="s">
        <v>58</v>
      </c>
      <c r="D3" s="2" t="s">
        <v>58</v>
      </c>
      <c r="E3" s="3" t="s">
        <v>121</v>
      </c>
      <c r="F3" s="3" t="s">
        <v>139</v>
      </c>
      <c r="G3" s="2" t="s">
        <v>61</v>
      </c>
      <c r="H3" s="2" t="s">
        <v>62</v>
      </c>
      <c r="I3" s="3" t="s">
        <v>140</v>
      </c>
      <c r="J3" s="3" t="s">
        <v>141</v>
      </c>
      <c r="K3" s="2" t="s">
        <v>125</v>
      </c>
      <c r="L3" s="2" t="s">
        <v>126</v>
      </c>
      <c r="M3" s="2" t="s">
        <v>67</v>
      </c>
      <c r="N3" s="2" t="s">
        <v>127</v>
      </c>
      <c r="O3" s="2" t="s">
        <v>128</v>
      </c>
      <c r="P3" s="2" t="s">
        <v>129</v>
      </c>
      <c r="Q3" s="2" t="s">
        <v>130</v>
      </c>
      <c r="R3" s="2" t="s">
        <v>131</v>
      </c>
      <c r="S3" s="2" t="s">
        <v>132</v>
      </c>
      <c r="T3" s="2" t="s">
        <v>133</v>
      </c>
      <c r="U3" s="2" t="s">
        <v>134</v>
      </c>
      <c r="V3" s="2" t="s">
        <v>74</v>
      </c>
      <c r="W3" s="2"/>
      <c r="X3" s="2" t="s">
        <v>75</v>
      </c>
      <c r="Y3" s="2" t="s">
        <v>76</v>
      </c>
      <c r="Z3" s="2">
        <v>50</v>
      </c>
      <c r="AA3" s="2">
        <v>1</v>
      </c>
      <c r="AB3" s="2">
        <v>1</v>
      </c>
      <c r="AC3" s="2"/>
      <c r="AD3" s="2">
        <v>1132.0754716981101</v>
      </c>
      <c r="AE3" s="2">
        <v>23</v>
      </c>
      <c r="AF3" s="2">
        <v>700</v>
      </c>
      <c r="AG3" s="2">
        <v>1</v>
      </c>
      <c r="AH3" s="2">
        <v>31</v>
      </c>
      <c r="AI3" s="2">
        <v>1</v>
      </c>
      <c r="AJ3" s="2">
        <v>700</v>
      </c>
      <c r="AK3" s="3" t="s">
        <v>77</v>
      </c>
      <c r="AL3" s="3" t="s">
        <v>135</v>
      </c>
      <c r="AM3" s="2" t="s">
        <v>79</v>
      </c>
      <c r="AN3" s="2"/>
      <c r="AO3" s="2"/>
      <c r="AP3" s="2">
        <v>15</v>
      </c>
      <c r="AQ3" s="2"/>
      <c r="AR3" s="2">
        <v>60</v>
      </c>
      <c r="AS3" s="2"/>
      <c r="AT3" s="2"/>
      <c r="AU3" s="2"/>
      <c r="AV3" s="2"/>
      <c r="AW3" s="2"/>
      <c r="AX3" s="2" t="s">
        <v>81</v>
      </c>
      <c r="AY3" s="2" t="s">
        <v>82</v>
      </c>
      <c r="AZ3" s="2" t="s">
        <v>83</v>
      </c>
      <c r="BA3" s="2"/>
      <c r="BB3" s="2"/>
      <c r="BC3" s="2" t="s">
        <v>136</v>
      </c>
      <c r="BD3" s="2"/>
      <c r="BE3" s="2" t="s">
        <v>137</v>
      </c>
      <c r="BF3" s="2"/>
    </row>
    <row r="4" spans="1:58" s="4" customFormat="1" ht="11.25" x14ac:dyDescent="0.15">
      <c r="A4" s="2" t="s">
        <v>367</v>
      </c>
      <c r="B4" s="2">
        <v>1349</v>
      </c>
      <c r="C4" s="2" t="s">
        <v>58</v>
      </c>
      <c r="D4" s="2" t="s">
        <v>58</v>
      </c>
      <c r="E4" s="3" t="s">
        <v>368</v>
      </c>
      <c r="F4" s="3" t="s">
        <v>369</v>
      </c>
      <c r="G4" s="2" t="s">
        <v>370</v>
      </c>
      <c r="H4" s="2" t="s">
        <v>62</v>
      </c>
      <c r="I4" s="3" t="s">
        <v>371</v>
      </c>
      <c r="J4" s="3" t="s">
        <v>372</v>
      </c>
      <c r="K4" s="2"/>
      <c r="L4" s="2"/>
      <c r="M4" s="2"/>
      <c r="N4" s="2"/>
      <c r="O4" s="2"/>
      <c r="P4" s="2"/>
      <c r="Q4" s="2"/>
      <c r="R4" s="2"/>
      <c r="S4" s="2"/>
      <c r="T4" s="2"/>
      <c r="U4" s="2" t="s">
        <v>373</v>
      </c>
      <c r="V4" s="2"/>
      <c r="W4" s="2"/>
      <c r="X4" s="2" t="s">
        <v>75</v>
      </c>
      <c r="Y4" s="2" t="s">
        <v>289</v>
      </c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3"/>
      <c r="AL4" s="3"/>
      <c r="AM4" s="2" t="s">
        <v>79</v>
      </c>
      <c r="AN4" s="2"/>
      <c r="AO4" s="2"/>
      <c r="AP4" s="2"/>
      <c r="AQ4" s="2"/>
      <c r="AR4" s="2">
        <v>90</v>
      </c>
      <c r="AS4" s="2">
        <v>4</v>
      </c>
      <c r="AT4" s="2">
        <v>150</v>
      </c>
      <c r="AU4" s="2">
        <v>600</v>
      </c>
      <c r="AV4" s="3" t="s">
        <v>374</v>
      </c>
      <c r="AW4" s="2"/>
      <c r="AX4" s="2" t="s">
        <v>373</v>
      </c>
      <c r="AY4" s="2" t="s">
        <v>150</v>
      </c>
      <c r="AZ4" s="2" t="s">
        <v>150</v>
      </c>
      <c r="BA4" s="2"/>
      <c r="BB4" s="2" t="s">
        <v>375</v>
      </c>
      <c r="BC4" s="2" t="s">
        <v>209</v>
      </c>
      <c r="BD4" s="2"/>
      <c r="BE4" s="2" t="s">
        <v>376</v>
      </c>
      <c r="BF4" s="2"/>
    </row>
    <row r="5" spans="1:58" s="4" customFormat="1" ht="11.25" x14ac:dyDescent="0.15">
      <c r="A5" s="2" t="s">
        <v>272</v>
      </c>
      <c r="B5" s="2">
        <v>1824</v>
      </c>
      <c r="C5" s="2" t="s">
        <v>58</v>
      </c>
      <c r="D5" s="2" t="s">
        <v>58</v>
      </c>
      <c r="E5" s="3" t="s">
        <v>273</v>
      </c>
      <c r="F5" s="3" t="s">
        <v>60</v>
      </c>
      <c r="G5" s="2" t="s">
        <v>145</v>
      </c>
      <c r="H5" s="2" t="s">
        <v>62</v>
      </c>
      <c r="I5" s="3" t="s">
        <v>274</v>
      </c>
      <c r="J5" s="3" t="s">
        <v>275</v>
      </c>
      <c r="K5" s="2"/>
      <c r="L5" s="2"/>
      <c r="M5" s="2"/>
      <c r="N5" s="2"/>
      <c r="O5" s="2"/>
      <c r="P5" s="2"/>
      <c r="Q5" s="2"/>
      <c r="R5" s="2"/>
      <c r="S5" s="2"/>
      <c r="T5" s="2"/>
      <c r="U5" s="2" t="s">
        <v>134</v>
      </c>
      <c r="V5" s="2"/>
      <c r="W5" s="2"/>
      <c r="X5" s="2"/>
      <c r="Y5" s="2" t="s">
        <v>76</v>
      </c>
      <c r="Z5" s="2">
        <v>100</v>
      </c>
      <c r="AA5" s="2">
        <v>6</v>
      </c>
      <c r="AB5" s="2">
        <v>2</v>
      </c>
      <c r="AC5" s="2">
        <v>641</v>
      </c>
      <c r="AD5" s="2"/>
      <c r="AE5" s="2"/>
      <c r="AF5" s="2">
        <v>6600</v>
      </c>
      <c r="AG5" s="2">
        <v>6</v>
      </c>
      <c r="AH5" s="2"/>
      <c r="AI5" s="2">
        <v>2</v>
      </c>
      <c r="AJ5" s="2">
        <v>6600</v>
      </c>
      <c r="AK5" s="3" t="s">
        <v>77</v>
      </c>
      <c r="AL5" s="3" t="s">
        <v>135</v>
      </c>
      <c r="AM5" s="2" t="s">
        <v>79</v>
      </c>
      <c r="AN5" s="2">
        <v>45</v>
      </c>
      <c r="AO5" s="2"/>
      <c r="AP5" s="2"/>
      <c r="AQ5" s="2"/>
      <c r="AR5" s="2"/>
      <c r="AS5" s="2"/>
      <c r="AT5" s="2"/>
      <c r="AU5" s="2"/>
      <c r="AV5" s="2"/>
      <c r="AW5" s="2"/>
      <c r="AX5" s="2" t="s">
        <v>134</v>
      </c>
      <c r="AY5" s="2" t="s">
        <v>150</v>
      </c>
      <c r="AZ5" s="2" t="s">
        <v>150</v>
      </c>
      <c r="BA5" s="2"/>
      <c r="BB5" s="2" t="s">
        <v>276</v>
      </c>
      <c r="BC5" s="2" t="s">
        <v>277</v>
      </c>
      <c r="BD5" s="2"/>
      <c r="BE5" s="2"/>
      <c r="BF5" s="2"/>
    </row>
    <row r="6" spans="1:58" s="4" customFormat="1" ht="11.25" x14ac:dyDescent="0.15">
      <c r="A6" s="2" t="s">
        <v>272</v>
      </c>
      <c r="B6" s="2">
        <v>1824</v>
      </c>
      <c r="C6" s="2" t="s">
        <v>58</v>
      </c>
      <c r="D6" s="2" t="s">
        <v>58</v>
      </c>
      <c r="E6" s="3" t="s">
        <v>273</v>
      </c>
      <c r="F6" s="3" t="s">
        <v>60</v>
      </c>
      <c r="G6" s="2" t="s">
        <v>145</v>
      </c>
      <c r="H6" s="2" t="s">
        <v>62</v>
      </c>
      <c r="I6" s="3" t="s">
        <v>274</v>
      </c>
      <c r="J6" s="3" t="s">
        <v>275</v>
      </c>
      <c r="K6" s="2"/>
      <c r="L6" s="2"/>
      <c r="M6" s="2"/>
      <c r="N6" s="2"/>
      <c r="O6" s="2"/>
      <c r="P6" s="2"/>
      <c r="Q6" s="2"/>
      <c r="R6" s="2"/>
      <c r="S6" s="2"/>
      <c r="T6" s="2"/>
      <c r="U6" s="2" t="s">
        <v>134</v>
      </c>
      <c r="V6" s="2"/>
      <c r="W6" s="2"/>
      <c r="X6" s="2"/>
      <c r="Y6" s="2" t="s">
        <v>76</v>
      </c>
      <c r="Z6" s="2"/>
      <c r="AA6" s="2">
        <v>2</v>
      </c>
      <c r="AB6" s="2">
        <v>12</v>
      </c>
      <c r="AC6" s="2">
        <v>641</v>
      </c>
      <c r="AD6" s="2"/>
      <c r="AE6" s="2"/>
      <c r="AF6" s="2">
        <v>11200</v>
      </c>
      <c r="AG6" s="2">
        <v>4</v>
      </c>
      <c r="AH6" s="2"/>
      <c r="AI6" s="2">
        <v>12</v>
      </c>
      <c r="AJ6" s="2">
        <v>11200</v>
      </c>
      <c r="AK6" s="3" t="s">
        <v>278</v>
      </c>
      <c r="AL6" s="3" t="s">
        <v>135</v>
      </c>
      <c r="AM6" s="2" t="s">
        <v>79</v>
      </c>
      <c r="AN6" s="2">
        <v>45</v>
      </c>
      <c r="AO6" s="2"/>
      <c r="AP6" s="2"/>
      <c r="AQ6" s="2"/>
      <c r="AR6" s="2"/>
      <c r="AS6" s="2"/>
      <c r="AT6" s="2"/>
      <c r="AU6" s="2"/>
      <c r="AV6" s="2"/>
      <c r="AW6" s="2"/>
      <c r="AX6" s="2" t="s">
        <v>134</v>
      </c>
      <c r="AY6" s="2" t="s">
        <v>150</v>
      </c>
      <c r="AZ6" s="2" t="s">
        <v>150</v>
      </c>
      <c r="BA6" s="2"/>
      <c r="BB6" s="2" t="s">
        <v>276</v>
      </c>
      <c r="BC6" s="2" t="s">
        <v>277</v>
      </c>
      <c r="BD6" s="2"/>
      <c r="BE6" s="2"/>
      <c r="BF6" s="2"/>
    </row>
    <row r="7" spans="1:58" s="4" customFormat="1" ht="11.25" x14ac:dyDescent="0.15">
      <c r="A7" s="2" t="s">
        <v>272</v>
      </c>
      <c r="B7" s="2">
        <v>1824</v>
      </c>
      <c r="C7" s="2" t="s">
        <v>58</v>
      </c>
      <c r="D7" s="2" t="s">
        <v>58</v>
      </c>
      <c r="E7" s="3" t="s">
        <v>273</v>
      </c>
      <c r="F7" s="3" t="s">
        <v>60</v>
      </c>
      <c r="G7" s="2" t="s">
        <v>145</v>
      </c>
      <c r="H7" s="2" t="s">
        <v>62</v>
      </c>
      <c r="I7" s="3" t="s">
        <v>274</v>
      </c>
      <c r="J7" s="3" t="s">
        <v>275</v>
      </c>
      <c r="K7" s="2"/>
      <c r="L7" s="2"/>
      <c r="M7" s="2"/>
      <c r="N7" s="2"/>
      <c r="O7" s="2"/>
      <c r="P7" s="2"/>
      <c r="Q7" s="2"/>
      <c r="R7" s="2"/>
      <c r="S7" s="2"/>
      <c r="T7" s="2"/>
      <c r="U7" s="2" t="s">
        <v>134</v>
      </c>
      <c r="V7" s="2"/>
      <c r="W7" s="2"/>
      <c r="X7" s="2"/>
      <c r="Y7" s="2" t="s">
        <v>76</v>
      </c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3"/>
      <c r="AL7" s="3"/>
      <c r="AM7" s="2"/>
      <c r="AN7" s="2">
        <v>45</v>
      </c>
      <c r="AO7" s="2"/>
      <c r="AP7" s="2"/>
      <c r="AQ7" s="2"/>
      <c r="AR7" s="2"/>
      <c r="AS7" s="2">
        <v>12</v>
      </c>
      <c r="AT7" s="2">
        <v>150</v>
      </c>
      <c r="AU7" s="2">
        <f>AS7*AT7</f>
        <v>1800</v>
      </c>
      <c r="AV7" s="3" t="s">
        <v>279</v>
      </c>
      <c r="AW7" s="2"/>
      <c r="AX7" s="2" t="s">
        <v>134</v>
      </c>
      <c r="AY7" s="2" t="s">
        <v>150</v>
      </c>
      <c r="AZ7" s="2" t="s">
        <v>150</v>
      </c>
      <c r="BA7" s="2"/>
      <c r="BB7" s="2" t="s">
        <v>276</v>
      </c>
      <c r="BC7" s="2" t="s">
        <v>277</v>
      </c>
      <c r="BD7" s="2"/>
      <c r="BE7" s="2" t="s">
        <v>280</v>
      </c>
      <c r="BF7" s="2"/>
    </row>
    <row r="8" spans="1:58" s="4" customFormat="1" ht="11.25" x14ac:dyDescent="0.15">
      <c r="A8" s="2" t="s">
        <v>290</v>
      </c>
      <c r="B8" s="2">
        <v>6041</v>
      </c>
      <c r="C8" s="2" t="s">
        <v>58</v>
      </c>
      <c r="D8" s="2" t="s">
        <v>58</v>
      </c>
      <c r="E8" s="3" t="s">
        <v>59</v>
      </c>
      <c r="F8" s="3" t="s">
        <v>291</v>
      </c>
      <c r="G8" s="2" t="s">
        <v>61</v>
      </c>
      <c r="H8" s="2" t="s">
        <v>62</v>
      </c>
      <c r="I8" s="3" t="s">
        <v>292</v>
      </c>
      <c r="J8" s="3" t="s">
        <v>293</v>
      </c>
      <c r="K8" s="2" t="s">
        <v>294</v>
      </c>
      <c r="L8" s="2" t="s">
        <v>295</v>
      </c>
      <c r="M8" s="2" t="s">
        <v>67</v>
      </c>
      <c r="N8" s="2" t="s">
        <v>292</v>
      </c>
      <c r="O8" s="2" t="s">
        <v>296</v>
      </c>
      <c r="P8" s="2" t="s">
        <v>297</v>
      </c>
      <c r="Q8" s="2" t="s">
        <v>298</v>
      </c>
      <c r="R8" s="2" t="s">
        <v>71</v>
      </c>
      <c r="S8" s="2" t="s">
        <v>72</v>
      </c>
      <c r="T8" s="2">
        <v>18221142950</v>
      </c>
      <c r="U8" s="2" t="s">
        <v>73</v>
      </c>
      <c r="V8" s="2" t="s">
        <v>74</v>
      </c>
      <c r="W8" s="2"/>
      <c r="X8" s="2" t="s">
        <v>75</v>
      </c>
      <c r="Y8" s="2" t="s">
        <v>289</v>
      </c>
      <c r="Z8" s="2">
        <v>90</v>
      </c>
      <c r="AA8" s="2">
        <v>2</v>
      </c>
      <c r="AB8" s="2">
        <v>5</v>
      </c>
      <c r="AC8" s="2"/>
      <c r="AD8" s="2">
        <v>3385.2</v>
      </c>
      <c r="AE8" s="2">
        <v>15</v>
      </c>
      <c r="AF8" s="2">
        <f>900+1400</f>
        <v>2300</v>
      </c>
      <c r="AG8" s="2">
        <v>2</v>
      </c>
      <c r="AH8" s="2">
        <v>31</v>
      </c>
      <c r="AI8" s="2">
        <v>5</v>
      </c>
      <c r="AJ8" s="2">
        <v>2200</v>
      </c>
      <c r="AK8" s="3" t="s">
        <v>77</v>
      </c>
      <c r="AL8" s="3" t="s">
        <v>78</v>
      </c>
      <c r="AM8" s="2" t="s">
        <v>79</v>
      </c>
      <c r="AN8" s="2"/>
      <c r="AO8" s="2"/>
      <c r="AP8" s="2">
        <v>20</v>
      </c>
      <c r="AQ8" s="2"/>
      <c r="AR8" s="2">
        <v>60</v>
      </c>
      <c r="AS8" s="2">
        <v>3</v>
      </c>
      <c r="AT8" s="2">
        <v>150</v>
      </c>
      <c r="AU8" s="2">
        <v>450</v>
      </c>
      <c r="AV8" s="2" t="s">
        <v>80</v>
      </c>
      <c r="AW8" s="2">
        <v>700</v>
      </c>
      <c r="AX8" s="2" t="s">
        <v>81</v>
      </c>
      <c r="AY8" s="2" t="s">
        <v>82</v>
      </c>
      <c r="AZ8" s="2" t="s">
        <v>83</v>
      </c>
      <c r="BA8" s="2" t="s">
        <v>84</v>
      </c>
      <c r="BB8" s="2" t="s">
        <v>85</v>
      </c>
      <c r="BC8" s="2" t="s">
        <v>86</v>
      </c>
      <c r="BD8" s="2"/>
      <c r="BE8" s="2" t="s">
        <v>168</v>
      </c>
      <c r="BF8" s="2"/>
    </row>
    <row r="9" spans="1:58" s="4" customFormat="1" ht="11.25" x14ac:dyDescent="0.15">
      <c r="A9" s="2" t="s">
        <v>99</v>
      </c>
      <c r="B9" s="2">
        <v>6139</v>
      </c>
      <c r="C9" s="2" t="s">
        <v>58</v>
      </c>
      <c r="D9" s="2" t="s">
        <v>58</v>
      </c>
      <c r="E9" s="3" t="s">
        <v>59</v>
      </c>
      <c r="F9" s="3" t="s">
        <v>100</v>
      </c>
      <c r="G9" s="2" t="s">
        <v>61</v>
      </c>
      <c r="H9" s="2" t="s">
        <v>62</v>
      </c>
      <c r="I9" s="3" t="s">
        <v>101</v>
      </c>
      <c r="J9" s="3" t="s">
        <v>102</v>
      </c>
      <c r="K9" s="2" t="s">
        <v>103</v>
      </c>
      <c r="L9" s="2" t="s">
        <v>104</v>
      </c>
      <c r="M9" s="2" t="s">
        <v>67</v>
      </c>
      <c r="N9" s="2" t="s">
        <v>105</v>
      </c>
      <c r="O9" s="2" t="s">
        <v>106</v>
      </c>
      <c r="P9" s="2" t="s">
        <v>107</v>
      </c>
      <c r="Q9" s="2" t="s">
        <v>108</v>
      </c>
      <c r="R9" s="2" t="s">
        <v>71</v>
      </c>
      <c r="S9" s="2" t="s">
        <v>72</v>
      </c>
      <c r="T9" s="2">
        <v>18221142950</v>
      </c>
      <c r="U9" s="2" t="s">
        <v>73</v>
      </c>
      <c r="V9" s="2" t="s">
        <v>74</v>
      </c>
      <c r="W9" s="2"/>
      <c r="X9" s="2" t="s">
        <v>75</v>
      </c>
      <c r="Y9" s="2" t="s">
        <v>76</v>
      </c>
      <c r="Z9" s="2">
        <v>90</v>
      </c>
      <c r="AA9" s="2">
        <v>2</v>
      </c>
      <c r="AB9" s="2">
        <v>5</v>
      </c>
      <c r="AC9" s="2"/>
      <c r="AD9" s="2">
        <v>3385.2</v>
      </c>
      <c r="AE9" s="2">
        <v>15</v>
      </c>
      <c r="AF9" s="2">
        <f>900+1400</f>
        <v>2300</v>
      </c>
      <c r="AG9" s="2">
        <v>2</v>
      </c>
      <c r="AH9" s="2">
        <v>31</v>
      </c>
      <c r="AI9" s="2">
        <v>5</v>
      </c>
      <c r="AJ9" s="2">
        <v>2200</v>
      </c>
      <c r="AK9" s="3" t="s">
        <v>77</v>
      </c>
      <c r="AL9" s="3" t="s">
        <v>78</v>
      </c>
      <c r="AM9" s="2" t="s">
        <v>79</v>
      </c>
      <c r="AN9" s="2"/>
      <c r="AO9" s="2"/>
      <c r="AP9" s="2">
        <v>20</v>
      </c>
      <c r="AQ9" s="2"/>
      <c r="AR9" s="2">
        <v>60</v>
      </c>
      <c r="AS9" s="2">
        <v>3</v>
      </c>
      <c r="AT9" s="2">
        <v>150</v>
      </c>
      <c r="AU9" s="2">
        <v>450</v>
      </c>
      <c r="AV9" s="2" t="s">
        <v>80</v>
      </c>
      <c r="AW9" s="2">
        <v>700</v>
      </c>
      <c r="AX9" s="2" t="s">
        <v>81</v>
      </c>
      <c r="AY9" s="2" t="s">
        <v>82</v>
      </c>
      <c r="AZ9" s="2" t="s">
        <v>83</v>
      </c>
      <c r="BA9" s="2" t="s">
        <v>84</v>
      </c>
      <c r="BB9" s="2" t="s">
        <v>85</v>
      </c>
      <c r="BC9" s="2" t="s">
        <v>86</v>
      </c>
      <c r="BD9" s="2"/>
      <c r="BE9" s="2" t="s">
        <v>109</v>
      </c>
      <c r="BF9" s="2"/>
    </row>
    <row r="10" spans="1:58" s="4" customFormat="1" ht="11.25" x14ac:dyDescent="0.15">
      <c r="A10" s="2" t="s">
        <v>299</v>
      </c>
      <c r="B10" s="2">
        <v>6167</v>
      </c>
      <c r="C10" s="2" t="s">
        <v>58</v>
      </c>
      <c r="D10" s="2" t="s">
        <v>58</v>
      </c>
      <c r="E10" s="3" t="s">
        <v>59</v>
      </c>
      <c r="F10" s="3" t="s">
        <v>300</v>
      </c>
      <c r="G10" s="2" t="s">
        <v>61</v>
      </c>
      <c r="H10" s="2" t="s">
        <v>62</v>
      </c>
      <c r="I10" s="3" t="s">
        <v>301</v>
      </c>
      <c r="J10" s="3" t="s">
        <v>302</v>
      </c>
      <c r="K10" s="2" t="s">
        <v>303</v>
      </c>
      <c r="L10" s="2" t="s">
        <v>304</v>
      </c>
      <c r="M10" s="2" t="s">
        <v>67</v>
      </c>
      <c r="N10" s="2" t="s">
        <v>305</v>
      </c>
      <c r="O10" s="2" t="s">
        <v>306</v>
      </c>
      <c r="P10" s="2" t="s">
        <v>307</v>
      </c>
      <c r="Q10" s="2" t="s">
        <v>308</v>
      </c>
      <c r="R10" s="2" t="s">
        <v>71</v>
      </c>
      <c r="S10" s="2" t="s">
        <v>72</v>
      </c>
      <c r="T10" s="2">
        <v>18221142950</v>
      </c>
      <c r="U10" s="2" t="s">
        <v>73</v>
      </c>
      <c r="V10" s="2" t="s">
        <v>74</v>
      </c>
      <c r="W10" s="2"/>
      <c r="X10" s="2" t="s">
        <v>75</v>
      </c>
      <c r="Y10" s="2" t="s">
        <v>289</v>
      </c>
      <c r="Z10" s="2">
        <v>90</v>
      </c>
      <c r="AA10" s="2">
        <v>2</v>
      </c>
      <c r="AB10" s="2">
        <v>4</v>
      </c>
      <c r="AC10" s="2"/>
      <c r="AD10" s="2">
        <v>2708.16</v>
      </c>
      <c r="AE10" s="2">
        <v>15</v>
      </c>
      <c r="AF10" s="2">
        <f>900+900</f>
        <v>1800</v>
      </c>
      <c r="AG10" s="2">
        <v>2</v>
      </c>
      <c r="AH10" s="2">
        <v>31</v>
      </c>
      <c r="AI10" s="2">
        <v>4</v>
      </c>
      <c r="AJ10" s="2">
        <v>1600</v>
      </c>
      <c r="AK10" s="3" t="s">
        <v>77</v>
      </c>
      <c r="AL10" s="3" t="s">
        <v>78</v>
      </c>
      <c r="AM10" s="2" t="s">
        <v>79</v>
      </c>
      <c r="AN10" s="2"/>
      <c r="AO10" s="2"/>
      <c r="AP10" s="2">
        <v>20</v>
      </c>
      <c r="AQ10" s="2"/>
      <c r="AR10" s="2">
        <v>60</v>
      </c>
      <c r="AS10" s="2">
        <v>4</v>
      </c>
      <c r="AT10" s="2">
        <v>150</v>
      </c>
      <c r="AU10" s="2">
        <v>600</v>
      </c>
      <c r="AV10" s="2" t="s">
        <v>80</v>
      </c>
      <c r="AW10" s="2">
        <v>700</v>
      </c>
      <c r="AX10" s="2" t="s">
        <v>81</v>
      </c>
      <c r="AY10" s="2" t="s">
        <v>82</v>
      </c>
      <c r="AZ10" s="2" t="s">
        <v>83</v>
      </c>
      <c r="BA10" s="2" t="s">
        <v>84</v>
      </c>
      <c r="BB10" s="2" t="s">
        <v>85</v>
      </c>
      <c r="BC10" s="2" t="s">
        <v>86</v>
      </c>
      <c r="BD10" s="2"/>
      <c r="BE10" s="2" t="s">
        <v>168</v>
      </c>
      <c r="BF10" s="2"/>
    </row>
    <row r="11" spans="1:58" s="5" customFormat="1" ht="15" customHeight="1" x14ac:dyDescent="0.15">
      <c r="A11" s="2" t="s">
        <v>110</v>
      </c>
      <c r="B11" s="2">
        <v>6264</v>
      </c>
      <c r="C11" s="2" t="s">
        <v>58</v>
      </c>
      <c r="D11" s="2" t="s">
        <v>58</v>
      </c>
      <c r="E11" s="3" t="s">
        <v>59</v>
      </c>
      <c r="F11" s="3" t="s">
        <v>111</v>
      </c>
      <c r="G11" s="2" t="s">
        <v>61</v>
      </c>
      <c r="H11" s="2" t="s">
        <v>62</v>
      </c>
      <c r="I11" s="3" t="s">
        <v>112</v>
      </c>
      <c r="J11" s="3" t="s">
        <v>113</v>
      </c>
      <c r="K11" s="2" t="s">
        <v>114</v>
      </c>
      <c r="L11" s="2" t="s">
        <v>115</v>
      </c>
      <c r="M11" s="2" t="s">
        <v>67</v>
      </c>
      <c r="N11" s="2" t="s">
        <v>112</v>
      </c>
      <c r="O11" s="2" t="s">
        <v>116</v>
      </c>
      <c r="P11" s="2" t="s">
        <v>117</v>
      </c>
      <c r="Q11" s="2" t="s">
        <v>118</v>
      </c>
      <c r="R11" s="2" t="s">
        <v>71</v>
      </c>
      <c r="S11" s="2" t="s">
        <v>72</v>
      </c>
      <c r="T11" s="2">
        <v>18221142950</v>
      </c>
      <c r="U11" s="2" t="s">
        <v>73</v>
      </c>
      <c r="V11" s="2" t="s">
        <v>74</v>
      </c>
      <c r="W11" s="2"/>
      <c r="X11" s="2" t="s">
        <v>75</v>
      </c>
      <c r="Y11" s="2" t="s">
        <v>76</v>
      </c>
      <c r="Z11" s="2">
        <v>90</v>
      </c>
      <c r="AA11" s="2">
        <v>1</v>
      </c>
      <c r="AB11" s="2">
        <v>3</v>
      </c>
      <c r="AC11" s="2"/>
      <c r="AD11" s="2">
        <v>2031.12</v>
      </c>
      <c r="AE11" s="2">
        <v>15</v>
      </c>
      <c r="AF11" s="2">
        <v>1400</v>
      </c>
      <c r="AG11" s="2">
        <v>1</v>
      </c>
      <c r="AH11" s="2">
        <v>31</v>
      </c>
      <c r="AI11" s="2">
        <v>3</v>
      </c>
      <c r="AJ11" s="2">
        <v>1400</v>
      </c>
      <c r="AK11" s="3" t="s">
        <v>77</v>
      </c>
      <c r="AL11" s="3" t="s">
        <v>78</v>
      </c>
      <c r="AM11" s="2" t="s">
        <v>79</v>
      </c>
      <c r="AN11" s="2"/>
      <c r="AO11" s="2"/>
      <c r="AP11" s="2">
        <v>20</v>
      </c>
      <c r="AQ11" s="2"/>
      <c r="AR11" s="2">
        <v>60</v>
      </c>
      <c r="AS11" s="2">
        <v>3</v>
      </c>
      <c r="AT11" s="2">
        <v>150</v>
      </c>
      <c r="AU11" s="2">
        <v>450</v>
      </c>
      <c r="AV11" s="2" t="s">
        <v>80</v>
      </c>
      <c r="AW11" s="2">
        <v>700</v>
      </c>
      <c r="AX11" s="2" t="s">
        <v>81</v>
      </c>
      <c r="AY11" s="2" t="s">
        <v>82</v>
      </c>
      <c r="AZ11" s="2" t="s">
        <v>83</v>
      </c>
      <c r="BA11" s="2" t="s">
        <v>84</v>
      </c>
      <c r="BB11" s="2" t="s">
        <v>85</v>
      </c>
      <c r="BC11" s="2" t="s">
        <v>86</v>
      </c>
      <c r="BD11" s="2"/>
      <c r="BE11" s="2" t="s">
        <v>119</v>
      </c>
      <c r="BF11" s="2"/>
    </row>
    <row r="12" spans="1:58" s="5" customFormat="1" ht="15" customHeight="1" x14ac:dyDescent="0.15">
      <c r="A12" s="2" t="s">
        <v>281</v>
      </c>
      <c r="B12" s="2">
        <v>6271</v>
      </c>
      <c r="C12" s="2" t="s">
        <v>58</v>
      </c>
      <c r="D12" s="2" t="s">
        <v>58</v>
      </c>
      <c r="E12" s="3" t="s">
        <v>59</v>
      </c>
      <c r="F12" s="3" t="s">
        <v>282</v>
      </c>
      <c r="G12" s="2" t="s">
        <v>61</v>
      </c>
      <c r="H12" s="2" t="s">
        <v>62</v>
      </c>
      <c r="I12" s="3" t="s">
        <v>283</v>
      </c>
      <c r="J12" s="3" t="s">
        <v>284</v>
      </c>
      <c r="K12" s="2" t="s">
        <v>285</v>
      </c>
      <c r="L12" s="2" t="s">
        <v>286</v>
      </c>
      <c r="M12" s="2" t="s">
        <v>67</v>
      </c>
      <c r="N12" s="2" t="s">
        <v>283</v>
      </c>
      <c r="O12" s="2" t="s">
        <v>287</v>
      </c>
      <c r="P12" s="2" t="s">
        <v>96</v>
      </c>
      <c r="Q12" s="2" t="s">
        <v>288</v>
      </c>
      <c r="R12" s="2" t="s">
        <v>71</v>
      </c>
      <c r="S12" s="2" t="s">
        <v>72</v>
      </c>
      <c r="T12" s="2">
        <v>18221142950</v>
      </c>
      <c r="U12" s="2" t="s">
        <v>73</v>
      </c>
      <c r="V12" s="2" t="s">
        <v>74</v>
      </c>
      <c r="W12" s="2"/>
      <c r="X12" s="2" t="s">
        <v>75</v>
      </c>
      <c r="Y12" s="2" t="s">
        <v>289</v>
      </c>
      <c r="Z12" s="2">
        <v>90</v>
      </c>
      <c r="AA12" s="2">
        <v>1</v>
      </c>
      <c r="AB12" s="2">
        <v>4</v>
      </c>
      <c r="AC12" s="2"/>
      <c r="AD12" s="2">
        <v>2708.16</v>
      </c>
      <c r="AE12" s="2">
        <v>15</v>
      </c>
      <c r="AF12" s="2">
        <v>1600</v>
      </c>
      <c r="AG12" s="2">
        <v>1</v>
      </c>
      <c r="AH12" s="2">
        <v>31</v>
      </c>
      <c r="AI12" s="2">
        <v>4</v>
      </c>
      <c r="AJ12" s="2">
        <v>1600</v>
      </c>
      <c r="AK12" s="3" t="s">
        <v>77</v>
      </c>
      <c r="AL12" s="3" t="s">
        <v>78</v>
      </c>
      <c r="AM12" s="2" t="s">
        <v>79</v>
      </c>
      <c r="AN12" s="2"/>
      <c r="AO12" s="2"/>
      <c r="AP12" s="2">
        <v>20</v>
      </c>
      <c r="AQ12" s="2"/>
      <c r="AR12" s="2">
        <v>60</v>
      </c>
      <c r="AS12" s="2">
        <v>5</v>
      </c>
      <c r="AT12" s="2">
        <v>150</v>
      </c>
      <c r="AU12" s="2">
        <v>750</v>
      </c>
      <c r="AV12" s="2" t="s">
        <v>80</v>
      </c>
      <c r="AW12" s="2">
        <v>700</v>
      </c>
      <c r="AX12" s="2" t="s">
        <v>81</v>
      </c>
      <c r="AY12" s="2" t="s">
        <v>82</v>
      </c>
      <c r="AZ12" s="2" t="s">
        <v>83</v>
      </c>
      <c r="BA12" s="2" t="s">
        <v>84</v>
      </c>
      <c r="BB12" s="2" t="s">
        <v>85</v>
      </c>
      <c r="BC12" s="2" t="s">
        <v>86</v>
      </c>
      <c r="BD12" s="2"/>
      <c r="BE12" s="2" t="s">
        <v>168</v>
      </c>
      <c r="BF12" s="2"/>
    </row>
    <row r="13" spans="1:58" ht="11.25" x14ac:dyDescent="0.15">
      <c r="A13" s="2" t="s">
        <v>88</v>
      </c>
      <c r="B13" s="2">
        <v>6295</v>
      </c>
      <c r="C13" s="2" t="s">
        <v>58</v>
      </c>
      <c r="D13" s="2" t="s">
        <v>58</v>
      </c>
      <c r="E13" s="3" t="s">
        <v>59</v>
      </c>
      <c r="F13" s="3" t="s">
        <v>89</v>
      </c>
      <c r="G13" s="2" t="s">
        <v>61</v>
      </c>
      <c r="H13" s="2" t="s">
        <v>62</v>
      </c>
      <c r="I13" s="3" t="s">
        <v>90</v>
      </c>
      <c r="J13" s="3" t="s">
        <v>91</v>
      </c>
      <c r="K13" s="2" t="s">
        <v>92</v>
      </c>
      <c r="L13" s="2" t="s">
        <v>93</v>
      </c>
      <c r="M13" s="2" t="s">
        <v>67</v>
      </c>
      <c r="N13" s="2" t="s">
        <v>94</v>
      </c>
      <c r="O13" s="2" t="s">
        <v>95</v>
      </c>
      <c r="P13" s="2" t="s">
        <v>96</v>
      </c>
      <c r="Q13" s="2" t="s">
        <v>97</v>
      </c>
      <c r="R13" s="2" t="s">
        <v>71</v>
      </c>
      <c r="S13" s="2" t="s">
        <v>72</v>
      </c>
      <c r="T13" s="2">
        <v>18221142950</v>
      </c>
      <c r="U13" s="2" t="s">
        <v>73</v>
      </c>
      <c r="V13" s="2" t="s">
        <v>74</v>
      </c>
      <c r="X13" s="2" t="s">
        <v>75</v>
      </c>
      <c r="Y13" s="2" t="s">
        <v>76</v>
      </c>
      <c r="Z13" s="2">
        <v>90</v>
      </c>
      <c r="AA13" s="2">
        <v>1</v>
      </c>
      <c r="AB13" s="2">
        <v>4</v>
      </c>
      <c r="AC13" s="2"/>
      <c r="AD13" s="2">
        <v>2708.16</v>
      </c>
      <c r="AE13" s="2">
        <v>15</v>
      </c>
      <c r="AF13" s="2">
        <v>1600</v>
      </c>
      <c r="AG13" s="2">
        <v>1</v>
      </c>
      <c r="AH13" s="2">
        <v>31</v>
      </c>
      <c r="AI13" s="2">
        <v>4</v>
      </c>
      <c r="AJ13" s="2">
        <v>1600</v>
      </c>
      <c r="AK13" s="3" t="s">
        <v>77</v>
      </c>
      <c r="AL13" s="3" t="s">
        <v>78</v>
      </c>
      <c r="AM13" s="2" t="s">
        <v>79</v>
      </c>
      <c r="AP13" s="2">
        <v>20</v>
      </c>
      <c r="AQ13" s="2"/>
      <c r="AR13" s="2">
        <v>60</v>
      </c>
      <c r="AS13" s="2">
        <v>3</v>
      </c>
      <c r="AT13" s="2">
        <v>150</v>
      </c>
      <c r="AU13" s="2">
        <v>450</v>
      </c>
      <c r="AV13" s="2" t="s">
        <v>80</v>
      </c>
      <c r="AW13" s="2">
        <v>700</v>
      </c>
      <c r="AX13" s="2" t="s">
        <v>81</v>
      </c>
      <c r="AY13" s="2" t="s">
        <v>82</v>
      </c>
      <c r="AZ13" s="2" t="s">
        <v>83</v>
      </c>
      <c r="BA13" s="2" t="s">
        <v>84</v>
      </c>
      <c r="BB13" s="2" t="s">
        <v>85</v>
      </c>
      <c r="BC13" s="2" t="s">
        <v>86</v>
      </c>
      <c r="BE13" s="2" t="s">
        <v>98</v>
      </c>
    </row>
    <row r="14" spans="1:58" ht="11.25" x14ac:dyDescent="0.15">
      <c r="A14" s="2" t="s">
        <v>57</v>
      </c>
      <c r="B14" s="2">
        <v>6323</v>
      </c>
      <c r="C14" s="2" t="s">
        <v>58</v>
      </c>
      <c r="D14" s="2" t="s">
        <v>58</v>
      </c>
      <c r="E14" s="3" t="s">
        <v>59</v>
      </c>
      <c r="F14" s="3" t="s">
        <v>60</v>
      </c>
      <c r="G14" s="2" t="s">
        <v>61</v>
      </c>
      <c r="H14" s="2" t="s">
        <v>62</v>
      </c>
      <c r="I14" s="3" t="s">
        <v>63</v>
      </c>
      <c r="J14" s="3" t="s">
        <v>64</v>
      </c>
      <c r="K14" s="2" t="s">
        <v>65</v>
      </c>
      <c r="L14" s="2" t="s">
        <v>66</v>
      </c>
      <c r="M14" s="2" t="s">
        <v>67</v>
      </c>
      <c r="N14" s="2" t="s">
        <v>63</v>
      </c>
      <c r="O14" s="2" t="s">
        <v>68</v>
      </c>
      <c r="P14" s="2" t="s">
        <v>69</v>
      </c>
      <c r="Q14" s="2" t="s">
        <v>70</v>
      </c>
      <c r="R14" s="2" t="s">
        <v>71</v>
      </c>
      <c r="S14" s="2" t="s">
        <v>72</v>
      </c>
      <c r="T14" s="2">
        <v>18221142950</v>
      </c>
      <c r="U14" s="2" t="s">
        <v>73</v>
      </c>
      <c r="V14" s="2" t="s">
        <v>74</v>
      </c>
      <c r="X14" s="2" t="s">
        <v>75</v>
      </c>
      <c r="Y14" s="2" t="s">
        <v>76</v>
      </c>
      <c r="Z14" s="2">
        <v>90</v>
      </c>
      <c r="AA14" s="2">
        <v>2</v>
      </c>
      <c r="AB14" s="2">
        <v>6</v>
      </c>
      <c r="AC14" s="2"/>
      <c r="AD14" s="2">
        <v>4062.24</v>
      </c>
      <c r="AE14" s="2">
        <v>15</v>
      </c>
      <c r="AF14" s="2">
        <v>2800</v>
      </c>
      <c r="AG14" s="2">
        <v>2</v>
      </c>
      <c r="AH14" s="2">
        <v>31</v>
      </c>
      <c r="AI14" s="2">
        <v>6</v>
      </c>
      <c r="AJ14" s="2">
        <v>2950</v>
      </c>
      <c r="AK14" s="3" t="s">
        <v>77</v>
      </c>
      <c r="AL14" s="3" t="s">
        <v>78</v>
      </c>
      <c r="AM14" s="2" t="s">
        <v>79</v>
      </c>
      <c r="AP14" s="2">
        <v>20</v>
      </c>
      <c r="AQ14" s="2"/>
      <c r="AR14" s="2">
        <v>60</v>
      </c>
      <c r="AS14" s="2">
        <v>5</v>
      </c>
      <c r="AT14" s="2">
        <v>150</v>
      </c>
      <c r="AU14" s="2">
        <v>750</v>
      </c>
      <c r="AV14" s="2" t="s">
        <v>80</v>
      </c>
      <c r="AW14" s="2">
        <v>900</v>
      </c>
      <c r="AX14" s="2" t="s">
        <v>81</v>
      </c>
      <c r="AY14" s="2" t="s">
        <v>82</v>
      </c>
      <c r="AZ14" s="2" t="s">
        <v>83</v>
      </c>
      <c r="BA14" s="2" t="s">
        <v>84</v>
      </c>
      <c r="BB14" s="2" t="s">
        <v>85</v>
      </c>
      <c r="BC14" s="2" t="s">
        <v>86</v>
      </c>
      <c r="BE14" s="2" t="s">
        <v>87</v>
      </c>
    </row>
    <row r="15" spans="1:58" ht="11.25" x14ac:dyDescent="0.15">
      <c r="A15" s="2" t="s">
        <v>223</v>
      </c>
      <c r="B15" s="2" t="s">
        <v>224</v>
      </c>
      <c r="C15" s="2" t="s">
        <v>58</v>
      </c>
      <c r="D15" s="2" t="s">
        <v>58</v>
      </c>
      <c r="E15" s="3" t="s">
        <v>191</v>
      </c>
      <c r="F15" s="3" t="s">
        <v>225</v>
      </c>
      <c r="G15" s="2" t="s">
        <v>193</v>
      </c>
      <c r="H15" s="2" t="s">
        <v>62</v>
      </c>
      <c r="I15" s="3" t="s">
        <v>226</v>
      </c>
      <c r="J15" s="3" t="s">
        <v>227</v>
      </c>
      <c r="K15" s="2" t="s">
        <v>196</v>
      </c>
      <c r="L15" s="2" t="s">
        <v>197</v>
      </c>
      <c r="M15" s="2" t="s">
        <v>67</v>
      </c>
      <c r="N15" s="2" t="s">
        <v>198</v>
      </c>
      <c r="O15" s="2" t="s">
        <v>199</v>
      </c>
      <c r="P15" s="2" t="s">
        <v>200</v>
      </c>
      <c r="Q15" s="2" t="s">
        <v>201</v>
      </c>
      <c r="R15" s="2" t="s">
        <v>202</v>
      </c>
      <c r="S15" s="2" t="s">
        <v>203</v>
      </c>
      <c r="T15" s="2" t="s">
        <v>201</v>
      </c>
      <c r="U15" s="2" t="s">
        <v>74</v>
      </c>
      <c r="V15" s="2" t="s">
        <v>74</v>
      </c>
      <c r="X15" s="2" t="s">
        <v>75</v>
      </c>
      <c r="Y15" s="2" t="s">
        <v>76</v>
      </c>
      <c r="Z15" s="2">
        <v>120</v>
      </c>
      <c r="AA15" s="2">
        <v>5</v>
      </c>
      <c r="AB15" s="2">
        <v>1</v>
      </c>
      <c r="AC15" s="2">
        <v>427</v>
      </c>
      <c r="AD15" s="2">
        <v>5452.8301886792497</v>
      </c>
      <c r="AE15" s="2" t="s">
        <v>204</v>
      </c>
      <c r="AF15" s="2">
        <v>3500</v>
      </c>
      <c r="AG15" s="2">
        <v>5</v>
      </c>
      <c r="AH15" s="2">
        <v>31</v>
      </c>
      <c r="AI15" s="2">
        <v>1</v>
      </c>
      <c r="AJ15" s="2">
        <v>3350</v>
      </c>
      <c r="AK15" s="3" t="s">
        <v>77</v>
      </c>
      <c r="AL15" s="3" t="s">
        <v>135</v>
      </c>
      <c r="AM15" s="2" t="s">
        <v>79</v>
      </c>
      <c r="AP15" s="2">
        <v>20</v>
      </c>
      <c r="AQ15" s="2"/>
      <c r="AR15" s="2">
        <v>30</v>
      </c>
      <c r="AS15" s="2">
        <v>6</v>
      </c>
      <c r="AT15" s="2">
        <v>150</v>
      </c>
      <c r="AU15" s="2">
        <v>900</v>
      </c>
      <c r="AV15" s="2" t="s">
        <v>149</v>
      </c>
      <c r="AW15" s="2">
        <v>1200</v>
      </c>
      <c r="AX15" s="2" t="s">
        <v>81</v>
      </c>
      <c r="AY15" s="2" t="s">
        <v>205</v>
      </c>
      <c r="AZ15" s="2" t="s">
        <v>206</v>
      </c>
      <c r="BA15" s="2" t="s">
        <v>207</v>
      </c>
      <c r="BB15" s="2" t="s">
        <v>208</v>
      </c>
      <c r="BC15" s="2" t="s">
        <v>209</v>
      </c>
      <c r="BE15" s="2" t="s">
        <v>228</v>
      </c>
    </row>
    <row r="16" spans="1:58" ht="11.25" x14ac:dyDescent="0.15">
      <c r="A16" s="2" t="s">
        <v>345</v>
      </c>
      <c r="B16" s="2" t="s">
        <v>346</v>
      </c>
      <c r="C16" s="2" t="s">
        <v>58</v>
      </c>
      <c r="D16" s="2" t="s">
        <v>58</v>
      </c>
      <c r="E16" s="3" t="s">
        <v>191</v>
      </c>
      <c r="F16" s="3" t="s">
        <v>347</v>
      </c>
      <c r="G16" s="2" t="s">
        <v>193</v>
      </c>
      <c r="H16" s="2" t="s">
        <v>62</v>
      </c>
      <c r="I16" s="3" t="s">
        <v>348</v>
      </c>
      <c r="J16" s="3" t="s">
        <v>349</v>
      </c>
      <c r="K16" s="2" t="s">
        <v>196</v>
      </c>
      <c r="L16" s="2" t="s">
        <v>197</v>
      </c>
      <c r="M16" s="2" t="s">
        <v>67</v>
      </c>
      <c r="N16" s="2" t="s">
        <v>198</v>
      </c>
      <c r="O16" s="2" t="s">
        <v>199</v>
      </c>
      <c r="P16" s="2" t="s">
        <v>200</v>
      </c>
      <c r="Q16" s="2" t="s">
        <v>201</v>
      </c>
      <c r="R16" s="2" t="s">
        <v>202</v>
      </c>
      <c r="S16" s="2" t="s">
        <v>203</v>
      </c>
      <c r="T16" s="2" t="s">
        <v>201</v>
      </c>
      <c r="U16" s="2" t="s">
        <v>74</v>
      </c>
      <c r="V16" s="2" t="s">
        <v>74</v>
      </c>
      <c r="X16" s="2" t="s">
        <v>75</v>
      </c>
      <c r="Y16" s="2" t="s">
        <v>289</v>
      </c>
      <c r="Z16" s="2">
        <v>120</v>
      </c>
      <c r="AA16" s="2">
        <v>4</v>
      </c>
      <c r="AB16" s="2">
        <v>1</v>
      </c>
      <c r="AC16" s="2">
        <v>300</v>
      </c>
      <c r="AD16" s="2">
        <v>4363.2075471698099</v>
      </c>
      <c r="AE16" s="2" t="s">
        <v>204</v>
      </c>
      <c r="AF16" s="2">
        <v>2650</v>
      </c>
      <c r="AG16" s="2">
        <v>4</v>
      </c>
      <c r="AH16" s="2">
        <v>31</v>
      </c>
      <c r="AI16" s="2">
        <v>1</v>
      </c>
      <c r="AJ16" s="2">
        <v>2650</v>
      </c>
      <c r="AK16" s="3" t="s">
        <v>77</v>
      </c>
      <c r="AL16" s="3" t="s">
        <v>135</v>
      </c>
      <c r="AM16" s="2" t="s">
        <v>79</v>
      </c>
      <c r="AP16" s="2">
        <v>10</v>
      </c>
      <c r="AQ16" s="2"/>
      <c r="AR16" s="2">
        <v>30</v>
      </c>
      <c r="AS16" s="2">
        <v>4</v>
      </c>
      <c r="AT16" s="2">
        <v>150</v>
      </c>
      <c r="AU16" s="2">
        <v>600</v>
      </c>
      <c r="AV16" s="2" t="s">
        <v>149</v>
      </c>
      <c r="AW16" s="2">
        <v>700</v>
      </c>
      <c r="AX16" s="2" t="s">
        <v>81</v>
      </c>
      <c r="AY16" s="2" t="s">
        <v>205</v>
      </c>
      <c r="AZ16" s="2" t="s">
        <v>206</v>
      </c>
      <c r="BA16" s="2" t="s">
        <v>207</v>
      </c>
      <c r="BB16" s="2" t="s">
        <v>208</v>
      </c>
      <c r="BC16" s="2" t="s">
        <v>209</v>
      </c>
      <c r="BD16" s="2" t="s">
        <v>168</v>
      </c>
      <c r="BE16" s="2" t="s">
        <v>168</v>
      </c>
    </row>
    <row r="17" spans="1:58" ht="11.25" x14ac:dyDescent="0.15">
      <c r="A17" s="2" t="s">
        <v>189</v>
      </c>
      <c r="B17" s="2" t="s">
        <v>190</v>
      </c>
      <c r="C17" s="2" t="s">
        <v>58</v>
      </c>
      <c r="D17" s="2" t="s">
        <v>58</v>
      </c>
      <c r="E17" s="3" t="s">
        <v>191</v>
      </c>
      <c r="F17" s="3" t="s">
        <v>192</v>
      </c>
      <c r="G17" s="2" t="s">
        <v>193</v>
      </c>
      <c r="H17" s="2" t="s">
        <v>62</v>
      </c>
      <c r="I17" s="3" t="s">
        <v>194</v>
      </c>
      <c r="J17" s="3" t="s">
        <v>195</v>
      </c>
      <c r="K17" s="2" t="s">
        <v>196</v>
      </c>
      <c r="L17" s="2" t="s">
        <v>197</v>
      </c>
      <c r="M17" s="2" t="s">
        <v>67</v>
      </c>
      <c r="N17" s="2" t="s">
        <v>198</v>
      </c>
      <c r="O17" s="2" t="s">
        <v>199</v>
      </c>
      <c r="P17" s="2" t="s">
        <v>200</v>
      </c>
      <c r="Q17" s="2" t="s">
        <v>201</v>
      </c>
      <c r="R17" s="2" t="s">
        <v>202</v>
      </c>
      <c r="S17" s="2" t="s">
        <v>203</v>
      </c>
      <c r="T17" s="2" t="s">
        <v>201</v>
      </c>
      <c r="U17" s="2" t="s">
        <v>74</v>
      </c>
      <c r="V17" s="2" t="s">
        <v>74</v>
      </c>
      <c r="X17" s="2" t="s">
        <v>75</v>
      </c>
      <c r="Y17" s="2" t="s">
        <v>76</v>
      </c>
      <c r="Z17" s="2">
        <v>120</v>
      </c>
      <c r="AA17" s="2">
        <v>2</v>
      </c>
      <c r="AB17" s="2">
        <v>1</v>
      </c>
      <c r="AC17" s="2">
        <v>101</v>
      </c>
      <c r="AD17" s="2">
        <v>2179.2452830188699</v>
      </c>
      <c r="AE17" s="2" t="s">
        <v>204</v>
      </c>
      <c r="AF17" s="2">
        <v>1300</v>
      </c>
      <c r="AG17" s="2">
        <v>2</v>
      </c>
      <c r="AH17" s="2">
        <v>31</v>
      </c>
      <c r="AI17" s="2">
        <v>1</v>
      </c>
      <c r="AJ17" s="2">
        <v>1300</v>
      </c>
      <c r="AK17" s="3" t="s">
        <v>77</v>
      </c>
      <c r="AL17" s="3" t="s">
        <v>135</v>
      </c>
      <c r="AM17" s="2" t="s">
        <v>79</v>
      </c>
      <c r="AP17" s="2">
        <v>40</v>
      </c>
      <c r="AQ17" s="2"/>
      <c r="AR17" s="2">
        <v>30</v>
      </c>
      <c r="AS17" s="2">
        <v>2</v>
      </c>
      <c r="AT17" s="2">
        <v>150</v>
      </c>
      <c r="AU17" s="2">
        <v>300</v>
      </c>
      <c r="AV17" s="2" t="s">
        <v>149</v>
      </c>
      <c r="AW17" s="2">
        <v>300</v>
      </c>
      <c r="AX17" s="2" t="s">
        <v>81</v>
      </c>
      <c r="AY17" s="2" t="s">
        <v>205</v>
      </c>
      <c r="AZ17" s="2" t="s">
        <v>206</v>
      </c>
      <c r="BA17" s="2" t="s">
        <v>207</v>
      </c>
      <c r="BB17" s="2" t="s">
        <v>208</v>
      </c>
      <c r="BC17" s="2" t="s">
        <v>209</v>
      </c>
      <c r="BE17" s="2" t="s">
        <v>210</v>
      </c>
    </row>
    <row r="18" spans="1:58" ht="11.25" x14ac:dyDescent="0.15">
      <c r="A18" s="2" t="s">
        <v>350</v>
      </c>
      <c r="B18" s="2" t="s">
        <v>351</v>
      </c>
      <c r="C18" s="2" t="s">
        <v>58</v>
      </c>
      <c r="D18" s="2" t="s">
        <v>58</v>
      </c>
      <c r="E18" s="3" t="s">
        <v>191</v>
      </c>
      <c r="F18" s="3" t="s">
        <v>331</v>
      </c>
      <c r="G18" s="2" t="s">
        <v>193</v>
      </c>
      <c r="H18" s="2" t="s">
        <v>62</v>
      </c>
      <c r="I18" s="3" t="s">
        <v>352</v>
      </c>
      <c r="J18" s="3" t="s">
        <v>353</v>
      </c>
      <c r="K18" s="2" t="s">
        <v>196</v>
      </c>
      <c r="L18" s="2" t="s">
        <v>197</v>
      </c>
      <c r="M18" s="2" t="s">
        <v>67</v>
      </c>
      <c r="N18" s="2" t="s">
        <v>198</v>
      </c>
      <c r="O18" s="2" t="s">
        <v>199</v>
      </c>
      <c r="P18" s="2" t="s">
        <v>200</v>
      </c>
      <c r="Q18" s="2" t="s">
        <v>201</v>
      </c>
      <c r="R18" s="2" t="s">
        <v>202</v>
      </c>
      <c r="S18" s="2" t="s">
        <v>203</v>
      </c>
      <c r="T18" s="2" t="s">
        <v>201</v>
      </c>
      <c r="U18" s="2" t="s">
        <v>74</v>
      </c>
      <c r="V18" s="2" t="s">
        <v>74</v>
      </c>
      <c r="X18" s="2" t="s">
        <v>75</v>
      </c>
      <c r="Y18" s="2" t="s">
        <v>289</v>
      </c>
      <c r="Z18" s="2">
        <v>120</v>
      </c>
      <c r="AA18" s="2">
        <v>3</v>
      </c>
      <c r="AB18" s="2">
        <v>1</v>
      </c>
      <c r="AC18" s="2">
        <v>217</v>
      </c>
      <c r="AD18" s="2">
        <v>3268.8679245283001</v>
      </c>
      <c r="AE18" s="2" t="s">
        <v>204</v>
      </c>
      <c r="AF18" s="2">
        <v>1980</v>
      </c>
      <c r="AG18" s="2">
        <v>3</v>
      </c>
      <c r="AH18" s="2">
        <v>31</v>
      </c>
      <c r="AI18" s="2">
        <v>1</v>
      </c>
      <c r="AJ18" s="2">
        <v>2030</v>
      </c>
      <c r="AK18" s="3" t="s">
        <v>77</v>
      </c>
      <c r="AL18" s="3" t="s">
        <v>135</v>
      </c>
      <c r="AM18" s="2" t="s">
        <v>79</v>
      </c>
      <c r="AP18" s="2">
        <v>50</v>
      </c>
      <c r="AQ18" s="2"/>
      <c r="AR18" s="2">
        <v>30</v>
      </c>
      <c r="AS18" s="2">
        <v>3</v>
      </c>
      <c r="AT18" s="2">
        <v>150</v>
      </c>
      <c r="AU18" s="2">
        <v>450</v>
      </c>
      <c r="AV18" s="2" t="s">
        <v>149</v>
      </c>
      <c r="AW18" s="2">
        <v>650</v>
      </c>
      <c r="AX18" s="2" t="s">
        <v>81</v>
      </c>
      <c r="AY18" s="2" t="s">
        <v>205</v>
      </c>
      <c r="AZ18" s="2" t="s">
        <v>206</v>
      </c>
      <c r="BA18" s="2" t="s">
        <v>207</v>
      </c>
      <c r="BB18" s="2" t="s">
        <v>208</v>
      </c>
      <c r="BC18" s="2" t="s">
        <v>209</v>
      </c>
      <c r="BD18" s="2">
        <v>50</v>
      </c>
      <c r="BE18" s="2" t="s">
        <v>168</v>
      </c>
    </row>
    <row r="19" spans="1:58" ht="11.25" x14ac:dyDescent="0.15">
      <c r="A19" s="2" t="s">
        <v>354</v>
      </c>
      <c r="B19" s="2" t="s">
        <v>355</v>
      </c>
      <c r="C19" s="2" t="s">
        <v>58</v>
      </c>
      <c r="D19" s="2" t="s">
        <v>58</v>
      </c>
      <c r="E19" s="3" t="s">
        <v>191</v>
      </c>
      <c r="F19" s="3" t="s">
        <v>356</v>
      </c>
      <c r="G19" s="2" t="s">
        <v>193</v>
      </c>
      <c r="H19" s="2" t="s">
        <v>62</v>
      </c>
      <c r="I19" s="3" t="s">
        <v>357</v>
      </c>
      <c r="J19" s="3" t="s">
        <v>358</v>
      </c>
      <c r="K19" s="2" t="s">
        <v>196</v>
      </c>
      <c r="L19" s="2" t="s">
        <v>197</v>
      </c>
      <c r="M19" s="2" t="s">
        <v>67</v>
      </c>
      <c r="N19" s="2" t="s">
        <v>198</v>
      </c>
      <c r="O19" s="2" t="s">
        <v>199</v>
      </c>
      <c r="P19" s="2" t="s">
        <v>200</v>
      </c>
      <c r="Q19" s="2" t="s">
        <v>201</v>
      </c>
      <c r="R19" s="2" t="s">
        <v>202</v>
      </c>
      <c r="S19" s="2" t="s">
        <v>203</v>
      </c>
      <c r="T19" s="2" t="s">
        <v>201</v>
      </c>
      <c r="U19" s="2" t="s">
        <v>74</v>
      </c>
      <c r="V19" s="2" t="s">
        <v>74</v>
      </c>
      <c r="X19" s="2" t="s">
        <v>75</v>
      </c>
      <c r="Y19" s="2" t="s">
        <v>289</v>
      </c>
      <c r="Z19" s="2">
        <v>120</v>
      </c>
      <c r="AA19" s="2">
        <v>2</v>
      </c>
      <c r="AB19" s="2">
        <v>1</v>
      </c>
      <c r="AC19" s="2">
        <v>148</v>
      </c>
      <c r="AD19" s="2">
        <v>2179.2452830188699</v>
      </c>
      <c r="AE19" s="2" t="s">
        <v>204</v>
      </c>
      <c r="AF19" s="2">
        <v>1300</v>
      </c>
      <c r="AG19" s="2">
        <v>2</v>
      </c>
      <c r="AH19" s="2">
        <v>31</v>
      </c>
      <c r="AI19" s="2">
        <v>1</v>
      </c>
      <c r="AJ19" s="2">
        <v>1300</v>
      </c>
      <c r="AK19" s="3" t="s">
        <v>77</v>
      </c>
      <c r="AL19" s="3" t="s">
        <v>135</v>
      </c>
      <c r="AM19" s="2" t="s">
        <v>79</v>
      </c>
      <c r="AP19" s="2">
        <v>30</v>
      </c>
      <c r="AQ19" s="2"/>
      <c r="AR19" s="2">
        <v>30</v>
      </c>
      <c r="AS19" s="2">
        <v>2</v>
      </c>
      <c r="AT19" s="2">
        <v>150</v>
      </c>
      <c r="AU19" s="2">
        <v>300</v>
      </c>
      <c r="AV19" s="2" t="s">
        <v>149</v>
      </c>
      <c r="AW19" s="2">
        <v>300</v>
      </c>
      <c r="AX19" s="2" t="s">
        <v>81</v>
      </c>
      <c r="AY19" s="2" t="s">
        <v>205</v>
      </c>
      <c r="AZ19" s="2" t="s">
        <v>206</v>
      </c>
      <c r="BA19" s="2" t="s">
        <v>207</v>
      </c>
      <c r="BB19" s="2" t="s">
        <v>208</v>
      </c>
      <c r="BC19" s="2" t="s">
        <v>209</v>
      </c>
      <c r="BD19" s="2" t="s">
        <v>168</v>
      </c>
      <c r="BE19" s="2" t="s">
        <v>168</v>
      </c>
    </row>
    <row r="20" spans="1:58" ht="11.25" x14ac:dyDescent="0.15">
      <c r="A20" s="2" t="s">
        <v>211</v>
      </c>
      <c r="B20" s="2" t="s">
        <v>212</v>
      </c>
      <c r="C20" s="2" t="s">
        <v>58</v>
      </c>
      <c r="D20" s="2" t="s">
        <v>58</v>
      </c>
      <c r="E20" s="3" t="s">
        <v>191</v>
      </c>
      <c r="F20" s="3" t="s">
        <v>213</v>
      </c>
      <c r="G20" s="2" t="s">
        <v>193</v>
      </c>
      <c r="H20" s="2" t="s">
        <v>62</v>
      </c>
      <c r="I20" s="3" t="s">
        <v>214</v>
      </c>
      <c r="J20" s="3" t="s">
        <v>215</v>
      </c>
      <c r="K20" s="2" t="s">
        <v>196</v>
      </c>
      <c r="L20" s="2" t="s">
        <v>197</v>
      </c>
      <c r="M20" s="2" t="s">
        <v>67</v>
      </c>
      <c r="N20" s="2" t="s">
        <v>198</v>
      </c>
      <c r="O20" s="2" t="s">
        <v>199</v>
      </c>
      <c r="P20" s="2" t="s">
        <v>200</v>
      </c>
      <c r="Q20" s="2" t="s">
        <v>201</v>
      </c>
      <c r="R20" s="2" t="s">
        <v>202</v>
      </c>
      <c r="S20" s="2" t="s">
        <v>203</v>
      </c>
      <c r="T20" s="2" t="s">
        <v>201</v>
      </c>
      <c r="U20" s="2" t="s">
        <v>74</v>
      </c>
      <c r="V20" s="2" t="s">
        <v>74</v>
      </c>
      <c r="X20" s="2" t="s">
        <v>75</v>
      </c>
      <c r="Y20" s="2" t="s">
        <v>76</v>
      </c>
      <c r="Z20" s="2">
        <v>120</v>
      </c>
      <c r="AA20" s="2">
        <v>3</v>
      </c>
      <c r="AB20" s="2">
        <v>1</v>
      </c>
      <c r="AC20" s="2">
        <v>268</v>
      </c>
      <c r="AD20" s="2">
        <v>3268.8679245283001</v>
      </c>
      <c r="AE20" s="2" t="s">
        <v>204</v>
      </c>
      <c r="AF20" s="2">
        <v>2100</v>
      </c>
      <c r="AG20" s="2">
        <v>3</v>
      </c>
      <c r="AH20" s="2">
        <v>31</v>
      </c>
      <c r="AI20" s="2">
        <v>1</v>
      </c>
      <c r="AJ20" s="2">
        <v>2000</v>
      </c>
      <c r="AK20" s="3" t="s">
        <v>77</v>
      </c>
      <c r="AL20" s="3" t="s">
        <v>135</v>
      </c>
      <c r="AM20" s="2" t="s">
        <v>79</v>
      </c>
      <c r="AP20" s="2">
        <v>30</v>
      </c>
      <c r="AQ20" s="2"/>
      <c r="AR20" s="2">
        <v>30</v>
      </c>
      <c r="AS20" s="2">
        <v>4</v>
      </c>
      <c r="AT20" s="2">
        <v>150</v>
      </c>
      <c r="AU20" s="2">
        <v>600</v>
      </c>
      <c r="AV20" s="2" t="s">
        <v>149</v>
      </c>
      <c r="AW20" s="2">
        <v>650</v>
      </c>
      <c r="AX20" s="2" t="s">
        <v>81</v>
      </c>
      <c r="AY20" s="2" t="s">
        <v>205</v>
      </c>
      <c r="AZ20" s="2" t="s">
        <v>206</v>
      </c>
      <c r="BA20" s="2" t="s">
        <v>207</v>
      </c>
      <c r="BB20" s="2" t="s">
        <v>208</v>
      </c>
      <c r="BC20" s="2" t="s">
        <v>209</v>
      </c>
      <c r="BE20" s="2" t="s">
        <v>216</v>
      </c>
    </row>
    <row r="21" spans="1:58" ht="11.25" x14ac:dyDescent="0.15">
      <c r="A21" s="2" t="s">
        <v>217</v>
      </c>
      <c r="B21" s="2" t="s">
        <v>218</v>
      </c>
      <c r="C21" s="2" t="s">
        <v>58</v>
      </c>
      <c r="D21" s="2" t="s">
        <v>58</v>
      </c>
      <c r="E21" s="3" t="s">
        <v>191</v>
      </c>
      <c r="F21" s="3" t="s">
        <v>219</v>
      </c>
      <c r="G21" s="2" t="s">
        <v>193</v>
      </c>
      <c r="H21" s="2" t="s">
        <v>62</v>
      </c>
      <c r="I21" s="3" t="s">
        <v>220</v>
      </c>
      <c r="J21" s="3" t="s">
        <v>221</v>
      </c>
      <c r="K21" s="2" t="s">
        <v>196</v>
      </c>
      <c r="L21" s="2" t="s">
        <v>197</v>
      </c>
      <c r="M21" s="2" t="s">
        <v>67</v>
      </c>
      <c r="N21" s="2" t="s">
        <v>198</v>
      </c>
      <c r="O21" s="2" t="s">
        <v>199</v>
      </c>
      <c r="P21" s="2" t="s">
        <v>200</v>
      </c>
      <c r="Q21" s="2" t="s">
        <v>201</v>
      </c>
      <c r="R21" s="2" t="s">
        <v>202</v>
      </c>
      <c r="S21" s="2" t="s">
        <v>203</v>
      </c>
      <c r="T21" s="2" t="s">
        <v>201</v>
      </c>
      <c r="U21" s="2" t="s">
        <v>74</v>
      </c>
      <c r="V21" s="2" t="s">
        <v>74</v>
      </c>
      <c r="X21" s="2" t="s">
        <v>75</v>
      </c>
      <c r="Y21" s="2" t="s">
        <v>76</v>
      </c>
      <c r="Z21" s="2">
        <v>120</v>
      </c>
      <c r="AA21" s="2">
        <v>3</v>
      </c>
      <c r="AB21" s="2">
        <v>1</v>
      </c>
      <c r="AC21" s="2">
        <v>284</v>
      </c>
      <c r="AD21" s="2">
        <v>3268.8679245283001</v>
      </c>
      <c r="AE21" s="2" t="s">
        <v>204</v>
      </c>
      <c r="AF21" s="2">
        <v>2100</v>
      </c>
      <c r="AG21" s="2">
        <v>3</v>
      </c>
      <c r="AH21" s="2">
        <v>31</v>
      </c>
      <c r="AI21" s="2">
        <v>1</v>
      </c>
      <c r="AJ21" s="2">
        <v>2000</v>
      </c>
      <c r="AK21" s="3" t="s">
        <v>77</v>
      </c>
      <c r="AL21" s="3" t="s">
        <v>135</v>
      </c>
      <c r="AM21" s="2" t="s">
        <v>79</v>
      </c>
      <c r="AP21" s="2">
        <v>50</v>
      </c>
      <c r="AQ21" s="2"/>
      <c r="AR21" s="2">
        <v>30</v>
      </c>
      <c r="AS21" s="2">
        <v>4</v>
      </c>
      <c r="AT21" s="2">
        <v>150</v>
      </c>
      <c r="AU21" s="2">
        <v>600</v>
      </c>
      <c r="AV21" s="2" t="s">
        <v>149</v>
      </c>
      <c r="AW21" s="2">
        <v>600</v>
      </c>
      <c r="AX21" s="2" t="s">
        <v>81</v>
      </c>
      <c r="AY21" s="2" t="s">
        <v>205</v>
      </c>
      <c r="AZ21" s="2" t="s">
        <v>206</v>
      </c>
      <c r="BA21" s="2" t="s">
        <v>207</v>
      </c>
      <c r="BB21" s="2" t="s">
        <v>208</v>
      </c>
      <c r="BC21" s="2" t="s">
        <v>209</v>
      </c>
      <c r="BD21" s="2">
        <v>-650</v>
      </c>
      <c r="BE21" s="2" t="s">
        <v>222</v>
      </c>
    </row>
    <row r="22" spans="1:58" ht="11.25" x14ac:dyDescent="0.15">
      <c r="A22" s="2" t="s">
        <v>359</v>
      </c>
      <c r="B22" s="2" t="s">
        <v>360</v>
      </c>
      <c r="C22" s="2" t="s">
        <v>58</v>
      </c>
      <c r="D22" s="2" t="s">
        <v>58</v>
      </c>
      <c r="E22" s="3" t="s">
        <v>191</v>
      </c>
      <c r="F22" s="3" t="s">
        <v>361</v>
      </c>
      <c r="G22" s="2" t="s">
        <v>193</v>
      </c>
      <c r="H22" s="2" t="s">
        <v>62</v>
      </c>
      <c r="I22" s="3" t="s">
        <v>362</v>
      </c>
      <c r="J22" s="3" t="s">
        <v>363</v>
      </c>
      <c r="K22" s="2" t="s">
        <v>196</v>
      </c>
      <c r="L22" s="2" t="s">
        <v>197</v>
      </c>
      <c r="M22" s="2" t="s">
        <v>67</v>
      </c>
      <c r="N22" s="2" t="s">
        <v>198</v>
      </c>
      <c r="O22" s="2" t="s">
        <v>199</v>
      </c>
      <c r="P22" s="2" t="s">
        <v>200</v>
      </c>
      <c r="Q22" s="2" t="s">
        <v>201</v>
      </c>
      <c r="R22" s="2" t="s">
        <v>202</v>
      </c>
      <c r="S22" s="2" t="s">
        <v>203</v>
      </c>
      <c r="T22" s="2" t="s">
        <v>201</v>
      </c>
      <c r="U22" s="2" t="s">
        <v>74</v>
      </c>
      <c r="V22" s="2" t="s">
        <v>74</v>
      </c>
      <c r="X22" s="2" t="s">
        <v>75</v>
      </c>
      <c r="Y22" s="2" t="s">
        <v>289</v>
      </c>
      <c r="Z22" s="2">
        <v>120</v>
      </c>
      <c r="AA22" s="2">
        <v>2</v>
      </c>
      <c r="AB22" s="2">
        <v>1</v>
      </c>
      <c r="AC22" s="2">
        <v>179.83</v>
      </c>
      <c r="AD22" s="2">
        <v>2179.2452830188699</v>
      </c>
      <c r="AE22" s="2" t="s">
        <v>204</v>
      </c>
      <c r="AF22" s="2">
        <v>1460</v>
      </c>
      <c r="AG22" s="2">
        <v>2</v>
      </c>
      <c r="AH22" s="2">
        <v>31</v>
      </c>
      <c r="AI22" s="2">
        <v>1</v>
      </c>
      <c r="AJ22" s="2">
        <v>1400</v>
      </c>
      <c r="AK22" s="3" t="s">
        <v>77</v>
      </c>
      <c r="AL22" s="3" t="s">
        <v>135</v>
      </c>
      <c r="AM22" s="2" t="s">
        <v>79</v>
      </c>
      <c r="AP22" s="2">
        <v>30</v>
      </c>
      <c r="AQ22" s="2"/>
      <c r="AR22" s="2">
        <v>30</v>
      </c>
      <c r="AS22" s="2">
        <v>3</v>
      </c>
      <c r="AT22" s="2">
        <v>150</v>
      </c>
      <c r="AU22" s="2">
        <v>450</v>
      </c>
      <c r="AV22" s="2" t="s">
        <v>149</v>
      </c>
      <c r="AW22" s="2">
        <v>300</v>
      </c>
      <c r="AX22" s="2" t="s">
        <v>81</v>
      </c>
      <c r="AY22" s="2" t="s">
        <v>205</v>
      </c>
      <c r="AZ22" s="2" t="s">
        <v>206</v>
      </c>
      <c r="BA22" s="2" t="s">
        <v>207</v>
      </c>
      <c r="BB22" s="2" t="s">
        <v>208</v>
      </c>
      <c r="BC22" s="2" t="s">
        <v>209</v>
      </c>
      <c r="BD22" s="2" t="s">
        <v>168</v>
      </c>
      <c r="BE22" s="2" t="s">
        <v>168</v>
      </c>
    </row>
    <row r="23" spans="1:58" ht="11.25" x14ac:dyDescent="0.15">
      <c r="A23" s="2" t="s">
        <v>157</v>
      </c>
      <c r="B23" s="2" t="s">
        <v>158</v>
      </c>
      <c r="C23" s="2" t="s">
        <v>58</v>
      </c>
      <c r="D23" s="2" t="s">
        <v>58</v>
      </c>
      <c r="E23" s="3" t="s">
        <v>159</v>
      </c>
      <c r="F23" s="3" t="s">
        <v>160</v>
      </c>
      <c r="G23" s="2" t="s">
        <v>145</v>
      </c>
      <c r="H23" s="2" t="s">
        <v>62</v>
      </c>
      <c r="I23" s="3" t="s">
        <v>161</v>
      </c>
      <c r="J23" s="3" t="s">
        <v>162</v>
      </c>
      <c r="K23" s="2" t="s">
        <v>163</v>
      </c>
      <c r="L23" s="2"/>
      <c r="M23" s="2" t="s">
        <v>67</v>
      </c>
      <c r="N23" s="2" t="s">
        <v>164</v>
      </c>
      <c r="O23" s="2" t="s">
        <v>165</v>
      </c>
      <c r="P23" s="2" t="s">
        <v>166</v>
      </c>
      <c r="Q23" s="2"/>
      <c r="R23" s="2"/>
      <c r="S23" s="2"/>
      <c r="T23" s="2"/>
      <c r="V23" s="2" t="s">
        <v>74</v>
      </c>
      <c r="X23" s="2" t="s">
        <v>75</v>
      </c>
      <c r="Y23" s="2" t="s">
        <v>76</v>
      </c>
      <c r="Z23" s="2">
        <v>200</v>
      </c>
      <c r="AA23" s="2">
        <v>5</v>
      </c>
      <c r="AB23" s="2">
        <v>2</v>
      </c>
      <c r="AC23" s="2"/>
      <c r="AD23" s="2"/>
      <c r="AF23" s="2">
        <v>4950</v>
      </c>
      <c r="AG23" s="2">
        <v>5</v>
      </c>
      <c r="AH23" s="2">
        <v>31</v>
      </c>
      <c r="AI23" s="2">
        <v>2</v>
      </c>
      <c r="AK23" s="3" t="s">
        <v>167</v>
      </c>
      <c r="AL23" s="3" t="s">
        <v>135</v>
      </c>
      <c r="AM23" s="2" t="s">
        <v>79</v>
      </c>
      <c r="AQ23" s="2"/>
      <c r="AR23" s="2">
        <v>30</v>
      </c>
      <c r="AX23" s="2" t="s">
        <v>168</v>
      </c>
      <c r="BE23" s="2" t="s">
        <v>169</v>
      </c>
    </row>
    <row r="24" spans="1:58" ht="11.25" x14ac:dyDescent="0.15">
      <c r="A24" s="2" t="s">
        <v>170</v>
      </c>
      <c r="B24" s="2" t="s">
        <v>171</v>
      </c>
      <c r="C24" s="2" t="s">
        <v>58</v>
      </c>
      <c r="D24" s="2" t="s">
        <v>58</v>
      </c>
      <c r="E24" s="3" t="s">
        <v>159</v>
      </c>
      <c r="F24" s="3" t="s">
        <v>172</v>
      </c>
      <c r="G24" s="2" t="s">
        <v>145</v>
      </c>
      <c r="H24" s="2" t="s">
        <v>62</v>
      </c>
      <c r="I24" s="3" t="s">
        <v>173</v>
      </c>
      <c r="K24" s="2" t="s">
        <v>163</v>
      </c>
      <c r="L24" s="2"/>
      <c r="M24" s="2" t="s">
        <v>67</v>
      </c>
      <c r="N24" s="2" t="s">
        <v>164</v>
      </c>
      <c r="O24" s="2" t="s">
        <v>165</v>
      </c>
      <c r="P24" s="2" t="s">
        <v>166</v>
      </c>
      <c r="Q24" s="2"/>
      <c r="R24" s="2"/>
      <c r="S24" s="2"/>
      <c r="T24" s="2"/>
      <c r="V24" s="2" t="s">
        <v>74</v>
      </c>
      <c r="X24" s="2" t="s">
        <v>75</v>
      </c>
      <c r="Y24" s="2" t="s">
        <v>76</v>
      </c>
      <c r="Z24" s="2">
        <v>200</v>
      </c>
      <c r="AA24" s="2">
        <v>6</v>
      </c>
      <c r="AB24" s="2">
        <v>2</v>
      </c>
      <c r="AC24" s="2"/>
      <c r="AD24" s="2"/>
      <c r="AF24" s="2">
        <v>5900</v>
      </c>
      <c r="AG24" s="2">
        <v>6</v>
      </c>
      <c r="AH24" s="2">
        <v>31</v>
      </c>
      <c r="AI24" s="2">
        <v>2</v>
      </c>
      <c r="AK24" s="3" t="s">
        <v>167</v>
      </c>
      <c r="AL24" s="3" t="s">
        <v>135</v>
      </c>
      <c r="AM24" s="2" t="s">
        <v>79</v>
      </c>
      <c r="AQ24" s="2"/>
      <c r="AR24" s="2">
        <v>30</v>
      </c>
      <c r="AX24" s="2" t="s">
        <v>168</v>
      </c>
      <c r="BE24" s="2" t="s">
        <v>169</v>
      </c>
    </row>
    <row r="25" spans="1:58" ht="11.25" x14ac:dyDescent="0.15">
      <c r="A25" s="2" t="s">
        <v>174</v>
      </c>
      <c r="B25" s="2" t="s">
        <v>175</v>
      </c>
      <c r="C25" s="2" t="s">
        <v>58</v>
      </c>
      <c r="D25" s="2" t="s">
        <v>58</v>
      </c>
      <c r="E25" s="3" t="s">
        <v>159</v>
      </c>
      <c r="F25" s="3" t="s">
        <v>176</v>
      </c>
      <c r="G25" s="2" t="s">
        <v>145</v>
      </c>
      <c r="H25" s="2" t="s">
        <v>62</v>
      </c>
      <c r="I25" s="3" t="s">
        <v>177</v>
      </c>
      <c r="J25" s="3" t="s">
        <v>178</v>
      </c>
      <c r="K25" s="2" t="s">
        <v>163</v>
      </c>
      <c r="L25" s="2"/>
      <c r="M25" s="2" t="s">
        <v>67</v>
      </c>
      <c r="N25" s="2" t="s">
        <v>164</v>
      </c>
      <c r="O25" s="2" t="s">
        <v>165</v>
      </c>
      <c r="P25" s="2" t="s">
        <v>166</v>
      </c>
      <c r="Q25" s="2"/>
      <c r="R25" s="2"/>
      <c r="S25" s="2"/>
      <c r="T25" s="2"/>
      <c r="V25" s="2" t="s">
        <v>74</v>
      </c>
      <c r="X25" s="2" t="s">
        <v>75</v>
      </c>
      <c r="Y25" s="2" t="s">
        <v>76</v>
      </c>
      <c r="Z25" s="2">
        <v>200</v>
      </c>
      <c r="AA25" s="2">
        <v>4</v>
      </c>
      <c r="AB25" s="2">
        <v>2</v>
      </c>
      <c r="AC25" s="2"/>
      <c r="AD25" s="2"/>
      <c r="AF25" s="2">
        <v>4950</v>
      </c>
      <c r="AG25" s="2">
        <v>4</v>
      </c>
      <c r="AH25" s="2">
        <v>31</v>
      </c>
      <c r="AI25" s="2">
        <v>2</v>
      </c>
      <c r="AK25" s="3" t="s">
        <v>167</v>
      </c>
      <c r="AL25" s="3" t="s">
        <v>135</v>
      </c>
      <c r="AM25" s="2" t="s">
        <v>79</v>
      </c>
      <c r="AQ25" s="2"/>
      <c r="AR25" s="2">
        <v>30</v>
      </c>
      <c r="AX25" s="2" t="s">
        <v>168</v>
      </c>
      <c r="BE25" s="2" t="s">
        <v>169</v>
      </c>
    </row>
    <row r="26" spans="1:58" s="4" customFormat="1" ht="11.25" x14ac:dyDescent="0.15">
      <c r="A26" s="2" t="s">
        <v>395</v>
      </c>
      <c r="B26" s="2" t="s">
        <v>396</v>
      </c>
      <c r="C26" s="2" t="s">
        <v>58</v>
      </c>
      <c r="D26" s="2" t="s">
        <v>58</v>
      </c>
      <c r="E26" s="3" t="s">
        <v>159</v>
      </c>
      <c r="F26" s="3" t="s">
        <v>397</v>
      </c>
      <c r="G26" s="2" t="s">
        <v>145</v>
      </c>
      <c r="H26" s="2" t="s">
        <v>62</v>
      </c>
      <c r="I26" s="3" t="s">
        <v>398</v>
      </c>
      <c r="J26" s="3"/>
      <c r="K26" s="2" t="s">
        <v>163</v>
      </c>
      <c r="L26" s="2"/>
      <c r="M26" s="2" t="s">
        <v>67</v>
      </c>
      <c r="N26" s="2" t="s">
        <v>164</v>
      </c>
      <c r="O26" s="2" t="s">
        <v>165</v>
      </c>
      <c r="P26" s="2" t="s">
        <v>166</v>
      </c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3"/>
      <c r="AL26" s="3"/>
      <c r="AM26" s="2"/>
      <c r="AN26" s="2"/>
      <c r="AO26" s="2"/>
      <c r="AP26" s="2"/>
      <c r="AQ26" s="2"/>
      <c r="AR26" s="2">
        <v>30</v>
      </c>
      <c r="AS26" s="2"/>
      <c r="AT26" s="2"/>
      <c r="AU26" s="2"/>
      <c r="AV26" s="2"/>
      <c r="AW26" s="2"/>
      <c r="AX26" s="2" t="s">
        <v>168</v>
      </c>
      <c r="AY26" s="2"/>
      <c r="AZ26" s="2"/>
      <c r="BA26" s="2"/>
      <c r="BB26" s="2"/>
      <c r="BC26" s="2"/>
      <c r="BD26" s="2"/>
      <c r="BE26" s="2" t="s">
        <v>399</v>
      </c>
      <c r="BF26" s="2"/>
    </row>
    <row r="27" spans="1:58" s="4" customFormat="1" ht="11.25" x14ac:dyDescent="0.15">
      <c r="A27" s="2" t="s">
        <v>309</v>
      </c>
      <c r="B27" s="2" t="s">
        <v>310</v>
      </c>
      <c r="C27" s="2" t="s">
        <v>58</v>
      </c>
      <c r="D27" s="2" t="s">
        <v>58</v>
      </c>
      <c r="E27" s="3" t="s">
        <v>159</v>
      </c>
      <c r="F27" s="3" t="s">
        <v>311</v>
      </c>
      <c r="G27" s="2" t="s">
        <v>145</v>
      </c>
      <c r="H27" s="2" t="s">
        <v>62</v>
      </c>
      <c r="I27" s="3" t="s">
        <v>312</v>
      </c>
      <c r="J27" s="3" t="s">
        <v>313</v>
      </c>
      <c r="K27" s="2" t="s">
        <v>163</v>
      </c>
      <c r="L27" s="2"/>
      <c r="M27" s="2" t="s">
        <v>67</v>
      </c>
      <c r="N27" s="2" t="s">
        <v>164</v>
      </c>
      <c r="O27" s="2" t="s">
        <v>165</v>
      </c>
      <c r="P27" s="2" t="s">
        <v>166</v>
      </c>
      <c r="Q27" s="2"/>
      <c r="R27" s="2"/>
      <c r="S27" s="2"/>
      <c r="T27" s="2"/>
      <c r="U27" s="2"/>
      <c r="V27" s="2" t="s">
        <v>74</v>
      </c>
      <c r="W27" s="2"/>
      <c r="X27" s="2" t="s">
        <v>75</v>
      </c>
      <c r="Y27" s="2" t="s">
        <v>289</v>
      </c>
      <c r="Z27" s="2">
        <v>200</v>
      </c>
      <c r="AA27" s="2">
        <v>7</v>
      </c>
      <c r="AB27" s="2">
        <v>2</v>
      </c>
      <c r="AC27" s="2"/>
      <c r="AD27" s="2"/>
      <c r="AE27" s="2"/>
      <c r="AF27" s="2">
        <v>6850</v>
      </c>
      <c r="AG27" s="2">
        <v>7</v>
      </c>
      <c r="AH27" s="2">
        <v>31</v>
      </c>
      <c r="AI27" s="2">
        <v>2</v>
      </c>
      <c r="AJ27" s="2"/>
      <c r="AK27" s="3" t="s">
        <v>167</v>
      </c>
      <c r="AL27" s="3" t="s">
        <v>135</v>
      </c>
      <c r="AM27" s="2" t="s">
        <v>79</v>
      </c>
      <c r="AN27" s="2"/>
      <c r="AO27" s="2"/>
      <c r="AP27" s="2"/>
      <c r="AQ27" s="2"/>
      <c r="AR27" s="2">
        <v>30</v>
      </c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 t="s">
        <v>168</v>
      </c>
      <c r="BF27" s="2"/>
    </row>
    <row r="28" spans="1:58" s="4" customFormat="1" ht="11.25" x14ac:dyDescent="0.15">
      <c r="A28" s="2" t="s">
        <v>179</v>
      </c>
      <c r="B28" s="2" t="s">
        <v>180</v>
      </c>
      <c r="C28" s="2" t="s">
        <v>58</v>
      </c>
      <c r="D28" s="2" t="s">
        <v>58</v>
      </c>
      <c r="E28" s="3" t="s">
        <v>159</v>
      </c>
      <c r="F28" s="3" t="s">
        <v>181</v>
      </c>
      <c r="G28" s="2" t="s">
        <v>145</v>
      </c>
      <c r="H28" s="2" t="s">
        <v>62</v>
      </c>
      <c r="I28" s="3" t="s">
        <v>182</v>
      </c>
      <c r="J28" s="3" t="s">
        <v>183</v>
      </c>
      <c r="K28" s="2" t="s">
        <v>163</v>
      </c>
      <c r="L28" s="2"/>
      <c r="M28" s="2" t="s">
        <v>67</v>
      </c>
      <c r="N28" s="2" t="s">
        <v>164</v>
      </c>
      <c r="O28" s="2" t="s">
        <v>165</v>
      </c>
      <c r="P28" s="2" t="s">
        <v>166</v>
      </c>
      <c r="Q28" s="2"/>
      <c r="R28" s="2"/>
      <c r="S28" s="2"/>
      <c r="T28" s="2"/>
      <c r="U28" s="2"/>
      <c r="V28" s="2" t="s">
        <v>74</v>
      </c>
      <c r="W28" s="2"/>
      <c r="X28" s="2" t="s">
        <v>75</v>
      </c>
      <c r="Y28" s="2" t="s">
        <v>76</v>
      </c>
      <c r="Z28" s="2">
        <v>200</v>
      </c>
      <c r="AA28" s="2">
        <v>8</v>
      </c>
      <c r="AB28" s="2">
        <v>2</v>
      </c>
      <c r="AC28" s="2"/>
      <c r="AD28" s="2"/>
      <c r="AE28" s="2"/>
      <c r="AF28" s="2">
        <v>7800</v>
      </c>
      <c r="AG28" s="2">
        <v>8</v>
      </c>
      <c r="AH28" s="2">
        <v>31</v>
      </c>
      <c r="AI28" s="2">
        <v>2</v>
      </c>
      <c r="AJ28" s="2"/>
      <c r="AK28" s="3" t="s">
        <v>167</v>
      </c>
      <c r="AL28" s="3" t="s">
        <v>135</v>
      </c>
      <c r="AM28" s="2" t="s">
        <v>79</v>
      </c>
      <c r="AN28" s="2"/>
      <c r="AO28" s="2"/>
      <c r="AP28" s="2"/>
      <c r="AQ28" s="2"/>
      <c r="AR28" s="2">
        <v>30</v>
      </c>
      <c r="AS28" s="2"/>
      <c r="AT28" s="2"/>
      <c r="AU28" s="2"/>
      <c r="AV28" s="2"/>
      <c r="AW28" s="2"/>
      <c r="AX28" s="2" t="s">
        <v>168</v>
      </c>
      <c r="AY28" s="2"/>
      <c r="AZ28" s="2"/>
      <c r="BA28" s="2"/>
      <c r="BB28" s="2"/>
      <c r="BC28" s="2"/>
      <c r="BD28" s="2"/>
      <c r="BE28" s="2" t="s">
        <v>169</v>
      </c>
      <c r="BF28" s="2"/>
    </row>
    <row r="29" spans="1:58" s="4" customFormat="1" ht="11.25" x14ac:dyDescent="0.15">
      <c r="A29" s="2" t="s">
        <v>314</v>
      </c>
      <c r="B29" s="2" t="s">
        <v>315</v>
      </c>
      <c r="C29" s="2" t="s">
        <v>58</v>
      </c>
      <c r="D29" s="2" t="s">
        <v>58</v>
      </c>
      <c r="E29" s="3" t="s">
        <v>159</v>
      </c>
      <c r="F29" s="3" t="s">
        <v>316</v>
      </c>
      <c r="G29" s="2" t="s">
        <v>145</v>
      </c>
      <c r="H29" s="2" t="s">
        <v>62</v>
      </c>
      <c r="I29" s="3" t="s">
        <v>317</v>
      </c>
      <c r="J29" s="3" t="s">
        <v>318</v>
      </c>
      <c r="K29" s="2" t="s">
        <v>163</v>
      </c>
      <c r="L29" s="2"/>
      <c r="M29" s="2" t="s">
        <v>67</v>
      </c>
      <c r="N29" s="2" t="s">
        <v>164</v>
      </c>
      <c r="O29" s="2" t="s">
        <v>165</v>
      </c>
      <c r="P29" s="2" t="s">
        <v>166</v>
      </c>
      <c r="Q29" s="2"/>
      <c r="R29" s="2"/>
      <c r="S29" s="2"/>
      <c r="T29" s="2"/>
      <c r="U29" s="2"/>
      <c r="V29" s="2" t="s">
        <v>74</v>
      </c>
      <c r="W29" s="2"/>
      <c r="X29" s="2" t="s">
        <v>75</v>
      </c>
      <c r="Y29" s="2" t="s">
        <v>289</v>
      </c>
      <c r="Z29" s="2">
        <v>200</v>
      </c>
      <c r="AA29" s="2">
        <v>6</v>
      </c>
      <c r="AB29" s="2">
        <v>2</v>
      </c>
      <c r="AC29" s="2"/>
      <c r="AD29" s="2"/>
      <c r="AE29" s="2"/>
      <c r="AF29" s="2">
        <v>5900</v>
      </c>
      <c r="AG29" s="2">
        <v>6</v>
      </c>
      <c r="AH29" s="2">
        <v>31</v>
      </c>
      <c r="AI29" s="2">
        <v>2</v>
      </c>
      <c r="AJ29" s="2"/>
      <c r="AK29" s="3" t="s">
        <v>167</v>
      </c>
      <c r="AL29" s="3" t="s">
        <v>135</v>
      </c>
      <c r="AM29" s="2" t="s">
        <v>79</v>
      </c>
      <c r="AN29" s="2"/>
      <c r="AO29" s="2"/>
      <c r="AP29" s="2"/>
      <c r="AQ29" s="2"/>
      <c r="AR29" s="2">
        <v>30</v>
      </c>
      <c r="AS29" s="2"/>
      <c r="AT29" s="2" t="s">
        <v>168</v>
      </c>
      <c r="AU29" s="2" t="s">
        <v>168</v>
      </c>
      <c r="AV29" s="2" t="s">
        <v>168</v>
      </c>
      <c r="AW29" s="2" t="s">
        <v>168</v>
      </c>
      <c r="AX29" s="2" t="s">
        <v>168</v>
      </c>
      <c r="AY29" s="2"/>
      <c r="AZ29" s="2"/>
      <c r="BA29" s="2"/>
      <c r="BB29" s="2"/>
      <c r="BC29" s="2"/>
      <c r="BD29" s="2"/>
      <c r="BE29" s="2" t="s">
        <v>168</v>
      </c>
      <c r="BF29" s="2"/>
    </row>
    <row r="30" spans="1:58" s="4" customFormat="1" ht="11.25" x14ac:dyDescent="0.15">
      <c r="A30" s="2" t="s">
        <v>340</v>
      </c>
      <c r="B30" s="2" t="s">
        <v>341</v>
      </c>
      <c r="C30" s="2" t="s">
        <v>58</v>
      </c>
      <c r="D30" s="2" t="s">
        <v>58</v>
      </c>
      <c r="E30" s="3" t="s">
        <v>159</v>
      </c>
      <c r="F30" s="3" t="s">
        <v>342</v>
      </c>
      <c r="G30" s="2" t="s">
        <v>145</v>
      </c>
      <c r="H30" s="2" t="s">
        <v>62</v>
      </c>
      <c r="I30" s="3" t="s">
        <v>343</v>
      </c>
      <c r="J30" s="3" t="s">
        <v>344</v>
      </c>
      <c r="K30" s="2" t="s">
        <v>163</v>
      </c>
      <c r="L30" s="2"/>
      <c r="M30" s="2" t="s">
        <v>67</v>
      </c>
      <c r="N30" s="2" t="s">
        <v>164</v>
      </c>
      <c r="O30" s="2" t="s">
        <v>165</v>
      </c>
      <c r="P30" s="2" t="s">
        <v>166</v>
      </c>
      <c r="Q30" s="2"/>
      <c r="R30" s="2"/>
      <c r="S30" s="2"/>
      <c r="T30" s="2"/>
      <c r="U30" s="2"/>
      <c r="V30" s="2" t="s">
        <v>74</v>
      </c>
      <c r="W30" s="2"/>
      <c r="X30" s="2" t="s">
        <v>75</v>
      </c>
      <c r="Y30" s="2" t="s">
        <v>289</v>
      </c>
      <c r="Z30" s="2">
        <v>200</v>
      </c>
      <c r="AA30" s="2">
        <v>6</v>
      </c>
      <c r="AB30" s="2">
        <v>2</v>
      </c>
      <c r="AC30" s="2"/>
      <c r="AD30" s="2"/>
      <c r="AE30" s="2"/>
      <c r="AF30" s="2">
        <v>5900</v>
      </c>
      <c r="AG30" s="2">
        <v>6</v>
      </c>
      <c r="AH30" s="2">
        <v>31</v>
      </c>
      <c r="AI30" s="2">
        <v>2</v>
      </c>
      <c r="AJ30" s="2"/>
      <c r="AK30" s="3" t="s">
        <v>167</v>
      </c>
      <c r="AL30" s="3" t="s">
        <v>135</v>
      </c>
      <c r="AM30" s="2" t="s">
        <v>79</v>
      </c>
      <c r="AN30" s="2"/>
      <c r="AO30" s="2"/>
      <c r="AP30" s="2"/>
      <c r="AQ30" s="2"/>
      <c r="AR30" s="2">
        <v>30</v>
      </c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</row>
    <row r="31" spans="1:58" s="4" customFormat="1" ht="11.25" x14ac:dyDescent="0.15">
      <c r="A31" s="2" t="s">
        <v>319</v>
      </c>
      <c r="B31" s="2" t="s">
        <v>320</v>
      </c>
      <c r="C31" s="2" t="s">
        <v>58</v>
      </c>
      <c r="D31" s="2" t="s">
        <v>58</v>
      </c>
      <c r="E31" s="3" t="s">
        <v>159</v>
      </c>
      <c r="F31" s="3" t="s">
        <v>321</v>
      </c>
      <c r="G31" s="2" t="s">
        <v>145</v>
      </c>
      <c r="H31" s="2" t="s">
        <v>62</v>
      </c>
      <c r="I31" s="3" t="s">
        <v>322</v>
      </c>
      <c r="J31" s="3" t="s">
        <v>323</v>
      </c>
      <c r="K31" s="2" t="s">
        <v>163</v>
      </c>
      <c r="L31" s="2"/>
      <c r="M31" s="2" t="s">
        <v>67</v>
      </c>
      <c r="N31" s="2" t="s">
        <v>164</v>
      </c>
      <c r="O31" s="2" t="s">
        <v>165</v>
      </c>
      <c r="P31" s="2" t="s">
        <v>166</v>
      </c>
      <c r="Q31" s="2"/>
      <c r="R31" s="2"/>
      <c r="S31" s="2"/>
      <c r="T31" s="2"/>
      <c r="U31" s="2"/>
      <c r="V31" s="2" t="s">
        <v>74</v>
      </c>
      <c r="W31" s="2"/>
      <c r="X31" s="2" t="s">
        <v>75</v>
      </c>
      <c r="Y31" s="2" t="s">
        <v>289</v>
      </c>
      <c r="Z31" s="2">
        <v>200</v>
      </c>
      <c r="AA31" s="2">
        <v>6</v>
      </c>
      <c r="AB31" s="2">
        <v>2</v>
      </c>
      <c r="AC31" s="2"/>
      <c r="AD31" s="2"/>
      <c r="AE31" s="2"/>
      <c r="AF31" s="2">
        <v>5900</v>
      </c>
      <c r="AG31" s="2">
        <v>6</v>
      </c>
      <c r="AH31" s="2">
        <v>31</v>
      </c>
      <c r="AI31" s="2">
        <v>2</v>
      </c>
      <c r="AJ31" s="2"/>
      <c r="AK31" s="3" t="s">
        <v>167</v>
      </c>
      <c r="AL31" s="3" t="s">
        <v>135</v>
      </c>
      <c r="AM31" s="2" t="s">
        <v>79</v>
      </c>
      <c r="AN31" s="2"/>
      <c r="AO31" s="2"/>
      <c r="AP31" s="2"/>
      <c r="AQ31" s="2"/>
      <c r="AR31" s="2">
        <v>30</v>
      </c>
      <c r="AS31" s="2"/>
      <c r="AT31" s="2"/>
      <c r="AU31" s="2" t="s">
        <v>168</v>
      </c>
      <c r="AV31" s="2" t="s">
        <v>168</v>
      </c>
      <c r="AW31" s="2" t="s">
        <v>168</v>
      </c>
      <c r="AX31" s="2" t="s">
        <v>168</v>
      </c>
      <c r="AY31" s="2"/>
      <c r="AZ31" s="2"/>
      <c r="BA31" s="2"/>
      <c r="BB31" s="2"/>
      <c r="BC31" s="2"/>
      <c r="BD31" s="2"/>
      <c r="BE31" s="2" t="s">
        <v>168</v>
      </c>
      <c r="BF31" s="2"/>
    </row>
    <row r="32" spans="1:58" s="4" customFormat="1" ht="11.25" x14ac:dyDescent="0.15">
      <c r="A32" s="2" t="s">
        <v>389</v>
      </c>
      <c r="B32" s="2" t="s">
        <v>390</v>
      </c>
      <c r="C32" s="2" t="s">
        <v>391</v>
      </c>
      <c r="D32" s="2" t="s">
        <v>58</v>
      </c>
      <c r="E32" s="3" t="s">
        <v>159</v>
      </c>
      <c r="F32" s="3" t="s">
        <v>392</v>
      </c>
      <c r="G32" s="2" t="s">
        <v>145</v>
      </c>
      <c r="H32" s="2" t="s">
        <v>62</v>
      </c>
      <c r="I32" s="3" t="s">
        <v>393</v>
      </c>
      <c r="J32" s="3" t="s">
        <v>394</v>
      </c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 t="s">
        <v>74</v>
      </c>
      <c r="W32" s="2"/>
      <c r="X32" s="2" t="s">
        <v>75</v>
      </c>
      <c r="Y32" s="2" t="s">
        <v>289</v>
      </c>
      <c r="Z32" s="2">
        <v>200</v>
      </c>
      <c r="AA32" s="2">
        <v>6</v>
      </c>
      <c r="AB32" s="2">
        <v>2</v>
      </c>
      <c r="AC32" s="2"/>
      <c r="AD32" s="2"/>
      <c r="AE32" s="2"/>
      <c r="AF32" s="2">
        <v>5400</v>
      </c>
      <c r="AG32" s="2">
        <v>6</v>
      </c>
      <c r="AH32" s="2">
        <v>31</v>
      </c>
      <c r="AI32" s="2">
        <v>2</v>
      </c>
      <c r="AJ32" s="2"/>
      <c r="AK32" s="3" t="s">
        <v>167</v>
      </c>
      <c r="AL32" s="3" t="s">
        <v>135</v>
      </c>
      <c r="AM32" s="2" t="s">
        <v>79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</row>
    <row r="33" spans="1:58" s="4" customFormat="1" ht="11.25" x14ac:dyDescent="0.15">
      <c r="A33" s="2" t="s">
        <v>324</v>
      </c>
      <c r="B33" s="2" t="s">
        <v>325</v>
      </c>
      <c r="C33" s="2" t="s">
        <v>58</v>
      </c>
      <c r="D33" s="2" t="s">
        <v>58</v>
      </c>
      <c r="E33" s="3" t="s">
        <v>159</v>
      </c>
      <c r="F33" s="3" t="s">
        <v>326</v>
      </c>
      <c r="G33" s="2" t="s">
        <v>145</v>
      </c>
      <c r="H33" s="2" t="s">
        <v>62</v>
      </c>
      <c r="I33" s="3" t="s">
        <v>327</v>
      </c>
      <c r="J33" s="3" t="s">
        <v>328</v>
      </c>
      <c r="K33" s="2" t="s">
        <v>163</v>
      </c>
      <c r="L33" s="2"/>
      <c r="M33" s="2" t="s">
        <v>67</v>
      </c>
      <c r="N33" s="2" t="s">
        <v>164</v>
      </c>
      <c r="O33" s="2" t="s">
        <v>165</v>
      </c>
      <c r="P33" s="2" t="s">
        <v>166</v>
      </c>
      <c r="Q33" s="2"/>
      <c r="R33" s="2"/>
      <c r="S33" s="2"/>
      <c r="T33" s="2"/>
      <c r="U33" s="2"/>
      <c r="V33" s="2" t="s">
        <v>74</v>
      </c>
      <c r="W33" s="2"/>
      <c r="X33" s="2" t="s">
        <v>75</v>
      </c>
      <c r="Y33" s="2" t="s">
        <v>289</v>
      </c>
      <c r="Z33" s="2">
        <v>200</v>
      </c>
      <c r="AA33" s="2">
        <v>7</v>
      </c>
      <c r="AB33" s="2">
        <v>2</v>
      </c>
      <c r="AC33" s="2"/>
      <c r="AD33" s="2"/>
      <c r="AE33" s="2"/>
      <c r="AF33" s="2">
        <v>6850</v>
      </c>
      <c r="AG33" s="2">
        <v>7</v>
      </c>
      <c r="AH33" s="2">
        <v>31</v>
      </c>
      <c r="AI33" s="2">
        <v>2</v>
      </c>
      <c r="AJ33" s="2"/>
      <c r="AK33" s="3" t="s">
        <v>167</v>
      </c>
      <c r="AL33" s="3" t="s">
        <v>135</v>
      </c>
      <c r="AM33" s="2" t="s">
        <v>79</v>
      </c>
      <c r="AN33" s="2"/>
      <c r="AO33" s="2"/>
      <c r="AP33" s="2"/>
      <c r="AQ33" s="2"/>
      <c r="AR33" s="2">
        <v>30</v>
      </c>
      <c r="AS33" s="2"/>
      <c r="AT33" s="2"/>
      <c r="AU33" s="2" t="s">
        <v>168</v>
      </c>
      <c r="AV33" s="2"/>
      <c r="AW33" s="2" t="s">
        <v>168</v>
      </c>
      <c r="AX33" s="2" t="s">
        <v>168</v>
      </c>
      <c r="AY33" s="2"/>
      <c r="AZ33" s="2"/>
      <c r="BA33" s="2"/>
      <c r="BB33" s="2"/>
      <c r="BC33" s="2"/>
      <c r="BD33" s="2"/>
      <c r="BE33" s="2" t="s">
        <v>168</v>
      </c>
      <c r="BF33" s="2"/>
    </row>
    <row r="34" spans="1:58" s="6" customFormat="1" ht="11.25" x14ac:dyDescent="0.15">
      <c r="A34" s="2" t="s">
        <v>184</v>
      </c>
      <c r="B34" s="2" t="s">
        <v>185</v>
      </c>
      <c r="C34" s="2" t="s">
        <v>58</v>
      </c>
      <c r="D34" s="2" t="s">
        <v>58</v>
      </c>
      <c r="E34" s="3" t="s">
        <v>159</v>
      </c>
      <c r="F34" s="3" t="s">
        <v>186</v>
      </c>
      <c r="G34" s="2" t="s">
        <v>145</v>
      </c>
      <c r="H34" s="2" t="s">
        <v>62</v>
      </c>
      <c r="I34" s="3" t="s">
        <v>187</v>
      </c>
      <c r="J34" s="3" t="s">
        <v>188</v>
      </c>
      <c r="K34" s="2" t="s">
        <v>163</v>
      </c>
      <c r="L34" s="2"/>
      <c r="M34" s="2" t="s">
        <v>67</v>
      </c>
      <c r="N34" s="2" t="s">
        <v>164</v>
      </c>
      <c r="O34" s="2" t="s">
        <v>165</v>
      </c>
      <c r="P34" s="2" t="s">
        <v>166</v>
      </c>
      <c r="Q34" s="2"/>
      <c r="R34" s="2"/>
      <c r="S34" s="2"/>
      <c r="T34" s="2"/>
      <c r="U34" s="2"/>
      <c r="V34" s="2" t="s">
        <v>74</v>
      </c>
      <c r="W34" s="2"/>
      <c r="X34" s="2" t="s">
        <v>75</v>
      </c>
      <c r="Y34" s="2" t="s">
        <v>76</v>
      </c>
      <c r="Z34" s="2">
        <v>200</v>
      </c>
      <c r="AA34" s="2">
        <v>6</v>
      </c>
      <c r="AB34" s="2">
        <v>2</v>
      </c>
      <c r="AC34" s="2"/>
      <c r="AD34" s="2"/>
      <c r="AE34" s="2"/>
      <c r="AF34" s="2">
        <v>5900</v>
      </c>
      <c r="AG34" s="2">
        <v>6</v>
      </c>
      <c r="AH34" s="2">
        <v>31</v>
      </c>
      <c r="AI34" s="2">
        <v>2</v>
      </c>
      <c r="AJ34" s="2"/>
      <c r="AK34" s="3" t="s">
        <v>167</v>
      </c>
      <c r="AL34" s="3" t="s">
        <v>135</v>
      </c>
      <c r="AM34" s="2" t="s">
        <v>79</v>
      </c>
      <c r="AN34" s="2"/>
      <c r="AO34" s="2"/>
      <c r="AP34" s="2"/>
      <c r="AQ34" s="2"/>
      <c r="AR34" s="2">
        <v>30</v>
      </c>
      <c r="AS34" s="2"/>
      <c r="AT34" s="2"/>
      <c r="AU34" s="2"/>
      <c r="AV34" s="2"/>
      <c r="AW34" s="2"/>
      <c r="AX34" s="2" t="s">
        <v>168</v>
      </c>
      <c r="AY34" s="2"/>
      <c r="AZ34" s="2"/>
      <c r="BA34" s="2"/>
      <c r="BB34" s="2"/>
      <c r="BC34" s="2"/>
      <c r="BD34" s="2"/>
      <c r="BE34" s="2" t="s">
        <v>169</v>
      </c>
      <c r="BF34" s="2"/>
    </row>
    <row r="35" spans="1:58" s="4" customFormat="1" ht="11.25" x14ac:dyDescent="0.15">
      <c r="A35" s="2" t="s">
        <v>383</v>
      </c>
      <c r="B35" s="2" t="s">
        <v>384</v>
      </c>
      <c r="C35" s="2" t="s">
        <v>385</v>
      </c>
      <c r="D35" s="2" t="s">
        <v>58</v>
      </c>
      <c r="E35" s="3" t="s">
        <v>159</v>
      </c>
      <c r="F35" s="3" t="s">
        <v>386</v>
      </c>
      <c r="G35" s="2" t="s">
        <v>145</v>
      </c>
      <c r="H35" s="2" t="s">
        <v>62</v>
      </c>
      <c r="I35" s="3" t="s">
        <v>387</v>
      </c>
      <c r="J35" s="3" t="s">
        <v>388</v>
      </c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 t="s">
        <v>74</v>
      </c>
      <c r="W35" s="2"/>
      <c r="X35" s="2" t="s">
        <v>75</v>
      </c>
      <c r="Y35" s="2" t="s">
        <v>289</v>
      </c>
      <c r="Z35" s="2">
        <v>200</v>
      </c>
      <c r="AA35" s="2">
        <v>6</v>
      </c>
      <c r="AB35" s="2">
        <v>2</v>
      </c>
      <c r="AC35" s="2"/>
      <c r="AD35" s="2"/>
      <c r="AE35" s="2"/>
      <c r="AF35" s="2">
        <v>5300</v>
      </c>
      <c r="AG35" s="2">
        <v>6</v>
      </c>
      <c r="AH35" s="2">
        <v>31</v>
      </c>
      <c r="AI35" s="2">
        <v>2</v>
      </c>
      <c r="AJ35" s="2"/>
      <c r="AK35" s="3" t="s">
        <v>167</v>
      </c>
      <c r="AL35" s="3" t="s">
        <v>135</v>
      </c>
      <c r="AM35" s="2" t="s">
        <v>79</v>
      </c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</row>
    <row r="36" spans="1:58" s="4" customFormat="1" ht="11.25" x14ac:dyDescent="0.15">
      <c r="A36" s="2" t="s">
        <v>377</v>
      </c>
      <c r="B36" s="2" t="s">
        <v>378</v>
      </c>
      <c r="C36" s="2" t="s">
        <v>379</v>
      </c>
      <c r="D36" s="2" t="s">
        <v>58</v>
      </c>
      <c r="E36" s="3" t="s">
        <v>159</v>
      </c>
      <c r="F36" s="3" t="s">
        <v>380</v>
      </c>
      <c r="G36" s="2" t="s">
        <v>145</v>
      </c>
      <c r="H36" s="2" t="s">
        <v>62</v>
      </c>
      <c r="I36" s="3" t="s">
        <v>381</v>
      </c>
      <c r="J36" s="3" t="s">
        <v>382</v>
      </c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 t="s">
        <v>74</v>
      </c>
      <c r="W36" s="2"/>
      <c r="X36" s="2" t="s">
        <v>75</v>
      </c>
      <c r="Y36" s="2" t="s">
        <v>289</v>
      </c>
      <c r="Z36" s="2">
        <v>200</v>
      </c>
      <c r="AA36" s="2">
        <v>7</v>
      </c>
      <c r="AB36" s="2">
        <v>2</v>
      </c>
      <c r="AC36" s="2"/>
      <c r="AD36" s="2"/>
      <c r="AE36" s="2"/>
      <c r="AF36" s="2">
        <v>5800</v>
      </c>
      <c r="AG36" s="2"/>
      <c r="AH36" s="2"/>
      <c r="AI36" s="2"/>
      <c r="AJ36" s="2"/>
      <c r="AK36" s="3" t="s">
        <v>167</v>
      </c>
      <c r="AL36" s="3" t="s">
        <v>135</v>
      </c>
      <c r="AM36" s="2" t="s">
        <v>79</v>
      </c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</row>
    <row r="37" spans="1:58" s="4" customFormat="1" ht="11.25" x14ac:dyDescent="0.15">
      <c r="A37" s="2" t="s">
        <v>329</v>
      </c>
      <c r="B37" s="2" t="s">
        <v>330</v>
      </c>
      <c r="C37" s="2" t="s">
        <v>58</v>
      </c>
      <c r="D37" s="2" t="s">
        <v>58</v>
      </c>
      <c r="E37" s="3" t="s">
        <v>159</v>
      </c>
      <c r="F37" s="3" t="s">
        <v>331</v>
      </c>
      <c r="G37" s="2" t="s">
        <v>145</v>
      </c>
      <c r="H37" s="2" t="s">
        <v>62</v>
      </c>
      <c r="I37" s="3" t="s">
        <v>332</v>
      </c>
      <c r="J37" s="3" t="s">
        <v>333</v>
      </c>
      <c r="K37" s="2" t="s">
        <v>163</v>
      </c>
      <c r="L37" s="2"/>
      <c r="M37" s="2" t="s">
        <v>67</v>
      </c>
      <c r="N37" s="2" t="s">
        <v>164</v>
      </c>
      <c r="O37" s="2" t="s">
        <v>165</v>
      </c>
      <c r="P37" s="2" t="s">
        <v>166</v>
      </c>
      <c r="Q37" s="2"/>
      <c r="R37" s="2"/>
      <c r="S37" s="2"/>
      <c r="T37" s="2"/>
      <c r="U37" s="2"/>
      <c r="V37" s="2" t="s">
        <v>74</v>
      </c>
      <c r="W37" s="2"/>
      <c r="X37" s="2" t="s">
        <v>75</v>
      </c>
      <c r="Y37" s="2" t="s">
        <v>289</v>
      </c>
      <c r="Z37" s="2">
        <v>200</v>
      </c>
      <c r="AA37" s="2">
        <v>7</v>
      </c>
      <c r="AB37" s="2">
        <v>2</v>
      </c>
      <c r="AC37" s="2"/>
      <c r="AD37" s="2"/>
      <c r="AE37" s="2"/>
      <c r="AF37" s="2">
        <v>6850</v>
      </c>
      <c r="AG37" s="2">
        <v>7</v>
      </c>
      <c r="AH37" s="2">
        <v>31</v>
      </c>
      <c r="AI37" s="2">
        <v>2</v>
      </c>
      <c r="AJ37" s="2"/>
      <c r="AK37" s="3" t="s">
        <v>167</v>
      </c>
      <c r="AL37" s="3" t="s">
        <v>135</v>
      </c>
      <c r="AM37" s="2" t="s">
        <v>79</v>
      </c>
      <c r="AN37" s="2"/>
      <c r="AO37" s="2"/>
      <c r="AP37" s="2"/>
      <c r="AQ37" s="2"/>
      <c r="AR37" s="2">
        <v>30</v>
      </c>
      <c r="AS37" s="2"/>
      <c r="AT37" s="2"/>
      <c r="AU37" s="2" t="s">
        <v>168</v>
      </c>
      <c r="AV37" s="2" t="s">
        <v>168</v>
      </c>
      <c r="AW37" s="2" t="s">
        <v>168</v>
      </c>
      <c r="AX37" s="2" t="s">
        <v>168</v>
      </c>
      <c r="AY37" s="2"/>
      <c r="AZ37" s="2"/>
      <c r="BA37" s="2"/>
      <c r="BB37" s="2"/>
      <c r="BC37" s="2"/>
      <c r="BD37" s="2"/>
      <c r="BE37" s="2" t="s">
        <v>168</v>
      </c>
      <c r="BF37" s="2"/>
    </row>
    <row r="38" spans="1:58" s="4" customFormat="1" ht="11.25" x14ac:dyDescent="0.15">
      <c r="A38" s="2" t="s">
        <v>334</v>
      </c>
      <c r="B38" s="2" t="s">
        <v>335</v>
      </c>
      <c r="C38" s="2" t="s">
        <v>58</v>
      </c>
      <c r="D38" s="2" t="s">
        <v>58</v>
      </c>
      <c r="E38" s="3" t="s">
        <v>336</v>
      </c>
      <c r="F38" s="3" t="s">
        <v>337</v>
      </c>
      <c r="G38" s="2" t="s">
        <v>145</v>
      </c>
      <c r="H38" s="2" t="s">
        <v>62</v>
      </c>
      <c r="I38" s="3" t="s">
        <v>338</v>
      </c>
      <c r="J38" s="3" t="s">
        <v>339</v>
      </c>
      <c r="K38" s="2" t="s">
        <v>163</v>
      </c>
      <c r="L38" s="2"/>
      <c r="M38" s="2" t="s">
        <v>67</v>
      </c>
      <c r="N38" s="2" t="s">
        <v>164</v>
      </c>
      <c r="O38" s="2" t="s">
        <v>165</v>
      </c>
      <c r="P38" s="2" t="s">
        <v>166</v>
      </c>
      <c r="Q38" s="2"/>
      <c r="R38" s="2"/>
      <c r="S38" s="2"/>
      <c r="T38" s="2"/>
      <c r="U38" s="2"/>
      <c r="V38" s="2" t="s">
        <v>74</v>
      </c>
      <c r="W38" s="2"/>
      <c r="X38" s="2" t="s">
        <v>75</v>
      </c>
      <c r="Y38" s="2" t="s">
        <v>289</v>
      </c>
      <c r="Z38" s="2">
        <v>150</v>
      </c>
      <c r="AA38" s="2">
        <v>1</v>
      </c>
      <c r="AB38" s="2">
        <v>2</v>
      </c>
      <c r="AC38" s="2"/>
      <c r="AD38" s="2"/>
      <c r="AE38" s="2"/>
      <c r="AF38" s="2">
        <v>950</v>
      </c>
      <c r="AG38" s="2">
        <v>1</v>
      </c>
      <c r="AH38" s="2">
        <v>31</v>
      </c>
      <c r="AI38" s="2">
        <v>2</v>
      </c>
      <c r="AJ38" s="2"/>
      <c r="AK38" s="3" t="s">
        <v>77</v>
      </c>
      <c r="AL38" s="3" t="s">
        <v>135</v>
      </c>
      <c r="AM38" s="2" t="s">
        <v>79</v>
      </c>
      <c r="AN38" s="2"/>
      <c r="AO38" s="2"/>
      <c r="AP38" s="2"/>
      <c r="AQ38" s="2"/>
      <c r="AR38" s="2">
        <v>30</v>
      </c>
      <c r="AS38" s="2"/>
      <c r="AT38" s="2"/>
      <c r="AU38" s="2" t="s">
        <v>168</v>
      </c>
      <c r="AV38" s="2" t="s">
        <v>168</v>
      </c>
      <c r="AW38" s="2" t="s">
        <v>168</v>
      </c>
      <c r="AX38" s="2" t="s">
        <v>168</v>
      </c>
      <c r="AY38" s="2"/>
      <c r="AZ38" s="2"/>
      <c r="BA38" s="2"/>
      <c r="BB38" s="2"/>
      <c r="BC38" s="2"/>
      <c r="BD38" s="2"/>
      <c r="BE38" s="2" t="s">
        <v>168</v>
      </c>
      <c r="BF38" s="2"/>
    </row>
    <row r="39" spans="1:58" s="4" customFormat="1" ht="11.25" x14ac:dyDescent="0.15">
      <c r="A39" s="2" t="s">
        <v>364</v>
      </c>
      <c r="B39" s="2" t="s">
        <v>365</v>
      </c>
      <c r="C39" s="2" t="s">
        <v>58</v>
      </c>
      <c r="D39" s="2" t="s">
        <v>58</v>
      </c>
      <c r="E39" s="3" t="s">
        <v>231</v>
      </c>
      <c r="F39" s="3" t="s">
        <v>356</v>
      </c>
      <c r="G39" s="2" t="s">
        <v>193</v>
      </c>
      <c r="H39" s="2" t="s">
        <v>62</v>
      </c>
      <c r="I39" s="3" t="s">
        <v>366</v>
      </c>
      <c r="J39" s="3" t="s">
        <v>243</v>
      </c>
      <c r="K39" s="2" t="s">
        <v>235</v>
      </c>
      <c r="L39" s="2" t="s">
        <v>236</v>
      </c>
      <c r="M39" s="2" t="s">
        <v>67</v>
      </c>
      <c r="N39" s="2" t="s">
        <v>237</v>
      </c>
      <c r="O39" s="2" t="s">
        <v>238</v>
      </c>
      <c r="P39" s="2" t="s">
        <v>239</v>
      </c>
      <c r="Q39" s="2" t="s">
        <v>240</v>
      </c>
      <c r="R39" s="2" t="s">
        <v>241</v>
      </c>
      <c r="S39" s="2" t="s">
        <v>242</v>
      </c>
      <c r="T39" s="2" t="s">
        <v>243</v>
      </c>
      <c r="U39" s="2" t="s">
        <v>74</v>
      </c>
      <c r="V39" s="2" t="s">
        <v>74</v>
      </c>
      <c r="W39" s="2"/>
      <c r="X39" s="2" t="s">
        <v>75</v>
      </c>
      <c r="Y39" s="2" t="s">
        <v>289</v>
      </c>
      <c r="Z39" s="2">
        <v>50</v>
      </c>
      <c r="AA39" s="2">
        <v>1</v>
      </c>
      <c r="AB39" s="2">
        <v>1</v>
      </c>
      <c r="AC39" s="2">
        <v>72</v>
      </c>
      <c r="AD39" s="2">
        <v>849.05660377358504</v>
      </c>
      <c r="AE39" s="2" t="s">
        <v>204</v>
      </c>
      <c r="AF39" s="2">
        <v>650</v>
      </c>
      <c r="AG39" s="2">
        <v>1</v>
      </c>
      <c r="AH39" s="2">
        <v>31</v>
      </c>
      <c r="AI39" s="2">
        <v>1</v>
      </c>
      <c r="AJ39" s="2">
        <v>650</v>
      </c>
      <c r="AK39" s="3" t="s">
        <v>77</v>
      </c>
      <c r="AL39" s="3" t="s">
        <v>135</v>
      </c>
      <c r="AM39" s="2" t="s">
        <v>79</v>
      </c>
      <c r="AN39" s="2"/>
      <c r="AO39" s="2"/>
      <c r="AP39" s="2">
        <v>10</v>
      </c>
      <c r="AQ39" s="2"/>
      <c r="AR39" s="2">
        <v>30</v>
      </c>
      <c r="AS39" s="2" t="s">
        <v>168</v>
      </c>
      <c r="AT39" s="2" t="s">
        <v>168</v>
      </c>
      <c r="AU39" s="2" t="s">
        <v>168</v>
      </c>
      <c r="AV39" s="2"/>
      <c r="AW39" s="2" t="s">
        <v>168</v>
      </c>
      <c r="AX39" s="2" t="s">
        <v>81</v>
      </c>
      <c r="AY39" s="2" t="s">
        <v>205</v>
      </c>
      <c r="AZ39" s="2" t="s">
        <v>206</v>
      </c>
      <c r="BA39" s="2"/>
      <c r="BB39" s="2"/>
      <c r="BC39" s="2" t="s">
        <v>209</v>
      </c>
      <c r="BD39" s="2" t="s">
        <v>168</v>
      </c>
      <c r="BE39" s="2" t="s">
        <v>168</v>
      </c>
      <c r="BF39" s="2"/>
    </row>
    <row r="40" spans="1:58" s="4" customFormat="1" ht="11.25" x14ac:dyDescent="0.15">
      <c r="A40" s="2" t="s">
        <v>266</v>
      </c>
      <c r="B40" s="2" t="s">
        <v>267</v>
      </c>
      <c r="C40" s="2" t="s">
        <v>58</v>
      </c>
      <c r="D40" s="2" t="s">
        <v>58</v>
      </c>
      <c r="E40" s="3" t="s">
        <v>231</v>
      </c>
      <c r="F40" s="3" t="s">
        <v>268</v>
      </c>
      <c r="G40" s="2" t="s">
        <v>193</v>
      </c>
      <c r="H40" s="2" t="s">
        <v>62</v>
      </c>
      <c r="I40" s="3" t="s">
        <v>269</v>
      </c>
      <c r="J40" s="3" t="s">
        <v>270</v>
      </c>
      <c r="K40" s="2" t="s">
        <v>235</v>
      </c>
      <c r="L40" s="2" t="s">
        <v>236</v>
      </c>
      <c r="M40" s="2" t="s">
        <v>67</v>
      </c>
      <c r="N40" s="2" t="s">
        <v>237</v>
      </c>
      <c r="O40" s="2" t="s">
        <v>238</v>
      </c>
      <c r="P40" s="2" t="s">
        <v>239</v>
      </c>
      <c r="Q40" s="2" t="s">
        <v>240</v>
      </c>
      <c r="R40" s="2" t="s">
        <v>241</v>
      </c>
      <c r="S40" s="2" t="s">
        <v>242</v>
      </c>
      <c r="T40" s="2" t="s">
        <v>243</v>
      </c>
      <c r="U40" s="2" t="s">
        <v>74</v>
      </c>
      <c r="V40" s="2" t="s">
        <v>74</v>
      </c>
      <c r="W40" s="2"/>
      <c r="X40" s="2" t="s">
        <v>75</v>
      </c>
      <c r="Y40" s="2" t="s">
        <v>76</v>
      </c>
      <c r="Z40" s="2">
        <v>50</v>
      </c>
      <c r="AA40" s="2">
        <v>1</v>
      </c>
      <c r="AB40" s="2">
        <v>1</v>
      </c>
      <c r="AC40" s="2">
        <v>76</v>
      </c>
      <c r="AD40" s="2">
        <v>849.05660377358504</v>
      </c>
      <c r="AE40" s="2" t="s">
        <v>204</v>
      </c>
      <c r="AF40" s="2">
        <v>650</v>
      </c>
      <c r="AG40" s="2">
        <v>1</v>
      </c>
      <c r="AH40" s="2">
        <v>31</v>
      </c>
      <c r="AI40" s="2">
        <v>1</v>
      </c>
      <c r="AJ40" s="2">
        <v>650</v>
      </c>
      <c r="AK40" s="3" t="s">
        <v>77</v>
      </c>
      <c r="AL40" s="3" t="s">
        <v>135</v>
      </c>
      <c r="AM40" s="2" t="s">
        <v>79</v>
      </c>
      <c r="AN40" s="2"/>
      <c r="AO40" s="2"/>
      <c r="AP40" s="2">
        <v>10</v>
      </c>
      <c r="AQ40" s="2"/>
      <c r="AR40" s="2">
        <v>30</v>
      </c>
      <c r="AS40" s="2"/>
      <c r="AT40" s="2"/>
      <c r="AU40" s="2"/>
      <c r="AV40" s="2"/>
      <c r="AW40" s="2"/>
      <c r="AX40" s="2" t="s">
        <v>81</v>
      </c>
      <c r="AY40" s="2" t="s">
        <v>205</v>
      </c>
      <c r="AZ40" s="2" t="s">
        <v>206</v>
      </c>
      <c r="BA40" s="2"/>
      <c r="BB40" s="2"/>
      <c r="BC40" s="2" t="s">
        <v>209</v>
      </c>
      <c r="BD40" s="2"/>
      <c r="BE40" s="2" t="s">
        <v>271</v>
      </c>
      <c r="BF40" s="2"/>
    </row>
    <row r="41" spans="1:58" s="4" customFormat="1" ht="11.25" x14ac:dyDescent="0.15">
      <c r="A41" s="2" t="s">
        <v>229</v>
      </c>
      <c r="B41" s="2" t="s">
        <v>230</v>
      </c>
      <c r="C41" s="2" t="s">
        <v>58</v>
      </c>
      <c r="D41" s="2" t="s">
        <v>58</v>
      </c>
      <c r="E41" s="3" t="s">
        <v>231</v>
      </c>
      <c r="F41" s="3" t="s">
        <v>232</v>
      </c>
      <c r="G41" s="2" t="s">
        <v>193</v>
      </c>
      <c r="H41" s="2" t="s">
        <v>62</v>
      </c>
      <c r="I41" s="3" t="s">
        <v>233</v>
      </c>
      <c r="J41" s="3" t="s">
        <v>234</v>
      </c>
      <c r="K41" s="2" t="s">
        <v>235</v>
      </c>
      <c r="L41" s="2" t="s">
        <v>236</v>
      </c>
      <c r="M41" s="2" t="s">
        <v>67</v>
      </c>
      <c r="N41" s="2" t="s">
        <v>237</v>
      </c>
      <c r="O41" s="2" t="s">
        <v>238</v>
      </c>
      <c r="P41" s="2" t="s">
        <v>239</v>
      </c>
      <c r="Q41" s="2" t="s">
        <v>240</v>
      </c>
      <c r="R41" s="2" t="s">
        <v>241</v>
      </c>
      <c r="S41" s="2" t="s">
        <v>242</v>
      </c>
      <c r="T41" s="2" t="s">
        <v>243</v>
      </c>
      <c r="U41" s="2" t="s">
        <v>74</v>
      </c>
      <c r="V41" s="2" t="s">
        <v>74</v>
      </c>
      <c r="W41" s="2"/>
      <c r="X41" s="2" t="s">
        <v>75</v>
      </c>
      <c r="Y41" s="2" t="s">
        <v>76</v>
      </c>
      <c r="Z41" s="2">
        <v>50</v>
      </c>
      <c r="AA41" s="2">
        <v>1</v>
      </c>
      <c r="AB41" s="2">
        <v>1</v>
      </c>
      <c r="AC41" s="2">
        <v>55</v>
      </c>
      <c r="AD41" s="2">
        <v>849.05660377358504</v>
      </c>
      <c r="AE41" s="2" t="s">
        <v>204</v>
      </c>
      <c r="AF41" s="2">
        <v>650</v>
      </c>
      <c r="AG41" s="2">
        <v>1</v>
      </c>
      <c r="AH41" s="2">
        <v>31</v>
      </c>
      <c r="AI41" s="2">
        <v>1</v>
      </c>
      <c r="AJ41" s="2">
        <v>650</v>
      </c>
      <c r="AK41" s="3" t="s">
        <v>77</v>
      </c>
      <c r="AL41" s="3" t="s">
        <v>135</v>
      </c>
      <c r="AM41" s="2" t="s">
        <v>79</v>
      </c>
      <c r="AN41" s="2"/>
      <c r="AO41" s="2"/>
      <c r="AP41" s="2">
        <v>10</v>
      </c>
      <c r="AQ41" s="2"/>
      <c r="AR41" s="2">
        <v>30</v>
      </c>
      <c r="AS41" s="2"/>
      <c r="AT41" s="2"/>
      <c r="AU41" s="2"/>
      <c r="AV41" s="2"/>
      <c r="AW41" s="2"/>
      <c r="AX41" s="2" t="s">
        <v>81</v>
      </c>
      <c r="AY41" s="2" t="s">
        <v>205</v>
      </c>
      <c r="AZ41" s="2" t="s">
        <v>206</v>
      </c>
      <c r="BA41" s="2"/>
      <c r="BB41" s="2"/>
      <c r="BC41" s="2" t="s">
        <v>209</v>
      </c>
      <c r="BD41" s="2"/>
      <c r="BE41" s="2" t="s">
        <v>244</v>
      </c>
      <c r="BF41" s="2"/>
    </row>
    <row r="42" spans="1:58" ht="11.25" x14ac:dyDescent="0.15">
      <c r="A42" s="2" t="s">
        <v>245</v>
      </c>
      <c r="B42" s="2" t="s">
        <v>246</v>
      </c>
      <c r="C42" s="2" t="s">
        <v>58</v>
      </c>
      <c r="D42" s="2" t="s">
        <v>58</v>
      </c>
      <c r="E42" s="3" t="s">
        <v>231</v>
      </c>
      <c r="F42" s="3" t="s">
        <v>247</v>
      </c>
      <c r="G42" s="2" t="s">
        <v>193</v>
      </c>
      <c r="H42" s="2" t="s">
        <v>62</v>
      </c>
      <c r="I42" s="3" t="s">
        <v>248</v>
      </c>
      <c r="J42" s="3" t="s">
        <v>249</v>
      </c>
      <c r="K42" s="2" t="s">
        <v>235</v>
      </c>
      <c r="L42" s="2" t="s">
        <v>236</v>
      </c>
      <c r="M42" s="2" t="s">
        <v>67</v>
      </c>
      <c r="N42" s="2" t="s">
        <v>237</v>
      </c>
      <c r="O42" s="2" t="s">
        <v>238</v>
      </c>
      <c r="P42" s="2" t="s">
        <v>239</v>
      </c>
      <c r="Q42" s="2" t="s">
        <v>240</v>
      </c>
      <c r="R42" s="2" t="s">
        <v>241</v>
      </c>
      <c r="S42" s="2" t="s">
        <v>242</v>
      </c>
      <c r="T42" s="2" t="s">
        <v>243</v>
      </c>
      <c r="U42" s="2" t="s">
        <v>74</v>
      </c>
      <c r="V42" s="2" t="s">
        <v>74</v>
      </c>
      <c r="X42" s="2" t="s">
        <v>75</v>
      </c>
      <c r="Y42" s="2" t="s">
        <v>76</v>
      </c>
      <c r="Z42" s="2">
        <v>50</v>
      </c>
      <c r="AA42" s="2">
        <v>1</v>
      </c>
      <c r="AB42" s="2">
        <v>1</v>
      </c>
      <c r="AC42" s="2">
        <v>60</v>
      </c>
      <c r="AD42" s="2">
        <v>849.05660377358504</v>
      </c>
      <c r="AE42" s="2" t="s">
        <v>204</v>
      </c>
      <c r="AF42" s="2">
        <v>650</v>
      </c>
      <c r="AG42" s="2">
        <v>1</v>
      </c>
      <c r="AH42" s="2">
        <v>31</v>
      </c>
      <c r="AI42" s="2">
        <v>1</v>
      </c>
      <c r="AJ42" s="2">
        <v>680</v>
      </c>
      <c r="AK42" s="3" t="s">
        <v>77</v>
      </c>
      <c r="AL42" s="3" t="s">
        <v>135</v>
      </c>
      <c r="AM42" s="2" t="s">
        <v>79</v>
      </c>
      <c r="AP42" s="2">
        <v>10</v>
      </c>
      <c r="AQ42" s="2"/>
      <c r="AR42" s="2">
        <v>30</v>
      </c>
      <c r="AX42" s="2" t="s">
        <v>81</v>
      </c>
      <c r="AY42" s="2" t="s">
        <v>205</v>
      </c>
      <c r="AZ42" s="2" t="s">
        <v>206</v>
      </c>
      <c r="BC42" s="2" t="s">
        <v>209</v>
      </c>
      <c r="BD42" s="2">
        <v>30</v>
      </c>
      <c r="BE42" s="2" t="s">
        <v>250</v>
      </c>
    </row>
    <row r="43" spans="1:58" ht="11.25" x14ac:dyDescent="0.15">
      <c r="A43" s="2" t="s">
        <v>251</v>
      </c>
      <c r="B43" s="2" t="s">
        <v>252</v>
      </c>
      <c r="C43" s="2" t="s">
        <v>58</v>
      </c>
      <c r="D43" s="2" t="s">
        <v>58</v>
      </c>
      <c r="E43" s="3" t="s">
        <v>231</v>
      </c>
      <c r="F43" s="3" t="s">
        <v>139</v>
      </c>
      <c r="G43" s="2" t="s">
        <v>193</v>
      </c>
      <c r="H43" s="2" t="s">
        <v>62</v>
      </c>
      <c r="I43" s="3" t="s">
        <v>253</v>
      </c>
      <c r="J43" s="3" t="s">
        <v>254</v>
      </c>
      <c r="K43" s="2" t="s">
        <v>235</v>
      </c>
      <c r="L43" s="2" t="s">
        <v>236</v>
      </c>
      <c r="M43" s="2" t="s">
        <v>67</v>
      </c>
      <c r="N43" s="2" t="s">
        <v>237</v>
      </c>
      <c r="O43" s="2" t="s">
        <v>238</v>
      </c>
      <c r="P43" s="2" t="s">
        <v>239</v>
      </c>
      <c r="Q43" s="2" t="s">
        <v>240</v>
      </c>
      <c r="R43" s="2" t="s">
        <v>241</v>
      </c>
      <c r="S43" s="2" t="s">
        <v>242</v>
      </c>
      <c r="T43" s="2" t="s">
        <v>243</v>
      </c>
      <c r="U43" s="2" t="s">
        <v>74</v>
      </c>
      <c r="V43" s="2" t="s">
        <v>74</v>
      </c>
      <c r="X43" s="2" t="s">
        <v>75</v>
      </c>
      <c r="Y43" s="2" t="s">
        <v>76</v>
      </c>
      <c r="Z43" s="2">
        <v>50</v>
      </c>
      <c r="AA43" s="2">
        <v>1</v>
      </c>
      <c r="AB43" s="2">
        <v>1</v>
      </c>
      <c r="AC43" s="2">
        <v>58</v>
      </c>
      <c r="AD43" s="2">
        <v>849.05660377358504</v>
      </c>
      <c r="AE43" s="2" t="s">
        <v>204</v>
      </c>
      <c r="AF43" s="2">
        <v>700</v>
      </c>
      <c r="AG43" s="2">
        <v>1</v>
      </c>
      <c r="AH43" s="2">
        <v>31</v>
      </c>
      <c r="AI43" s="2">
        <v>1</v>
      </c>
      <c r="AJ43" s="2">
        <v>700</v>
      </c>
      <c r="AK43" s="3" t="s">
        <v>77</v>
      </c>
      <c r="AL43" s="3" t="s">
        <v>135</v>
      </c>
      <c r="AM43" s="2" t="s">
        <v>79</v>
      </c>
      <c r="AP43" s="2">
        <v>10</v>
      </c>
      <c r="AQ43" s="2"/>
      <c r="AR43" s="2">
        <v>30</v>
      </c>
      <c r="AX43" s="2" t="s">
        <v>81</v>
      </c>
      <c r="AY43" s="2" t="s">
        <v>205</v>
      </c>
      <c r="AZ43" s="2" t="s">
        <v>206</v>
      </c>
      <c r="BC43" s="2" t="s">
        <v>209</v>
      </c>
      <c r="BE43" s="2" t="s">
        <v>255</v>
      </c>
    </row>
    <row r="44" spans="1:58" ht="11.25" x14ac:dyDescent="0.15">
      <c r="A44" s="2" t="s">
        <v>256</v>
      </c>
      <c r="B44" s="2" t="s">
        <v>257</v>
      </c>
      <c r="C44" s="2" t="s">
        <v>58</v>
      </c>
      <c r="D44" s="2" t="s">
        <v>58</v>
      </c>
      <c r="E44" s="3" t="s">
        <v>231</v>
      </c>
      <c r="F44" s="3" t="s">
        <v>192</v>
      </c>
      <c r="G44" s="2" t="s">
        <v>193</v>
      </c>
      <c r="H44" s="2" t="s">
        <v>62</v>
      </c>
      <c r="I44" s="3" t="s">
        <v>258</v>
      </c>
      <c r="J44" s="3" t="s">
        <v>259</v>
      </c>
      <c r="K44" s="2" t="s">
        <v>235</v>
      </c>
      <c r="L44" s="2" t="s">
        <v>236</v>
      </c>
      <c r="M44" s="2" t="s">
        <v>67</v>
      </c>
      <c r="N44" s="2" t="s">
        <v>237</v>
      </c>
      <c r="O44" s="2" t="s">
        <v>238</v>
      </c>
      <c r="P44" s="2" t="s">
        <v>239</v>
      </c>
      <c r="Q44" s="2" t="s">
        <v>240</v>
      </c>
      <c r="R44" s="2" t="s">
        <v>241</v>
      </c>
      <c r="S44" s="2" t="s">
        <v>242</v>
      </c>
      <c r="T44" s="2" t="s">
        <v>243</v>
      </c>
      <c r="U44" s="2" t="s">
        <v>74</v>
      </c>
      <c r="V44" s="2" t="s">
        <v>74</v>
      </c>
      <c r="X44" s="2" t="s">
        <v>75</v>
      </c>
      <c r="Y44" s="2" t="s">
        <v>76</v>
      </c>
      <c r="Z44" s="2">
        <v>50</v>
      </c>
      <c r="AA44" s="2">
        <v>1</v>
      </c>
      <c r="AB44" s="2">
        <v>1</v>
      </c>
      <c r="AC44" s="2">
        <v>60</v>
      </c>
      <c r="AD44" s="2">
        <v>849.05660377358504</v>
      </c>
      <c r="AE44" s="2" t="s">
        <v>204</v>
      </c>
      <c r="AF44" s="2">
        <v>700</v>
      </c>
      <c r="AG44" s="2">
        <v>1</v>
      </c>
      <c r="AH44" s="2">
        <v>31</v>
      </c>
      <c r="AI44" s="2">
        <v>1</v>
      </c>
      <c r="AJ44" s="2">
        <v>700</v>
      </c>
      <c r="AK44" s="3" t="s">
        <v>77</v>
      </c>
      <c r="AL44" s="3" t="s">
        <v>135</v>
      </c>
      <c r="AM44" s="2" t="s">
        <v>79</v>
      </c>
      <c r="AP44" s="2">
        <v>10</v>
      </c>
      <c r="AQ44" s="2"/>
      <c r="AR44" s="2">
        <v>30</v>
      </c>
      <c r="AX44" s="2" t="s">
        <v>81</v>
      </c>
      <c r="AY44" s="2" t="s">
        <v>205</v>
      </c>
      <c r="AZ44" s="2" t="s">
        <v>206</v>
      </c>
      <c r="BC44" s="2" t="s">
        <v>209</v>
      </c>
      <c r="BE44" s="2" t="s">
        <v>260</v>
      </c>
    </row>
    <row r="45" spans="1:58" ht="11.25" x14ac:dyDescent="0.15">
      <c r="A45" s="2" t="s">
        <v>261</v>
      </c>
      <c r="B45" s="2" t="s">
        <v>262</v>
      </c>
      <c r="C45" s="2" t="s">
        <v>58</v>
      </c>
      <c r="D45" s="2" t="s">
        <v>58</v>
      </c>
      <c r="E45" s="3" t="s">
        <v>231</v>
      </c>
      <c r="F45" s="3" t="s">
        <v>60</v>
      </c>
      <c r="G45" s="2" t="s">
        <v>193</v>
      </c>
      <c r="H45" s="2" t="s">
        <v>62</v>
      </c>
      <c r="I45" s="3" t="s">
        <v>263</v>
      </c>
      <c r="J45" s="3" t="s">
        <v>264</v>
      </c>
      <c r="K45" s="2" t="s">
        <v>235</v>
      </c>
      <c r="L45" s="2" t="s">
        <v>236</v>
      </c>
      <c r="M45" s="2" t="s">
        <v>67</v>
      </c>
      <c r="N45" s="2" t="s">
        <v>237</v>
      </c>
      <c r="O45" s="2" t="s">
        <v>238</v>
      </c>
      <c r="P45" s="2" t="s">
        <v>239</v>
      </c>
      <c r="Q45" s="2" t="s">
        <v>240</v>
      </c>
      <c r="R45" s="2" t="s">
        <v>241</v>
      </c>
      <c r="S45" s="2" t="s">
        <v>242</v>
      </c>
      <c r="T45" s="2" t="s">
        <v>243</v>
      </c>
      <c r="U45" s="2" t="s">
        <v>74</v>
      </c>
      <c r="V45" s="2" t="s">
        <v>74</v>
      </c>
      <c r="X45" s="2" t="s">
        <v>75</v>
      </c>
      <c r="Y45" s="2" t="s">
        <v>76</v>
      </c>
      <c r="Z45" s="2">
        <v>50</v>
      </c>
      <c r="AA45" s="2">
        <v>1</v>
      </c>
      <c r="AB45" s="2">
        <v>1</v>
      </c>
      <c r="AC45" s="2">
        <v>80</v>
      </c>
      <c r="AD45" s="2">
        <v>958.61229458307503</v>
      </c>
      <c r="AE45" s="2" t="s">
        <v>204</v>
      </c>
      <c r="AF45" s="2">
        <v>700</v>
      </c>
      <c r="AG45" s="2">
        <v>1</v>
      </c>
      <c r="AH45" s="2">
        <v>31</v>
      </c>
      <c r="AI45" s="2">
        <v>1</v>
      </c>
      <c r="AJ45" s="2">
        <v>730</v>
      </c>
      <c r="AK45" s="3" t="s">
        <v>77</v>
      </c>
      <c r="AL45" s="3" t="s">
        <v>135</v>
      </c>
      <c r="AM45" s="2" t="s">
        <v>79</v>
      </c>
      <c r="AP45" s="2">
        <v>10</v>
      </c>
      <c r="AQ45" s="2"/>
      <c r="AR45" s="2">
        <v>30</v>
      </c>
      <c r="AX45" s="2" t="s">
        <v>81</v>
      </c>
      <c r="AY45" s="2" t="s">
        <v>205</v>
      </c>
      <c r="AZ45" s="2" t="s">
        <v>206</v>
      </c>
      <c r="BC45" s="2" t="s">
        <v>209</v>
      </c>
      <c r="BE45" s="2" t="s">
        <v>265</v>
      </c>
    </row>
    <row r="46" spans="1:58" ht="11.25" x14ac:dyDescent="0.15">
      <c r="A46" s="2" t="s">
        <v>400</v>
      </c>
      <c r="B46" s="2" t="s">
        <v>401</v>
      </c>
      <c r="C46" s="2" t="s">
        <v>58</v>
      </c>
      <c r="D46" s="2" t="s">
        <v>58</v>
      </c>
      <c r="E46" s="3" t="s">
        <v>231</v>
      </c>
      <c r="F46" s="3" t="s">
        <v>402</v>
      </c>
      <c r="G46" s="2" t="s">
        <v>193</v>
      </c>
      <c r="H46" s="2" t="s">
        <v>62</v>
      </c>
      <c r="I46" s="3" t="s">
        <v>403</v>
      </c>
      <c r="K46" s="2" t="s">
        <v>235</v>
      </c>
      <c r="L46" s="2" t="s">
        <v>236</v>
      </c>
      <c r="M46" s="2" t="s">
        <v>67</v>
      </c>
      <c r="N46" s="2" t="s">
        <v>237</v>
      </c>
      <c r="O46" s="2" t="s">
        <v>238</v>
      </c>
      <c r="P46" s="2" t="s">
        <v>239</v>
      </c>
      <c r="Q46" s="2" t="s">
        <v>240</v>
      </c>
      <c r="R46" s="2" t="s">
        <v>241</v>
      </c>
      <c r="S46" s="2" t="s">
        <v>242</v>
      </c>
      <c r="T46" s="2" t="s">
        <v>243</v>
      </c>
      <c r="AC46" s="2"/>
      <c r="AD46" s="2"/>
      <c r="AQ46" s="2"/>
      <c r="AR46" s="2"/>
      <c r="BE46" s="2" t="s">
        <v>399</v>
      </c>
    </row>
    <row r="47" spans="1:58" ht="11.25" x14ac:dyDescent="0.15">
      <c r="A47" s="2" t="s">
        <v>152</v>
      </c>
      <c r="B47" s="2" t="s">
        <v>153</v>
      </c>
      <c r="C47" s="2" t="s">
        <v>58</v>
      </c>
      <c r="D47" s="2" t="s">
        <v>58</v>
      </c>
      <c r="E47" s="3" t="s">
        <v>144</v>
      </c>
      <c r="F47" s="3" t="s">
        <v>154</v>
      </c>
      <c r="G47" s="2" t="s">
        <v>145</v>
      </c>
      <c r="H47" s="2" t="s">
        <v>62</v>
      </c>
      <c r="I47" s="3" t="s">
        <v>155</v>
      </c>
      <c r="J47" s="3" t="s">
        <v>156</v>
      </c>
      <c r="K47" s="2"/>
      <c r="L47" s="2"/>
      <c r="M47" s="2"/>
      <c r="N47" s="2"/>
      <c r="O47" s="2"/>
      <c r="P47" s="2"/>
      <c r="Q47" s="2"/>
      <c r="R47" s="2"/>
      <c r="S47" s="2"/>
      <c r="T47" s="2"/>
      <c r="U47" s="2" t="s">
        <v>134</v>
      </c>
      <c r="Y47" s="2" t="s">
        <v>76</v>
      </c>
      <c r="Z47" s="2">
        <v>100</v>
      </c>
      <c r="AA47" s="2">
        <v>6</v>
      </c>
      <c r="AB47" s="2">
        <v>1</v>
      </c>
      <c r="AC47" s="2"/>
      <c r="AD47" s="2"/>
      <c r="AF47" s="2">
        <v>4500</v>
      </c>
      <c r="AG47" s="2">
        <v>6</v>
      </c>
      <c r="AH47" s="2">
        <v>31</v>
      </c>
      <c r="AI47" s="2">
        <v>1</v>
      </c>
      <c r="AK47" s="3" t="s">
        <v>77</v>
      </c>
      <c r="AL47" s="3" t="s">
        <v>135</v>
      </c>
      <c r="AM47" s="2" t="s">
        <v>79</v>
      </c>
      <c r="AQ47" s="2"/>
      <c r="AR47" s="2">
        <v>30</v>
      </c>
      <c r="AX47" s="2">
        <f>AX78</f>
        <v>0</v>
      </c>
      <c r="AY47" s="2" t="s">
        <v>150</v>
      </c>
      <c r="AZ47" s="2" t="s">
        <v>150</v>
      </c>
      <c r="BB47" s="2" t="s">
        <v>151</v>
      </c>
      <c r="BC47" s="2" t="s">
        <v>136</v>
      </c>
    </row>
    <row r="48" spans="1:58" ht="11.25" x14ac:dyDescent="0.15">
      <c r="A48" s="2" t="s">
        <v>142</v>
      </c>
      <c r="B48" s="2" t="s">
        <v>143</v>
      </c>
      <c r="C48" s="2" t="s">
        <v>58</v>
      </c>
      <c r="D48" s="2" t="s">
        <v>58</v>
      </c>
      <c r="E48" s="3" t="s">
        <v>144</v>
      </c>
      <c r="F48" s="3" t="s">
        <v>139</v>
      </c>
      <c r="G48" s="2" t="s">
        <v>145</v>
      </c>
      <c r="H48" s="2" t="s">
        <v>62</v>
      </c>
      <c r="I48" s="3" t="s">
        <v>146</v>
      </c>
      <c r="J48" s="3" t="s">
        <v>147</v>
      </c>
      <c r="K48" s="2"/>
      <c r="L48" s="2"/>
      <c r="M48" s="2"/>
      <c r="N48" s="2"/>
      <c r="O48" s="2"/>
      <c r="P48" s="2"/>
      <c r="Q48" s="2"/>
      <c r="R48" s="2"/>
      <c r="S48" s="2"/>
      <c r="T48" s="2"/>
      <c r="U48" s="2" t="s">
        <v>134</v>
      </c>
      <c r="Y48" s="2" t="s">
        <v>76</v>
      </c>
      <c r="Z48" s="2">
        <v>100</v>
      </c>
      <c r="AA48" s="2">
        <v>6</v>
      </c>
      <c r="AB48" s="2">
        <v>1</v>
      </c>
      <c r="AC48" s="2"/>
      <c r="AD48" s="2"/>
      <c r="AF48" s="2">
        <f>4500+160</f>
        <v>4660</v>
      </c>
      <c r="AG48" s="2">
        <v>6</v>
      </c>
      <c r="AH48" s="2">
        <v>31</v>
      </c>
      <c r="AI48" s="2">
        <v>1</v>
      </c>
      <c r="AK48" s="3" t="s">
        <v>148</v>
      </c>
      <c r="AL48" s="3" t="s">
        <v>135</v>
      </c>
      <c r="AM48" s="2" t="s">
        <v>79</v>
      </c>
      <c r="AQ48" s="2"/>
      <c r="AR48" s="2">
        <v>30</v>
      </c>
      <c r="AS48" s="2">
        <v>11</v>
      </c>
      <c r="AT48" s="2">
        <v>150</v>
      </c>
      <c r="AU48" s="2">
        <v>1650</v>
      </c>
      <c r="AV48" s="2" t="s">
        <v>149</v>
      </c>
      <c r="AX48" s="2">
        <f>AX79</f>
        <v>0</v>
      </c>
      <c r="AY48" s="2" t="s">
        <v>150</v>
      </c>
      <c r="AZ48" s="2" t="s">
        <v>150</v>
      </c>
      <c r="BB48" s="2" t="s">
        <v>151</v>
      </c>
      <c r="BC48" s="2" t="s">
        <v>136</v>
      </c>
    </row>
    <row r="49" spans="7:44" ht="11.25" x14ac:dyDescent="0.15">
      <c r="G49" s="2"/>
      <c r="H49" s="2"/>
      <c r="K49" s="2"/>
      <c r="L49" s="2"/>
      <c r="M49" s="2"/>
      <c r="N49" s="2"/>
      <c r="O49" s="2"/>
      <c r="P49" s="2"/>
      <c r="Q49" s="2"/>
      <c r="R49" s="2"/>
      <c r="S49" s="2"/>
      <c r="T49" s="2"/>
      <c r="AC49" s="2"/>
      <c r="AD49" s="2"/>
      <c r="AQ49" s="2"/>
      <c r="AR49" s="2"/>
    </row>
    <row r="50" spans="7:44" ht="11.25" x14ac:dyDescent="0.15">
      <c r="G50" s="2"/>
      <c r="H50" s="2"/>
      <c r="K50" s="2"/>
      <c r="L50" s="2"/>
      <c r="M50" s="2"/>
      <c r="N50" s="2"/>
      <c r="O50" s="2"/>
      <c r="P50" s="2"/>
      <c r="Q50" s="2"/>
      <c r="R50" s="2"/>
      <c r="S50" s="2"/>
      <c r="T50" s="2"/>
      <c r="AC50" s="2"/>
      <c r="AD50" s="2"/>
      <c r="AQ50" s="2"/>
      <c r="AR50" s="2"/>
    </row>
    <row r="51" spans="7:44" ht="11.25" x14ac:dyDescent="0.15">
      <c r="G51" s="2"/>
      <c r="H51" s="2"/>
      <c r="K51" s="2"/>
      <c r="L51" s="2"/>
      <c r="M51" s="2"/>
      <c r="N51" s="2"/>
      <c r="O51" s="2"/>
      <c r="P51" s="2"/>
      <c r="Q51" s="2"/>
      <c r="R51" s="2"/>
      <c r="S51" s="2"/>
      <c r="T51" s="2"/>
      <c r="AC51" s="2"/>
      <c r="AD51" s="2"/>
      <c r="AQ51" s="2"/>
      <c r="AR51" s="2"/>
    </row>
    <row r="52" spans="7:44" ht="11.25" x14ac:dyDescent="0.15">
      <c r="G52" s="2"/>
      <c r="H52" s="2"/>
      <c r="K52" s="2"/>
      <c r="L52" s="2"/>
      <c r="M52" s="2"/>
      <c r="N52" s="2"/>
      <c r="O52" s="2"/>
      <c r="P52" s="2"/>
      <c r="Q52" s="2"/>
      <c r="R52" s="2"/>
      <c r="S52" s="2"/>
      <c r="T52" s="2"/>
      <c r="AC52" s="2"/>
      <c r="AD52" s="2"/>
      <c r="AQ52" s="2"/>
      <c r="AR52" s="2"/>
    </row>
  </sheetData>
  <phoneticPr fontId="3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2019-03-13T11:35:04Z</dcterms:created>
  <dcterms:modified xsi:type="dcterms:W3CDTF">2019-03-13T16:26:01Z</dcterms:modified>
</cp:coreProperties>
</file>